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d.docs.live.net/d8c10af722fd09e6/Documents/"/>
    </mc:Choice>
  </mc:AlternateContent>
  <xr:revisionPtr revIDLastSave="0" documentId="8_{FEB1599A-8FFD-403C-AFDA-815B9C96A5A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shboard" sheetId="1" r:id="rId1"/>
    <sheet name="Customer_Dim" sheetId="2" r:id="rId2"/>
    <sheet name="Product_Dim" sheetId="3" r:id="rId3"/>
    <sheet name="Store_Dim" sheetId="4" r:id="rId4"/>
    <sheet name="Sales_Fact" sheetId="5" r:id="rId5"/>
    <sheet name="Toolpak" sheetId="6" r:id="rId6"/>
    <sheet name="Pivot and Visualizations " sheetId="7" r:id="rId7"/>
    <sheet name="Insights" sheetId="8" r:id="rId8"/>
    <sheet name="Helper_Data" sheetId="10" state="hidden" r:id="rId9"/>
  </sheets>
  <definedNames>
    <definedName name="_xlchart.v5.4" hidden="1">'Pivot and Visualizations '!$A$3</definedName>
    <definedName name="_xlchart.v5.5" hidden="1">'Pivot and Visualizations '!$A$4:$A$7</definedName>
    <definedName name="_xlchart.v5.6" hidden="1">'Pivot and Visualizations '!$B$4:$B$7</definedName>
    <definedName name="Slicer_Product_Category">#REF!</definedName>
    <definedName name="Slicer_store_region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5" i="7" l="1"/>
  <c r="D7" i="1"/>
  <c r="F7" i="1"/>
  <c r="H7" i="1"/>
  <c r="J7" i="1"/>
  <c r="L7" i="1"/>
  <c r="N7" i="1"/>
  <c r="D8" i="6"/>
  <c r="X2001" i="5"/>
  <c r="V2001" i="5"/>
  <c r="U2001" i="5"/>
  <c r="T2001" i="5"/>
  <c r="N2001" i="5"/>
  <c r="M2001" i="5"/>
  <c r="L2001" i="5"/>
  <c r="K2001" i="5"/>
  <c r="X2000" i="5"/>
  <c r="V2000" i="5"/>
  <c r="U2000" i="5"/>
  <c r="T2000" i="5"/>
  <c r="N2000" i="5"/>
  <c r="M2000" i="5"/>
  <c r="L2000" i="5"/>
  <c r="K2000" i="5"/>
  <c r="X1999" i="5"/>
  <c r="V1999" i="5"/>
  <c r="U1999" i="5"/>
  <c r="T1999" i="5"/>
  <c r="N1999" i="5"/>
  <c r="M1999" i="5"/>
  <c r="L1999" i="5"/>
  <c r="K1999" i="5"/>
  <c r="X1998" i="5"/>
  <c r="V1998" i="5"/>
  <c r="U1998" i="5"/>
  <c r="T1998" i="5"/>
  <c r="N1998" i="5"/>
  <c r="M1998" i="5"/>
  <c r="L1998" i="5"/>
  <c r="K1998" i="5"/>
  <c r="X1997" i="5"/>
  <c r="V1997" i="5"/>
  <c r="U1997" i="5"/>
  <c r="T1997" i="5"/>
  <c r="N1997" i="5"/>
  <c r="M1997" i="5"/>
  <c r="L1997" i="5"/>
  <c r="K1997" i="5"/>
  <c r="X1996" i="5"/>
  <c r="V1996" i="5"/>
  <c r="U1996" i="5"/>
  <c r="T1996" i="5"/>
  <c r="N1996" i="5"/>
  <c r="M1996" i="5"/>
  <c r="L1996" i="5"/>
  <c r="K1996" i="5"/>
  <c r="X1995" i="5"/>
  <c r="V1995" i="5"/>
  <c r="U1995" i="5"/>
  <c r="T1995" i="5"/>
  <c r="N1995" i="5"/>
  <c r="M1995" i="5"/>
  <c r="L1995" i="5"/>
  <c r="K1995" i="5"/>
  <c r="X1994" i="5"/>
  <c r="V1994" i="5"/>
  <c r="U1994" i="5"/>
  <c r="T1994" i="5"/>
  <c r="N1994" i="5"/>
  <c r="M1994" i="5"/>
  <c r="L1994" i="5"/>
  <c r="K1994" i="5"/>
  <c r="X1993" i="5"/>
  <c r="V1993" i="5"/>
  <c r="U1993" i="5"/>
  <c r="T1993" i="5"/>
  <c r="N1993" i="5"/>
  <c r="M1993" i="5"/>
  <c r="L1993" i="5"/>
  <c r="K1993" i="5"/>
  <c r="X1992" i="5"/>
  <c r="V1992" i="5"/>
  <c r="U1992" i="5"/>
  <c r="T1992" i="5"/>
  <c r="N1992" i="5"/>
  <c r="M1992" i="5"/>
  <c r="L1992" i="5"/>
  <c r="K1992" i="5"/>
  <c r="X1991" i="5"/>
  <c r="V1991" i="5"/>
  <c r="U1991" i="5"/>
  <c r="T1991" i="5"/>
  <c r="N1991" i="5"/>
  <c r="M1991" i="5"/>
  <c r="L1991" i="5"/>
  <c r="K1991" i="5"/>
  <c r="X1990" i="5"/>
  <c r="V1990" i="5"/>
  <c r="U1990" i="5"/>
  <c r="T1990" i="5"/>
  <c r="N1990" i="5"/>
  <c r="M1990" i="5"/>
  <c r="L1990" i="5"/>
  <c r="K1990" i="5"/>
  <c r="X1989" i="5"/>
  <c r="V1989" i="5"/>
  <c r="U1989" i="5"/>
  <c r="T1989" i="5"/>
  <c r="N1989" i="5"/>
  <c r="M1989" i="5"/>
  <c r="L1989" i="5"/>
  <c r="K1989" i="5"/>
  <c r="X1988" i="5"/>
  <c r="V1988" i="5"/>
  <c r="U1988" i="5"/>
  <c r="T1988" i="5"/>
  <c r="N1988" i="5"/>
  <c r="M1988" i="5"/>
  <c r="L1988" i="5"/>
  <c r="K1988" i="5"/>
  <c r="X1987" i="5"/>
  <c r="V1987" i="5"/>
  <c r="U1987" i="5"/>
  <c r="T1987" i="5"/>
  <c r="N1987" i="5"/>
  <c r="M1987" i="5"/>
  <c r="L1987" i="5"/>
  <c r="K1987" i="5"/>
  <c r="X1986" i="5"/>
  <c r="V1986" i="5"/>
  <c r="U1986" i="5"/>
  <c r="T1986" i="5"/>
  <c r="N1986" i="5"/>
  <c r="M1986" i="5"/>
  <c r="L1986" i="5"/>
  <c r="K1986" i="5"/>
  <c r="X1985" i="5"/>
  <c r="V1985" i="5"/>
  <c r="U1985" i="5"/>
  <c r="T1985" i="5"/>
  <c r="N1985" i="5"/>
  <c r="M1985" i="5"/>
  <c r="L1985" i="5"/>
  <c r="K1985" i="5"/>
  <c r="X1984" i="5"/>
  <c r="V1984" i="5"/>
  <c r="U1984" i="5"/>
  <c r="T1984" i="5"/>
  <c r="N1984" i="5"/>
  <c r="M1984" i="5"/>
  <c r="L1984" i="5"/>
  <c r="K1984" i="5"/>
  <c r="X1983" i="5"/>
  <c r="V1983" i="5"/>
  <c r="U1983" i="5"/>
  <c r="T1983" i="5"/>
  <c r="N1983" i="5"/>
  <c r="M1983" i="5"/>
  <c r="L1983" i="5"/>
  <c r="K1983" i="5"/>
  <c r="X1982" i="5"/>
  <c r="V1982" i="5"/>
  <c r="U1982" i="5"/>
  <c r="T1982" i="5"/>
  <c r="N1982" i="5"/>
  <c r="M1982" i="5"/>
  <c r="L1982" i="5"/>
  <c r="K1982" i="5"/>
  <c r="X1981" i="5"/>
  <c r="V1981" i="5"/>
  <c r="U1981" i="5"/>
  <c r="T1981" i="5"/>
  <c r="N1981" i="5"/>
  <c r="M1981" i="5"/>
  <c r="L1981" i="5"/>
  <c r="K1981" i="5"/>
  <c r="X1980" i="5"/>
  <c r="V1980" i="5"/>
  <c r="U1980" i="5"/>
  <c r="T1980" i="5"/>
  <c r="N1980" i="5"/>
  <c r="M1980" i="5"/>
  <c r="L1980" i="5"/>
  <c r="K1980" i="5"/>
  <c r="X1979" i="5"/>
  <c r="V1979" i="5"/>
  <c r="U1979" i="5"/>
  <c r="T1979" i="5"/>
  <c r="N1979" i="5"/>
  <c r="M1979" i="5"/>
  <c r="L1979" i="5"/>
  <c r="K1979" i="5"/>
  <c r="X1978" i="5"/>
  <c r="V1978" i="5"/>
  <c r="U1978" i="5"/>
  <c r="T1978" i="5"/>
  <c r="N1978" i="5"/>
  <c r="M1978" i="5"/>
  <c r="L1978" i="5"/>
  <c r="K1978" i="5"/>
  <c r="X1977" i="5"/>
  <c r="V1977" i="5"/>
  <c r="U1977" i="5"/>
  <c r="T1977" i="5"/>
  <c r="N1977" i="5"/>
  <c r="M1977" i="5"/>
  <c r="L1977" i="5"/>
  <c r="K1977" i="5"/>
  <c r="X1976" i="5"/>
  <c r="V1976" i="5"/>
  <c r="U1976" i="5"/>
  <c r="T1976" i="5"/>
  <c r="N1976" i="5"/>
  <c r="M1976" i="5"/>
  <c r="L1976" i="5"/>
  <c r="K1976" i="5"/>
  <c r="X1975" i="5"/>
  <c r="V1975" i="5"/>
  <c r="U1975" i="5"/>
  <c r="T1975" i="5"/>
  <c r="N1975" i="5"/>
  <c r="M1975" i="5"/>
  <c r="L1975" i="5"/>
  <c r="K1975" i="5"/>
  <c r="X1974" i="5"/>
  <c r="V1974" i="5"/>
  <c r="U1974" i="5"/>
  <c r="T1974" i="5"/>
  <c r="N1974" i="5"/>
  <c r="M1974" i="5"/>
  <c r="L1974" i="5"/>
  <c r="K1974" i="5"/>
  <c r="X1973" i="5"/>
  <c r="V1973" i="5"/>
  <c r="U1973" i="5"/>
  <c r="T1973" i="5"/>
  <c r="N1973" i="5"/>
  <c r="M1973" i="5"/>
  <c r="L1973" i="5"/>
  <c r="K1973" i="5"/>
  <c r="X1972" i="5"/>
  <c r="V1972" i="5"/>
  <c r="U1972" i="5"/>
  <c r="T1972" i="5"/>
  <c r="N1972" i="5"/>
  <c r="M1972" i="5"/>
  <c r="L1972" i="5"/>
  <c r="K1972" i="5"/>
  <c r="X1971" i="5"/>
  <c r="V1971" i="5"/>
  <c r="U1971" i="5"/>
  <c r="T1971" i="5"/>
  <c r="N1971" i="5"/>
  <c r="M1971" i="5"/>
  <c r="L1971" i="5"/>
  <c r="K1971" i="5"/>
  <c r="X1970" i="5"/>
  <c r="V1970" i="5"/>
  <c r="U1970" i="5"/>
  <c r="T1970" i="5"/>
  <c r="N1970" i="5"/>
  <c r="M1970" i="5"/>
  <c r="L1970" i="5"/>
  <c r="K1970" i="5"/>
  <c r="X1969" i="5"/>
  <c r="V1969" i="5"/>
  <c r="U1969" i="5"/>
  <c r="T1969" i="5"/>
  <c r="N1969" i="5"/>
  <c r="M1969" i="5"/>
  <c r="L1969" i="5"/>
  <c r="K1969" i="5"/>
  <c r="X1968" i="5"/>
  <c r="V1968" i="5"/>
  <c r="U1968" i="5"/>
  <c r="T1968" i="5"/>
  <c r="N1968" i="5"/>
  <c r="M1968" i="5"/>
  <c r="L1968" i="5"/>
  <c r="K1968" i="5"/>
  <c r="X1967" i="5"/>
  <c r="W1967" i="5"/>
  <c r="V1967" i="5"/>
  <c r="U1967" i="5"/>
  <c r="T1967" i="5"/>
  <c r="S1967" i="5"/>
  <c r="N1967" i="5"/>
  <c r="M1967" i="5"/>
  <c r="L1967" i="5"/>
  <c r="K1967" i="5"/>
  <c r="X1966" i="5"/>
  <c r="V1966" i="5"/>
  <c r="U1966" i="5"/>
  <c r="T1966" i="5"/>
  <c r="N1966" i="5"/>
  <c r="M1966" i="5"/>
  <c r="L1966" i="5"/>
  <c r="K1966" i="5"/>
  <c r="X1965" i="5"/>
  <c r="V1965" i="5"/>
  <c r="U1965" i="5"/>
  <c r="T1965" i="5"/>
  <c r="N1965" i="5"/>
  <c r="M1965" i="5"/>
  <c r="L1965" i="5"/>
  <c r="K1965" i="5"/>
  <c r="X1964" i="5"/>
  <c r="V1964" i="5"/>
  <c r="U1964" i="5"/>
  <c r="T1964" i="5"/>
  <c r="N1964" i="5"/>
  <c r="M1964" i="5"/>
  <c r="L1964" i="5"/>
  <c r="K1964" i="5"/>
  <c r="X1963" i="5"/>
  <c r="V1963" i="5"/>
  <c r="U1963" i="5"/>
  <c r="T1963" i="5"/>
  <c r="N1963" i="5"/>
  <c r="M1963" i="5"/>
  <c r="L1963" i="5"/>
  <c r="K1963" i="5"/>
  <c r="X1962" i="5"/>
  <c r="V1962" i="5"/>
  <c r="U1962" i="5"/>
  <c r="T1962" i="5"/>
  <c r="N1962" i="5"/>
  <c r="M1962" i="5"/>
  <c r="L1962" i="5"/>
  <c r="K1962" i="5"/>
  <c r="X1961" i="5"/>
  <c r="V1961" i="5"/>
  <c r="U1961" i="5"/>
  <c r="T1961" i="5"/>
  <c r="N1961" i="5"/>
  <c r="M1961" i="5"/>
  <c r="L1961" i="5"/>
  <c r="K1961" i="5"/>
  <c r="X1960" i="5"/>
  <c r="W1960" i="5"/>
  <c r="V1960" i="5"/>
  <c r="U1960" i="5"/>
  <c r="T1960" i="5"/>
  <c r="S1960" i="5"/>
  <c r="N1960" i="5"/>
  <c r="M1960" i="5"/>
  <c r="L1960" i="5"/>
  <c r="K1960" i="5"/>
  <c r="X1959" i="5"/>
  <c r="V1959" i="5"/>
  <c r="U1959" i="5"/>
  <c r="T1959" i="5"/>
  <c r="N1959" i="5"/>
  <c r="M1959" i="5"/>
  <c r="L1959" i="5"/>
  <c r="K1959" i="5"/>
  <c r="X1958" i="5"/>
  <c r="V1958" i="5"/>
  <c r="U1958" i="5"/>
  <c r="T1958" i="5"/>
  <c r="N1958" i="5"/>
  <c r="M1958" i="5"/>
  <c r="L1958" i="5"/>
  <c r="K1958" i="5"/>
  <c r="X1957" i="5"/>
  <c r="W1957" i="5"/>
  <c r="V1957" i="5"/>
  <c r="U1957" i="5"/>
  <c r="T1957" i="5"/>
  <c r="S1957" i="5"/>
  <c r="N1957" i="5"/>
  <c r="M1957" i="5"/>
  <c r="L1957" i="5"/>
  <c r="K1957" i="5"/>
  <c r="X1956" i="5"/>
  <c r="W1956" i="5"/>
  <c r="V1956" i="5"/>
  <c r="U1956" i="5"/>
  <c r="T1956" i="5"/>
  <c r="S1956" i="5"/>
  <c r="N1956" i="5"/>
  <c r="M1956" i="5"/>
  <c r="L1956" i="5"/>
  <c r="K1956" i="5"/>
  <c r="X1955" i="5"/>
  <c r="V1955" i="5"/>
  <c r="U1955" i="5"/>
  <c r="T1955" i="5"/>
  <c r="N1955" i="5"/>
  <c r="M1955" i="5"/>
  <c r="L1955" i="5"/>
  <c r="K1955" i="5"/>
  <c r="X1954" i="5"/>
  <c r="W1954" i="5"/>
  <c r="V1954" i="5"/>
  <c r="U1954" i="5"/>
  <c r="T1954" i="5"/>
  <c r="S1954" i="5"/>
  <c r="N1954" i="5"/>
  <c r="M1954" i="5"/>
  <c r="L1954" i="5"/>
  <c r="K1954" i="5"/>
  <c r="X1953" i="5"/>
  <c r="V1953" i="5"/>
  <c r="U1953" i="5"/>
  <c r="T1953" i="5"/>
  <c r="N1953" i="5"/>
  <c r="M1953" i="5"/>
  <c r="L1953" i="5"/>
  <c r="K1953" i="5"/>
  <c r="X1952" i="5"/>
  <c r="W1952" i="5"/>
  <c r="V1952" i="5"/>
  <c r="U1952" i="5"/>
  <c r="T1952" i="5"/>
  <c r="S1952" i="5"/>
  <c r="N1952" i="5"/>
  <c r="M1952" i="5"/>
  <c r="L1952" i="5"/>
  <c r="K1952" i="5"/>
  <c r="X1951" i="5"/>
  <c r="W1951" i="5"/>
  <c r="V1951" i="5"/>
  <c r="U1951" i="5"/>
  <c r="T1951" i="5"/>
  <c r="S1951" i="5"/>
  <c r="N1951" i="5"/>
  <c r="M1951" i="5"/>
  <c r="L1951" i="5"/>
  <c r="K1951" i="5"/>
  <c r="X1950" i="5"/>
  <c r="W1950" i="5"/>
  <c r="V1950" i="5"/>
  <c r="U1950" i="5"/>
  <c r="T1950" i="5"/>
  <c r="S1950" i="5"/>
  <c r="N1950" i="5"/>
  <c r="M1950" i="5"/>
  <c r="L1950" i="5"/>
  <c r="K1950" i="5"/>
  <c r="X1949" i="5"/>
  <c r="V1949" i="5"/>
  <c r="U1949" i="5"/>
  <c r="T1949" i="5"/>
  <c r="N1949" i="5"/>
  <c r="M1949" i="5"/>
  <c r="L1949" i="5"/>
  <c r="K1949" i="5"/>
  <c r="X1948" i="5"/>
  <c r="W1948" i="5"/>
  <c r="V1948" i="5"/>
  <c r="U1948" i="5"/>
  <c r="T1948" i="5"/>
  <c r="S1948" i="5"/>
  <c r="N1948" i="5"/>
  <c r="M1948" i="5"/>
  <c r="L1948" i="5"/>
  <c r="K1948" i="5"/>
  <c r="X1947" i="5"/>
  <c r="W1947" i="5"/>
  <c r="V1947" i="5"/>
  <c r="U1947" i="5"/>
  <c r="T1947" i="5"/>
  <c r="S1947" i="5"/>
  <c r="N1947" i="5"/>
  <c r="M1947" i="5"/>
  <c r="L1947" i="5"/>
  <c r="K1947" i="5"/>
  <c r="X1946" i="5"/>
  <c r="W1946" i="5"/>
  <c r="V1946" i="5"/>
  <c r="U1946" i="5"/>
  <c r="T1946" i="5"/>
  <c r="S1946" i="5"/>
  <c r="N1946" i="5"/>
  <c r="M1946" i="5"/>
  <c r="L1946" i="5"/>
  <c r="K1946" i="5"/>
  <c r="X1945" i="5"/>
  <c r="W1945" i="5"/>
  <c r="V1945" i="5"/>
  <c r="U1945" i="5"/>
  <c r="T1945" i="5"/>
  <c r="S1945" i="5"/>
  <c r="N1945" i="5"/>
  <c r="M1945" i="5"/>
  <c r="L1945" i="5"/>
  <c r="K1945" i="5"/>
  <c r="X1944" i="5"/>
  <c r="V1944" i="5"/>
  <c r="U1944" i="5"/>
  <c r="T1944" i="5"/>
  <c r="N1944" i="5"/>
  <c r="M1944" i="5"/>
  <c r="L1944" i="5"/>
  <c r="K1944" i="5"/>
  <c r="X1943" i="5"/>
  <c r="W1943" i="5"/>
  <c r="V1943" i="5"/>
  <c r="U1943" i="5"/>
  <c r="T1943" i="5"/>
  <c r="S1943" i="5"/>
  <c r="N1943" i="5"/>
  <c r="M1943" i="5"/>
  <c r="L1943" i="5"/>
  <c r="K1943" i="5"/>
  <c r="X1942" i="5"/>
  <c r="V1942" i="5"/>
  <c r="U1942" i="5"/>
  <c r="T1942" i="5"/>
  <c r="N1942" i="5"/>
  <c r="M1942" i="5"/>
  <c r="L1942" i="5"/>
  <c r="K1942" i="5"/>
  <c r="X1941" i="5"/>
  <c r="W1941" i="5"/>
  <c r="V1941" i="5"/>
  <c r="U1941" i="5"/>
  <c r="T1941" i="5"/>
  <c r="S1941" i="5"/>
  <c r="N1941" i="5"/>
  <c r="M1941" i="5"/>
  <c r="L1941" i="5"/>
  <c r="K1941" i="5"/>
  <c r="X1940" i="5"/>
  <c r="W1940" i="5"/>
  <c r="V1940" i="5"/>
  <c r="U1940" i="5"/>
  <c r="T1940" i="5"/>
  <c r="S1940" i="5"/>
  <c r="N1940" i="5"/>
  <c r="M1940" i="5"/>
  <c r="L1940" i="5"/>
  <c r="K1940" i="5"/>
  <c r="X1939" i="5"/>
  <c r="W1939" i="5"/>
  <c r="V1939" i="5"/>
  <c r="U1939" i="5"/>
  <c r="T1939" i="5"/>
  <c r="S1939" i="5"/>
  <c r="N1939" i="5"/>
  <c r="M1939" i="5"/>
  <c r="L1939" i="5"/>
  <c r="K1939" i="5"/>
  <c r="X1938" i="5"/>
  <c r="W1938" i="5"/>
  <c r="V1938" i="5"/>
  <c r="U1938" i="5"/>
  <c r="T1938" i="5"/>
  <c r="S1938" i="5"/>
  <c r="N1938" i="5"/>
  <c r="M1938" i="5"/>
  <c r="L1938" i="5"/>
  <c r="K1938" i="5"/>
  <c r="X1937" i="5"/>
  <c r="W1937" i="5"/>
  <c r="V1937" i="5"/>
  <c r="U1937" i="5"/>
  <c r="T1937" i="5"/>
  <c r="S1937" i="5"/>
  <c r="N1937" i="5"/>
  <c r="M1937" i="5"/>
  <c r="L1937" i="5"/>
  <c r="K1937" i="5"/>
  <c r="X1936" i="5"/>
  <c r="W1936" i="5"/>
  <c r="V1936" i="5"/>
  <c r="U1936" i="5"/>
  <c r="T1936" i="5"/>
  <c r="S1936" i="5"/>
  <c r="N1936" i="5"/>
  <c r="M1936" i="5"/>
  <c r="L1936" i="5"/>
  <c r="K1936" i="5"/>
  <c r="X1935" i="5"/>
  <c r="W1935" i="5"/>
  <c r="V1935" i="5"/>
  <c r="U1935" i="5"/>
  <c r="T1935" i="5"/>
  <c r="S1935" i="5"/>
  <c r="N1935" i="5"/>
  <c r="M1935" i="5"/>
  <c r="L1935" i="5"/>
  <c r="K1935" i="5"/>
  <c r="X1934" i="5"/>
  <c r="W1934" i="5"/>
  <c r="V1934" i="5"/>
  <c r="U1934" i="5"/>
  <c r="T1934" i="5"/>
  <c r="S1934" i="5"/>
  <c r="N1934" i="5"/>
  <c r="M1934" i="5"/>
  <c r="L1934" i="5"/>
  <c r="K1934" i="5"/>
  <c r="X1933" i="5"/>
  <c r="W1933" i="5"/>
  <c r="V1933" i="5"/>
  <c r="U1933" i="5"/>
  <c r="T1933" i="5"/>
  <c r="S1933" i="5"/>
  <c r="N1933" i="5"/>
  <c r="M1933" i="5"/>
  <c r="L1933" i="5"/>
  <c r="K1933" i="5"/>
  <c r="X1932" i="5"/>
  <c r="W1932" i="5"/>
  <c r="V1932" i="5"/>
  <c r="U1932" i="5"/>
  <c r="T1932" i="5"/>
  <c r="S1932" i="5"/>
  <c r="N1932" i="5"/>
  <c r="M1932" i="5"/>
  <c r="L1932" i="5"/>
  <c r="K1932" i="5"/>
  <c r="X1931" i="5"/>
  <c r="W1931" i="5"/>
  <c r="V1931" i="5"/>
  <c r="U1931" i="5"/>
  <c r="T1931" i="5"/>
  <c r="S1931" i="5"/>
  <c r="N1931" i="5"/>
  <c r="M1931" i="5"/>
  <c r="L1931" i="5"/>
  <c r="K1931" i="5"/>
  <c r="X1930" i="5"/>
  <c r="W1930" i="5"/>
  <c r="V1930" i="5"/>
  <c r="U1930" i="5"/>
  <c r="T1930" i="5"/>
  <c r="S1930" i="5"/>
  <c r="N1930" i="5"/>
  <c r="M1930" i="5"/>
  <c r="L1930" i="5"/>
  <c r="K1930" i="5"/>
  <c r="X1929" i="5"/>
  <c r="W1929" i="5"/>
  <c r="V1929" i="5"/>
  <c r="U1929" i="5"/>
  <c r="T1929" i="5"/>
  <c r="S1929" i="5"/>
  <c r="N1929" i="5"/>
  <c r="M1929" i="5"/>
  <c r="L1929" i="5"/>
  <c r="K1929" i="5"/>
  <c r="X1928" i="5"/>
  <c r="W1928" i="5"/>
  <c r="V1928" i="5"/>
  <c r="U1928" i="5"/>
  <c r="T1928" i="5"/>
  <c r="S1928" i="5"/>
  <c r="N1928" i="5"/>
  <c r="M1928" i="5"/>
  <c r="L1928" i="5"/>
  <c r="K1928" i="5"/>
  <c r="X1927" i="5"/>
  <c r="W1927" i="5"/>
  <c r="V1927" i="5"/>
  <c r="U1927" i="5"/>
  <c r="T1927" i="5"/>
  <c r="S1927" i="5"/>
  <c r="N1927" i="5"/>
  <c r="M1927" i="5"/>
  <c r="L1927" i="5"/>
  <c r="K1927" i="5"/>
  <c r="X1926" i="5"/>
  <c r="W1926" i="5"/>
  <c r="V1926" i="5"/>
  <c r="U1926" i="5"/>
  <c r="T1926" i="5"/>
  <c r="S1926" i="5"/>
  <c r="N1926" i="5"/>
  <c r="M1926" i="5"/>
  <c r="L1926" i="5"/>
  <c r="K1926" i="5"/>
  <c r="X1925" i="5"/>
  <c r="W1925" i="5"/>
  <c r="V1925" i="5"/>
  <c r="U1925" i="5"/>
  <c r="T1925" i="5"/>
  <c r="S1925" i="5"/>
  <c r="N1925" i="5"/>
  <c r="M1925" i="5"/>
  <c r="L1925" i="5"/>
  <c r="K1925" i="5"/>
  <c r="X1924" i="5"/>
  <c r="W1924" i="5"/>
  <c r="V1924" i="5"/>
  <c r="U1924" i="5"/>
  <c r="T1924" i="5"/>
  <c r="S1924" i="5"/>
  <c r="N1924" i="5"/>
  <c r="M1924" i="5"/>
  <c r="L1924" i="5"/>
  <c r="K1924" i="5"/>
  <c r="X1923" i="5"/>
  <c r="W1923" i="5"/>
  <c r="V1923" i="5"/>
  <c r="U1923" i="5"/>
  <c r="T1923" i="5"/>
  <c r="S1923" i="5"/>
  <c r="N1923" i="5"/>
  <c r="M1923" i="5"/>
  <c r="L1923" i="5"/>
  <c r="K1923" i="5"/>
  <c r="X1922" i="5"/>
  <c r="W1922" i="5"/>
  <c r="V1922" i="5"/>
  <c r="U1922" i="5"/>
  <c r="T1922" i="5"/>
  <c r="S1922" i="5"/>
  <c r="N1922" i="5"/>
  <c r="M1922" i="5"/>
  <c r="L1922" i="5"/>
  <c r="K1922" i="5"/>
  <c r="X1921" i="5"/>
  <c r="W1921" i="5"/>
  <c r="V1921" i="5"/>
  <c r="U1921" i="5"/>
  <c r="T1921" i="5"/>
  <c r="S1921" i="5"/>
  <c r="N1921" i="5"/>
  <c r="M1921" i="5"/>
  <c r="L1921" i="5"/>
  <c r="K1921" i="5"/>
  <c r="X1920" i="5"/>
  <c r="W1920" i="5"/>
  <c r="V1920" i="5"/>
  <c r="U1920" i="5"/>
  <c r="T1920" i="5"/>
  <c r="S1920" i="5"/>
  <c r="N1920" i="5"/>
  <c r="M1920" i="5"/>
  <c r="L1920" i="5"/>
  <c r="K1920" i="5"/>
  <c r="X1919" i="5"/>
  <c r="W1919" i="5"/>
  <c r="V1919" i="5"/>
  <c r="U1919" i="5"/>
  <c r="T1919" i="5"/>
  <c r="S1919" i="5"/>
  <c r="N1919" i="5"/>
  <c r="M1919" i="5"/>
  <c r="L1919" i="5"/>
  <c r="K1919" i="5"/>
  <c r="X1918" i="5"/>
  <c r="W1918" i="5"/>
  <c r="V1918" i="5"/>
  <c r="U1918" i="5"/>
  <c r="T1918" i="5"/>
  <c r="S1918" i="5"/>
  <c r="N1918" i="5"/>
  <c r="M1918" i="5"/>
  <c r="L1918" i="5"/>
  <c r="K1918" i="5"/>
  <c r="X1917" i="5"/>
  <c r="W1917" i="5"/>
  <c r="V1917" i="5"/>
  <c r="U1917" i="5"/>
  <c r="T1917" i="5"/>
  <c r="S1917" i="5"/>
  <c r="N1917" i="5"/>
  <c r="M1917" i="5"/>
  <c r="L1917" i="5"/>
  <c r="K1917" i="5"/>
  <c r="X1916" i="5"/>
  <c r="W1916" i="5"/>
  <c r="V1916" i="5"/>
  <c r="U1916" i="5"/>
  <c r="T1916" i="5"/>
  <c r="S1916" i="5"/>
  <c r="N1916" i="5"/>
  <c r="M1916" i="5"/>
  <c r="L1916" i="5"/>
  <c r="K1916" i="5"/>
  <c r="X1915" i="5"/>
  <c r="W1915" i="5"/>
  <c r="V1915" i="5"/>
  <c r="U1915" i="5"/>
  <c r="T1915" i="5"/>
  <c r="S1915" i="5"/>
  <c r="N1915" i="5"/>
  <c r="M1915" i="5"/>
  <c r="L1915" i="5"/>
  <c r="K1915" i="5"/>
  <c r="X1914" i="5"/>
  <c r="W1914" i="5"/>
  <c r="V1914" i="5"/>
  <c r="U1914" i="5"/>
  <c r="T1914" i="5"/>
  <c r="S1914" i="5"/>
  <c r="N1914" i="5"/>
  <c r="M1914" i="5"/>
  <c r="L1914" i="5"/>
  <c r="K1914" i="5"/>
  <c r="X1913" i="5"/>
  <c r="W1913" i="5"/>
  <c r="V1913" i="5"/>
  <c r="U1913" i="5"/>
  <c r="T1913" i="5"/>
  <c r="S1913" i="5"/>
  <c r="N1913" i="5"/>
  <c r="M1913" i="5"/>
  <c r="L1913" i="5"/>
  <c r="K1913" i="5"/>
  <c r="X1912" i="5"/>
  <c r="W1912" i="5"/>
  <c r="V1912" i="5"/>
  <c r="U1912" i="5"/>
  <c r="T1912" i="5"/>
  <c r="S1912" i="5"/>
  <c r="N1912" i="5"/>
  <c r="M1912" i="5"/>
  <c r="L1912" i="5"/>
  <c r="K1912" i="5"/>
  <c r="X1911" i="5"/>
  <c r="W1911" i="5"/>
  <c r="V1911" i="5"/>
  <c r="U1911" i="5"/>
  <c r="T1911" i="5"/>
  <c r="S1911" i="5"/>
  <c r="N1911" i="5"/>
  <c r="M1911" i="5"/>
  <c r="L1911" i="5"/>
  <c r="K1911" i="5"/>
  <c r="X1910" i="5"/>
  <c r="W1910" i="5"/>
  <c r="V1910" i="5"/>
  <c r="U1910" i="5"/>
  <c r="T1910" i="5"/>
  <c r="S1910" i="5"/>
  <c r="N1910" i="5"/>
  <c r="M1910" i="5"/>
  <c r="L1910" i="5"/>
  <c r="K1910" i="5"/>
  <c r="X1909" i="5"/>
  <c r="W1909" i="5"/>
  <c r="V1909" i="5"/>
  <c r="U1909" i="5"/>
  <c r="T1909" i="5"/>
  <c r="S1909" i="5"/>
  <c r="N1909" i="5"/>
  <c r="M1909" i="5"/>
  <c r="L1909" i="5"/>
  <c r="K1909" i="5"/>
  <c r="X1908" i="5"/>
  <c r="W1908" i="5"/>
  <c r="V1908" i="5"/>
  <c r="U1908" i="5"/>
  <c r="T1908" i="5"/>
  <c r="S1908" i="5"/>
  <c r="N1908" i="5"/>
  <c r="M1908" i="5"/>
  <c r="L1908" i="5"/>
  <c r="K1908" i="5"/>
  <c r="X1907" i="5"/>
  <c r="W1907" i="5"/>
  <c r="V1907" i="5"/>
  <c r="U1907" i="5"/>
  <c r="T1907" i="5"/>
  <c r="S1907" i="5"/>
  <c r="N1907" i="5"/>
  <c r="M1907" i="5"/>
  <c r="L1907" i="5"/>
  <c r="K1907" i="5"/>
  <c r="X1906" i="5"/>
  <c r="W1906" i="5"/>
  <c r="V1906" i="5"/>
  <c r="U1906" i="5"/>
  <c r="T1906" i="5"/>
  <c r="S1906" i="5"/>
  <c r="N1906" i="5"/>
  <c r="M1906" i="5"/>
  <c r="L1906" i="5"/>
  <c r="K1906" i="5"/>
  <c r="X1905" i="5"/>
  <c r="W1905" i="5"/>
  <c r="V1905" i="5"/>
  <c r="U1905" i="5"/>
  <c r="T1905" i="5"/>
  <c r="S1905" i="5"/>
  <c r="N1905" i="5"/>
  <c r="M1905" i="5"/>
  <c r="L1905" i="5"/>
  <c r="K1905" i="5"/>
  <c r="X1904" i="5"/>
  <c r="W1904" i="5"/>
  <c r="V1904" i="5"/>
  <c r="U1904" i="5"/>
  <c r="T1904" i="5"/>
  <c r="S1904" i="5"/>
  <c r="N1904" i="5"/>
  <c r="M1904" i="5"/>
  <c r="L1904" i="5"/>
  <c r="K1904" i="5"/>
  <c r="X1903" i="5"/>
  <c r="W1903" i="5"/>
  <c r="V1903" i="5"/>
  <c r="U1903" i="5"/>
  <c r="T1903" i="5"/>
  <c r="S1903" i="5"/>
  <c r="N1903" i="5"/>
  <c r="M1903" i="5"/>
  <c r="L1903" i="5"/>
  <c r="K1903" i="5"/>
  <c r="X1902" i="5"/>
  <c r="W1902" i="5"/>
  <c r="V1902" i="5"/>
  <c r="U1902" i="5"/>
  <c r="T1902" i="5"/>
  <c r="S1902" i="5"/>
  <c r="N1902" i="5"/>
  <c r="M1902" i="5"/>
  <c r="L1902" i="5"/>
  <c r="K1902" i="5"/>
  <c r="X1901" i="5"/>
  <c r="W1901" i="5"/>
  <c r="V1901" i="5"/>
  <c r="U1901" i="5"/>
  <c r="T1901" i="5"/>
  <c r="S1901" i="5"/>
  <c r="N1901" i="5"/>
  <c r="M1901" i="5"/>
  <c r="L1901" i="5"/>
  <c r="K1901" i="5"/>
  <c r="X1900" i="5"/>
  <c r="W1900" i="5"/>
  <c r="V1900" i="5"/>
  <c r="U1900" i="5"/>
  <c r="T1900" i="5"/>
  <c r="S1900" i="5"/>
  <c r="N1900" i="5"/>
  <c r="M1900" i="5"/>
  <c r="L1900" i="5"/>
  <c r="K1900" i="5"/>
  <c r="X1899" i="5"/>
  <c r="W1899" i="5"/>
  <c r="V1899" i="5"/>
  <c r="U1899" i="5"/>
  <c r="T1899" i="5"/>
  <c r="S1899" i="5"/>
  <c r="N1899" i="5"/>
  <c r="M1899" i="5"/>
  <c r="L1899" i="5"/>
  <c r="K1899" i="5"/>
  <c r="X1898" i="5"/>
  <c r="W1898" i="5"/>
  <c r="V1898" i="5"/>
  <c r="U1898" i="5"/>
  <c r="T1898" i="5"/>
  <c r="S1898" i="5"/>
  <c r="N1898" i="5"/>
  <c r="M1898" i="5"/>
  <c r="L1898" i="5"/>
  <c r="K1898" i="5"/>
  <c r="X1897" i="5"/>
  <c r="W1897" i="5"/>
  <c r="V1897" i="5"/>
  <c r="U1897" i="5"/>
  <c r="T1897" i="5"/>
  <c r="S1897" i="5"/>
  <c r="N1897" i="5"/>
  <c r="M1897" i="5"/>
  <c r="L1897" i="5"/>
  <c r="K1897" i="5"/>
  <c r="X1896" i="5"/>
  <c r="W1896" i="5"/>
  <c r="V1896" i="5"/>
  <c r="U1896" i="5"/>
  <c r="T1896" i="5"/>
  <c r="S1896" i="5"/>
  <c r="N1896" i="5"/>
  <c r="M1896" i="5"/>
  <c r="L1896" i="5"/>
  <c r="K1896" i="5"/>
  <c r="X1895" i="5"/>
  <c r="W1895" i="5"/>
  <c r="V1895" i="5"/>
  <c r="U1895" i="5"/>
  <c r="T1895" i="5"/>
  <c r="S1895" i="5"/>
  <c r="N1895" i="5"/>
  <c r="M1895" i="5"/>
  <c r="L1895" i="5"/>
  <c r="K1895" i="5"/>
  <c r="X1894" i="5"/>
  <c r="W1894" i="5"/>
  <c r="V1894" i="5"/>
  <c r="U1894" i="5"/>
  <c r="T1894" i="5"/>
  <c r="S1894" i="5"/>
  <c r="N1894" i="5"/>
  <c r="M1894" i="5"/>
  <c r="L1894" i="5"/>
  <c r="K1894" i="5"/>
  <c r="X1893" i="5"/>
  <c r="W1893" i="5"/>
  <c r="V1893" i="5"/>
  <c r="U1893" i="5"/>
  <c r="T1893" i="5"/>
  <c r="S1893" i="5"/>
  <c r="N1893" i="5"/>
  <c r="M1893" i="5"/>
  <c r="L1893" i="5"/>
  <c r="K1893" i="5"/>
  <c r="X1892" i="5"/>
  <c r="W1892" i="5"/>
  <c r="V1892" i="5"/>
  <c r="U1892" i="5"/>
  <c r="T1892" i="5"/>
  <c r="S1892" i="5"/>
  <c r="N1892" i="5"/>
  <c r="M1892" i="5"/>
  <c r="L1892" i="5"/>
  <c r="K1892" i="5"/>
  <c r="X1891" i="5"/>
  <c r="W1891" i="5"/>
  <c r="V1891" i="5"/>
  <c r="U1891" i="5"/>
  <c r="T1891" i="5"/>
  <c r="S1891" i="5"/>
  <c r="N1891" i="5"/>
  <c r="M1891" i="5"/>
  <c r="L1891" i="5"/>
  <c r="K1891" i="5"/>
  <c r="X1890" i="5"/>
  <c r="W1890" i="5"/>
  <c r="V1890" i="5"/>
  <c r="U1890" i="5"/>
  <c r="T1890" i="5"/>
  <c r="S1890" i="5"/>
  <c r="N1890" i="5"/>
  <c r="M1890" i="5"/>
  <c r="L1890" i="5"/>
  <c r="K1890" i="5"/>
  <c r="X1889" i="5"/>
  <c r="W1889" i="5"/>
  <c r="V1889" i="5"/>
  <c r="U1889" i="5"/>
  <c r="T1889" i="5"/>
  <c r="S1889" i="5"/>
  <c r="N1889" i="5"/>
  <c r="M1889" i="5"/>
  <c r="L1889" i="5"/>
  <c r="K1889" i="5"/>
  <c r="X1888" i="5"/>
  <c r="W1888" i="5"/>
  <c r="V1888" i="5"/>
  <c r="U1888" i="5"/>
  <c r="T1888" i="5"/>
  <c r="S1888" i="5"/>
  <c r="N1888" i="5"/>
  <c r="M1888" i="5"/>
  <c r="L1888" i="5"/>
  <c r="K1888" i="5"/>
  <c r="X1887" i="5"/>
  <c r="W1887" i="5"/>
  <c r="V1887" i="5"/>
  <c r="U1887" i="5"/>
  <c r="T1887" i="5"/>
  <c r="S1887" i="5"/>
  <c r="N1887" i="5"/>
  <c r="M1887" i="5"/>
  <c r="L1887" i="5"/>
  <c r="K1887" i="5"/>
  <c r="X1886" i="5"/>
  <c r="W1886" i="5"/>
  <c r="V1886" i="5"/>
  <c r="U1886" i="5"/>
  <c r="T1886" i="5"/>
  <c r="S1886" i="5"/>
  <c r="N1886" i="5"/>
  <c r="M1886" i="5"/>
  <c r="L1886" i="5"/>
  <c r="K1886" i="5"/>
  <c r="X1885" i="5"/>
  <c r="W1885" i="5"/>
  <c r="V1885" i="5"/>
  <c r="U1885" i="5"/>
  <c r="T1885" i="5"/>
  <c r="S1885" i="5"/>
  <c r="N1885" i="5"/>
  <c r="M1885" i="5"/>
  <c r="L1885" i="5"/>
  <c r="K1885" i="5"/>
  <c r="X1884" i="5"/>
  <c r="W1884" i="5"/>
  <c r="V1884" i="5"/>
  <c r="U1884" i="5"/>
  <c r="T1884" i="5"/>
  <c r="S1884" i="5"/>
  <c r="N1884" i="5"/>
  <c r="M1884" i="5"/>
  <c r="L1884" i="5"/>
  <c r="K1884" i="5"/>
  <c r="X1883" i="5"/>
  <c r="W1883" i="5"/>
  <c r="V1883" i="5"/>
  <c r="U1883" i="5"/>
  <c r="T1883" i="5"/>
  <c r="S1883" i="5"/>
  <c r="N1883" i="5"/>
  <c r="M1883" i="5"/>
  <c r="L1883" i="5"/>
  <c r="K1883" i="5"/>
  <c r="X1882" i="5"/>
  <c r="W1882" i="5"/>
  <c r="V1882" i="5"/>
  <c r="U1882" i="5"/>
  <c r="T1882" i="5"/>
  <c r="S1882" i="5"/>
  <c r="N1882" i="5"/>
  <c r="M1882" i="5"/>
  <c r="L1882" i="5"/>
  <c r="K1882" i="5"/>
  <c r="X1881" i="5"/>
  <c r="W1881" i="5"/>
  <c r="V1881" i="5"/>
  <c r="U1881" i="5"/>
  <c r="T1881" i="5"/>
  <c r="S1881" i="5"/>
  <c r="N1881" i="5"/>
  <c r="M1881" i="5"/>
  <c r="L1881" i="5"/>
  <c r="K1881" i="5"/>
  <c r="X1880" i="5"/>
  <c r="W1880" i="5"/>
  <c r="V1880" i="5"/>
  <c r="U1880" i="5"/>
  <c r="T1880" i="5"/>
  <c r="S1880" i="5"/>
  <c r="N1880" i="5"/>
  <c r="M1880" i="5"/>
  <c r="L1880" i="5"/>
  <c r="K1880" i="5"/>
  <c r="X1879" i="5"/>
  <c r="W1879" i="5"/>
  <c r="V1879" i="5"/>
  <c r="U1879" i="5"/>
  <c r="T1879" i="5"/>
  <c r="S1879" i="5"/>
  <c r="N1879" i="5"/>
  <c r="M1879" i="5"/>
  <c r="L1879" i="5"/>
  <c r="K1879" i="5"/>
  <c r="X1878" i="5"/>
  <c r="W1878" i="5"/>
  <c r="V1878" i="5"/>
  <c r="U1878" i="5"/>
  <c r="T1878" i="5"/>
  <c r="S1878" i="5"/>
  <c r="N1878" i="5"/>
  <c r="M1878" i="5"/>
  <c r="L1878" i="5"/>
  <c r="K1878" i="5"/>
  <c r="X1877" i="5"/>
  <c r="W1877" i="5"/>
  <c r="V1877" i="5"/>
  <c r="U1877" i="5"/>
  <c r="T1877" i="5"/>
  <c r="S1877" i="5"/>
  <c r="N1877" i="5"/>
  <c r="M1877" i="5"/>
  <c r="L1877" i="5"/>
  <c r="K1877" i="5"/>
  <c r="X1876" i="5"/>
  <c r="W1876" i="5"/>
  <c r="V1876" i="5"/>
  <c r="U1876" i="5"/>
  <c r="T1876" i="5"/>
  <c r="S1876" i="5"/>
  <c r="N1876" i="5"/>
  <c r="M1876" i="5"/>
  <c r="L1876" i="5"/>
  <c r="K1876" i="5"/>
  <c r="X1875" i="5"/>
  <c r="W1875" i="5"/>
  <c r="V1875" i="5"/>
  <c r="U1875" i="5"/>
  <c r="T1875" i="5"/>
  <c r="S1875" i="5"/>
  <c r="N1875" i="5"/>
  <c r="M1875" i="5"/>
  <c r="L1875" i="5"/>
  <c r="K1875" i="5"/>
  <c r="X1874" i="5"/>
  <c r="W1874" i="5"/>
  <c r="V1874" i="5"/>
  <c r="U1874" i="5"/>
  <c r="T1874" i="5"/>
  <c r="S1874" i="5"/>
  <c r="N1874" i="5"/>
  <c r="M1874" i="5"/>
  <c r="L1874" i="5"/>
  <c r="K1874" i="5"/>
  <c r="X1873" i="5"/>
  <c r="W1873" i="5"/>
  <c r="V1873" i="5"/>
  <c r="U1873" i="5"/>
  <c r="T1873" i="5"/>
  <c r="S1873" i="5"/>
  <c r="N1873" i="5"/>
  <c r="M1873" i="5"/>
  <c r="L1873" i="5"/>
  <c r="K1873" i="5"/>
  <c r="X1872" i="5"/>
  <c r="W1872" i="5"/>
  <c r="V1872" i="5"/>
  <c r="U1872" i="5"/>
  <c r="T1872" i="5"/>
  <c r="S1872" i="5"/>
  <c r="N1872" i="5"/>
  <c r="M1872" i="5"/>
  <c r="L1872" i="5"/>
  <c r="K1872" i="5"/>
  <c r="X1871" i="5"/>
  <c r="W1871" i="5"/>
  <c r="V1871" i="5"/>
  <c r="U1871" i="5"/>
  <c r="T1871" i="5"/>
  <c r="S1871" i="5"/>
  <c r="N1871" i="5"/>
  <c r="M1871" i="5"/>
  <c r="L1871" i="5"/>
  <c r="K1871" i="5"/>
  <c r="X1870" i="5"/>
  <c r="W1870" i="5"/>
  <c r="V1870" i="5"/>
  <c r="U1870" i="5"/>
  <c r="T1870" i="5"/>
  <c r="S1870" i="5"/>
  <c r="N1870" i="5"/>
  <c r="M1870" i="5"/>
  <c r="L1870" i="5"/>
  <c r="K1870" i="5"/>
  <c r="X1869" i="5"/>
  <c r="W1869" i="5"/>
  <c r="V1869" i="5"/>
  <c r="U1869" i="5"/>
  <c r="T1869" i="5"/>
  <c r="S1869" i="5"/>
  <c r="N1869" i="5"/>
  <c r="M1869" i="5"/>
  <c r="L1869" i="5"/>
  <c r="K1869" i="5"/>
  <c r="X1868" i="5"/>
  <c r="W1868" i="5"/>
  <c r="V1868" i="5"/>
  <c r="U1868" i="5"/>
  <c r="T1868" i="5"/>
  <c r="S1868" i="5"/>
  <c r="N1868" i="5"/>
  <c r="M1868" i="5"/>
  <c r="L1868" i="5"/>
  <c r="K1868" i="5"/>
  <c r="X1867" i="5"/>
  <c r="W1867" i="5"/>
  <c r="V1867" i="5"/>
  <c r="U1867" i="5"/>
  <c r="T1867" i="5"/>
  <c r="S1867" i="5"/>
  <c r="N1867" i="5"/>
  <c r="M1867" i="5"/>
  <c r="L1867" i="5"/>
  <c r="K1867" i="5"/>
  <c r="X1866" i="5"/>
  <c r="W1866" i="5"/>
  <c r="V1866" i="5"/>
  <c r="U1866" i="5"/>
  <c r="T1866" i="5"/>
  <c r="S1866" i="5"/>
  <c r="N1866" i="5"/>
  <c r="M1866" i="5"/>
  <c r="L1866" i="5"/>
  <c r="K1866" i="5"/>
  <c r="X1865" i="5"/>
  <c r="W1865" i="5"/>
  <c r="V1865" i="5"/>
  <c r="U1865" i="5"/>
  <c r="T1865" i="5"/>
  <c r="S1865" i="5"/>
  <c r="N1865" i="5"/>
  <c r="M1865" i="5"/>
  <c r="L1865" i="5"/>
  <c r="K1865" i="5"/>
  <c r="X1864" i="5"/>
  <c r="W1864" i="5"/>
  <c r="V1864" i="5"/>
  <c r="U1864" i="5"/>
  <c r="T1864" i="5"/>
  <c r="S1864" i="5"/>
  <c r="N1864" i="5"/>
  <c r="M1864" i="5"/>
  <c r="L1864" i="5"/>
  <c r="K1864" i="5"/>
  <c r="X1863" i="5"/>
  <c r="W1863" i="5"/>
  <c r="V1863" i="5"/>
  <c r="U1863" i="5"/>
  <c r="T1863" i="5"/>
  <c r="S1863" i="5"/>
  <c r="N1863" i="5"/>
  <c r="M1863" i="5"/>
  <c r="L1863" i="5"/>
  <c r="K1863" i="5"/>
  <c r="X1862" i="5"/>
  <c r="W1862" i="5"/>
  <c r="V1862" i="5"/>
  <c r="U1862" i="5"/>
  <c r="T1862" i="5"/>
  <c r="S1862" i="5"/>
  <c r="N1862" i="5"/>
  <c r="M1862" i="5"/>
  <c r="L1862" i="5"/>
  <c r="K1862" i="5"/>
  <c r="X1861" i="5"/>
  <c r="W1861" i="5"/>
  <c r="V1861" i="5"/>
  <c r="U1861" i="5"/>
  <c r="T1861" i="5"/>
  <c r="S1861" i="5"/>
  <c r="N1861" i="5"/>
  <c r="M1861" i="5"/>
  <c r="L1861" i="5"/>
  <c r="K1861" i="5"/>
  <c r="X1860" i="5"/>
  <c r="W1860" i="5"/>
  <c r="V1860" i="5"/>
  <c r="U1860" i="5"/>
  <c r="T1860" i="5"/>
  <c r="S1860" i="5"/>
  <c r="N1860" i="5"/>
  <c r="M1860" i="5"/>
  <c r="L1860" i="5"/>
  <c r="K1860" i="5"/>
  <c r="X1859" i="5"/>
  <c r="W1859" i="5"/>
  <c r="V1859" i="5"/>
  <c r="U1859" i="5"/>
  <c r="T1859" i="5"/>
  <c r="S1859" i="5"/>
  <c r="N1859" i="5"/>
  <c r="M1859" i="5"/>
  <c r="L1859" i="5"/>
  <c r="K1859" i="5"/>
  <c r="X1858" i="5"/>
  <c r="W1858" i="5"/>
  <c r="V1858" i="5"/>
  <c r="U1858" i="5"/>
  <c r="T1858" i="5"/>
  <c r="S1858" i="5"/>
  <c r="N1858" i="5"/>
  <c r="M1858" i="5"/>
  <c r="L1858" i="5"/>
  <c r="K1858" i="5"/>
  <c r="X1857" i="5"/>
  <c r="W1857" i="5"/>
  <c r="V1857" i="5"/>
  <c r="U1857" i="5"/>
  <c r="T1857" i="5"/>
  <c r="S1857" i="5"/>
  <c r="N1857" i="5"/>
  <c r="M1857" i="5"/>
  <c r="L1857" i="5"/>
  <c r="K1857" i="5"/>
  <c r="X1856" i="5"/>
  <c r="W1856" i="5"/>
  <c r="V1856" i="5"/>
  <c r="U1856" i="5"/>
  <c r="T1856" i="5"/>
  <c r="S1856" i="5"/>
  <c r="N1856" i="5"/>
  <c r="M1856" i="5"/>
  <c r="L1856" i="5"/>
  <c r="K1856" i="5"/>
  <c r="X1855" i="5"/>
  <c r="W1855" i="5"/>
  <c r="V1855" i="5"/>
  <c r="U1855" i="5"/>
  <c r="T1855" i="5"/>
  <c r="S1855" i="5"/>
  <c r="N1855" i="5"/>
  <c r="M1855" i="5"/>
  <c r="L1855" i="5"/>
  <c r="K1855" i="5"/>
  <c r="X1854" i="5"/>
  <c r="W1854" i="5"/>
  <c r="V1854" i="5"/>
  <c r="U1854" i="5"/>
  <c r="T1854" i="5"/>
  <c r="S1854" i="5"/>
  <c r="N1854" i="5"/>
  <c r="M1854" i="5"/>
  <c r="L1854" i="5"/>
  <c r="K1854" i="5"/>
  <c r="X1853" i="5"/>
  <c r="W1853" i="5"/>
  <c r="V1853" i="5"/>
  <c r="U1853" i="5"/>
  <c r="T1853" i="5"/>
  <c r="S1853" i="5"/>
  <c r="N1853" i="5"/>
  <c r="M1853" i="5"/>
  <c r="L1853" i="5"/>
  <c r="K1853" i="5"/>
  <c r="X1852" i="5"/>
  <c r="W1852" i="5"/>
  <c r="V1852" i="5"/>
  <c r="U1852" i="5"/>
  <c r="T1852" i="5"/>
  <c r="S1852" i="5"/>
  <c r="N1852" i="5"/>
  <c r="M1852" i="5"/>
  <c r="L1852" i="5"/>
  <c r="K1852" i="5"/>
  <c r="X1851" i="5"/>
  <c r="W1851" i="5"/>
  <c r="V1851" i="5"/>
  <c r="U1851" i="5"/>
  <c r="T1851" i="5"/>
  <c r="S1851" i="5"/>
  <c r="N1851" i="5"/>
  <c r="M1851" i="5"/>
  <c r="L1851" i="5"/>
  <c r="K1851" i="5"/>
  <c r="X1850" i="5"/>
  <c r="W1850" i="5"/>
  <c r="V1850" i="5"/>
  <c r="U1850" i="5"/>
  <c r="T1850" i="5"/>
  <c r="S1850" i="5"/>
  <c r="N1850" i="5"/>
  <c r="M1850" i="5"/>
  <c r="L1850" i="5"/>
  <c r="K1850" i="5"/>
  <c r="X1849" i="5"/>
  <c r="W1849" i="5"/>
  <c r="V1849" i="5"/>
  <c r="U1849" i="5"/>
  <c r="T1849" i="5"/>
  <c r="S1849" i="5"/>
  <c r="N1849" i="5"/>
  <c r="M1849" i="5"/>
  <c r="L1849" i="5"/>
  <c r="K1849" i="5"/>
  <c r="X1848" i="5"/>
  <c r="W1848" i="5"/>
  <c r="V1848" i="5"/>
  <c r="U1848" i="5"/>
  <c r="T1848" i="5"/>
  <c r="S1848" i="5"/>
  <c r="N1848" i="5"/>
  <c r="M1848" i="5"/>
  <c r="L1848" i="5"/>
  <c r="K1848" i="5"/>
  <c r="X1847" i="5"/>
  <c r="W1847" i="5"/>
  <c r="V1847" i="5"/>
  <c r="U1847" i="5"/>
  <c r="T1847" i="5"/>
  <c r="S1847" i="5"/>
  <c r="N1847" i="5"/>
  <c r="M1847" i="5"/>
  <c r="L1847" i="5"/>
  <c r="K1847" i="5"/>
  <c r="X1846" i="5"/>
  <c r="W1846" i="5"/>
  <c r="V1846" i="5"/>
  <c r="U1846" i="5"/>
  <c r="T1846" i="5"/>
  <c r="S1846" i="5"/>
  <c r="N1846" i="5"/>
  <c r="M1846" i="5"/>
  <c r="L1846" i="5"/>
  <c r="K1846" i="5"/>
  <c r="X1845" i="5"/>
  <c r="W1845" i="5"/>
  <c r="V1845" i="5"/>
  <c r="U1845" i="5"/>
  <c r="T1845" i="5"/>
  <c r="S1845" i="5"/>
  <c r="N1845" i="5"/>
  <c r="M1845" i="5"/>
  <c r="L1845" i="5"/>
  <c r="K1845" i="5"/>
  <c r="X1844" i="5"/>
  <c r="W1844" i="5"/>
  <c r="V1844" i="5"/>
  <c r="U1844" i="5"/>
  <c r="T1844" i="5"/>
  <c r="S1844" i="5"/>
  <c r="N1844" i="5"/>
  <c r="M1844" i="5"/>
  <c r="L1844" i="5"/>
  <c r="K1844" i="5"/>
  <c r="X1843" i="5"/>
  <c r="W1843" i="5"/>
  <c r="V1843" i="5"/>
  <c r="U1843" i="5"/>
  <c r="T1843" i="5"/>
  <c r="S1843" i="5"/>
  <c r="N1843" i="5"/>
  <c r="M1843" i="5"/>
  <c r="L1843" i="5"/>
  <c r="K1843" i="5"/>
  <c r="X1842" i="5"/>
  <c r="W1842" i="5"/>
  <c r="V1842" i="5"/>
  <c r="U1842" i="5"/>
  <c r="T1842" i="5"/>
  <c r="S1842" i="5"/>
  <c r="N1842" i="5"/>
  <c r="M1842" i="5"/>
  <c r="L1842" i="5"/>
  <c r="K1842" i="5"/>
  <c r="X1841" i="5"/>
  <c r="W1841" i="5"/>
  <c r="V1841" i="5"/>
  <c r="U1841" i="5"/>
  <c r="T1841" i="5"/>
  <c r="S1841" i="5"/>
  <c r="N1841" i="5"/>
  <c r="M1841" i="5"/>
  <c r="L1841" i="5"/>
  <c r="K1841" i="5"/>
  <c r="X1840" i="5"/>
  <c r="W1840" i="5"/>
  <c r="V1840" i="5"/>
  <c r="U1840" i="5"/>
  <c r="T1840" i="5"/>
  <c r="S1840" i="5"/>
  <c r="N1840" i="5"/>
  <c r="M1840" i="5"/>
  <c r="L1840" i="5"/>
  <c r="K1840" i="5"/>
  <c r="X1839" i="5"/>
  <c r="W1839" i="5"/>
  <c r="V1839" i="5"/>
  <c r="U1839" i="5"/>
  <c r="T1839" i="5"/>
  <c r="S1839" i="5"/>
  <c r="N1839" i="5"/>
  <c r="M1839" i="5"/>
  <c r="L1839" i="5"/>
  <c r="K1839" i="5"/>
  <c r="X1838" i="5"/>
  <c r="W1838" i="5"/>
  <c r="V1838" i="5"/>
  <c r="U1838" i="5"/>
  <c r="T1838" i="5"/>
  <c r="S1838" i="5"/>
  <c r="N1838" i="5"/>
  <c r="M1838" i="5"/>
  <c r="L1838" i="5"/>
  <c r="K1838" i="5"/>
  <c r="X1837" i="5"/>
  <c r="W1837" i="5"/>
  <c r="V1837" i="5"/>
  <c r="U1837" i="5"/>
  <c r="T1837" i="5"/>
  <c r="S1837" i="5"/>
  <c r="N1837" i="5"/>
  <c r="M1837" i="5"/>
  <c r="L1837" i="5"/>
  <c r="K1837" i="5"/>
  <c r="X1836" i="5"/>
  <c r="W1836" i="5"/>
  <c r="V1836" i="5"/>
  <c r="U1836" i="5"/>
  <c r="T1836" i="5"/>
  <c r="S1836" i="5"/>
  <c r="N1836" i="5"/>
  <c r="M1836" i="5"/>
  <c r="L1836" i="5"/>
  <c r="K1836" i="5"/>
  <c r="X1835" i="5"/>
  <c r="W1835" i="5"/>
  <c r="V1835" i="5"/>
  <c r="U1835" i="5"/>
  <c r="T1835" i="5"/>
  <c r="S1835" i="5"/>
  <c r="N1835" i="5"/>
  <c r="M1835" i="5"/>
  <c r="L1835" i="5"/>
  <c r="K1835" i="5"/>
  <c r="X1834" i="5"/>
  <c r="W1834" i="5"/>
  <c r="V1834" i="5"/>
  <c r="U1834" i="5"/>
  <c r="T1834" i="5"/>
  <c r="S1834" i="5"/>
  <c r="N1834" i="5"/>
  <c r="M1834" i="5"/>
  <c r="L1834" i="5"/>
  <c r="K1834" i="5"/>
  <c r="X1833" i="5"/>
  <c r="W1833" i="5"/>
  <c r="V1833" i="5"/>
  <c r="U1833" i="5"/>
  <c r="T1833" i="5"/>
  <c r="S1833" i="5"/>
  <c r="N1833" i="5"/>
  <c r="M1833" i="5"/>
  <c r="L1833" i="5"/>
  <c r="K1833" i="5"/>
  <c r="X1832" i="5"/>
  <c r="W1832" i="5"/>
  <c r="V1832" i="5"/>
  <c r="U1832" i="5"/>
  <c r="T1832" i="5"/>
  <c r="S1832" i="5"/>
  <c r="N1832" i="5"/>
  <c r="M1832" i="5"/>
  <c r="L1832" i="5"/>
  <c r="K1832" i="5"/>
  <c r="X1831" i="5"/>
  <c r="W1831" i="5"/>
  <c r="V1831" i="5"/>
  <c r="U1831" i="5"/>
  <c r="T1831" i="5"/>
  <c r="S1831" i="5"/>
  <c r="N1831" i="5"/>
  <c r="M1831" i="5"/>
  <c r="L1831" i="5"/>
  <c r="K1831" i="5"/>
  <c r="X1830" i="5"/>
  <c r="W1830" i="5"/>
  <c r="V1830" i="5"/>
  <c r="U1830" i="5"/>
  <c r="T1830" i="5"/>
  <c r="S1830" i="5"/>
  <c r="N1830" i="5"/>
  <c r="M1830" i="5"/>
  <c r="L1830" i="5"/>
  <c r="K1830" i="5"/>
  <c r="X1829" i="5"/>
  <c r="W1829" i="5"/>
  <c r="V1829" i="5"/>
  <c r="U1829" i="5"/>
  <c r="T1829" i="5"/>
  <c r="S1829" i="5"/>
  <c r="N1829" i="5"/>
  <c r="M1829" i="5"/>
  <c r="L1829" i="5"/>
  <c r="K1829" i="5"/>
  <c r="X1828" i="5"/>
  <c r="W1828" i="5"/>
  <c r="V1828" i="5"/>
  <c r="U1828" i="5"/>
  <c r="T1828" i="5"/>
  <c r="S1828" i="5"/>
  <c r="N1828" i="5"/>
  <c r="M1828" i="5"/>
  <c r="L1828" i="5"/>
  <c r="K1828" i="5"/>
  <c r="X1827" i="5"/>
  <c r="W1827" i="5"/>
  <c r="V1827" i="5"/>
  <c r="U1827" i="5"/>
  <c r="T1827" i="5"/>
  <c r="S1827" i="5"/>
  <c r="N1827" i="5"/>
  <c r="M1827" i="5"/>
  <c r="L1827" i="5"/>
  <c r="K1827" i="5"/>
  <c r="X1826" i="5"/>
  <c r="W1826" i="5"/>
  <c r="V1826" i="5"/>
  <c r="U1826" i="5"/>
  <c r="T1826" i="5"/>
  <c r="S1826" i="5"/>
  <c r="N1826" i="5"/>
  <c r="M1826" i="5"/>
  <c r="L1826" i="5"/>
  <c r="K1826" i="5"/>
  <c r="X1825" i="5"/>
  <c r="W1825" i="5"/>
  <c r="V1825" i="5"/>
  <c r="U1825" i="5"/>
  <c r="T1825" i="5"/>
  <c r="S1825" i="5"/>
  <c r="N1825" i="5"/>
  <c r="M1825" i="5"/>
  <c r="L1825" i="5"/>
  <c r="K1825" i="5"/>
  <c r="X1824" i="5"/>
  <c r="W1824" i="5"/>
  <c r="V1824" i="5"/>
  <c r="U1824" i="5"/>
  <c r="T1824" i="5"/>
  <c r="S1824" i="5"/>
  <c r="N1824" i="5"/>
  <c r="M1824" i="5"/>
  <c r="L1824" i="5"/>
  <c r="K1824" i="5"/>
  <c r="X1823" i="5"/>
  <c r="W1823" i="5"/>
  <c r="V1823" i="5"/>
  <c r="U1823" i="5"/>
  <c r="T1823" i="5"/>
  <c r="S1823" i="5"/>
  <c r="N1823" i="5"/>
  <c r="M1823" i="5"/>
  <c r="L1823" i="5"/>
  <c r="K1823" i="5"/>
  <c r="X1822" i="5"/>
  <c r="W1822" i="5"/>
  <c r="V1822" i="5"/>
  <c r="U1822" i="5"/>
  <c r="T1822" i="5"/>
  <c r="S1822" i="5"/>
  <c r="N1822" i="5"/>
  <c r="M1822" i="5"/>
  <c r="L1822" i="5"/>
  <c r="K1822" i="5"/>
  <c r="X1821" i="5"/>
  <c r="W1821" i="5"/>
  <c r="V1821" i="5"/>
  <c r="U1821" i="5"/>
  <c r="T1821" i="5"/>
  <c r="S1821" i="5"/>
  <c r="N1821" i="5"/>
  <c r="M1821" i="5"/>
  <c r="L1821" i="5"/>
  <c r="K1821" i="5"/>
  <c r="X1820" i="5"/>
  <c r="W1820" i="5"/>
  <c r="V1820" i="5"/>
  <c r="U1820" i="5"/>
  <c r="T1820" i="5"/>
  <c r="S1820" i="5"/>
  <c r="N1820" i="5"/>
  <c r="M1820" i="5"/>
  <c r="L1820" i="5"/>
  <c r="K1820" i="5"/>
  <c r="X1819" i="5"/>
  <c r="W1819" i="5"/>
  <c r="V1819" i="5"/>
  <c r="U1819" i="5"/>
  <c r="T1819" i="5"/>
  <c r="S1819" i="5"/>
  <c r="N1819" i="5"/>
  <c r="M1819" i="5"/>
  <c r="L1819" i="5"/>
  <c r="K1819" i="5"/>
  <c r="X1818" i="5"/>
  <c r="W1818" i="5"/>
  <c r="V1818" i="5"/>
  <c r="U1818" i="5"/>
  <c r="T1818" i="5"/>
  <c r="S1818" i="5"/>
  <c r="N1818" i="5"/>
  <c r="M1818" i="5"/>
  <c r="L1818" i="5"/>
  <c r="K1818" i="5"/>
  <c r="X1817" i="5"/>
  <c r="W1817" i="5"/>
  <c r="V1817" i="5"/>
  <c r="U1817" i="5"/>
  <c r="T1817" i="5"/>
  <c r="S1817" i="5"/>
  <c r="N1817" i="5"/>
  <c r="M1817" i="5"/>
  <c r="L1817" i="5"/>
  <c r="K1817" i="5"/>
  <c r="X1816" i="5"/>
  <c r="W1816" i="5"/>
  <c r="V1816" i="5"/>
  <c r="U1816" i="5"/>
  <c r="T1816" i="5"/>
  <c r="S1816" i="5"/>
  <c r="N1816" i="5"/>
  <c r="M1816" i="5"/>
  <c r="L1816" i="5"/>
  <c r="K1816" i="5"/>
  <c r="X1815" i="5"/>
  <c r="W1815" i="5"/>
  <c r="V1815" i="5"/>
  <c r="U1815" i="5"/>
  <c r="T1815" i="5"/>
  <c r="S1815" i="5"/>
  <c r="N1815" i="5"/>
  <c r="M1815" i="5"/>
  <c r="L1815" i="5"/>
  <c r="K1815" i="5"/>
  <c r="X1814" i="5"/>
  <c r="W1814" i="5"/>
  <c r="V1814" i="5"/>
  <c r="U1814" i="5"/>
  <c r="T1814" i="5"/>
  <c r="S1814" i="5"/>
  <c r="N1814" i="5"/>
  <c r="M1814" i="5"/>
  <c r="L1814" i="5"/>
  <c r="K1814" i="5"/>
  <c r="X1813" i="5"/>
  <c r="W1813" i="5"/>
  <c r="V1813" i="5"/>
  <c r="U1813" i="5"/>
  <c r="T1813" i="5"/>
  <c r="S1813" i="5"/>
  <c r="N1813" i="5"/>
  <c r="M1813" i="5"/>
  <c r="L1813" i="5"/>
  <c r="K1813" i="5"/>
  <c r="X1812" i="5"/>
  <c r="W1812" i="5"/>
  <c r="V1812" i="5"/>
  <c r="U1812" i="5"/>
  <c r="T1812" i="5"/>
  <c r="S1812" i="5"/>
  <c r="N1812" i="5"/>
  <c r="M1812" i="5"/>
  <c r="L1812" i="5"/>
  <c r="K1812" i="5"/>
  <c r="X1811" i="5"/>
  <c r="W1811" i="5"/>
  <c r="V1811" i="5"/>
  <c r="U1811" i="5"/>
  <c r="T1811" i="5"/>
  <c r="S1811" i="5"/>
  <c r="N1811" i="5"/>
  <c r="M1811" i="5"/>
  <c r="L1811" i="5"/>
  <c r="K1811" i="5"/>
  <c r="X1810" i="5"/>
  <c r="W1810" i="5"/>
  <c r="V1810" i="5"/>
  <c r="U1810" i="5"/>
  <c r="T1810" i="5"/>
  <c r="S1810" i="5"/>
  <c r="N1810" i="5"/>
  <c r="M1810" i="5"/>
  <c r="L1810" i="5"/>
  <c r="K1810" i="5"/>
  <c r="X1809" i="5"/>
  <c r="W1809" i="5"/>
  <c r="V1809" i="5"/>
  <c r="U1809" i="5"/>
  <c r="T1809" i="5"/>
  <c r="S1809" i="5"/>
  <c r="N1809" i="5"/>
  <c r="M1809" i="5"/>
  <c r="L1809" i="5"/>
  <c r="K1809" i="5"/>
  <c r="X1808" i="5"/>
  <c r="W1808" i="5"/>
  <c r="V1808" i="5"/>
  <c r="U1808" i="5"/>
  <c r="T1808" i="5"/>
  <c r="S1808" i="5"/>
  <c r="N1808" i="5"/>
  <c r="M1808" i="5"/>
  <c r="L1808" i="5"/>
  <c r="K1808" i="5"/>
  <c r="X1807" i="5"/>
  <c r="W1807" i="5"/>
  <c r="V1807" i="5"/>
  <c r="U1807" i="5"/>
  <c r="T1807" i="5"/>
  <c r="S1807" i="5"/>
  <c r="N1807" i="5"/>
  <c r="M1807" i="5"/>
  <c r="L1807" i="5"/>
  <c r="K1807" i="5"/>
  <c r="X1806" i="5"/>
  <c r="W1806" i="5"/>
  <c r="V1806" i="5"/>
  <c r="U1806" i="5"/>
  <c r="T1806" i="5"/>
  <c r="S1806" i="5"/>
  <c r="N1806" i="5"/>
  <c r="M1806" i="5"/>
  <c r="L1806" i="5"/>
  <c r="K1806" i="5"/>
  <c r="X1805" i="5"/>
  <c r="W1805" i="5"/>
  <c r="V1805" i="5"/>
  <c r="U1805" i="5"/>
  <c r="T1805" i="5"/>
  <c r="S1805" i="5"/>
  <c r="N1805" i="5"/>
  <c r="M1805" i="5"/>
  <c r="L1805" i="5"/>
  <c r="K1805" i="5"/>
  <c r="X1804" i="5"/>
  <c r="W1804" i="5"/>
  <c r="V1804" i="5"/>
  <c r="U1804" i="5"/>
  <c r="T1804" i="5"/>
  <c r="S1804" i="5"/>
  <c r="N1804" i="5"/>
  <c r="M1804" i="5"/>
  <c r="L1804" i="5"/>
  <c r="K1804" i="5"/>
  <c r="X1803" i="5"/>
  <c r="W1803" i="5"/>
  <c r="V1803" i="5"/>
  <c r="U1803" i="5"/>
  <c r="T1803" i="5"/>
  <c r="S1803" i="5"/>
  <c r="N1803" i="5"/>
  <c r="M1803" i="5"/>
  <c r="L1803" i="5"/>
  <c r="K1803" i="5"/>
  <c r="X1802" i="5"/>
  <c r="W1802" i="5"/>
  <c r="V1802" i="5"/>
  <c r="U1802" i="5"/>
  <c r="T1802" i="5"/>
  <c r="S1802" i="5"/>
  <c r="N1802" i="5"/>
  <c r="M1802" i="5"/>
  <c r="L1802" i="5"/>
  <c r="K1802" i="5"/>
  <c r="X1801" i="5"/>
  <c r="W1801" i="5"/>
  <c r="V1801" i="5"/>
  <c r="U1801" i="5"/>
  <c r="T1801" i="5"/>
  <c r="S1801" i="5"/>
  <c r="N1801" i="5"/>
  <c r="M1801" i="5"/>
  <c r="L1801" i="5"/>
  <c r="K1801" i="5"/>
  <c r="X1800" i="5"/>
  <c r="W1800" i="5"/>
  <c r="V1800" i="5"/>
  <c r="U1800" i="5"/>
  <c r="T1800" i="5"/>
  <c r="S1800" i="5"/>
  <c r="N1800" i="5"/>
  <c r="M1800" i="5"/>
  <c r="L1800" i="5"/>
  <c r="K1800" i="5"/>
  <c r="X1799" i="5"/>
  <c r="W1799" i="5"/>
  <c r="V1799" i="5"/>
  <c r="U1799" i="5"/>
  <c r="T1799" i="5"/>
  <c r="S1799" i="5"/>
  <c r="N1799" i="5"/>
  <c r="M1799" i="5"/>
  <c r="L1799" i="5"/>
  <c r="K1799" i="5"/>
  <c r="X1798" i="5"/>
  <c r="W1798" i="5"/>
  <c r="V1798" i="5"/>
  <c r="U1798" i="5"/>
  <c r="T1798" i="5"/>
  <c r="S1798" i="5"/>
  <c r="N1798" i="5"/>
  <c r="M1798" i="5"/>
  <c r="L1798" i="5"/>
  <c r="K1798" i="5"/>
  <c r="X1797" i="5"/>
  <c r="W1797" i="5"/>
  <c r="V1797" i="5"/>
  <c r="U1797" i="5"/>
  <c r="T1797" i="5"/>
  <c r="S1797" i="5"/>
  <c r="N1797" i="5"/>
  <c r="M1797" i="5"/>
  <c r="L1797" i="5"/>
  <c r="K1797" i="5"/>
  <c r="X1796" i="5"/>
  <c r="W1796" i="5"/>
  <c r="V1796" i="5"/>
  <c r="U1796" i="5"/>
  <c r="T1796" i="5"/>
  <c r="S1796" i="5"/>
  <c r="N1796" i="5"/>
  <c r="M1796" i="5"/>
  <c r="L1796" i="5"/>
  <c r="K1796" i="5"/>
  <c r="X1795" i="5"/>
  <c r="W1795" i="5"/>
  <c r="V1795" i="5"/>
  <c r="U1795" i="5"/>
  <c r="T1795" i="5"/>
  <c r="S1795" i="5"/>
  <c r="N1795" i="5"/>
  <c r="M1795" i="5"/>
  <c r="L1795" i="5"/>
  <c r="K1795" i="5"/>
  <c r="X1794" i="5"/>
  <c r="W1794" i="5"/>
  <c r="V1794" i="5"/>
  <c r="U1794" i="5"/>
  <c r="T1794" i="5"/>
  <c r="S1794" i="5"/>
  <c r="N1794" i="5"/>
  <c r="M1794" i="5"/>
  <c r="L1794" i="5"/>
  <c r="K1794" i="5"/>
  <c r="X1793" i="5"/>
  <c r="W1793" i="5"/>
  <c r="V1793" i="5"/>
  <c r="U1793" i="5"/>
  <c r="T1793" i="5"/>
  <c r="S1793" i="5"/>
  <c r="N1793" i="5"/>
  <c r="M1793" i="5"/>
  <c r="L1793" i="5"/>
  <c r="K1793" i="5"/>
  <c r="X1792" i="5"/>
  <c r="W1792" i="5"/>
  <c r="V1792" i="5"/>
  <c r="U1792" i="5"/>
  <c r="T1792" i="5"/>
  <c r="S1792" i="5"/>
  <c r="N1792" i="5"/>
  <c r="M1792" i="5"/>
  <c r="L1792" i="5"/>
  <c r="K1792" i="5"/>
  <c r="X1791" i="5"/>
  <c r="W1791" i="5"/>
  <c r="V1791" i="5"/>
  <c r="U1791" i="5"/>
  <c r="T1791" i="5"/>
  <c r="S1791" i="5"/>
  <c r="N1791" i="5"/>
  <c r="M1791" i="5"/>
  <c r="L1791" i="5"/>
  <c r="K1791" i="5"/>
  <c r="X1790" i="5"/>
  <c r="W1790" i="5"/>
  <c r="V1790" i="5"/>
  <c r="U1790" i="5"/>
  <c r="T1790" i="5"/>
  <c r="S1790" i="5"/>
  <c r="N1790" i="5"/>
  <c r="M1790" i="5"/>
  <c r="L1790" i="5"/>
  <c r="K1790" i="5"/>
  <c r="X1789" i="5"/>
  <c r="W1789" i="5"/>
  <c r="V1789" i="5"/>
  <c r="U1789" i="5"/>
  <c r="T1789" i="5"/>
  <c r="S1789" i="5"/>
  <c r="N1789" i="5"/>
  <c r="M1789" i="5"/>
  <c r="L1789" i="5"/>
  <c r="K1789" i="5"/>
  <c r="X1788" i="5"/>
  <c r="W1788" i="5"/>
  <c r="V1788" i="5"/>
  <c r="U1788" i="5"/>
  <c r="T1788" i="5"/>
  <c r="S1788" i="5"/>
  <c r="N1788" i="5"/>
  <c r="M1788" i="5"/>
  <c r="L1788" i="5"/>
  <c r="K1788" i="5"/>
  <c r="X1787" i="5"/>
  <c r="W1787" i="5"/>
  <c r="V1787" i="5"/>
  <c r="U1787" i="5"/>
  <c r="T1787" i="5"/>
  <c r="S1787" i="5"/>
  <c r="N1787" i="5"/>
  <c r="M1787" i="5"/>
  <c r="L1787" i="5"/>
  <c r="K1787" i="5"/>
  <c r="X1786" i="5"/>
  <c r="W1786" i="5"/>
  <c r="V1786" i="5"/>
  <c r="U1786" i="5"/>
  <c r="T1786" i="5"/>
  <c r="S1786" i="5"/>
  <c r="N1786" i="5"/>
  <c r="M1786" i="5"/>
  <c r="L1786" i="5"/>
  <c r="K1786" i="5"/>
  <c r="X1785" i="5"/>
  <c r="W1785" i="5"/>
  <c r="V1785" i="5"/>
  <c r="U1785" i="5"/>
  <c r="T1785" i="5"/>
  <c r="S1785" i="5"/>
  <c r="N1785" i="5"/>
  <c r="M1785" i="5"/>
  <c r="L1785" i="5"/>
  <c r="K1785" i="5"/>
  <c r="X1784" i="5"/>
  <c r="W1784" i="5"/>
  <c r="V1784" i="5"/>
  <c r="U1784" i="5"/>
  <c r="T1784" i="5"/>
  <c r="S1784" i="5"/>
  <c r="N1784" i="5"/>
  <c r="M1784" i="5"/>
  <c r="L1784" i="5"/>
  <c r="K1784" i="5"/>
  <c r="X1783" i="5"/>
  <c r="W1783" i="5"/>
  <c r="V1783" i="5"/>
  <c r="U1783" i="5"/>
  <c r="T1783" i="5"/>
  <c r="S1783" i="5"/>
  <c r="N1783" i="5"/>
  <c r="M1783" i="5"/>
  <c r="L1783" i="5"/>
  <c r="K1783" i="5"/>
  <c r="X1782" i="5"/>
  <c r="W1782" i="5"/>
  <c r="V1782" i="5"/>
  <c r="U1782" i="5"/>
  <c r="T1782" i="5"/>
  <c r="S1782" i="5"/>
  <c r="N1782" i="5"/>
  <c r="M1782" i="5"/>
  <c r="L1782" i="5"/>
  <c r="K1782" i="5"/>
  <c r="X1781" i="5"/>
  <c r="W1781" i="5"/>
  <c r="V1781" i="5"/>
  <c r="U1781" i="5"/>
  <c r="T1781" i="5"/>
  <c r="S1781" i="5"/>
  <c r="N1781" i="5"/>
  <c r="M1781" i="5"/>
  <c r="L1781" i="5"/>
  <c r="K1781" i="5"/>
  <c r="X1780" i="5"/>
  <c r="W1780" i="5"/>
  <c r="V1780" i="5"/>
  <c r="U1780" i="5"/>
  <c r="T1780" i="5"/>
  <c r="S1780" i="5"/>
  <c r="N1780" i="5"/>
  <c r="M1780" i="5"/>
  <c r="L1780" i="5"/>
  <c r="K1780" i="5"/>
  <c r="X1779" i="5"/>
  <c r="W1779" i="5"/>
  <c r="V1779" i="5"/>
  <c r="U1779" i="5"/>
  <c r="T1779" i="5"/>
  <c r="S1779" i="5"/>
  <c r="N1779" i="5"/>
  <c r="M1779" i="5"/>
  <c r="L1779" i="5"/>
  <c r="K1779" i="5"/>
  <c r="X1778" i="5"/>
  <c r="W1778" i="5"/>
  <c r="V1778" i="5"/>
  <c r="U1778" i="5"/>
  <c r="T1778" i="5"/>
  <c r="S1778" i="5"/>
  <c r="N1778" i="5"/>
  <c r="M1778" i="5"/>
  <c r="L1778" i="5"/>
  <c r="K1778" i="5"/>
  <c r="X1777" i="5"/>
  <c r="W1777" i="5"/>
  <c r="V1777" i="5"/>
  <c r="U1777" i="5"/>
  <c r="T1777" i="5"/>
  <c r="S1777" i="5"/>
  <c r="N1777" i="5"/>
  <c r="M1777" i="5"/>
  <c r="L1777" i="5"/>
  <c r="K1777" i="5"/>
  <c r="X1776" i="5"/>
  <c r="W1776" i="5"/>
  <c r="V1776" i="5"/>
  <c r="U1776" i="5"/>
  <c r="T1776" i="5"/>
  <c r="S1776" i="5"/>
  <c r="N1776" i="5"/>
  <c r="M1776" i="5"/>
  <c r="L1776" i="5"/>
  <c r="K1776" i="5"/>
  <c r="X1775" i="5"/>
  <c r="W1775" i="5"/>
  <c r="V1775" i="5"/>
  <c r="U1775" i="5"/>
  <c r="T1775" i="5"/>
  <c r="S1775" i="5"/>
  <c r="N1775" i="5"/>
  <c r="M1775" i="5"/>
  <c r="L1775" i="5"/>
  <c r="K1775" i="5"/>
  <c r="X1774" i="5"/>
  <c r="W1774" i="5"/>
  <c r="V1774" i="5"/>
  <c r="U1774" i="5"/>
  <c r="T1774" i="5"/>
  <c r="S1774" i="5"/>
  <c r="N1774" i="5"/>
  <c r="M1774" i="5"/>
  <c r="L1774" i="5"/>
  <c r="K1774" i="5"/>
  <c r="X1773" i="5"/>
  <c r="W1773" i="5"/>
  <c r="V1773" i="5"/>
  <c r="U1773" i="5"/>
  <c r="T1773" i="5"/>
  <c r="S1773" i="5"/>
  <c r="N1773" i="5"/>
  <c r="M1773" i="5"/>
  <c r="L1773" i="5"/>
  <c r="K1773" i="5"/>
  <c r="X1772" i="5"/>
  <c r="W1772" i="5"/>
  <c r="V1772" i="5"/>
  <c r="U1772" i="5"/>
  <c r="T1772" i="5"/>
  <c r="S1772" i="5"/>
  <c r="N1772" i="5"/>
  <c r="M1772" i="5"/>
  <c r="L1772" i="5"/>
  <c r="K1772" i="5"/>
  <c r="X1771" i="5"/>
  <c r="W1771" i="5"/>
  <c r="V1771" i="5"/>
  <c r="U1771" i="5"/>
  <c r="T1771" i="5"/>
  <c r="S1771" i="5"/>
  <c r="N1771" i="5"/>
  <c r="M1771" i="5"/>
  <c r="L1771" i="5"/>
  <c r="K1771" i="5"/>
  <c r="X1770" i="5"/>
  <c r="W1770" i="5"/>
  <c r="V1770" i="5"/>
  <c r="U1770" i="5"/>
  <c r="T1770" i="5"/>
  <c r="S1770" i="5"/>
  <c r="N1770" i="5"/>
  <c r="M1770" i="5"/>
  <c r="L1770" i="5"/>
  <c r="K1770" i="5"/>
  <c r="X1769" i="5"/>
  <c r="W1769" i="5"/>
  <c r="V1769" i="5"/>
  <c r="U1769" i="5"/>
  <c r="T1769" i="5"/>
  <c r="S1769" i="5"/>
  <c r="N1769" i="5"/>
  <c r="M1769" i="5"/>
  <c r="L1769" i="5"/>
  <c r="K1769" i="5"/>
  <c r="X1768" i="5"/>
  <c r="W1768" i="5"/>
  <c r="V1768" i="5"/>
  <c r="U1768" i="5"/>
  <c r="T1768" i="5"/>
  <c r="S1768" i="5"/>
  <c r="N1768" i="5"/>
  <c r="M1768" i="5"/>
  <c r="L1768" i="5"/>
  <c r="K1768" i="5"/>
  <c r="X1767" i="5"/>
  <c r="W1767" i="5"/>
  <c r="V1767" i="5"/>
  <c r="U1767" i="5"/>
  <c r="T1767" i="5"/>
  <c r="S1767" i="5"/>
  <c r="N1767" i="5"/>
  <c r="M1767" i="5"/>
  <c r="L1767" i="5"/>
  <c r="K1767" i="5"/>
  <c r="X1766" i="5"/>
  <c r="W1766" i="5"/>
  <c r="V1766" i="5"/>
  <c r="U1766" i="5"/>
  <c r="T1766" i="5"/>
  <c r="S1766" i="5"/>
  <c r="N1766" i="5"/>
  <c r="M1766" i="5"/>
  <c r="L1766" i="5"/>
  <c r="K1766" i="5"/>
  <c r="X1765" i="5"/>
  <c r="W1765" i="5"/>
  <c r="V1765" i="5"/>
  <c r="U1765" i="5"/>
  <c r="T1765" i="5"/>
  <c r="S1765" i="5"/>
  <c r="N1765" i="5"/>
  <c r="M1765" i="5"/>
  <c r="L1765" i="5"/>
  <c r="K1765" i="5"/>
  <c r="X1764" i="5"/>
  <c r="W1764" i="5"/>
  <c r="V1764" i="5"/>
  <c r="U1764" i="5"/>
  <c r="T1764" i="5"/>
  <c r="S1764" i="5"/>
  <c r="N1764" i="5"/>
  <c r="M1764" i="5"/>
  <c r="L1764" i="5"/>
  <c r="K1764" i="5"/>
  <c r="X1763" i="5"/>
  <c r="W1763" i="5"/>
  <c r="V1763" i="5"/>
  <c r="U1763" i="5"/>
  <c r="T1763" i="5"/>
  <c r="S1763" i="5"/>
  <c r="N1763" i="5"/>
  <c r="M1763" i="5"/>
  <c r="L1763" i="5"/>
  <c r="K1763" i="5"/>
  <c r="X1762" i="5"/>
  <c r="W1762" i="5"/>
  <c r="V1762" i="5"/>
  <c r="U1762" i="5"/>
  <c r="T1762" i="5"/>
  <c r="S1762" i="5"/>
  <c r="N1762" i="5"/>
  <c r="M1762" i="5"/>
  <c r="L1762" i="5"/>
  <c r="K1762" i="5"/>
  <c r="X1761" i="5"/>
  <c r="W1761" i="5"/>
  <c r="V1761" i="5"/>
  <c r="U1761" i="5"/>
  <c r="T1761" i="5"/>
  <c r="S1761" i="5"/>
  <c r="N1761" i="5"/>
  <c r="M1761" i="5"/>
  <c r="L1761" i="5"/>
  <c r="K1761" i="5"/>
  <c r="X1760" i="5"/>
  <c r="W1760" i="5"/>
  <c r="V1760" i="5"/>
  <c r="U1760" i="5"/>
  <c r="T1760" i="5"/>
  <c r="S1760" i="5"/>
  <c r="N1760" i="5"/>
  <c r="M1760" i="5"/>
  <c r="L1760" i="5"/>
  <c r="K1760" i="5"/>
  <c r="X1759" i="5"/>
  <c r="W1759" i="5"/>
  <c r="V1759" i="5"/>
  <c r="U1759" i="5"/>
  <c r="T1759" i="5"/>
  <c r="S1759" i="5"/>
  <c r="N1759" i="5"/>
  <c r="M1759" i="5"/>
  <c r="L1759" i="5"/>
  <c r="K1759" i="5"/>
  <c r="X1758" i="5"/>
  <c r="W1758" i="5"/>
  <c r="V1758" i="5"/>
  <c r="U1758" i="5"/>
  <c r="T1758" i="5"/>
  <c r="S1758" i="5"/>
  <c r="N1758" i="5"/>
  <c r="M1758" i="5"/>
  <c r="L1758" i="5"/>
  <c r="K1758" i="5"/>
  <c r="X1757" i="5"/>
  <c r="W1757" i="5"/>
  <c r="V1757" i="5"/>
  <c r="U1757" i="5"/>
  <c r="T1757" i="5"/>
  <c r="S1757" i="5"/>
  <c r="N1757" i="5"/>
  <c r="M1757" i="5"/>
  <c r="L1757" i="5"/>
  <c r="K1757" i="5"/>
  <c r="X1756" i="5"/>
  <c r="W1756" i="5"/>
  <c r="V1756" i="5"/>
  <c r="U1756" i="5"/>
  <c r="T1756" i="5"/>
  <c r="S1756" i="5"/>
  <c r="N1756" i="5"/>
  <c r="M1756" i="5"/>
  <c r="L1756" i="5"/>
  <c r="K1756" i="5"/>
  <c r="X1755" i="5"/>
  <c r="W1755" i="5"/>
  <c r="V1755" i="5"/>
  <c r="U1755" i="5"/>
  <c r="T1755" i="5"/>
  <c r="S1755" i="5"/>
  <c r="N1755" i="5"/>
  <c r="M1755" i="5"/>
  <c r="L1755" i="5"/>
  <c r="K1755" i="5"/>
  <c r="X1754" i="5"/>
  <c r="W1754" i="5"/>
  <c r="V1754" i="5"/>
  <c r="U1754" i="5"/>
  <c r="T1754" i="5"/>
  <c r="S1754" i="5"/>
  <c r="N1754" i="5"/>
  <c r="M1754" i="5"/>
  <c r="L1754" i="5"/>
  <c r="K1754" i="5"/>
  <c r="X1753" i="5"/>
  <c r="W1753" i="5"/>
  <c r="V1753" i="5"/>
  <c r="U1753" i="5"/>
  <c r="T1753" i="5"/>
  <c r="S1753" i="5"/>
  <c r="N1753" i="5"/>
  <c r="M1753" i="5"/>
  <c r="L1753" i="5"/>
  <c r="K1753" i="5"/>
  <c r="X1752" i="5"/>
  <c r="W1752" i="5"/>
  <c r="V1752" i="5"/>
  <c r="U1752" i="5"/>
  <c r="T1752" i="5"/>
  <c r="S1752" i="5"/>
  <c r="N1752" i="5"/>
  <c r="M1752" i="5"/>
  <c r="L1752" i="5"/>
  <c r="K1752" i="5"/>
  <c r="X1751" i="5"/>
  <c r="W1751" i="5"/>
  <c r="V1751" i="5"/>
  <c r="U1751" i="5"/>
  <c r="T1751" i="5"/>
  <c r="S1751" i="5"/>
  <c r="N1751" i="5"/>
  <c r="M1751" i="5"/>
  <c r="L1751" i="5"/>
  <c r="K1751" i="5"/>
  <c r="X1750" i="5"/>
  <c r="W1750" i="5"/>
  <c r="V1750" i="5"/>
  <c r="U1750" i="5"/>
  <c r="T1750" i="5"/>
  <c r="S1750" i="5"/>
  <c r="N1750" i="5"/>
  <c r="M1750" i="5"/>
  <c r="L1750" i="5"/>
  <c r="K1750" i="5"/>
  <c r="X1749" i="5"/>
  <c r="W1749" i="5"/>
  <c r="V1749" i="5"/>
  <c r="U1749" i="5"/>
  <c r="T1749" i="5"/>
  <c r="S1749" i="5"/>
  <c r="N1749" i="5"/>
  <c r="M1749" i="5"/>
  <c r="L1749" i="5"/>
  <c r="K1749" i="5"/>
  <c r="X1748" i="5"/>
  <c r="W1748" i="5"/>
  <c r="V1748" i="5"/>
  <c r="U1748" i="5"/>
  <c r="T1748" i="5"/>
  <c r="S1748" i="5"/>
  <c r="N1748" i="5"/>
  <c r="M1748" i="5"/>
  <c r="L1748" i="5"/>
  <c r="K1748" i="5"/>
  <c r="X1747" i="5"/>
  <c r="W1747" i="5"/>
  <c r="V1747" i="5"/>
  <c r="U1747" i="5"/>
  <c r="T1747" i="5"/>
  <c r="S1747" i="5"/>
  <c r="N1747" i="5"/>
  <c r="M1747" i="5"/>
  <c r="L1747" i="5"/>
  <c r="K1747" i="5"/>
  <c r="X1746" i="5"/>
  <c r="W1746" i="5"/>
  <c r="V1746" i="5"/>
  <c r="U1746" i="5"/>
  <c r="T1746" i="5"/>
  <c r="S1746" i="5"/>
  <c r="N1746" i="5"/>
  <c r="M1746" i="5"/>
  <c r="L1746" i="5"/>
  <c r="K1746" i="5"/>
  <c r="X1745" i="5"/>
  <c r="W1745" i="5"/>
  <c r="V1745" i="5"/>
  <c r="U1745" i="5"/>
  <c r="T1745" i="5"/>
  <c r="S1745" i="5"/>
  <c r="N1745" i="5"/>
  <c r="M1745" i="5"/>
  <c r="L1745" i="5"/>
  <c r="K1745" i="5"/>
  <c r="X1744" i="5"/>
  <c r="W1744" i="5"/>
  <c r="V1744" i="5"/>
  <c r="U1744" i="5"/>
  <c r="T1744" i="5"/>
  <c r="S1744" i="5"/>
  <c r="N1744" i="5"/>
  <c r="M1744" i="5"/>
  <c r="L1744" i="5"/>
  <c r="K1744" i="5"/>
  <c r="X1743" i="5"/>
  <c r="W1743" i="5"/>
  <c r="V1743" i="5"/>
  <c r="U1743" i="5"/>
  <c r="T1743" i="5"/>
  <c r="S1743" i="5"/>
  <c r="N1743" i="5"/>
  <c r="M1743" i="5"/>
  <c r="L1743" i="5"/>
  <c r="K1743" i="5"/>
  <c r="X1742" i="5"/>
  <c r="W1742" i="5"/>
  <c r="V1742" i="5"/>
  <c r="U1742" i="5"/>
  <c r="T1742" i="5"/>
  <c r="S1742" i="5"/>
  <c r="N1742" i="5"/>
  <c r="M1742" i="5"/>
  <c r="L1742" i="5"/>
  <c r="K1742" i="5"/>
  <c r="X1741" i="5"/>
  <c r="W1741" i="5"/>
  <c r="V1741" i="5"/>
  <c r="U1741" i="5"/>
  <c r="T1741" i="5"/>
  <c r="S1741" i="5"/>
  <c r="N1741" i="5"/>
  <c r="M1741" i="5"/>
  <c r="L1741" i="5"/>
  <c r="K1741" i="5"/>
  <c r="X1740" i="5"/>
  <c r="W1740" i="5"/>
  <c r="V1740" i="5"/>
  <c r="U1740" i="5"/>
  <c r="T1740" i="5"/>
  <c r="S1740" i="5"/>
  <c r="N1740" i="5"/>
  <c r="M1740" i="5"/>
  <c r="L1740" i="5"/>
  <c r="K1740" i="5"/>
  <c r="X1739" i="5"/>
  <c r="W1739" i="5"/>
  <c r="V1739" i="5"/>
  <c r="U1739" i="5"/>
  <c r="T1739" i="5"/>
  <c r="S1739" i="5"/>
  <c r="N1739" i="5"/>
  <c r="M1739" i="5"/>
  <c r="L1739" i="5"/>
  <c r="K1739" i="5"/>
  <c r="X1738" i="5"/>
  <c r="W1738" i="5"/>
  <c r="V1738" i="5"/>
  <c r="U1738" i="5"/>
  <c r="T1738" i="5"/>
  <c r="S1738" i="5"/>
  <c r="N1738" i="5"/>
  <c r="M1738" i="5"/>
  <c r="L1738" i="5"/>
  <c r="K1738" i="5"/>
  <c r="X1737" i="5"/>
  <c r="W1737" i="5"/>
  <c r="V1737" i="5"/>
  <c r="U1737" i="5"/>
  <c r="T1737" i="5"/>
  <c r="S1737" i="5"/>
  <c r="N1737" i="5"/>
  <c r="M1737" i="5"/>
  <c r="L1737" i="5"/>
  <c r="K1737" i="5"/>
  <c r="X1736" i="5"/>
  <c r="W1736" i="5"/>
  <c r="V1736" i="5"/>
  <c r="U1736" i="5"/>
  <c r="T1736" i="5"/>
  <c r="S1736" i="5"/>
  <c r="N1736" i="5"/>
  <c r="M1736" i="5"/>
  <c r="L1736" i="5"/>
  <c r="K1736" i="5"/>
  <c r="X1735" i="5"/>
  <c r="W1735" i="5"/>
  <c r="V1735" i="5"/>
  <c r="U1735" i="5"/>
  <c r="T1735" i="5"/>
  <c r="S1735" i="5"/>
  <c r="N1735" i="5"/>
  <c r="M1735" i="5"/>
  <c r="L1735" i="5"/>
  <c r="K1735" i="5"/>
  <c r="X1734" i="5"/>
  <c r="W1734" i="5"/>
  <c r="V1734" i="5"/>
  <c r="U1734" i="5"/>
  <c r="T1734" i="5"/>
  <c r="S1734" i="5"/>
  <c r="N1734" i="5"/>
  <c r="M1734" i="5"/>
  <c r="L1734" i="5"/>
  <c r="K1734" i="5"/>
  <c r="X1733" i="5"/>
  <c r="W1733" i="5"/>
  <c r="V1733" i="5"/>
  <c r="U1733" i="5"/>
  <c r="T1733" i="5"/>
  <c r="S1733" i="5"/>
  <c r="N1733" i="5"/>
  <c r="M1733" i="5"/>
  <c r="L1733" i="5"/>
  <c r="K1733" i="5"/>
  <c r="X1732" i="5"/>
  <c r="W1732" i="5"/>
  <c r="V1732" i="5"/>
  <c r="U1732" i="5"/>
  <c r="T1732" i="5"/>
  <c r="S1732" i="5"/>
  <c r="N1732" i="5"/>
  <c r="M1732" i="5"/>
  <c r="L1732" i="5"/>
  <c r="K1732" i="5"/>
  <c r="X1731" i="5"/>
  <c r="W1731" i="5"/>
  <c r="V1731" i="5"/>
  <c r="U1731" i="5"/>
  <c r="T1731" i="5"/>
  <c r="S1731" i="5"/>
  <c r="N1731" i="5"/>
  <c r="M1731" i="5"/>
  <c r="L1731" i="5"/>
  <c r="K1731" i="5"/>
  <c r="X1730" i="5"/>
  <c r="W1730" i="5"/>
  <c r="V1730" i="5"/>
  <c r="U1730" i="5"/>
  <c r="T1730" i="5"/>
  <c r="N1730" i="5"/>
  <c r="M1730" i="5"/>
  <c r="L1730" i="5"/>
  <c r="K1730" i="5"/>
  <c r="X1729" i="5"/>
  <c r="V1729" i="5"/>
  <c r="U1729" i="5"/>
  <c r="T1729" i="5"/>
  <c r="N1729" i="5"/>
  <c r="M1729" i="5"/>
  <c r="L1729" i="5"/>
  <c r="K1729" i="5"/>
  <c r="X1728" i="5"/>
  <c r="V1728" i="5"/>
  <c r="U1728" i="5"/>
  <c r="T1728" i="5"/>
  <c r="N1728" i="5"/>
  <c r="M1728" i="5"/>
  <c r="L1728" i="5"/>
  <c r="K1728" i="5"/>
  <c r="X1727" i="5"/>
  <c r="V1727" i="5"/>
  <c r="U1727" i="5"/>
  <c r="T1727" i="5"/>
  <c r="N1727" i="5"/>
  <c r="M1727" i="5"/>
  <c r="L1727" i="5"/>
  <c r="K1727" i="5"/>
  <c r="X1726" i="5"/>
  <c r="V1726" i="5"/>
  <c r="U1726" i="5"/>
  <c r="T1726" i="5"/>
  <c r="N1726" i="5"/>
  <c r="M1726" i="5"/>
  <c r="L1726" i="5"/>
  <c r="K1726" i="5"/>
  <c r="X1725" i="5"/>
  <c r="V1725" i="5"/>
  <c r="U1725" i="5"/>
  <c r="T1725" i="5"/>
  <c r="N1725" i="5"/>
  <c r="M1725" i="5"/>
  <c r="L1725" i="5"/>
  <c r="K1725" i="5"/>
  <c r="X1724" i="5"/>
  <c r="V1724" i="5"/>
  <c r="U1724" i="5"/>
  <c r="T1724" i="5"/>
  <c r="N1724" i="5"/>
  <c r="M1724" i="5"/>
  <c r="L1724" i="5"/>
  <c r="K1724" i="5"/>
  <c r="X1723" i="5"/>
  <c r="V1723" i="5"/>
  <c r="U1723" i="5"/>
  <c r="T1723" i="5"/>
  <c r="N1723" i="5"/>
  <c r="M1723" i="5"/>
  <c r="L1723" i="5"/>
  <c r="K1723" i="5"/>
  <c r="X1722" i="5"/>
  <c r="V1722" i="5"/>
  <c r="U1722" i="5"/>
  <c r="T1722" i="5"/>
  <c r="N1722" i="5"/>
  <c r="M1722" i="5"/>
  <c r="L1722" i="5"/>
  <c r="K1722" i="5"/>
  <c r="X1721" i="5"/>
  <c r="V1721" i="5"/>
  <c r="U1721" i="5"/>
  <c r="T1721" i="5"/>
  <c r="N1721" i="5"/>
  <c r="M1721" i="5"/>
  <c r="L1721" i="5"/>
  <c r="K1721" i="5"/>
  <c r="X1720" i="5"/>
  <c r="V1720" i="5"/>
  <c r="U1720" i="5"/>
  <c r="T1720" i="5"/>
  <c r="N1720" i="5"/>
  <c r="M1720" i="5"/>
  <c r="L1720" i="5"/>
  <c r="K1720" i="5"/>
  <c r="X1719" i="5"/>
  <c r="V1719" i="5"/>
  <c r="U1719" i="5"/>
  <c r="T1719" i="5"/>
  <c r="N1719" i="5"/>
  <c r="M1719" i="5"/>
  <c r="L1719" i="5"/>
  <c r="K1719" i="5"/>
  <c r="X1718" i="5"/>
  <c r="V1718" i="5"/>
  <c r="U1718" i="5"/>
  <c r="T1718" i="5"/>
  <c r="N1718" i="5"/>
  <c r="M1718" i="5"/>
  <c r="L1718" i="5"/>
  <c r="K1718" i="5"/>
  <c r="X1717" i="5"/>
  <c r="V1717" i="5"/>
  <c r="U1717" i="5"/>
  <c r="T1717" i="5"/>
  <c r="N1717" i="5"/>
  <c r="M1717" i="5"/>
  <c r="L1717" i="5"/>
  <c r="K1717" i="5"/>
  <c r="X1716" i="5"/>
  <c r="V1716" i="5"/>
  <c r="U1716" i="5"/>
  <c r="T1716" i="5"/>
  <c r="N1716" i="5"/>
  <c r="M1716" i="5"/>
  <c r="L1716" i="5"/>
  <c r="K1716" i="5"/>
  <c r="X1715" i="5"/>
  <c r="V1715" i="5"/>
  <c r="U1715" i="5"/>
  <c r="T1715" i="5"/>
  <c r="N1715" i="5"/>
  <c r="M1715" i="5"/>
  <c r="L1715" i="5"/>
  <c r="K1715" i="5"/>
  <c r="X1714" i="5"/>
  <c r="V1714" i="5"/>
  <c r="U1714" i="5"/>
  <c r="T1714" i="5"/>
  <c r="N1714" i="5"/>
  <c r="M1714" i="5"/>
  <c r="L1714" i="5"/>
  <c r="K1714" i="5"/>
  <c r="X1713" i="5"/>
  <c r="V1713" i="5"/>
  <c r="U1713" i="5"/>
  <c r="T1713" i="5"/>
  <c r="N1713" i="5"/>
  <c r="M1713" i="5"/>
  <c r="L1713" i="5"/>
  <c r="K1713" i="5"/>
  <c r="X1712" i="5"/>
  <c r="V1712" i="5"/>
  <c r="U1712" i="5"/>
  <c r="T1712" i="5"/>
  <c r="N1712" i="5"/>
  <c r="M1712" i="5"/>
  <c r="L1712" i="5"/>
  <c r="K1712" i="5"/>
  <c r="X1711" i="5"/>
  <c r="V1711" i="5"/>
  <c r="U1711" i="5"/>
  <c r="T1711" i="5"/>
  <c r="N1711" i="5"/>
  <c r="M1711" i="5"/>
  <c r="L1711" i="5"/>
  <c r="K1711" i="5"/>
  <c r="X1710" i="5"/>
  <c r="V1710" i="5"/>
  <c r="U1710" i="5"/>
  <c r="T1710" i="5"/>
  <c r="N1710" i="5"/>
  <c r="M1710" i="5"/>
  <c r="L1710" i="5"/>
  <c r="K1710" i="5"/>
  <c r="X1709" i="5"/>
  <c r="V1709" i="5"/>
  <c r="U1709" i="5"/>
  <c r="T1709" i="5"/>
  <c r="N1709" i="5"/>
  <c r="M1709" i="5"/>
  <c r="L1709" i="5"/>
  <c r="K1709" i="5"/>
  <c r="X1708" i="5"/>
  <c r="V1708" i="5"/>
  <c r="U1708" i="5"/>
  <c r="T1708" i="5"/>
  <c r="N1708" i="5"/>
  <c r="M1708" i="5"/>
  <c r="L1708" i="5"/>
  <c r="K1708" i="5"/>
  <c r="X1707" i="5"/>
  <c r="V1707" i="5"/>
  <c r="U1707" i="5"/>
  <c r="T1707" i="5"/>
  <c r="N1707" i="5"/>
  <c r="M1707" i="5"/>
  <c r="L1707" i="5"/>
  <c r="K1707" i="5"/>
  <c r="X1706" i="5"/>
  <c r="V1706" i="5"/>
  <c r="U1706" i="5"/>
  <c r="T1706" i="5"/>
  <c r="N1706" i="5"/>
  <c r="M1706" i="5"/>
  <c r="L1706" i="5"/>
  <c r="K1706" i="5"/>
  <c r="X1705" i="5"/>
  <c r="V1705" i="5"/>
  <c r="U1705" i="5"/>
  <c r="T1705" i="5"/>
  <c r="N1705" i="5"/>
  <c r="M1705" i="5"/>
  <c r="L1705" i="5"/>
  <c r="K1705" i="5"/>
  <c r="X1704" i="5"/>
  <c r="V1704" i="5"/>
  <c r="U1704" i="5"/>
  <c r="T1704" i="5"/>
  <c r="N1704" i="5"/>
  <c r="M1704" i="5"/>
  <c r="L1704" i="5"/>
  <c r="K1704" i="5"/>
  <c r="X1703" i="5"/>
  <c r="V1703" i="5"/>
  <c r="U1703" i="5"/>
  <c r="T1703" i="5"/>
  <c r="N1703" i="5"/>
  <c r="M1703" i="5"/>
  <c r="L1703" i="5"/>
  <c r="K1703" i="5"/>
  <c r="X1702" i="5"/>
  <c r="V1702" i="5"/>
  <c r="U1702" i="5"/>
  <c r="T1702" i="5"/>
  <c r="N1702" i="5"/>
  <c r="M1702" i="5"/>
  <c r="L1702" i="5"/>
  <c r="K1702" i="5"/>
  <c r="X1701" i="5"/>
  <c r="V1701" i="5"/>
  <c r="U1701" i="5"/>
  <c r="T1701" i="5"/>
  <c r="N1701" i="5"/>
  <c r="M1701" i="5"/>
  <c r="L1701" i="5"/>
  <c r="K1701" i="5"/>
  <c r="X1700" i="5"/>
  <c r="V1700" i="5"/>
  <c r="U1700" i="5"/>
  <c r="T1700" i="5"/>
  <c r="N1700" i="5"/>
  <c r="M1700" i="5"/>
  <c r="L1700" i="5"/>
  <c r="K1700" i="5"/>
  <c r="X1699" i="5"/>
  <c r="V1699" i="5"/>
  <c r="U1699" i="5"/>
  <c r="T1699" i="5"/>
  <c r="N1699" i="5"/>
  <c r="M1699" i="5"/>
  <c r="L1699" i="5"/>
  <c r="K1699" i="5"/>
  <c r="X1698" i="5"/>
  <c r="V1698" i="5"/>
  <c r="U1698" i="5"/>
  <c r="T1698" i="5"/>
  <c r="N1698" i="5"/>
  <c r="M1698" i="5"/>
  <c r="L1698" i="5"/>
  <c r="K1698" i="5"/>
  <c r="X1697" i="5"/>
  <c r="V1697" i="5"/>
  <c r="U1697" i="5"/>
  <c r="T1697" i="5"/>
  <c r="N1697" i="5"/>
  <c r="M1697" i="5"/>
  <c r="L1697" i="5"/>
  <c r="K1697" i="5"/>
  <c r="X1696" i="5"/>
  <c r="V1696" i="5"/>
  <c r="U1696" i="5"/>
  <c r="T1696" i="5"/>
  <c r="N1696" i="5"/>
  <c r="M1696" i="5"/>
  <c r="L1696" i="5"/>
  <c r="K1696" i="5"/>
  <c r="X1695" i="5"/>
  <c r="V1695" i="5"/>
  <c r="U1695" i="5"/>
  <c r="T1695" i="5"/>
  <c r="N1695" i="5"/>
  <c r="M1695" i="5"/>
  <c r="L1695" i="5"/>
  <c r="K1695" i="5"/>
  <c r="X1694" i="5"/>
  <c r="V1694" i="5"/>
  <c r="U1694" i="5"/>
  <c r="T1694" i="5"/>
  <c r="N1694" i="5"/>
  <c r="M1694" i="5"/>
  <c r="L1694" i="5"/>
  <c r="K1694" i="5"/>
  <c r="X1693" i="5"/>
  <c r="V1693" i="5"/>
  <c r="U1693" i="5"/>
  <c r="T1693" i="5"/>
  <c r="N1693" i="5"/>
  <c r="M1693" i="5"/>
  <c r="L1693" i="5"/>
  <c r="K1693" i="5"/>
  <c r="X1692" i="5"/>
  <c r="V1692" i="5"/>
  <c r="U1692" i="5"/>
  <c r="T1692" i="5"/>
  <c r="N1692" i="5"/>
  <c r="M1692" i="5"/>
  <c r="L1692" i="5"/>
  <c r="K1692" i="5"/>
  <c r="X1691" i="5"/>
  <c r="V1691" i="5"/>
  <c r="U1691" i="5"/>
  <c r="T1691" i="5"/>
  <c r="N1691" i="5"/>
  <c r="M1691" i="5"/>
  <c r="L1691" i="5"/>
  <c r="K1691" i="5"/>
  <c r="X1690" i="5"/>
  <c r="V1690" i="5"/>
  <c r="U1690" i="5"/>
  <c r="T1690" i="5"/>
  <c r="N1690" i="5"/>
  <c r="M1690" i="5"/>
  <c r="L1690" i="5"/>
  <c r="K1690" i="5"/>
  <c r="X1689" i="5"/>
  <c r="V1689" i="5"/>
  <c r="U1689" i="5"/>
  <c r="T1689" i="5"/>
  <c r="N1689" i="5"/>
  <c r="M1689" i="5"/>
  <c r="L1689" i="5"/>
  <c r="K1689" i="5"/>
  <c r="X1688" i="5"/>
  <c r="V1688" i="5"/>
  <c r="U1688" i="5"/>
  <c r="T1688" i="5"/>
  <c r="N1688" i="5"/>
  <c r="M1688" i="5"/>
  <c r="L1688" i="5"/>
  <c r="K1688" i="5"/>
  <c r="X1687" i="5"/>
  <c r="V1687" i="5"/>
  <c r="U1687" i="5"/>
  <c r="T1687" i="5"/>
  <c r="N1687" i="5"/>
  <c r="M1687" i="5"/>
  <c r="L1687" i="5"/>
  <c r="K1687" i="5"/>
  <c r="X1686" i="5"/>
  <c r="V1686" i="5"/>
  <c r="U1686" i="5"/>
  <c r="T1686" i="5"/>
  <c r="N1686" i="5"/>
  <c r="M1686" i="5"/>
  <c r="L1686" i="5"/>
  <c r="K1686" i="5"/>
  <c r="X1685" i="5"/>
  <c r="V1685" i="5"/>
  <c r="U1685" i="5"/>
  <c r="T1685" i="5"/>
  <c r="N1685" i="5"/>
  <c r="M1685" i="5"/>
  <c r="L1685" i="5"/>
  <c r="K1685" i="5"/>
  <c r="X1684" i="5"/>
  <c r="V1684" i="5"/>
  <c r="U1684" i="5"/>
  <c r="T1684" i="5"/>
  <c r="N1684" i="5"/>
  <c r="M1684" i="5"/>
  <c r="L1684" i="5"/>
  <c r="K1684" i="5"/>
  <c r="X1683" i="5"/>
  <c r="V1683" i="5"/>
  <c r="U1683" i="5"/>
  <c r="T1683" i="5"/>
  <c r="N1683" i="5"/>
  <c r="M1683" i="5"/>
  <c r="L1683" i="5"/>
  <c r="K1683" i="5"/>
  <c r="X1682" i="5"/>
  <c r="V1682" i="5"/>
  <c r="U1682" i="5"/>
  <c r="T1682" i="5"/>
  <c r="N1682" i="5"/>
  <c r="M1682" i="5"/>
  <c r="L1682" i="5"/>
  <c r="K1682" i="5"/>
  <c r="X1681" i="5"/>
  <c r="V1681" i="5"/>
  <c r="U1681" i="5"/>
  <c r="T1681" i="5"/>
  <c r="N1681" i="5"/>
  <c r="M1681" i="5"/>
  <c r="L1681" i="5"/>
  <c r="K1681" i="5"/>
  <c r="X1680" i="5"/>
  <c r="V1680" i="5"/>
  <c r="U1680" i="5"/>
  <c r="T1680" i="5"/>
  <c r="N1680" i="5"/>
  <c r="M1680" i="5"/>
  <c r="L1680" i="5"/>
  <c r="K1680" i="5"/>
  <c r="X1679" i="5"/>
  <c r="V1679" i="5"/>
  <c r="U1679" i="5"/>
  <c r="T1679" i="5"/>
  <c r="N1679" i="5"/>
  <c r="M1679" i="5"/>
  <c r="L1679" i="5"/>
  <c r="K1679" i="5"/>
  <c r="X1678" i="5"/>
  <c r="V1678" i="5"/>
  <c r="U1678" i="5"/>
  <c r="T1678" i="5"/>
  <c r="N1678" i="5"/>
  <c r="M1678" i="5"/>
  <c r="L1678" i="5"/>
  <c r="K1678" i="5"/>
  <c r="X1677" i="5"/>
  <c r="V1677" i="5"/>
  <c r="U1677" i="5"/>
  <c r="T1677" i="5"/>
  <c r="N1677" i="5"/>
  <c r="M1677" i="5"/>
  <c r="L1677" i="5"/>
  <c r="K1677" i="5"/>
  <c r="X1676" i="5"/>
  <c r="V1676" i="5"/>
  <c r="U1676" i="5"/>
  <c r="T1676" i="5"/>
  <c r="N1676" i="5"/>
  <c r="M1676" i="5"/>
  <c r="L1676" i="5"/>
  <c r="K1676" i="5"/>
  <c r="X1675" i="5"/>
  <c r="V1675" i="5"/>
  <c r="U1675" i="5"/>
  <c r="T1675" i="5"/>
  <c r="N1675" i="5"/>
  <c r="M1675" i="5"/>
  <c r="L1675" i="5"/>
  <c r="K1675" i="5"/>
  <c r="X1674" i="5"/>
  <c r="V1674" i="5"/>
  <c r="U1674" i="5"/>
  <c r="T1674" i="5"/>
  <c r="N1674" i="5"/>
  <c r="M1674" i="5"/>
  <c r="L1674" i="5"/>
  <c r="K1674" i="5"/>
  <c r="X1673" i="5"/>
  <c r="V1673" i="5"/>
  <c r="U1673" i="5"/>
  <c r="T1673" i="5"/>
  <c r="N1673" i="5"/>
  <c r="M1673" i="5"/>
  <c r="L1673" i="5"/>
  <c r="K1673" i="5"/>
  <c r="X1672" i="5"/>
  <c r="V1672" i="5"/>
  <c r="U1672" i="5"/>
  <c r="T1672" i="5"/>
  <c r="N1672" i="5"/>
  <c r="M1672" i="5"/>
  <c r="L1672" i="5"/>
  <c r="K1672" i="5"/>
  <c r="X1671" i="5"/>
  <c r="V1671" i="5"/>
  <c r="U1671" i="5"/>
  <c r="T1671" i="5"/>
  <c r="N1671" i="5"/>
  <c r="M1671" i="5"/>
  <c r="L1671" i="5"/>
  <c r="K1671" i="5"/>
  <c r="X1670" i="5"/>
  <c r="V1670" i="5"/>
  <c r="U1670" i="5"/>
  <c r="T1670" i="5"/>
  <c r="N1670" i="5"/>
  <c r="M1670" i="5"/>
  <c r="L1670" i="5"/>
  <c r="K1670" i="5"/>
  <c r="X1669" i="5"/>
  <c r="V1669" i="5"/>
  <c r="U1669" i="5"/>
  <c r="T1669" i="5"/>
  <c r="N1669" i="5"/>
  <c r="M1669" i="5"/>
  <c r="L1669" i="5"/>
  <c r="K1669" i="5"/>
  <c r="X1668" i="5"/>
  <c r="V1668" i="5"/>
  <c r="U1668" i="5"/>
  <c r="T1668" i="5"/>
  <c r="N1668" i="5"/>
  <c r="M1668" i="5"/>
  <c r="L1668" i="5"/>
  <c r="K1668" i="5"/>
  <c r="X1667" i="5"/>
  <c r="V1667" i="5"/>
  <c r="U1667" i="5"/>
  <c r="T1667" i="5"/>
  <c r="N1667" i="5"/>
  <c r="M1667" i="5"/>
  <c r="L1667" i="5"/>
  <c r="K1667" i="5"/>
  <c r="X1666" i="5"/>
  <c r="V1666" i="5"/>
  <c r="U1666" i="5"/>
  <c r="T1666" i="5"/>
  <c r="N1666" i="5"/>
  <c r="M1666" i="5"/>
  <c r="L1666" i="5"/>
  <c r="K1666" i="5"/>
  <c r="X1665" i="5"/>
  <c r="V1665" i="5"/>
  <c r="U1665" i="5"/>
  <c r="T1665" i="5"/>
  <c r="N1665" i="5"/>
  <c r="M1665" i="5"/>
  <c r="L1665" i="5"/>
  <c r="K1665" i="5"/>
  <c r="X1664" i="5"/>
  <c r="V1664" i="5"/>
  <c r="U1664" i="5"/>
  <c r="T1664" i="5"/>
  <c r="N1664" i="5"/>
  <c r="M1664" i="5"/>
  <c r="L1664" i="5"/>
  <c r="K1664" i="5"/>
  <c r="X1663" i="5"/>
  <c r="V1663" i="5"/>
  <c r="U1663" i="5"/>
  <c r="T1663" i="5"/>
  <c r="N1663" i="5"/>
  <c r="M1663" i="5"/>
  <c r="L1663" i="5"/>
  <c r="K1663" i="5"/>
  <c r="X1662" i="5"/>
  <c r="V1662" i="5"/>
  <c r="U1662" i="5"/>
  <c r="T1662" i="5"/>
  <c r="N1662" i="5"/>
  <c r="M1662" i="5"/>
  <c r="L1662" i="5"/>
  <c r="K1662" i="5"/>
  <c r="X1661" i="5"/>
  <c r="V1661" i="5"/>
  <c r="U1661" i="5"/>
  <c r="T1661" i="5"/>
  <c r="N1661" i="5"/>
  <c r="M1661" i="5"/>
  <c r="L1661" i="5"/>
  <c r="K1661" i="5"/>
  <c r="X1660" i="5"/>
  <c r="V1660" i="5"/>
  <c r="U1660" i="5"/>
  <c r="T1660" i="5"/>
  <c r="N1660" i="5"/>
  <c r="M1660" i="5"/>
  <c r="L1660" i="5"/>
  <c r="K1660" i="5"/>
  <c r="X1659" i="5"/>
  <c r="V1659" i="5"/>
  <c r="U1659" i="5"/>
  <c r="T1659" i="5"/>
  <c r="N1659" i="5"/>
  <c r="M1659" i="5"/>
  <c r="L1659" i="5"/>
  <c r="K1659" i="5"/>
  <c r="X1658" i="5"/>
  <c r="V1658" i="5"/>
  <c r="U1658" i="5"/>
  <c r="T1658" i="5"/>
  <c r="N1658" i="5"/>
  <c r="M1658" i="5"/>
  <c r="L1658" i="5"/>
  <c r="K1658" i="5"/>
  <c r="X1657" i="5"/>
  <c r="V1657" i="5"/>
  <c r="U1657" i="5"/>
  <c r="T1657" i="5"/>
  <c r="N1657" i="5"/>
  <c r="M1657" i="5"/>
  <c r="L1657" i="5"/>
  <c r="K1657" i="5"/>
  <c r="X1656" i="5"/>
  <c r="V1656" i="5"/>
  <c r="U1656" i="5"/>
  <c r="T1656" i="5"/>
  <c r="N1656" i="5"/>
  <c r="M1656" i="5"/>
  <c r="L1656" i="5"/>
  <c r="K1656" i="5"/>
  <c r="X1655" i="5"/>
  <c r="V1655" i="5"/>
  <c r="U1655" i="5"/>
  <c r="T1655" i="5"/>
  <c r="N1655" i="5"/>
  <c r="M1655" i="5"/>
  <c r="L1655" i="5"/>
  <c r="K1655" i="5"/>
  <c r="X1654" i="5"/>
  <c r="V1654" i="5"/>
  <c r="U1654" i="5"/>
  <c r="T1654" i="5"/>
  <c r="N1654" i="5"/>
  <c r="M1654" i="5"/>
  <c r="L1654" i="5"/>
  <c r="K1654" i="5"/>
  <c r="X1653" i="5"/>
  <c r="V1653" i="5"/>
  <c r="U1653" i="5"/>
  <c r="T1653" i="5"/>
  <c r="N1653" i="5"/>
  <c r="M1653" i="5"/>
  <c r="L1653" i="5"/>
  <c r="K1653" i="5"/>
  <c r="X1652" i="5"/>
  <c r="V1652" i="5"/>
  <c r="U1652" i="5"/>
  <c r="T1652" i="5"/>
  <c r="N1652" i="5"/>
  <c r="M1652" i="5"/>
  <c r="L1652" i="5"/>
  <c r="K1652" i="5"/>
  <c r="X1651" i="5"/>
  <c r="V1651" i="5"/>
  <c r="U1651" i="5"/>
  <c r="T1651" i="5"/>
  <c r="N1651" i="5"/>
  <c r="M1651" i="5"/>
  <c r="L1651" i="5"/>
  <c r="K1651" i="5"/>
  <c r="X1650" i="5"/>
  <c r="V1650" i="5"/>
  <c r="U1650" i="5"/>
  <c r="T1650" i="5"/>
  <c r="N1650" i="5"/>
  <c r="M1650" i="5"/>
  <c r="L1650" i="5"/>
  <c r="K1650" i="5"/>
  <c r="X1649" i="5"/>
  <c r="V1649" i="5"/>
  <c r="U1649" i="5"/>
  <c r="T1649" i="5"/>
  <c r="N1649" i="5"/>
  <c r="M1649" i="5"/>
  <c r="L1649" i="5"/>
  <c r="K1649" i="5"/>
  <c r="X1648" i="5"/>
  <c r="V1648" i="5"/>
  <c r="U1648" i="5"/>
  <c r="T1648" i="5"/>
  <c r="N1648" i="5"/>
  <c r="M1648" i="5"/>
  <c r="L1648" i="5"/>
  <c r="K1648" i="5"/>
  <c r="X1647" i="5"/>
  <c r="V1647" i="5"/>
  <c r="U1647" i="5"/>
  <c r="T1647" i="5"/>
  <c r="N1647" i="5"/>
  <c r="M1647" i="5"/>
  <c r="L1647" i="5"/>
  <c r="K1647" i="5"/>
  <c r="X1646" i="5"/>
  <c r="V1646" i="5"/>
  <c r="U1646" i="5"/>
  <c r="T1646" i="5"/>
  <c r="N1646" i="5"/>
  <c r="M1646" i="5"/>
  <c r="L1646" i="5"/>
  <c r="K1646" i="5"/>
  <c r="X1645" i="5"/>
  <c r="V1645" i="5"/>
  <c r="U1645" i="5"/>
  <c r="T1645" i="5"/>
  <c r="N1645" i="5"/>
  <c r="M1645" i="5"/>
  <c r="L1645" i="5"/>
  <c r="K1645" i="5"/>
  <c r="X1644" i="5"/>
  <c r="V1644" i="5"/>
  <c r="U1644" i="5"/>
  <c r="T1644" i="5"/>
  <c r="N1644" i="5"/>
  <c r="M1644" i="5"/>
  <c r="L1644" i="5"/>
  <c r="K1644" i="5"/>
  <c r="X1643" i="5"/>
  <c r="V1643" i="5"/>
  <c r="U1643" i="5"/>
  <c r="T1643" i="5"/>
  <c r="N1643" i="5"/>
  <c r="M1643" i="5"/>
  <c r="L1643" i="5"/>
  <c r="K1643" i="5"/>
  <c r="X1642" i="5"/>
  <c r="V1642" i="5"/>
  <c r="U1642" i="5"/>
  <c r="T1642" i="5"/>
  <c r="N1642" i="5"/>
  <c r="M1642" i="5"/>
  <c r="L1642" i="5"/>
  <c r="K1642" i="5"/>
  <c r="X1641" i="5"/>
  <c r="V1641" i="5"/>
  <c r="U1641" i="5"/>
  <c r="T1641" i="5"/>
  <c r="N1641" i="5"/>
  <c r="M1641" i="5"/>
  <c r="L1641" i="5"/>
  <c r="K1641" i="5"/>
  <c r="X1640" i="5"/>
  <c r="V1640" i="5"/>
  <c r="U1640" i="5"/>
  <c r="T1640" i="5"/>
  <c r="N1640" i="5"/>
  <c r="M1640" i="5"/>
  <c r="L1640" i="5"/>
  <c r="K1640" i="5"/>
  <c r="X1639" i="5"/>
  <c r="V1639" i="5"/>
  <c r="U1639" i="5"/>
  <c r="T1639" i="5"/>
  <c r="N1639" i="5"/>
  <c r="M1639" i="5"/>
  <c r="L1639" i="5"/>
  <c r="K1639" i="5"/>
  <c r="X1638" i="5"/>
  <c r="V1638" i="5"/>
  <c r="U1638" i="5"/>
  <c r="T1638" i="5"/>
  <c r="N1638" i="5"/>
  <c r="M1638" i="5"/>
  <c r="L1638" i="5"/>
  <c r="K1638" i="5"/>
  <c r="X1637" i="5"/>
  <c r="V1637" i="5"/>
  <c r="U1637" i="5"/>
  <c r="T1637" i="5"/>
  <c r="N1637" i="5"/>
  <c r="M1637" i="5"/>
  <c r="L1637" i="5"/>
  <c r="K1637" i="5"/>
  <c r="X1636" i="5"/>
  <c r="V1636" i="5"/>
  <c r="U1636" i="5"/>
  <c r="T1636" i="5"/>
  <c r="N1636" i="5"/>
  <c r="M1636" i="5"/>
  <c r="L1636" i="5"/>
  <c r="K1636" i="5"/>
  <c r="X1635" i="5"/>
  <c r="V1635" i="5"/>
  <c r="U1635" i="5"/>
  <c r="T1635" i="5"/>
  <c r="N1635" i="5"/>
  <c r="M1635" i="5"/>
  <c r="L1635" i="5"/>
  <c r="K1635" i="5"/>
  <c r="X1634" i="5"/>
  <c r="V1634" i="5"/>
  <c r="U1634" i="5"/>
  <c r="T1634" i="5"/>
  <c r="N1634" i="5"/>
  <c r="M1634" i="5"/>
  <c r="L1634" i="5"/>
  <c r="K1634" i="5"/>
  <c r="X1633" i="5"/>
  <c r="V1633" i="5"/>
  <c r="U1633" i="5"/>
  <c r="T1633" i="5"/>
  <c r="N1633" i="5"/>
  <c r="M1633" i="5"/>
  <c r="L1633" i="5"/>
  <c r="K1633" i="5"/>
  <c r="X1632" i="5"/>
  <c r="V1632" i="5"/>
  <c r="U1632" i="5"/>
  <c r="T1632" i="5"/>
  <c r="N1632" i="5"/>
  <c r="M1632" i="5"/>
  <c r="L1632" i="5"/>
  <c r="K1632" i="5"/>
  <c r="X1631" i="5"/>
  <c r="V1631" i="5"/>
  <c r="U1631" i="5"/>
  <c r="T1631" i="5"/>
  <c r="N1631" i="5"/>
  <c r="M1631" i="5"/>
  <c r="L1631" i="5"/>
  <c r="K1631" i="5"/>
  <c r="X1630" i="5"/>
  <c r="V1630" i="5"/>
  <c r="U1630" i="5"/>
  <c r="T1630" i="5"/>
  <c r="N1630" i="5"/>
  <c r="M1630" i="5"/>
  <c r="L1630" i="5"/>
  <c r="K1630" i="5"/>
  <c r="X1629" i="5"/>
  <c r="V1629" i="5"/>
  <c r="U1629" i="5"/>
  <c r="T1629" i="5"/>
  <c r="N1629" i="5"/>
  <c r="M1629" i="5"/>
  <c r="L1629" i="5"/>
  <c r="K1629" i="5"/>
  <c r="X1628" i="5"/>
  <c r="V1628" i="5"/>
  <c r="U1628" i="5"/>
  <c r="T1628" i="5"/>
  <c r="N1628" i="5"/>
  <c r="M1628" i="5"/>
  <c r="L1628" i="5"/>
  <c r="K1628" i="5"/>
  <c r="X1627" i="5"/>
  <c r="V1627" i="5"/>
  <c r="U1627" i="5"/>
  <c r="T1627" i="5"/>
  <c r="N1627" i="5"/>
  <c r="M1627" i="5"/>
  <c r="L1627" i="5"/>
  <c r="K1627" i="5"/>
  <c r="X1626" i="5"/>
  <c r="V1626" i="5"/>
  <c r="U1626" i="5"/>
  <c r="T1626" i="5"/>
  <c r="N1626" i="5"/>
  <c r="M1626" i="5"/>
  <c r="L1626" i="5"/>
  <c r="K1626" i="5"/>
  <c r="X1625" i="5"/>
  <c r="V1625" i="5"/>
  <c r="U1625" i="5"/>
  <c r="T1625" i="5"/>
  <c r="N1625" i="5"/>
  <c r="M1625" i="5"/>
  <c r="L1625" i="5"/>
  <c r="K1625" i="5"/>
  <c r="X1624" i="5"/>
  <c r="V1624" i="5"/>
  <c r="U1624" i="5"/>
  <c r="T1624" i="5"/>
  <c r="N1624" i="5"/>
  <c r="M1624" i="5"/>
  <c r="L1624" i="5"/>
  <c r="K1624" i="5"/>
  <c r="X1623" i="5"/>
  <c r="V1623" i="5"/>
  <c r="U1623" i="5"/>
  <c r="T1623" i="5"/>
  <c r="N1623" i="5"/>
  <c r="M1623" i="5"/>
  <c r="L1623" i="5"/>
  <c r="K1623" i="5"/>
  <c r="X1622" i="5"/>
  <c r="V1622" i="5"/>
  <c r="U1622" i="5"/>
  <c r="T1622" i="5"/>
  <c r="N1622" i="5"/>
  <c r="M1622" i="5"/>
  <c r="L1622" i="5"/>
  <c r="K1622" i="5"/>
  <c r="X1621" i="5"/>
  <c r="V1621" i="5"/>
  <c r="U1621" i="5"/>
  <c r="T1621" i="5"/>
  <c r="N1621" i="5"/>
  <c r="M1621" i="5"/>
  <c r="L1621" i="5"/>
  <c r="K1621" i="5"/>
  <c r="X1620" i="5"/>
  <c r="V1620" i="5"/>
  <c r="U1620" i="5"/>
  <c r="T1620" i="5"/>
  <c r="N1620" i="5"/>
  <c r="M1620" i="5"/>
  <c r="L1620" i="5"/>
  <c r="K1620" i="5"/>
  <c r="X1619" i="5"/>
  <c r="V1619" i="5"/>
  <c r="U1619" i="5"/>
  <c r="T1619" i="5"/>
  <c r="N1619" i="5"/>
  <c r="M1619" i="5"/>
  <c r="L1619" i="5"/>
  <c r="K1619" i="5"/>
  <c r="X1618" i="5"/>
  <c r="V1618" i="5"/>
  <c r="U1618" i="5"/>
  <c r="T1618" i="5"/>
  <c r="N1618" i="5"/>
  <c r="M1618" i="5"/>
  <c r="L1618" i="5"/>
  <c r="K1618" i="5"/>
  <c r="X1617" i="5"/>
  <c r="V1617" i="5"/>
  <c r="U1617" i="5"/>
  <c r="T1617" i="5"/>
  <c r="N1617" i="5"/>
  <c r="M1617" i="5"/>
  <c r="L1617" i="5"/>
  <c r="K1617" i="5"/>
  <c r="X1616" i="5"/>
  <c r="V1616" i="5"/>
  <c r="U1616" i="5"/>
  <c r="T1616" i="5"/>
  <c r="N1616" i="5"/>
  <c r="M1616" i="5"/>
  <c r="L1616" i="5"/>
  <c r="K1616" i="5"/>
  <c r="X1615" i="5"/>
  <c r="V1615" i="5"/>
  <c r="U1615" i="5"/>
  <c r="T1615" i="5"/>
  <c r="N1615" i="5"/>
  <c r="M1615" i="5"/>
  <c r="L1615" i="5"/>
  <c r="K1615" i="5"/>
  <c r="X1614" i="5"/>
  <c r="V1614" i="5"/>
  <c r="U1614" i="5"/>
  <c r="T1614" i="5"/>
  <c r="N1614" i="5"/>
  <c r="M1614" i="5"/>
  <c r="L1614" i="5"/>
  <c r="K1614" i="5"/>
  <c r="X1613" i="5"/>
  <c r="V1613" i="5"/>
  <c r="U1613" i="5"/>
  <c r="T1613" i="5"/>
  <c r="N1613" i="5"/>
  <c r="M1613" i="5"/>
  <c r="L1613" i="5"/>
  <c r="K1613" i="5"/>
  <c r="X1612" i="5"/>
  <c r="V1612" i="5"/>
  <c r="U1612" i="5"/>
  <c r="T1612" i="5"/>
  <c r="N1612" i="5"/>
  <c r="M1612" i="5"/>
  <c r="L1612" i="5"/>
  <c r="K1612" i="5"/>
  <c r="X1611" i="5"/>
  <c r="V1611" i="5"/>
  <c r="U1611" i="5"/>
  <c r="T1611" i="5"/>
  <c r="N1611" i="5"/>
  <c r="M1611" i="5"/>
  <c r="L1611" i="5"/>
  <c r="K1611" i="5"/>
  <c r="X1610" i="5"/>
  <c r="V1610" i="5"/>
  <c r="U1610" i="5"/>
  <c r="T1610" i="5"/>
  <c r="N1610" i="5"/>
  <c r="M1610" i="5"/>
  <c r="L1610" i="5"/>
  <c r="K1610" i="5"/>
  <c r="X1609" i="5"/>
  <c r="V1609" i="5"/>
  <c r="U1609" i="5"/>
  <c r="T1609" i="5"/>
  <c r="N1609" i="5"/>
  <c r="M1609" i="5"/>
  <c r="L1609" i="5"/>
  <c r="K1609" i="5"/>
  <c r="X1608" i="5"/>
  <c r="V1608" i="5"/>
  <c r="U1608" i="5"/>
  <c r="T1608" i="5"/>
  <c r="N1608" i="5"/>
  <c r="M1608" i="5"/>
  <c r="L1608" i="5"/>
  <c r="K1608" i="5"/>
  <c r="X1607" i="5"/>
  <c r="V1607" i="5"/>
  <c r="U1607" i="5"/>
  <c r="T1607" i="5"/>
  <c r="N1607" i="5"/>
  <c r="M1607" i="5"/>
  <c r="L1607" i="5"/>
  <c r="K1607" i="5"/>
  <c r="X1606" i="5"/>
  <c r="V1606" i="5"/>
  <c r="U1606" i="5"/>
  <c r="T1606" i="5"/>
  <c r="N1606" i="5"/>
  <c r="M1606" i="5"/>
  <c r="L1606" i="5"/>
  <c r="K1606" i="5"/>
  <c r="X1605" i="5"/>
  <c r="V1605" i="5"/>
  <c r="U1605" i="5"/>
  <c r="T1605" i="5"/>
  <c r="N1605" i="5"/>
  <c r="M1605" i="5"/>
  <c r="L1605" i="5"/>
  <c r="K1605" i="5"/>
  <c r="X1604" i="5"/>
  <c r="V1604" i="5"/>
  <c r="U1604" i="5"/>
  <c r="T1604" i="5"/>
  <c r="N1604" i="5"/>
  <c r="M1604" i="5"/>
  <c r="L1604" i="5"/>
  <c r="K1604" i="5"/>
  <c r="X1603" i="5"/>
  <c r="V1603" i="5"/>
  <c r="U1603" i="5"/>
  <c r="T1603" i="5"/>
  <c r="N1603" i="5"/>
  <c r="M1603" i="5"/>
  <c r="L1603" i="5"/>
  <c r="K1603" i="5"/>
  <c r="X1602" i="5"/>
  <c r="V1602" i="5"/>
  <c r="U1602" i="5"/>
  <c r="T1602" i="5"/>
  <c r="N1602" i="5"/>
  <c r="M1602" i="5"/>
  <c r="L1602" i="5"/>
  <c r="K1602" i="5"/>
  <c r="X1601" i="5"/>
  <c r="V1601" i="5"/>
  <c r="U1601" i="5"/>
  <c r="T1601" i="5"/>
  <c r="N1601" i="5"/>
  <c r="M1601" i="5"/>
  <c r="L1601" i="5"/>
  <c r="K1601" i="5"/>
  <c r="X1600" i="5"/>
  <c r="V1600" i="5"/>
  <c r="U1600" i="5"/>
  <c r="T1600" i="5"/>
  <c r="N1600" i="5"/>
  <c r="M1600" i="5"/>
  <c r="L1600" i="5"/>
  <c r="K1600" i="5"/>
  <c r="X1599" i="5"/>
  <c r="V1599" i="5"/>
  <c r="U1599" i="5"/>
  <c r="T1599" i="5"/>
  <c r="N1599" i="5"/>
  <c r="M1599" i="5"/>
  <c r="L1599" i="5"/>
  <c r="K1599" i="5"/>
  <c r="X1598" i="5"/>
  <c r="V1598" i="5"/>
  <c r="U1598" i="5"/>
  <c r="T1598" i="5"/>
  <c r="N1598" i="5"/>
  <c r="M1598" i="5"/>
  <c r="L1598" i="5"/>
  <c r="K1598" i="5"/>
  <c r="X1597" i="5"/>
  <c r="V1597" i="5"/>
  <c r="U1597" i="5"/>
  <c r="T1597" i="5"/>
  <c r="N1597" i="5"/>
  <c r="M1597" i="5"/>
  <c r="L1597" i="5"/>
  <c r="K1597" i="5"/>
  <c r="X1596" i="5"/>
  <c r="V1596" i="5"/>
  <c r="U1596" i="5"/>
  <c r="T1596" i="5"/>
  <c r="N1596" i="5"/>
  <c r="M1596" i="5"/>
  <c r="L1596" i="5"/>
  <c r="K1596" i="5"/>
  <c r="X1595" i="5"/>
  <c r="V1595" i="5"/>
  <c r="U1595" i="5"/>
  <c r="T1595" i="5"/>
  <c r="N1595" i="5"/>
  <c r="M1595" i="5"/>
  <c r="L1595" i="5"/>
  <c r="K1595" i="5"/>
  <c r="X1594" i="5"/>
  <c r="V1594" i="5"/>
  <c r="U1594" i="5"/>
  <c r="T1594" i="5"/>
  <c r="N1594" i="5"/>
  <c r="M1594" i="5"/>
  <c r="L1594" i="5"/>
  <c r="K1594" i="5"/>
  <c r="X1593" i="5"/>
  <c r="V1593" i="5"/>
  <c r="U1593" i="5"/>
  <c r="T1593" i="5"/>
  <c r="N1593" i="5"/>
  <c r="M1593" i="5"/>
  <c r="L1593" i="5"/>
  <c r="K1593" i="5"/>
  <c r="X1592" i="5"/>
  <c r="V1592" i="5"/>
  <c r="U1592" i="5"/>
  <c r="T1592" i="5"/>
  <c r="N1592" i="5"/>
  <c r="M1592" i="5"/>
  <c r="L1592" i="5"/>
  <c r="K1592" i="5"/>
  <c r="X1591" i="5"/>
  <c r="V1591" i="5"/>
  <c r="U1591" i="5"/>
  <c r="T1591" i="5"/>
  <c r="N1591" i="5"/>
  <c r="M1591" i="5"/>
  <c r="L1591" i="5"/>
  <c r="K1591" i="5"/>
  <c r="X1590" i="5"/>
  <c r="V1590" i="5"/>
  <c r="U1590" i="5"/>
  <c r="T1590" i="5"/>
  <c r="N1590" i="5"/>
  <c r="M1590" i="5"/>
  <c r="L1590" i="5"/>
  <c r="K1590" i="5"/>
  <c r="X1589" i="5"/>
  <c r="V1589" i="5"/>
  <c r="U1589" i="5"/>
  <c r="T1589" i="5"/>
  <c r="N1589" i="5"/>
  <c r="M1589" i="5"/>
  <c r="L1589" i="5"/>
  <c r="K1589" i="5"/>
  <c r="X1588" i="5"/>
  <c r="V1588" i="5"/>
  <c r="U1588" i="5"/>
  <c r="T1588" i="5"/>
  <c r="N1588" i="5"/>
  <c r="M1588" i="5"/>
  <c r="L1588" i="5"/>
  <c r="K1588" i="5"/>
  <c r="X1587" i="5"/>
  <c r="V1587" i="5"/>
  <c r="U1587" i="5"/>
  <c r="T1587" i="5"/>
  <c r="N1587" i="5"/>
  <c r="M1587" i="5"/>
  <c r="L1587" i="5"/>
  <c r="K1587" i="5"/>
  <c r="X1586" i="5"/>
  <c r="V1586" i="5"/>
  <c r="U1586" i="5"/>
  <c r="T1586" i="5"/>
  <c r="N1586" i="5"/>
  <c r="M1586" i="5"/>
  <c r="L1586" i="5"/>
  <c r="K1586" i="5"/>
  <c r="X1585" i="5"/>
  <c r="V1585" i="5"/>
  <c r="U1585" i="5"/>
  <c r="T1585" i="5"/>
  <c r="N1585" i="5"/>
  <c r="M1585" i="5"/>
  <c r="L1585" i="5"/>
  <c r="K1585" i="5"/>
  <c r="X1584" i="5"/>
  <c r="V1584" i="5"/>
  <c r="U1584" i="5"/>
  <c r="T1584" i="5"/>
  <c r="N1584" i="5"/>
  <c r="M1584" i="5"/>
  <c r="L1584" i="5"/>
  <c r="K1584" i="5"/>
  <c r="X1583" i="5"/>
  <c r="V1583" i="5"/>
  <c r="U1583" i="5"/>
  <c r="T1583" i="5"/>
  <c r="N1583" i="5"/>
  <c r="M1583" i="5"/>
  <c r="L1583" i="5"/>
  <c r="K1583" i="5"/>
  <c r="X1582" i="5"/>
  <c r="V1582" i="5"/>
  <c r="U1582" i="5"/>
  <c r="T1582" i="5"/>
  <c r="N1582" i="5"/>
  <c r="M1582" i="5"/>
  <c r="L1582" i="5"/>
  <c r="K1582" i="5"/>
  <c r="X1581" i="5"/>
  <c r="V1581" i="5"/>
  <c r="U1581" i="5"/>
  <c r="T1581" i="5"/>
  <c r="N1581" i="5"/>
  <c r="M1581" i="5"/>
  <c r="L1581" i="5"/>
  <c r="K1581" i="5"/>
  <c r="X1580" i="5"/>
  <c r="V1580" i="5"/>
  <c r="U1580" i="5"/>
  <c r="T1580" i="5"/>
  <c r="N1580" i="5"/>
  <c r="M1580" i="5"/>
  <c r="L1580" i="5"/>
  <c r="K1580" i="5"/>
  <c r="X1579" i="5"/>
  <c r="V1579" i="5"/>
  <c r="U1579" i="5"/>
  <c r="T1579" i="5"/>
  <c r="N1579" i="5"/>
  <c r="M1579" i="5"/>
  <c r="L1579" i="5"/>
  <c r="K1579" i="5"/>
  <c r="X1578" i="5"/>
  <c r="V1578" i="5"/>
  <c r="U1578" i="5"/>
  <c r="T1578" i="5"/>
  <c r="N1578" i="5"/>
  <c r="M1578" i="5"/>
  <c r="L1578" i="5"/>
  <c r="K1578" i="5"/>
  <c r="X1577" i="5"/>
  <c r="V1577" i="5"/>
  <c r="U1577" i="5"/>
  <c r="T1577" i="5"/>
  <c r="N1577" i="5"/>
  <c r="M1577" i="5"/>
  <c r="L1577" i="5"/>
  <c r="K1577" i="5"/>
  <c r="X1576" i="5"/>
  <c r="V1576" i="5"/>
  <c r="U1576" i="5"/>
  <c r="T1576" i="5"/>
  <c r="N1576" i="5"/>
  <c r="M1576" i="5"/>
  <c r="L1576" i="5"/>
  <c r="K1576" i="5"/>
  <c r="X1575" i="5"/>
  <c r="V1575" i="5"/>
  <c r="U1575" i="5"/>
  <c r="T1575" i="5"/>
  <c r="N1575" i="5"/>
  <c r="M1575" i="5"/>
  <c r="L1575" i="5"/>
  <c r="K1575" i="5"/>
  <c r="X1574" i="5"/>
  <c r="V1574" i="5"/>
  <c r="U1574" i="5"/>
  <c r="T1574" i="5"/>
  <c r="N1574" i="5"/>
  <c r="M1574" i="5"/>
  <c r="L1574" i="5"/>
  <c r="K1574" i="5"/>
  <c r="X1573" i="5"/>
  <c r="V1573" i="5"/>
  <c r="U1573" i="5"/>
  <c r="T1573" i="5"/>
  <c r="N1573" i="5"/>
  <c r="M1573" i="5"/>
  <c r="L1573" i="5"/>
  <c r="K1573" i="5"/>
  <c r="X1572" i="5"/>
  <c r="V1572" i="5"/>
  <c r="U1572" i="5"/>
  <c r="T1572" i="5"/>
  <c r="N1572" i="5"/>
  <c r="M1572" i="5"/>
  <c r="L1572" i="5"/>
  <c r="K1572" i="5"/>
  <c r="X1571" i="5"/>
  <c r="V1571" i="5"/>
  <c r="U1571" i="5"/>
  <c r="T1571" i="5"/>
  <c r="N1571" i="5"/>
  <c r="M1571" i="5"/>
  <c r="L1571" i="5"/>
  <c r="K1571" i="5"/>
  <c r="X1570" i="5"/>
  <c r="V1570" i="5"/>
  <c r="U1570" i="5"/>
  <c r="T1570" i="5"/>
  <c r="N1570" i="5"/>
  <c r="M1570" i="5"/>
  <c r="L1570" i="5"/>
  <c r="K1570" i="5"/>
  <c r="X1569" i="5"/>
  <c r="V1569" i="5"/>
  <c r="U1569" i="5"/>
  <c r="T1569" i="5"/>
  <c r="N1569" i="5"/>
  <c r="M1569" i="5"/>
  <c r="L1569" i="5"/>
  <c r="K1569" i="5"/>
  <c r="X1568" i="5"/>
  <c r="V1568" i="5"/>
  <c r="U1568" i="5"/>
  <c r="T1568" i="5"/>
  <c r="N1568" i="5"/>
  <c r="M1568" i="5"/>
  <c r="L1568" i="5"/>
  <c r="K1568" i="5"/>
  <c r="X1567" i="5"/>
  <c r="V1567" i="5"/>
  <c r="U1567" i="5"/>
  <c r="T1567" i="5"/>
  <c r="N1567" i="5"/>
  <c r="M1567" i="5"/>
  <c r="L1567" i="5"/>
  <c r="K1567" i="5"/>
  <c r="X1566" i="5"/>
  <c r="V1566" i="5"/>
  <c r="U1566" i="5"/>
  <c r="T1566" i="5"/>
  <c r="N1566" i="5"/>
  <c r="M1566" i="5"/>
  <c r="L1566" i="5"/>
  <c r="K1566" i="5"/>
  <c r="X1565" i="5"/>
  <c r="V1565" i="5"/>
  <c r="U1565" i="5"/>
  <c r="T1565" i="5"/>
  <c r="N1565" i="5"/>
  <c r="M1565" i="5"/>
  <c r="L1565" i="5"/>
  <c r="K1565" i="5"/>
  <c r="X1564" i="5"/>
  <c r="V1564" i="5"/>
  <c r="U1564" i="5"/>
  <c r="T1564" i="5"/>
  <c r="N1564" i="5"/>
  <c r="M1564" i="5"/>
  <c r="L1564" i="5"/>
  <c r="K1564" i="5"/>
  <c r="X1563" i="5"/>
  <c r="V1563" i="5"/>
  <c r="U1563" i="5"/>
  <c r="T1563" i="5"/>
  <c r="N1563" i="5"/>
  <c r="M1563" i="5"/>
  <c r="L1563" i="5"/>
  <c r="K1563" i="5"/>
  <c r="X1562" i="5"/>
  <c r="V1562" i="5"/>
  <c r="U1562" i="5"/>
  <c r="T1562" i="5"/>
  <c r="N1562" i="5"/>
  <c r="M1562" i="5"/>
  <c r="L1562" i="5"/>
  <c r="K1562" i="5"/>
  <c r="X1561" i="5"/>
  <c r="V1561" i="5"/>
  <c r="U1561" i="5"/>
  <c r="T1561" i="5"/>
  <c r="N1561" i="5"/>
  <c r="M1561" i="5"/>
  <c r="L1561" i="5"/>
  <c r="K1561" i="5"/>
  <c r="X1560" i="5"/>
  <c r="V1560" i="5"/>
  <c r="U1560" i="5"/>
  <c r="T1560" i="5"/>
  <c r="N1560" i="5"/>
  <c r="M1560" i="5"/>
  <c r="L1560" i="5"/>
  <c r="K1560" i="5"/>
  <c r="X1559" i="5"/>
  <c r="V1559" i="5"/>
  <c r="U1559" i="5"/>
  <c r="T1559" i="5"/>
  <c r="N1559" i="5"/>
  <c r="M1559" i="5"/>
  <c r="L1559" i="5"/>
  <c r="K1559" i="5"/>
  <c r="X1558" i="5"/>
  <c r="V1558" i="5"/>
  <c r="U1558" i="5"/>
  <c r="T1558" i="5"/>
  <c r="N1558" i="5"/>
  <c r="M1558" i="5"/>
  <c r="L1558" i="5"/>
  <c r="K1558" i="5"/>
  <c r="X1557" i="5"/>
  <c r="V1557" i="5"/>
  <c r="U1557" i="5"/>
  <c r="T1557" i="5"/>
  <c r="N1557" i="5"/>
  <c r="M1557" i="5"/>
  <c r="L1557" i="5"/>
  <c r="K1557" i="5"/>
  <c r="X1556" i="5"/>
  <c r="V1556" i="5"/>
  <c r="U1556" i="5"/>
  <c r="T1556" i="5"/>
  <c r="N1556" i="5"/>
  <c r="M1556" i="5"/>
  <c r="L1556" i="5"/>
  <c r="K1556" i="5"/>
  <c r="X1555" i="5"/>
  <c r="V1555" i="5"/>
  <c r="U1555" i="5"/>
  <c r="T1555" i="5"/>
  <c r="N1555" i="5"/>
  <c r="M1555" i="5"/>
  <c r="L1555" i="5"/>
  <c r="K1555" i="5"/>
  <c r="X1554" i="5"/>
  <c r="V1554" i="5"/>
  <c r="U1554" i="5"/>
  <c r="T1554" i="5"/>
  <c r="N1554" i="5"/>
  <c r="M1554" i="5"/>
  <c r="L1554" i="5"/>
  <c r="K1554" i="5"/>
  <c r="X1553" i="5"/>
  <c r="V1553" i="5"/>
  <c r="U1553" i="5"/>
  <c r="T1553" i="5"/>
  <c r="N1553" i="5"/>
  <c r="M1553" i="5"/>
  <c r="L1553" i="5"/>
  <c r="K1553" i="5"/>
  <c r="X1552" i="5"/>
  <c r="V1552" i="5"/>
  <c r="U1552" i="5"/>
  <c r="T1552" i="5"/>
  <c r="N1552" i="5"/>
  <c r="M1552" i="5"/>
  <c r="L1552" i="5"/>
  <c r="K1552" i="5"/>
  <c r="X1551" i="5"/>
  <c r="V1551" i="5"/>
  <c r="U1551" i="5"/>
  <c r="T1551" i="5"/>
  <c r="N1551" i="5"/>
  <c r="M1551" i="5"/>
  <c r="L1551" i="5"/>
  <c r="K1551" i="5"/>
  <c r="X1550" i="5"/>
  <c r="V1550" i="5"/>
  <c r="U1550" i="5"/>
  <c r="T1550" i="5"/>
  <c r="N1550" i="5"/>
  <c r="M1550" i="5"/>
  <c r="L1550" i="5"/>
  <c r="K1550" i="5"/>
  <c r="X1549" i="5"/>
  <c r="V1549" i="5"/>
  <c r="U1549" i="5"/>
  <c r="T1549" i="5"/>
  <c r="N1549" i="5"/>
  <c r="M1549" i="5"/>
  <c r="L1549" i="5"/>
  <c r="K1549" i="5"/>
  <c r="X1548" i="5"/>
  <c r="V1548" i="5"/>
  <c r="U1548" i="5"/>
  <c r="T1548" i="5"/>
  <c r="N1548" i="5"/>
  <c r="M1548" i="5"/>
  <c r="L1548" i="5"/>
  <c r="K1548" i="5"/>
  <c r="X1547" i="5"/>
  <c r="V1547" i="5"/>
  <c r="U1547" i="5"/>
  <c r="T1547" i="5"/>
  <c r="N1547" i="5"/>
  <c r="M1547" i="5"/>
  <c r="L1547" i="5"/>
  <c r="K1547" i="5"/>
  <c r="X1546" i="5"/>
  <c r="V1546" i="5"/>
  <c r="U1546" i="5"/>
  <c r="T1546" i="5"/>
  <c r="N1546" i="5"/>
  <c r="M1546" i="5"/>
  <c r="L1546" i="5"/>
  <c r="K1546" i="5"/>
  <c r="X1545" i="5"/>
  <c r="V1545" i="5"/>
  <c r="U1545" i="5"/>
  <c r="T1545" i="5"/>
  <c r="N1545" i="5"/>
  <c r="M1545" i="5"/>
  <c r="L1545" i="5"/>
  <c r="K1545" i="5"/>
  <c r="X1544" i="5"/>
  <c r="V1544" i="5"/>
  <c r="U1544" i="5"/>
  <c r="T1544" i="5"/>
  <c r="N1544" i="5"/>
  <c r="M1544" i="5"/>
  <c r="L1544" i="5"/>
  <c r="K1544" i="5"/>
  <c r="X1543" i="5"/>
  <c r="V1543" i="5"/>
  <c r="U1543" i="5"/>
  <c r="T1543" i="5"/>
  <c r="N1543" i="5"/>
  <c r="M1543" i="5"/>
  <c r="L1543" i="5"/>
  <c r="K1543" i="5"/>
  <c r="X1542" i="5"/>
  <c r="V1542" i="5"/>
  <c r="U1542" i="5"/>
  <c r="T1542" i="5"/>
  <c r="N1542" i="5"/>
  <c r="M1542" i="5"/>
  <c r="L1542" i="5"/>
  <c r="K1542" i="5"/>
  <c r="X1541" i="5"/>
  <c r="V1541" i="5"/>
  <c r="U1541" i="5"/>
  <c r="T1541" i="5"/>
  <c r="N1541" i="5"/>
  <c r="M1541" i="5"/>
  <c r="L1541" i="5"/>
  <c r="K1541" i="5"/>
  <c r="X1540" i="5"/>
  <c r="V1540" i="5"/>
  <c r="U1540" i="5"/>
  <c r="T1540" i="5"/>
  <c r="N1540" i="5"/>
  <c r="M1540" i="5"/>
  <c r="L1540" i="5"/>
  <c r="K1540" i="5"/>
  <c r="X1539" i="5"/>
  <c r="V1539" i="5"/>
  <c r="U1539" i="5"/>
  <c r="T1539" i="5"/>
  <c r="N1539" i="5"/>
  <c r="M1539" i="5"/>
  <c r="L1539" i="5"/>
  <c r="K1539" i="5"/>
  <c r="X1538" i="5"/>
  <c r="V1538" i="5"/>
  <c r="U1538" i="5"/>
  <c r="T1538" i="5"/>
  <c r="N1538" i="5"/>
  <c r="M1538" i="5"/>
  <c r="L1538" i="5"/>
  <c r="K1538" i="5"/>
  <c r="X1537" i="5"/>
  <c r="V1537" i="5"/>
  <c r="U1537" i="5"/>
  <c r="T1537" i="5"/>
  <c r="N1537" i="5"/>
  <c r="M1537" i="5"/>
  <c r="L1537" i="5"/>
  <c r="K1537" i="5"/>
  <c r="X1536" i="5"/>
  <c r="V1536" i="5"/>
  <c r="U1536" i="5"/>
  <c r="T1536" i="5"/>
  <c r="N1536" i="5"/>
  <c r="M1536" i="5"/>
  <c r="L1536" i="5"/>
  <c r="K1536" i="5"/>
  <c r="X1535" i="5"/>
  <c r="V1535" i="5"/>
  <c r="U1535" i="5"/>
  <c r="T1535" i="5"/>
  <c r="N1535" i="5"/>
  <c r="M1535" i="5"/>
  <c r="L1535" i="5"/>
  <c r="K1535" i="5"/>
  <c r="X1534" i="5"/>
  <c r="V1534" i="5"/>
  <c r="U1534" i="5"/>
  <c r="T1534" i="5"/>
  <c r="N1534" i="5"/>
  <c r="M1534" i="5"/>
  <c r="L1534" i="5"/>
  <c r="K1534" i="5"/>
  <c r="X1533" i="5"/>
  <c r="V1533" i="5"/>
  <c r="U1533" i="5"/>
  <c r="T1533" i="5"/>
  <c r="N1533" i="5"/>
  <c r="M1533" i="5"/>
  <c r="L1533" i="5"/>
  <c r="K1533" i="5"/>
  <c r="X1532" i="5"/>
  <c r="V1532" i="5"/>
  <c r="U1532" i="5"/>
  <c r="T1532" i="5"/>
  <c r="N1532" i="5"/>
  <c r="M1532" i="5"/>
  <c r="L1532" i="5"/>
  <c r="K1532" i="5"/>
  <c r="X1531" i="5"/>
  <c r="V1531" i="5"/>
  <c r="U1531" i="5"/>
  <c r="T1531" i="5"/>
  <c r="N1531" i="5"/>
  <c r="M1531" i="5"/>
  <c r="L1531" i="5"/>
  <c r="K1531" i="5"/>
  <c r="X1530" i="5"/>
  <c r="V1530" i="5"/>
  <c r="U1530" i="5"/>
  <c r="T1530" i="5"/>
  <c r="N1530" i="5"/>
  <c r="M1530" i="5"/>
  <c r="L1530" i="5"/>
  <c r="K1530" i="5"/>
  <c r="X1529" i="5"/>
  <c r="V1529" i="5"/>
  <c r="U1529" i="5"/>
  <c r="T1529" i="5"/>
  <c r="N1529" i="5"/>
  <c r="M1529" i="5"/>
  <c r="L1529" i="5"/>
  <c r="K1529" i="5"/>
  <c r="X1528" i="5"/>
  <c r="V1528" i="5"/>
  <c r="U1528" i="5"/>
  <c r="T1528" i="5"/>
  <c r="N1528" i="5"/>
  <c r="M1528" i="5"/>
  <c r="L1528" i="5"/>
  <c r="K1528" i="5"/>
  <c r="X1527" i="5"/>
  <c r="V1527" i="5"/>
  <c r="U1527" i="5"/>
  <c r="T1527" i="5"/>
  <c r="N1527" i="5"/>
  <c r="M1527" i="5"/>
  <c r="L1527" i="5"/>
  <c r="K1527" i="5"/>
  <c r="X1526" i="5"/>
  <c r="V1526" i="5"/>
  <c r="U1526" i="5"/>
  <c r="T1526" i="5"/>
  <c r="N1526" i="5"/>
  <c r="M1526" i="5"/>
  <c r="L1526" i="5"/>
  <c r="K1526" i="5"/>
  <c r="X1525" i="5"/>
  <c r="V1525" i="5"/>
  <c r="U1525" i="5"/>
  <c r="T1525" i="5"/>
  <c r="N1525" i="5"/>
  <c r="M1525" i="5"/>
  <c r="L1525" i="5"/>
  <c r="K1525" i="5"/>
  <c r="X1524" i="5"/>
  <c r="V1524" i="5"/>
  <c r="U1524" i="5"/>
  <c r="T1524" i="5"/>
  <c r="N1524" i="5"/>
  <c r="M1524" i="5"/>
  <c r="L1524" i="5"/>
  <c r="K1524" i="5"/>
  <c r="X1523" i="5"/>
  <c r="V1523" i="5"/>
  <c r="U1523" i="5"/>
  <c r="T1523" i="5"/>
  <c r="N1523" i="5"/>
  <c r="M1523" i="5"/>
  <c r="L1523" i="5"/>
  <c r="K1523" i="5"/>
  <c r="X1522" i="5"/>
  <c r="V1522" i="5"/>
  <c r="U1522" i="5"/>
  <c r="T1522" i="5"/>
  <c r="N1522" i="5"/>
  <c r="M1522" i="5"/>
  <c r="L1522" i="5"/>
  <c r="K1522" i="5"/>
  <c r="X1521" i="5"/>
  <c r="V1521" i="5"/>
  <c r="U1521" i="5"/>
  <c r="T1521" i="5"/>
  <c r="N1521" i="5"/>
  <c r="M1521" i="5"/>
  <c r="L1521" i="5"/>
  <c r="K1521" i="5"/>
  <c r="X1520" i="5"/>
  <c r="V1520" i="5"/>
  <c r="U1520" i="5"/>
  <c r="T1520" i="5"/>
  <c r="N1520" i="5"/>
  <c r="M1520" i="5"/>
  <c r="L1520" i="5"/>
  <c r="K1520" i="5"/>
  <c r="X1519" i="5"/>
  <c r="V1519" i="5"/>
  <c r="U1519" i="5"/>
  <c r="T1519" i="5"/>
  <c r="N1519" i="5"/>
  <c r="M1519" i="5"/>
  <c r="L1519" i="5"/>
  <c r="K1519" i="5"/>
  <c r="X1518" i="5"/>
  <c r="V1518" i="5"/>
  <c r="U1518" i="5"/>
  <c r="T1518" i="5"/>
  <c r="N1518" i="5"/>
  <c r="M1518" i="5"/>
  <c r="L1518" i="5"/>
  <c r="K1518" i="5"/>
  <c r="X1517" i="5"/>
  <c r="V1517" i="5"/>
  <c r="U1517" i="5"/>
  <c r="T1517" i="5"/>
  <c r="N1517" i="5"/>
  <c r="M1517" i="5"/>
  <c r="L1517" i="5"/>
  <c r="K1517" i="5"/>
  <c r="X1516" i="5"/>
  <c r="V1516" i="5"/>
  <c r="U1516" i="5"/>
  <c r="T1516" i="5"/>
  <c r="N1516" i="5"/>
  <c r="M1516" i="5"/>
  <c r="L1516" i="5"/>
  <c r="K1516" i="5"/>
  <c r="X1515" i="5"/>
  <c r="V1515" i="5"/>
  <c r="U1515" i="5"/>
  <c r="T1515" i="5"/>
  <c r="N1515" i="5"/>
  <c r="M1515" i="5"/>
  <c r="L1515" i="5"/>
  <c r="K1515" i="5"/>
  <c r="X1514" i="5"/>
  <c r="V1514" i="5"/>
  <c r="U1514" i="5"/>
  <c r="T1514" i="5"/>
  <c r="N1514" i="5"/>
  <c r="M1514" i="5"/>
  <c r="L1514" i="5"/>
  <c r="K1514" i="5"/>
  <c r="X1513" i="5"/>
  <c r="V1513" i="5"/>
  <c r="U1513" i="5"/>
  <c r="T1513" i="5"/>
  <c r="N1513" i="5"/>
  <c r="M1513" i="5"/>
  <c r="L1513" i="5"/>
  <c r="K1513" i="5"/>
  <c r="X1512" i="5"/>
  <c r="V1512" i="5"/>
  <c r="U1512" i="5"/>
  <c r="T1512" i="5"/>
  <c r="N1512" i="5"/>
  <c r="M1512" i="5"/>
  <c r="L1512" i="5"/>
  <c r="K1512" i="5"/>
  <c r="X1511" i="5"/>
  <c r="V1511" i="5"/>
  <c r="U1511" i="5"/>
  <c r="T1511" i="5"/>
  <c r="N1511" i="5"/>
  <c r="M1511" i="5"/>
  <c r="L1511" i="5"/>
  <c r="K1511" i="5"/>
  <c r="X1510" i="5"/>
  <c r="V1510" i="5"/>
  <c r="U1510" i="5"/>
  <c r="T1510" i="5"/>
  <c r="N1510" i="5"/>
  <c r="M1510" i="5"/>
  <c r="L1510" i="5"/>
  <c r="K1510" i="5"/>
  <c r="X1509" i="5"/>
  <c r="V1509" i="5"/>
  <c r="U1509" i="5"/>
  <c r="T1509" i="5"/>
  <c r="N1509" i="5"/>
  <c r="M1509" i="5"/>
  <c r="L1509" i="5"/>
  <c r="K1509" i="5"/>
  <c r="X1508" i="5"/>
  <c r="V1508" i="5"/>
  <c r="U1508" i="5"/>
  <c r="T1508" i="5"/>
  <c r="N1508" i="5"/>
  <c r="M1508" i="5"/>
  <c r="L1508" i="5"/>
  <c r="K1508" i="5"/>
  <c r="X1507" i="5"/>
  <c r="V1507" i="5"/>
  <c r="U1507" i="5"/>
  <c r="T1507" i="5"/>
  <c r="N1507" i="5"/>
  <c r="M1507" i="5"/>
  <c r="L1507" i="5"/>
  <c r="K1507" i="5"/>
  <c r="X1506" i="5"/>
  <c r="V1506" i="5"/>
  <c r="U1506" i="5"/>
  <c r="T1506" i="5"/>
  <c r="N1506" i="5"/>
  <c r="M1506" i="5"/>
  <c r="L1506" i="5"/>
  <c r="K1506" i="5"/>
  <c r="X1505" i="5"/>
  <c r="V1505" i="5"/>
  <c r="U1505" i="5"/>
  <c r="T1505" i="5"/>
  <c r="N1505" i="5"/>
  <c r="M1505" i="5"/>
  <c r="L1505" i="5"/>
  <c r="K1505" i="5"/>
  <c r="X1504" i="5"/>
  <c r="V1504" i="5"/>
  <c r="U1504" i="5"/>
  <c r="T1504" i="5"/>
  <c r="N1504" i="5"/>
  <c r="M1504" i="5"/>
  <c r="L1504" i="5"/>
  <c r="K1504" i="5"/>
  <c r="X1503" i="5"/>
  <c r="V1503" i="5"/>
  <c r="U1503" i="5"/>
  <c r="T1503" i="5"/>
  <c r="N1503" i="5"/>
  <c r="M1503" i="5"/>
  <c r="L1503" i="5"/>
  <c r="K1503" i="5"/>
  <c r="X1502" i="5"/>
  <c r="V1502" i="5"/>
  <c r="U1502" i="5"/>
  <c r="T1502" i="5"/>
  <c r="N1502" i="5"/>
  <c r="M1502" i="5"/>
  <c r="L1502" i="5"/>
  <c r="K1502" i="5"/>
  <c r="X1501" i="5"/>
  <c r="V1501" i="5"/>
  <c r="U1501" i="5"/>
  <c r="T1501" i="5"/>
  <c r="N1501" i="5"/>
  <c r="M1501" i="5"/>
  <c r="L1501" i="5"/>
  <c r="K1501" i="5"/>
  <c r="X1500" i="5"/>
  <c r="V1500" i="5"/>
  <c r="U1500" i="5"/>
  <c r="T1500" i="5"/>
  <c r="N1500" i="5"/>
  <c r="M1500" i="5"/>
  <c r="L1500" i="5"/>
  <c r="K1500" i="5"/>
  <c r="X1499" i="5"/>
  <c r="V1499" i="5"/>
  <c r="U1499" i="5"/>
  <c r="T1499" i="5"/>
  <c r="N1499" i="5"/>
  <c r="M1499" i="5"/>
  <c r="L1499" i="5"/>
  <c r="K1499" i="5"/>
  <c r="X1498" i="5"/>
  <c r="V1498" i="5"/>
  <c r="U1498" i="5"/>
  <c r="T1498" i="5"/>
  <c r="N1498" i="5"/>
  <c r="M1498" i="5"/>
  <c r="L1498" i="5"/>
  <c r="K1498" i="5"/>
  <c r="X1497" i="5"/>
  <c r="V1497" i="5"/>
  <c r="U1497" i="5"/>
  <c r="T1497" i="5"/>
  <c r="N1497" i="5"/>
  <c r="M1497" i="5"/>
  <c r="L1497" i="5"/>
  <c r="K1497" i="5"/>
  <c r="X1496" i="5"/>
  <c r="V1496" i="5"/>
  <c r="U1496" i="5"/>
  <c r="T1496" i="5"/>
  <c r="N1496" i="5"/>
  <c r="M1496" i="5"/>
  <c r="L1496" i="5"/>
  <c r="K1496" i="5"/>
  <c r="X1495" i="5"/>
  <c r="V1495" i="5"/>
  <c r="U1495" i="5"/>
  <c r="T1495" i="5"/>
  <c r="N1495" i="5"/>
  <c r="M1495" i="5"/>
  <c r="L1495" i="5"/>
  <c r="K1495" i="5"/>
  <c r="X1494" i="5"/>
  <c r="V1494" i="5"/>
  <c r="U1494" i="5"/>
  <c r="T1494" i="5"/>
  <c r="N1494" i="5"/>
  <c r="M1494" i="5"/>
  <c r="L1494" i="5"/>
  <c r="K1494" i="5"/>
  <c r="X1493" i="5"/>
  <c r="V1493" i="5"/>
  <c r="U1493" i="5"/>
  <c r="T1493" i="5"/>
  <c r="N1493" i="5"/>
  <c r="M1493" i="5"/>
  <c r="L1493" i="5"/>
  <c r="K1493" i="5"/>
  <c r="X1492" i="5"/>
  <c r="V1492" i="5"/>
  <c r="U1492" i="5"/>
  <c r="T1492" i="5"/>
  <c r="N1492" i="5"/>
  <c r="M1492" i="5"/>
  <c r="L1492" i="5"/>
  <c r="K1492" i="5"/>
  <c r="X1491" i="5"/>
  <c r="V1491" i="5"/>
  <c r="U1491" i="5"/>
  <c r="T1491" i="5"/>
  <c r="N1491" i="5"/>
  <c r="M1491" i="5"/>
  <c r="L1491" i="5"/>
  <c r="K1491" i="5"/>
  <c r="X1490" i="5"/>
  <c r="V1490" i="5"/>
  <c r="U1490" i="5"/>
  <c r="T1490" i="5"/>
  <c r="N1490" i="5"/>
  <c r="M1490" i="5"/>
  <c r="L1490" i="5"/>
  <c r="K1490" i="5"/>
  <c r="X1489" i="5"/>
  <c r="V1489" i="5"/>
  <c r="U1489" i="5"/>
  <c r="T1489" i="5"/>
  <c r="N1489" i="5"/>
  <c r="M1489" i="5"/>
  <c r="L1489" i="5"/>
  <c r="K1489" i="5"/>
  <c r="X1488" i="5"/>
  <c r="V1488" i="5"/>
  <c r="U1488" i="5"/>
  <c r="T1488" i="5"/>
  <c r="N1488" i="5"/>
  <c r="M1488" i="5"/>
  <c r="L1488" i="5"/>
  <c r="K1488" i="5"/>
  <c r="X1487" i="5"/>
  <c r="V1487" i="5"/>
  <c r="U1487" i="5"/>
  <c r="T1487" i="5"/>
  <c r="N1487" i="5"/>
  <c r="M1487" i="5"/>
  <c r="L1487" i="5"/>
  <c r="K1487" i="5"/>
  <c r="X1486" i="5"/>
  <c r="V1486" i="5"/>
  <c r="U1486" i="5"/>
  <c r="T1486" i="5"/>
  <c r="N1486" i="5"/>
  <c r="M1486" i="5"/>
  <c r="L1486" i="5"/>
  <c r="K1486" i="5"/>
  <c r="X1485" i="5"/>
  <c r="V1485" i="5"/>
  <c r="U1485" i="5"/>
  <c r="T1485" i="5"/>
  <c r="N1485" i="5"/>
  <c r="M1485" i="5"/>
  <c r="L1485" i="5"/>
  <c r="K1485" i="5"/>
  <c r="X1484" i="5"/>
  <c r="V1484" i="5"/>
  <c r="U1484" i="5"/>
  <c r="T1484" i="5"/>
  <c r="N1484" i="5"/>
  <c r="M1484" i="5"/>
  <c r="L1484" i="5"/>
  <c r="K1484" i="5"/>
  <c r="X1483" i="5"/>
  <c r="V1483" i="5"/>
  <c r="U1483" i="5"/>
  <c r="T1483" i="5"/>
  <c r="N1483" i="5"/>
  <c r="M1483" i="5"/>
  <c r="L1483" i="5"/>
  <c r="K1483" i="5"/>
  <c r="X1482" i="5"/>
  <c r="V1482" i="5"/>
  <c r="U1482" i="5"/>
  <c r="T1482" i="5"/>
  <c r="N1482" i="5"/>
  <c r="M1482" i="5"/>
  <c r="L1482" i="5"/>
  <c r="K1482" i="5"/>
  <c r="X1481" i="5"/>
  <c r="V1481" i="5"/>
  <c r="U1481" i="5"/>
  <c r="T1481" i="5"/>
  <c r="N1481" i="5"/>
  <c r="M1481" i="5"/>
  <c r="L1481" i="5"/>
  <c r="K1481" i="5"/>
  <c r="X1480" i="5"/>
  <c r="V1480" i="5"/>
  <c r="U1480" i="5"/>
  <c r="T1480" i="5"/>
  <c r="N1480" i="5"/>
  <c r="M1480" i="5"/>
  <c r="L1480" i="5"/>
  <c r="K1480" i="5"/>
  <c r="X1479" i="5"/>
  <c r="V1479" i="5"/>
  <c r="U1479" i="5"/>
  <c r="T1479" i="5"/>
  <c r="N1479" i="5"/>
  <c r="M1479" i="5"/>
  <c r="L1479" i="5"/>
  <c r="K1479" i="5"/>
  <c r="X1478" i="5"/>
  <c r="V1478" i="5"/>
  <c r="U1478" i="5"/>
  <c r="T1478" i="5"/>
  <c r="N1478" i="5"/>
  <c r="M1478" i="5"/>
  <c r="L1478" i="5"/>
  <c r="K1478" i="5"/>
  <c r="X1477" i="5"/>
  <c r="V1477" i="5"/>
  <c r="U1477" i="5"/>
  <c r="T1477" i="5"/>
  <c r="N1477" i="5"/>
  <c r="M1477" i="5"/>
  <c r="L1477" i="5"/>
  <c r="K1477" i="5"/>
  <c r="X1476" i="5"/>
  <c r="V1476" i="5"/>
  <c r="U1476" i="5"/>
  <c r="T1476" i="5"/>
  <c r="N1476" i="5"/>
  <c r="M1476" i="5"/>
  <c r="L1476" i="5"/>
  <c r="K1476" i="5"/>
  <c r="X1475" i="5"/>
  <c r="V1475" i="5"/>
  <c r="U1475" i="5"/>
  <c r="T1475" i="5"/>
  <c r="N1475" i="5"/>
  <c r="M1475" i="5"/>
  <c r="L1475" i="5"/>
  <c r="K1475" i="5"/>
  <c r="X1474" i="5"/>
  <c r="V1474" i="5"/>
  <c r="U1474" i="5"/>
  <c r="T1474" i="5"/>
  <c r="N1474" i="5"/>
  <c r="M1474" i="5"/>
  <c r="L1474" i="5"/>
  <c r="K1474" i="5"/>
  <c r="X1473" i="5"/>
  <c r="V1473" i="5"/>
  <c r="U1473" i="5"/>
  <c r="T1473" i="5"/>
  <c r="N1473" i="5"/>
  <c r="M1473" i="5"/>
  <c r="L1473" i="5"/>
  <c r="K1473" i="5"/>
  <c r="X1472" i="5"/>
  <c r="V1472" i="5"/>
  <c r="U1472" i="5"/>
  <c r="T1472" i="5"/>
  <c r="N1472" i="5"/>
  <c r="M1472" i="5"/>
  <c r="L1472" i="5"/>
  <c r="K1472" i="5"/>
  <c r="X1471" i="5"/>
  <c r="V1471" i="5"/>
  <c r="U1471" i="5"/>
  <c r="T1471" i="5"/>
  <c r="N1471" i="5"/>
  <c r="M1471" i="5"/>
  <c r="L1471" i="5"/>
  <c r="K1471" i="5"/>
  <c r="X1470" i="5"/>
  <c r="V1470" i="5"/>
  <c r="U1470" i="5"/>
  <c r="T1470" i="5"/>
  <c r="N1470" i="5"/>
  <c r="M1470" i="5"/>
  <c r="L1470" i="5"/>
  <c r="K1470" i="5"/>
  <c r="X1469" i="5"/>
  <c r="V1469" i="5"/>
  <c r="U1469" i="5"/>
  <c r="T1469" i="5"/>
  <c r="N1469" i="5"/>
  <c r="M1469" i="5"/>
  <c r="L1469" i="5"/>
  <c r="K1469" i="5"/>
  <c r="X1468" i="5"/>
  <c r="V1468" i="5"/>
  <c r="U1468" i="5"/>
  <c r="T1468" i="5"/>
  <c r="N1468" i="5"/>
  <c r="M1468" i="5"/>
  <c r="L1468" i="5"/>
  <c r="K1468" i="5"/>
  <c r="X1467" i="5"/>
  <c r="V1467" i="5"/>
  <c r="U1467" i="5"/>
  <c r="T1467" i="5"/>
  <c r="N1467" i="5"/>
  <c r="M1467" i="5"/>
  <c r="L1467" i="5"/>
  <c r="K1467" i="5"/>
  <c r="X1466" i="5"/>
  <c r="V1466" i="5"/>
  <c r="U1466" i="5"/>
  <c r="T1466" i="5"/>
  <c r="N1466" i="5"/>
  <c r="M1466" i="5"/>
  <c r="L1466" i="5"/>
  <c r="K1466" i="5"/>
  <c r="X1465" i="5"/>
  <c r="V1465" i="5"/>
  <c r="U1465" i="5"/>
  <c r="T1465" i="5"/>
  <c r="N1465" i="5"/>
  <c r="M1465" i="5"/>
  <c r="L1465" i="5"/>
  <c r="K1465" i="5"/>
  <c r="X1464" i="5"/>
  <c r="V1464" i="5"/>
  <c r="U1464" i="5"/>
  <c r="T1464" i="5"/>
  <c r="N1464" i="5"/>
  <c r="M1464" i="5"/>
  <c r="L1464" i="5"/>
  <c r="K1464" i="5"/>
  <c r="X1463" i="5"/>
  <c r="V1463" i="5"/>
  <c r="U1463" i="5"/>
  <c r="T1463" i="5"/>
  <c r="N1463" i="5"/>
  <c r="M1463" i="5"/>
  <c r="L1463" i="5"/>
  <c r="K1463" i="5"/>
  <c r="X1462" i="5"/>
  <c r="V1462" i="5"/>
  <c r="U1462" i="5"/>
  <c r="T1462" i="5"/>
  <c r="N1462" i="5"/>
  <c r="M1462" i="5"/>
  <c r="L1462" i="5"/>
  <c r="K1462" i="5"/>
  <c r="X1461" i="5"/>
  <c r="V1461" i="5"/>
  <c r="U1461" i="5"/>
  <c r="T1461" i="5"/>
  <c r="N1461" i="5"/>
  <c r="M1461" i="5"/>
  <c r="L1461" i="5"/>
  <c r="K1461" i="5"/>
  <c r="X1460" i="5"/>
  <c r="V1460" i="5"/>
  <c r="U1460" i="5"/>
  <c r="T1460" i="5"/>
  <c r="N1460" i="5"/>
  <c r="M1460" i="5"/>
  <c r="L1460" i="5"/>
  <c r="K1460" i="5"/>
  <c r="X1459" i="5"/>
  <c r="V1459" i="5"/>
  <c r="U1459" i="5"/>
  <c r="T1459" i="5"/>
  <c r="N1459" i="5"/>
  <c r="M1459" i="5"/>
  <c r="L1459" i="5"/>
  <c r="K1459" i="5"/>
  <c r="X1458" i="5"/>
  <c r="V1458" i="5"/>
  <c r="U1458" i="5"/>
  <c r="T1458" i="5"/>
  <c r="N1458" i="5"/>
  <c r="M1458" i="5"/>
  <c r="L1458" i="5"/>
  <c r="K1458" i="5"/>
  <c r="X1457" i="5"/>
  <c r="V1457" i="5"/>
  <c r="U1457" i="5"/>
  <c r="T1457" i="5"/>
  <c r="N1457" i="5"/>
  <c r="M1457" i="5"/>
  <c r="L1457" i="5"/>
  <c r="K1457" i="5"/>
  <c r="X1456" i="5"/>
  <c r="V1456" i="5"/>
  <c r="U1456" i="5"/>
  <c r="T1456" i="5"/>
  <c r="N1456" i="5"/>
  <c r="M1456" i="5"/>
  <c r="L1456" i="5"/>
  <c r="K1456" i="5"/>
  <c r="X1455" i="5"/>
  <c r="V1455" i="5"/>
  <c r="U1455" i="5"/>
  <c r="T1455" i="5"/>
  <c r="N1455" i="5"/>
  <c r="M1455" i="5"/>
  <c r="L1455" i="5"/>
  <c r="K1455" i="5"/>
  <c r="X1454" i="5"/>
  <c r="V1454" i="5"/>
  <c r="U1454" i="5"/>
  <c r="T1454" i="5"/>
  <c r="N1454" i="5"/>
  <c r="M1454" i="5"/>
  <c r="L1454" i="5"/>
  <c r="K1454" i="5"/>
  <c r="X1453" i="5"/>
  <c r="V1453" i="5"/>
  <c r="U1453" i="5"/>
  <c r="T1453" i="5"/>
  <c r="N1453" i="5"/>
  <c r="M1453" i="5"/>
  <c r="L1453" i="5"/>
  <c r="K1453" i="5"/>
  <c r="X1452" i="5"/>
  <c r="V1452" i="5"/>
  <c r="U1452" i="5"/>
  <c r="T1452" i="5"/>
  <c r="N1452" i="5"/>
  <c r="M1452" i="5"/>
  <c r="L1452" i="5"/>
  <c r="K1452" i="5"/>
  <c r="X1451" i="5"/>
  <c r="V1451" i="5"/>
  <c r="U1451" i="5"/>
  <c r="T1451" i="5"/>
  <c r="N1451" i="5"/>
  <c r="M1451" i="5"/>
  <c r="L1451" i="5"/>
  <c r="K1451" i="5"/>
  <c r="X1450" i="5"/>
  <c r="V1450" i="5"/>
  <c r="U1450" i="5"/>
  <c r="T1450" i="5"/>
  <c r="N1450" i="5"/>
  <c r="M1450" i="5"/>
  <c r="L1450" i="5"/>
  <c r="K1450" i="5"/>
  <c r="X1449" i="5"/>
  <c r="V1449" i="5"/>
  <c r="U1449" i="5"/>
  <c r="T1449" i="5"/>
  <c r="N1449" i="5"/>
  <c r="M1449" i="5"/>
  <c r="L1449" i="5"/>
  <c r="K1449" i="5"/>
  <c r="X1448" i="5"/>
  <c r="V1448" i="5"/>
  <c r="U1448" i="5"/>
  <c r="T1448" i="5"/>
  <c r="N1448" i="5"/>
  <c r="M1448" i="5"/>
  <c r="L1448" i="5"/>
  <c r="K1448" i="5"/>
  <c r="X1447" i="5"/>
  <c r="V1447" i="5"/>
  <c r="U1447" i="5"/>
  <c r="T1447" i="5"/>
  <c r="N1447" i="5"/>
  <c r="M1447" i="5"/>
  <c r="L1447" i="5"/>
  <c r="K1447" i="5"/>
  <c r="X1446" i="5"/>
  <c r="V1446" i="5"/>
  <c r="U1446" i="5"/>
  <c r="T1446" i="5"/>
  <c r="N1446" i="5"/>
  <c r="M1446" i="5"/>
  <c r="L1446" i="5"/>
  <c r="K1446" i="5"/>
  <c r="X1445" i="5"/>
  <c r="V1445" i="5"/>
  <c r="U1445" i="5"/>
  <c r="T1445" i="5"/>
  <c r="N1445" i="5"/>
  <c r="M1445" i="5"/>
  <c r="L1445" i="5"/>
  <c r="K1445" i="5"/>
  <c r="X1444" i="5"/>
  <c r="V1444" i="5"/>
  <c r="U1444" i="5"/>
  <c r="T1444" i="5"/>
  <c r="N1444" i="5"/>
  <c r="M1444" i="5"/>
  <c r="L1444" i="5"/>
  <c r="K1444" i="5"/>
  <c r="X1443" i="5"/>
  <c r="V1443" i="5"/>
  <c r="U1443" i="5"/>
  <c r="T1443" i="5"/>
  <c r="N1443" i="5"/>
  <c r="M1443" i="5"/>
  <c r="L1443" i="5"/>
  <c r="K1443" i="5"/>
  <c r="X1442" i="5"/>
  <c r="V1442" i="5"/>
  <c r="U1442" i="5"/>
  <c r="T1442" i="5"/>
  <c r="N1442" i="5"/>
  <c r="M1442" i="5"/>
  <c r="L1442" i="5"/>
  <c r="K1442" i="5"/>
  <c r="X1441" i="5"/>
  <c r="V1441" i="5"/>
  <c r="U1441" i="5"/>
  <c r="T1441" i="5"/>
  <c r="N1441" i="5"/>
  <c r="M1441" i="5"/>
  <c r="L1441" i="5"/>
  <c r="K1441" i="5"/>
  <c r="X1440" i="5"/>
  <c r="V1440" i="5"/>
  <c r="U1440" i="5"/>
  <c r="T1440" i="5"/>
  <c r="N1440" i="5"/>
  <c r="M1440" i="5"/>
  <c r="L1440" i="5"/>
  <c r="K1440" i="5"/>
  <c r="X1439" i="5"/>
  <c r="V1439" i="5"/>
  <c r="U1439" i="5"/>
  <c r="T1439" i="5"/>
  <c r="N1439" i="5"/>
  <c r="M1439" i="5"/>
  <c r="L1439" i="5"/>
  <c r="K1439" i="5"/>
  <c r="X1438" i="5"/>
  <c r="V1438" i="5"/>
  <c r="U1438" i="5"/>
  <c r="T1438" i="5"/>
  <c r="N1438" i="5"/>
  <c r="M1438" i="5"/>
  <c r="L1438" i="5"/>
  <c r="K1438" i="5"/>
  <c r="X1437" i="5"/>
  <c r="V1437" i="5"/>
  <c r="U1437" i="5"/>
  <c r="T1437" i="5"/>
  <c r="N1437" i="5"/>
  <c r="M1437" i="5"/>
  <c r="L1437" i="5"/>
  <c r="K1437" i="5"/>
  <c r="X1436" i="5"/>
  <c r="V1436" i="5"/>
  <c r="U1436" i="5"/>
  <c r="T1436" i="5"/>
  <c r="N1436" i="5"/>
  <c r="M1436" i="5"/>
  <c r="L1436" i="5"/>
  <c r="K1436" i="5"/>
  <c r="X1435" i="5"/>
  <c r="V1435" i="5"/>
  <c r="U1435" i="5"/>
  <c r="T1435" i="5"/>
  <c r="N1435" i="5"/>
  <c r="M1435" i="5"/>
  <c r="L1435" i="5"/>
  <c r="K1435" i="5"/>
  <c r="X1434" i="5"/>
  <c r="V1434" i="5"/>
  <c r="U1434" i="5"/>
  <c r="T1434" i="5"/>
  <c r="N1434" i="5"/>
  <c r="M1434" i="5"/>
  <c r="L1434" i="5"/>
  <c r="K1434" i="5"/>
  <c r="X1433" i="5"/>
  <c r="V1433" i="5"/>
  <c r="U1433" i="5"/>
  <c r="T1433" i="5"/>
  <c r="N1433" i="5"/>
  <c r="M1433" i="5"/>
  <c r="L1433" i="5"/>
  <c r="K1433" i="5"/>
  <c r="X1432" i="5"/>
  <c r="V1432" i="5"/>
  <c r="U1432" i="5"/>
  <c r="T1432" i="5"/>
  <c r="N1432" i="5"/>
  <c r="M1432" i="5"/>
  <c r="L1432" i="5"/>
  <c r="K1432" i="5"/>
  <c r="X1431" i="5"/>
  <c r="V1431" i="5"/>
  <c r="U1431" i="5"/>
  <c r="T1431" i="5"/>
  <c r="N1431" i="5"/>
  <c r="M1431" i="5"/>
  <c r="L1431" i="5"/>
  <c r="K1431" i="5"/>
  <c r="X1430" i="5"/>
  <c r="V1430" i="5"/>
  <c r="U1430" i="5"/>
  <c r="T1430" i="5"/>
  <c r="N1430" i="5"/>
  <c r="M1430" i="5"/>
  <c r="L1430" i="5"/>
  <c r="K1430" i="5"/>
  <c r="X1429" i="5"/>
  <c r="V1429" i="5"/>
  <c r="U1429" i="5"/>
  <c r="T1429" i="5"/>
  <c r="N1429" i="5"/>
  <c r="M1429" i="5"/>
  <c r="L1429" i="5"/>
  <c r="K1429" i="5"/>
  <c r="X1428" i="5"/>
  <c r="V1428" i="5"/>
  <c r="U1428" i="5"/>
  <c r="T1428" i="5"/>
  <c r="N1428" i="5"/>
  <c r="M1428" i="5"/>
  <c r="L1428" i="5"/>
  <c r="K1428" i="5"/>
  <c r="X1427" i="5"/>
  <c r="V1427" i="5"/>
  <c r="U1427" i="5"/>
  <c r="T1427" i="5"/>
  <c r="N1427" i="5"/>
  <c r="M1427" i="5"/>
  <c r="L1427" i="5"/>
  <c r="K1427" i="5"/>
  <c r="X1426" i="5"/>
  <c r="V1426" i="5"/>
  <c r="U1426" i="5"/>
  <c r="T1426" i="5"/>
  <c r="N1426" i="5"/>
  <c r="M1426" i="5"/>
  <c r="L1426" i="5"/>
  <c r="K1426" i="5"/>
  <c r="X1425" i="5"/>
  <c r="V1425" i="5"/>
  <c r="U1425" i="5"/>
  <c r="T1425" i="5"/>
  <c r="N1425" i="5"/>
  <c r="M1425" i="5"/>
  <c r="L1425" i="5"/>
  <c r="K1425" i="5"/>
  <c r="X1424" i="5"/>
  <c r="V1424" i="5"/>
  <c r="U1424" i="5"/>
  <c r="T1424" i="5"/>
  <c r="N1424" i="5"/>
  <c r="M1424" i="5"/>
  <c r="L1424" i="5"/>
  <c r="K1424" i="5"/>
  <c r="X1423" i="5"/>
  <c r="V1423" i="5"/>
  <c r="U1423" i="5"/>
  <c r="T1423" i="5"/>
  <c r="N1423" i="5"/>
  <c r="M1423" i="5"/>
  <c r="L1423" i="5"/>
  <c r="K1423" i="5"/>
  <c r="X1422" i="5"/>
  <c r="V1422" i="5"/>
  <c r="U1422" i="5"/>
  <c r="T1422" i="5"/>
  <c r="N1422" i="5"/>
  <c r="M1422" i="5"/>
  <c r="L1422" i="5"/>
  <c r="K1422" i="5"/>
  <c r="X1421" i="5"/>
  <c r="V1421" i="5"/>
  <c r="U1421" i="5"/>
  <c r="T1421" i="5"/>
  <c r="N1421" i="5"/>
  <c r="M1421" i="5"/>
  <c r="L1421" i="5"/>
  <c r="K1421" i="5"/>
  <c r="X1420" i="5"/>
  <c r="V1420" i="5"/>
  <c r="U1420" i="5"/>
  <c r="T1420" i="5"/>
  <c r="N1420" i="5"/>
  <c r="M1420" i="5"/>
  <c r="L1420" i="5"/>
  <c r="K1420" i="5"/>
  <c r="X1419" i="5"/>
  <c r="V1419" i="5"/>
  <c r="U1419" i="5"/>
  <c r="T1419" i="5"/>
  <c r="N1419" i="5"/>
  <c r="M1419" i="5"/>
  <c r="L1419" i="5"/>
  <c r="K1419" i="5"/>
  <c r="X1418" i="5"/>
  <c r="V1418" i="5"/>
  <c r="U1418" i="5"/>
  <c r="T1418" i="5"/>
  <c r="N1418" i="5"/>
  <c r="M1418" i="5"/>
  <c r="L1418" i="5"/>
  <c r="K1418" i="5"/>
  <c r="X1417" i="5"/>
  <c r="V1417" i="5"/>
  <c r="U1417" i="5"/>
  <c r="T1417" i="5"/>
  <c r="N1417" i="5"/>
  <c r="M1417" i="5"/>
  <c r="L1417" i="5"/>
  <c r="K1417" i="5"/>
  <c r="X1416" i="5"/>
  <c r="V1416" i="5"/>
  <c r="U1416" i="5"/>
  <c r="T1416" i="5"/>
  <c r="N1416" i="5"/>
  <c r="M1416" i="5"/>
  <c r="L1416" i="5"/>
  <c r="K1416" i="5"/>
  <c r="X1415" i="5"/>
  <c r="V1415" i="5"/>
  <c r="U1415" i="5"/>
  <c r="T1415" i="5"/>
  <c r="N1415" i="5"/>
  <c r="M1415" i="5"/>
  <c r="L1415" i="5"/>
  <c r="K1415" i="5"/>
  <c r="X1414" i="5"/>
  <c r="V1414" i="5"/>
  <c r="U1414" i="5"/>
  <c r="T1414" i="5"/>
  <c r="N1414" i="5"/>
  <c r="M1414" i="5"/>
  <c r="L1414" i="5"/>
  <c r="K1414" i="5"/>
  <c r="X1413" i="5"/>
  <c r="V1413" i="5"/>
  <c r="U1413" i="5"/>
  <c r="T1413" i="5"/>
  <c r="N1413" i="5"/>
  <c r="M1413" i="5"/>
  <c r="L1413" i="5"/>
  <c r="K1413" i="5"/>
  <c r="X1412" i="5"/>
  <c r="V1412" i="5"/>
  <c r="U1412" i="5"/>
  <c r="T1412" i="5"/>
  <c r="N1412" i="5"/>
  <c r="M1412" i="5"/>
  <c r="L1412" i="5"/>
  <c r="K1412" i="5"/>
  <c r="X1411" i="5"/>
  <c r="V1411" i="5"/>
  <c r="U1411" i="5"/>
  <c r="T1411" i="5"/>
  <c r="N1411" i="5"/>
  <c r="M1411" i="5"/>
  <c r="L1411" i="5"/>
  <c r="K1411" i="5"/>
  <c r="X1410" i="5"/>
  <c r="V1410" i="5"/>
  <c r="U1410" i="5"/>
  <c r="T1410" i="5"/>
  <c r="N1410" i="5"/>
  <c r="M1410" i="5"/>
  <c r="L1410" i="5"/>
  <c r="K1410" i="5"/>
  <c r="X1409" i="5"/>
  <c r="V1409" i="5"/>
  <c r="U1409" i="5"/>
  <c r="T1409" i="5"/>
  <c r="N1409" i="5"/>
  <c r="M1409" i="5"/>
  <c r="L1409" i="5"/>
  <c r="K1409" i="5"/>
  <c r="X1408" i="5"/>
  <c r="V1408" i="5"/>
  <c r="U1408" i="5"/>
  <c r="T1408" i="5"/>
  <c r="N1408" i="5"/>
  <c r="M1408" i="5"/>
  <c r="L1408" i="5"/>
  <c r="K1408" i="5"/>
  <c r="X1407" i="5"/>
  <c r="V1407" i="5"/>
  <c r="U1407" i="5"/>
  <c r="T1407" i="5"/>
  <c r="N1407" i="5"/>
  <c r="M1407" i="5"/>
  <c r="L1407" i="5"/>
  <c r="K1407" i="5"/>
  <c r="X1406" i="5"/>
  <c r="V1406" i="5"/>
  <c r="U1406" i="5"/>
  <c r="T1406" i="5"/>
  <c r="N1406" i="5"/>
  <c r="M1406" i="5"/>
  <c r="L1406" i="5"/>
  <c r="K1406" i="5"/>
  <c r="X1405" i="5"/>
  <c r="V1405" i="5"/>
  <c r="U1405" i="5"/>
  <c r="T1405" i="5"/>
  <c r="N1405" i="5"/>
  <c r="M1405" i="5"/>
  <c r="L1405" i="5"/>
  <c r="K1405" i="5"/>
  <c r="X1404" i="5"/>
  <c r="V1404" i="5"/>
  <c r="U1404" i="5"/>
  <c r="T1404" i="5"/>
  <c r="N1404" i="5"/>
  <c r="M1404" i="5"/>
  <c r="L1404" i="5"/>
  <c r="K1404" i="5"/>
  <c r="X1403" i="5"/>
  <c r="V1403" i="5"/>
  <c r="U1403" i="5"/>
  <c r="T1403" i="5"/>
  <c r="N1403" i="5"/>
  <c r="M1403" i="5"/>
  <c r="L1403" i="5"/>
  <c r="K1403" i="5"/>
  <c r="X1402" i="5"/>
  <c r="V1402" i="5"/>
  <c r="U1402" i="5"/>
  <c r="T1402" i="5"/>
  <c r="N1402" i="5"/>
  <c r="M1402" i="5"/>
  <c r="L1402" i="5"/>
  <c r="K1402" i="5"/>
  <c r="X1401" i="5"/>
  <c r="V1401" i="5"/>
  <c r="U1401" i="5"/>
  <c r="T1401" i="5"/>
  <c r="N1401" i="5"/>
  <c r="M1401" i="5"/>
  <c r="L1401" i="5"/>
  <c r="K1401" i="5"/>
  <c r="X1400" i="5"/>
  <c r="V1400" i="5"/>
  <c r="U1400" i="5"/>
  <c r="T1400" i="5"/>
  <c r="N1400" i="5"/>
  <c r="M1400" i="5"/>
  <c r="L1400" i="5"/>
  <c r="K1400" i="5"/>
  <c r="X1399" i="5"/>
  <c r="V1399" i="5"/>
  <c r="U1399" i="5"/>
  <c r="T1399" i="5"/>
  <c r="N1399" i="5"/>
  <c r="M1399" i="5"/>
  <c r="L1399" i="5"/>
  <c r="K1399" i="5"/>
  <c r="X1398" i="5"/>
  <c r="V1398" i="5"/>
  <c r="U1398" i="5"/>
  <c r="T1398" i="5"/>
  <c r="N1398" i="5"/>
  <c r="M1398" i="5"/>
  <c r="L1398" i="5"/>
  <c r="K1398" i="5"/>
  <c r="X1397" i="5"/>
  <c r="V1397" i="5"/>
  <c r="U1397" i="5"/>
  <c r="T1397" i="5"/>
  <c r="N1397" i="5"/>
  <c r="M1397" i="5"/>
  <c r="L1397" i="5"/>
  <c r="K1397" i="5"/>
  <c r="X1396" i="5"/>
  <c r="V1396" i="5"/>
  <c r="U1396" i="5"/>
  <c r="T1396" i="5"/>
  <c r="N1396" i="5"/>
  <c r="M1396" i="5"/>
  <c r="L1396" i="5"/>
  <c r="K1396" i="5"/>
  <c r="X1395" i="5"/>
  <c r="V1395" i="5"/>
  <c r="U1395" i="5"/>
  <c r="T1395" i="5"/>
  <c r="N1395" i="5"/>
  <c r="M1395" i="5"/>
  <c r="L1395" i="5"/>
  <c r="K1395" i="5"/>
  <c r="X1394" i="5"/>
  <c r="V1394" i="5"/>
  <c r="U1394" i="5"/>
  <c r="T1394" i="5"/>
  <c r="N1394" i="5"/>
  <c r="M1394" i="5"/>
  <c r="L1394" i="5"/>
  <c r="K1394" i="5"/>
  <c r="X1393" i="5"/>
  <c r="V1393" i="5"/>
  <c r="U1393" i="5"/>
  <c r="T1393" i="5"/>
  <c r="N1393" i="5"/>
  <c r="M1393" i="5"/>
  <c r="L1393" i="5"/>
  <c r="K1393" i="5"/>
  <c r="X1392" i="5"/>
  <c r="V1392" i="5"/>
  <c r="U1392" i="5"/>
  <c r="T1392" i="5"/>
  <c r="N1392" i="5"/>
  <c r="M1392" i="5"/>
  <c r="L1392" i="5"/>
  <c r="K1392" i="5"/>
  <c r="X1391" i="5"/>
  <c r="V1391" i="5"/>
  <c r="U1391" i="5"/>
  <c r="T1391" i="5"/>
  <c r="N1391" i="5"/>
  <c r="M1391" i="5"/>
  <c r="L1391" i="5"/>
  <c r="K1391" i="5"/>
  <c r="X1390" i="5"/>
  <c r="V1390" i="5"/>
  <c r="U1390" i="5"/>
  <c r="T1390" i="5"/>
  <c r="N1390" i="5"/>
  <c r="M1390" i="5"/>
  <c r="L1390" i="5"/>
  <c r="K1390" i="5"/>
  <c r="X1389" i="5"/>
  <c r="V1389" i="5"/>
  <c r="U1389" i="5"/>
  <c r="T1389" i="5"/>
  <c r="N1389" i="5"/>
  <c r="M1389" i="5"/>
  <c r="L1389" i="5"/>
  <c r="K1389" i="5"/>
  <c r="X1388" i="5"/>
  <c r="V1388" i="5"/>
  <c r="U1388" i="5"/>
  <c r="T1388" i="5"/>
  <c r="N1388" i="5"/>
  <c r="M1388" i="5"/>
  <c r="L1388" i="5"/>
  <c r="K1388" i="5"/>
  <c r="X1387" i="5"/>
  <c r="V1387" i="5"/>
  <c r="U1387" i="5"/>
  <c r="T1387" i="5"/>
  <c r="N1387" i="5"/>
  <c r="M1387" i="5"/>
  <c r="L1387" i="5"/>
  <c r="K1387" i="5"/>
  <c r="X1386" i="5"/>
  <c r="V1386" i="5"/>
  <c r="U1386" i="5"/>
  <c r="T1386" i="5"/>
  <c r="N1386" i="5"/>
  <c r="M1386" i="5"/>
  <c r="L1386" i="5"/>
  <c r="K1386" i="5"/>
  <c r="X1385" i="5"/>
  <c r="V1385" i="5"/>
  <c r="U1385" i="5"/>
  <c r="T1385" i="5"/>
  <c r="N1385" i="5"/>
  <c r="M1385" i="5"/>
  <c r="L1385" i="5"/>
  <c r="K1385" i="5"/>
  <c r="X1384" i="5"/>
  <c r="V1384" i="5"/>
  <c r="U1384" i="5"/>
  <c r="T1384" i="5"/>
  <c r="N1384" i="5"/>
  <c r="M1384" i="5"/>
  <c r="L1384" i="5"/>
  <c r="K1384" i="5"/>
  <c r="X1383" i="5"/>
  <c r="V1383" i="5"/>
  <c r="U1383" i="5"/>
  <c r="T1383" i="5"/>
  <c r="N1383" i="5"/>
  <c r="M1383" i="5"/>
  <c r="L1383" i="5"/>
  <c r="K1383" i="5"/>
  <c r="X1382" i="5"/>
  <c r="V1382" i="5"/>
  <c r="U1382" i="5"/>
  <c r="T1382" i="5"/>
  <c r="N1382" i="5"/>
  <c r="M1382" i="5"/>
  <c r="L1382" i="5"/>
  <c r="K1382" i="5"/>
  <c r="X1381" i="5"/>
  <c r="V1381" i="5"/>
  <c r="U1381" i="5"/>
  <c r="T1381" i="5"/>
  <c r="N1381" i="5"/>
  <c r="M1381" i="5"/>
  <c r="L1381" i="5"/>
  <c r="K1381" i="5"/>
  <c r="X1380" i="5"/>
  <c r="V1380" i="5"/>
  <c r="U1380" i="5"/>
  <c r="T1380" i="5"/>
  <c r="N1380" i="5"/>
  <c r="M1380" i="5"/>
  <c r="L1380" i="5"/>
  <c r="K1380" i="5"/>
  <c r="X1379" i="5"/>
  <c r="V1379" i="5"/>
  <c r="U1379" i="5"/>
  <c r="T1379" i="5"/>
  <c r="N1379" i="5"/>
  <c r="M1379" i="5"/>
  <c r="L1379" i="5"/>
  <c r="K1379" i="5"/>
  <c r="X1378" i="5"/>
  <c r="V1378" i="5"/>
  <c r="U1378" i="5"/>
  <c r="T1378" i="5"/>
  <c r="N1378" i="5"/>
  <c r="M1378" i="5"/>
  <c r="L1378" i="5"/>
  <c r="K1378" i="5"/>
  <c r="X1377" i="5"/>
  <c r="V1377" i="5"/>
  <c r="U1377" i="5"/>
  <c r="T1377" i="5"/>
  <c r="N1377" i="5"/>
  <c r="M1377" i="5"/>
  <c r="L1377" i="5"/>
  <c r="K1377" i="5"/>
  <c r="X1376" i="5"/>
  <c r="V1376" i="5"/>
  <c r="U1376" i="5"/>
  <c r="T1376" i="5"/>
  <c r="N1376" i="5"/>
  <c r="M1376" i="5"/>
  <c r="L1376" i="5"/>
  <c r="K1376" i="5"/>
  <c r="X1375" i="5"/>
  <c r="V1375" i="5"/>
  <c r="U1375" i="5"/>
  <c r="T1375" i="5"/>
  <c r="N1375" i="5"/>
  <c r="M1375" i="5"/>
  <c r="L1375" i="5"/>
  <c r="K1375" i="5"/>
  <c r="X1374" i="5"/>
  <c r="V1374" i="5"/>
  <c r="U1374" i="5"/>
  <c r="T1374" i="5"/>
  <c r="N1374" i="5"/>
  <c r="M1374" i="5"/>
  <c r="L1374" i="5"/>
  <c r="K1374" i="5"/>
  <c r="X1373" i="5"/>
  <c r="V1373" i="5"/>
  <c r="U1373" i="5"/>
  <c r="T1373" i="5"/>
  <c r="N1373" i="5"/>
  <c r="M1373" i="5"/>
  <c r="L1373" i="5"/>
  <c r="K1373" i="5"/>
  <c r="X1372" i="5"/>
  <c r="V1372" i="5"/>
  <c r="U1372" i="5"/>
  <c r="T1372" i="5"/>
  <c r="N1372" i="5"/>
  <c r="M1372" i="5"/>
  <c r="L1372" i="5"/>
  <c r="K1372" i="5"/>
  <c r="X1371" i="5"/>
  <c r="V1371" i="5"/>
  <c r="U1371" i="5"/>
  <c r="T1371" i="5"/>
  <c r="N1371" i="5"/>
  <c r="M1371" i="5"/>
  <c r="L1371" i="5"/>
  <c r="K1371" i="5"/>
  <c r="X1370" i="5"/>
  <c r="V1370" i="5"/>
  <c r="U1370" i="5"/>
  <c r="T1370" i="5"/>
  <c r="N1370" i="5"/>
  <c r="M1370" i="5"/>
  <c r="L1370" i="5"/>
  <c r="K1370" i="5"/>
  <c r="X1369" i="5"/>
  <c r="V1369" i="5"/>
  <c r="U1369" i="5"/>
  <c r="T1369" i="5"/>
  <c r="N1369" i="5"/>
  <c r="M1369" i="5"/>
  <c r="L1369" i="5"/>
  <c r="K1369" i="5"/>
  <c r="X1368" i="5"/>
  <c r="V1368" i="5"/>
  <c r="U1368" i="5"/>
  <c r="T1368" i="5"/>
  <c r="N1368" i="5"/>
  <c r="M1368" i="5"/>
  <c r="L1368" i="5"/>
  <c r="K1368" i="5"/>
  <c r="X1367" i="5"/>
  <c r="V1367" i="5"/>
  <c r="U1367" i="5"/>
  <c r="T1367" i="5"/>
  <c r="N1367" i="5"/>
  <c r="M1367" i="5"/>
  <c r="L1367" i="5"/>
  <c r="K1367" i="5"/>
  <c r="X1366" i="5"/>
  <c r="V1366" i="5"/>
  <c r="U1366" i="5"/>
  <c r="T1366" i="5"/>
  <c r="N1366" i="5"/>
  <c r="M1366" i="5"/>
  <c r="L1366" i="5"/>
  <c r="K1366" i="5"/>
  <c r="X1365" i="5"/>
  <c r="V1365" i="5"/>
  <c r="U1365" i="5"/>
  <c r="T1365" i="5"/>
  <c r="N1365" i="5"/>
  <c r="M1365" i="5"/>
  <c r="L1365" i="5"/>
  <c r="K1365" i="5"/>
  <c r="X1364" i="5"/>
  <c r="V1364" i="5"/>
  <c r="U1364" i="5"/>
  <c r="T1364" i="5"/>
  <c r="N1364" i="5"/>
  <c r="M1364" i="5"/>
  <c r="L1364" i="5"/>
  <c r="K1364" i="5"/>
  <c r="X1363" i="5"/>
  <c r="V1363" i="5"/>
  <c r="U1363" i="5"/>
  <c r="T1363" i="5"/>
  <c r="N1363" i="5"/>
  <c r="M1363" i="5"/>
  <c r="L1363" i="5"/>
  <c r="K1363" i="5"/>
  <c r="X1362" i="5"/>
  <c r="V1362" i="5"/>
  <c r="U1362" i="5"/>
  <c r="T1362" i="5"/>
  <c r="N1362" i="5"/>
  <c r="M1362" i="5"/>
  <c r="L1362" i="5"/>
  <c r="K1362" i="5"/>
  <c r="X1361" i="5"/>
  <c r="V1361" i="5"/>
  <c r="U1361" i="5"/>
  <c r="T1361" i="5"/>
  <c r="N1361" i="5"/>
  <c r="M1361" i="5"/>
  <c r="L1361" i="5"/>
  <c r="K1361" i="5"/>
  <c r="X1360" i="5"/>
  <c r="V1360" i="5"/>
  <c r="U1360" i="5"/>
  <c r="T1360" i="5"/>
  <c r="N1360" i="5"/>
  <c r="M1360" i="5"/>
  <c r="L1360" i="5"/>
  <c r="K1360" i="5"/>
  <c r="X1359" i="5"/>
  <c r="V1359" i="5"/>
  <c r="U1359" i="5"/>
  <c r="T1359" i="5"/>
  <c r="N1359" i="5"/>
  <c r="M1359" i="5"/>
  <c r="L1359" i="5"/>
  <c r="K1359" i="5"/>
  <c r="X1358" i="5"/>
  <c r="V1358" i="5"/>
  <c r="U1358" i="5"/>
  <c r="T1358" i="5"/>
  <c r="N1358" i="5"/>
  <c r="M1358" i="5"/>
  <c r="L1358" i="5"/>
  <c r="K1358" i="5"/>
  <c r="X1357" i="5"/>
  <c r="V1357" i="5"/>
  <c r="U1357" i="5"/>
  <c r="T1357" i="5"/>
  <c r="N1357" i="5"/>
  <c r="M1357" i="5"/>
  <c r="L1357" i="5"/>
  <c r="K1357" i="5"/>
  <c r="X1356" i="5"/>
  <c r="V1356" i="5"/>
  <c r="U1356" i="5"/>
  <c r="T1356" i="5"/>
  <c r="N1356" i="5"/>
  <c r="M1356" i="5"/>
  <c r="L1356" i="5"/>
  <c r="K1356" i="5"/>
  <c r="X1355" i="5"/>
  <c r="V1355" i="5"/>
  <c r="U1355" i="5"/>
  <c r="T1355" i="5"/>
  <c r="N1355" i="5"/>
  <c r="M1355" i="5"/>
  <c r="L1355" i="5"/>
  <c r="K1355" i="5"/>
  <c r="X1354" i="5"/>
  <c r="V1354" i="5"/>
  <c r="U1354" i="5"/>
  <c r="T1354" i="5"/>
  <c r="N1354" i="5"/>
  <c r="M1354" i="5"/>
  <c r="L1354" i="5"/>
  <c r="K1354" i="5"/>
  <c r="X1353" i="5"/>
  <c r="V1353" i="5"/>
  <c r="U1353" i="5"/>
  <c r="T1353" i="5"/>
  <c r="N1353" i="5"/>
  <c r="M1353" i="5"/>
  <c r="L1353" i="5"/>
  <c r="K1353" i="5"/>
  <c r="X1352" i="5"/>
  <c r="V1352" i="5"/>
  <c r="U1352" i="5"/>
  <c r="T1352" i="5"/>
  <c r="N1352" i="5"/>
  <c r="M1352" i="5"/>
  <c r="L1352" i="5"/>
  <c r="K1352" i="5"/>
  <c r="X1351" i="5"/>
  <c r="V1351" i="5"/>
  <c r="U1351" i="5"/>
  <c r="T1351" i="5"/>
  <c r="N1351" i="5"/>
  <c r="M1351" i="5"/>
  <c r="L1351" i="5"/>
  <c r="K1351" i="5"/>
  <c r="X1350" i="5"/>
  <c r="V1350" i="5"/>
  <c r="U1350" i="5"/>
  <c r="T1350" i="5"/>
  <c r="N1350" i="5"/>
  <c r="M1350" i="5"/>
  <c r="L1350" i="5"/>
  <c r="K1350" i="5"/>
  <c r="X1349" i="5"/>
  <c r="V1349" i="5"/>
  <c r="U1349" i="5"/>
  <c r="T1349" i="5"/>
  <c r="N1349" i="5"/>
  <c r="M1349" i="5"/>
  <c r="L1349" i="5"/>
  <c r="K1349" i="5"/>
  <c r="X1348" i="5"/>
  <c r="V1348" i="5"/>
  <c r="U1348" i="5"/>
  <c r="T1348" i="5"/>
  <c r="N1348" i="5"/>
  <c r="M1348" i="5"/>
  <c r="L1348" i="5"/>
  <c r="K1348" i="5"/>
  <c r="X1347" i="5"/>
  <c r="V1347" i="5"/>
  <c r="U1347" i="5"/>
  <c r="T1347" i="5"/>
  <c r="N1347" i="5"/>
  <c r="M1347" i="5"/>
  <c r="L1347" i="5"/>
  <c r="K1347" i="5"/>
  <c r="X1346" i="5"/>
  <c r="V1346" i="5"/>
  <c r="U1346" i="5"/>
  <c r="T1346" i="5"/>
  <c r="N1346" i="5"/>
  <c r="M1346" i="5"/>
  <c r="L1346" i="5"/>
  <c r="K1346" i="5"/>
  <c r="X1345" i="5"/>
  <c r="V1345" i="5"/>
  <c r="U1345" i="5"/>
  <c r="T1345" i="5"/>
  <c r="N1345" i="5"/>
  <c r="M1345" i="5"/>
  <c r="L1345" i="5"/>
  <c r="K1345" i="5"/>
  <c r="X1344" i="5"/>
  <c r="V1344" i="5"/>
  <c r="U1344" i="5"/>
  <c r="T1344" i="5"/>
  <c r="N1344" i="5"/>
  <c r="M1344" i="5"/>
  <c r="L1344" i="5"/>
  <c r="K1344" i="5"/>
  <c r="X1343" i="5"/>
  <c r="V1343" i="5"/>
  <c r="U1343" i="5"/>
  <c r="T1343" i="5"/>
  <c r="N1343" i="5"/>
  <c r="M1343" i="5"/>
  <c r="L1343" i="5"/>
  <c r="K1343" i="5"/>
  <c r="X1342" i="5"/>
  <c r="V1342" i="5"/>
  <c r="U1342" i="5"/>
  <c r="T1342" i="5"/>
  <c r="N1342" i="5"/>
  <c r="M1342" i="5"/>
  <c r="L1342" i="5"/>
  <c r="K1342" i="5"/>
  <c r="X1341" i="5"/>
  <c r="V1341" i="5"/>
  <c r="U1341" i="5"/>
  <c r="T1341" i="5"/>
  <c r="N1341" i="5"/>
  <c r="M1341" i="5"/>
  <c r="L1341" i="5"/>
  <c r="K1341" i="5"/>
  <c r="X1340" i="5"/>
  <c r="V1340" i="5"/>
  <c r="U1340" i="5"/>
  <c r="T1340" i="5"/>
  <c r="N1340" i="5"/>
  <c r="M1340" i="5"/>
  <c r="L1340" i="5"/>
  <c r="K1340" i="5"/>
  <c r="X1339" i="5"/>
  <c r="V1339" i="5"/>
  <c r="U1339" i="5"/>
  <c r="T1339" i="5"/>
  <c r="N1339" i="5"/>
  <c r="M1339" i="5"/>
  <c r="L1339" i="5"/>
  <c r="K1339" i="5"/>
  <c r="X1338" i="5"/>
  <c r="V1338" i="5"/>
  <c r="U1338" i="5"/>
  <c r="T1338" i="5"/>
  <c r="N1338" i="5"/>
  <c r="M1338" i="5"/>
  <c r="L1338" i="5"/>
  <c r="K1338" i="5"/>
  <c r="X1337" i="5"/>
  <c r="V1337" i="5"/>
  <c r="U1337" i="5"/>
  <c r="T1337" i="5"/>
  <c r="N1337" i="5"/>
  <c r="M1337" i="5"/>
  <c r="L1337" i="5"/>
  <c r="K1337" i="5"/>
  <c r="X1336" i="5"/>
  <c r="V1336" i="5"/>
  <c r="U1336" i="5"/>
  <c r="T1336" i="5"/>
  <c r="N1336" i="5"/>
  <c r="M1336" i="5"/>
  <c r="L1336" i="5"/>
  <c r="K1336" i="5"/>
  <c r="X1335" i="5"/>
  <c r="V1335" i="5"/>
  <c r="U1335" i="5"/>
  <c r="T1335" i="5"/>
  <c r="N1335" i="5"/>
  <c r="M1335" i="5"/>
  <c r="L1335" i="5"/>
  <c r="K1335" i="5"/>
  <c r="X1334" i="5"/>
  <c r="V1334" i="5"/>
  <c r="U1334" i="5"/>
  <c r="T1334" i="5"/>
  <c r="N1334" i="5"/>
  <c r="M1334" i="5"/>
  <c r="L1334" i="5"/>
  <c r="K1334" i="5"/>
  <c r="X1333" i="5"/>
  <c r="V1333" i="5"/>
  <c r="U1333" i="5"/>
  <c r="T1333" i="5"/>
  <c r="N1333" i="5"/>
  <c r="M1333" i="5"/>
  <c r="L1333" i="5"/>
  <c r="K1333" i="5"/>
  <c r="X1332" i="5"/>
  <c r="V1332" i="5"/>
  <c r="U1332" i="5"/>
  <c r="T1332" i="5"/>
  <c r="N1332" i="5"/>
  <c r="M1332" i="5"/>
  <c r="L1332" i="5"/>
  <c r="K1332" i="5"/>
  <c r="X1331" i="5"/>
  <c r="V1331" i="5"/>
  <c r="U1331" i="5"/>
  <c r="T1331" i="5"/>
  <c r="N1331" i="5"/>
  <c r="M1331" i="5"/>
  <c r="L1331" i="5"/>
  <c r="K1331" i="5"/>
  <c r="X1330" i="5"/>
  <c r="V1330" i="5"/>
  <c r="U1330" i="5"/>
  <c r="T1330" i="5"/>
  <c r="N1330" i="5"/>
  <c r="M1330" i="5"/>
  <c r="L1330" i="5"/>
  <c r="K1330" i="5"/>
  <c r="X1329" i="5"/>
  <c r="V1329" i="5"/>
  <c r="U1329" i="5"/>
  <c r="T1329" i="5"/>
  <c r="N1329" i="5"/>
  <c r="M1329" i="5"/>
  <c r="L1329" i="5"/>
  <c r="K1329" i="5"/>
  <c r="X1328" i="5"/>
  <c r="V1328" i="5"/>
  <c r="U1328" i="5"/>
  <c r="T1328" i="5"/>
  <c r="N1328" i="5"/>
  <c r="M1328" i="5"/>
  <c r="L1328" i="5"/>
  <c r="K1328" i="5"/>
  <c r="X1327" i="5"/>
  <c r="V1327" i="5"/>
  <c r="U1327" i="5"/>
  <c r="T1327" i="5"/>
  <c r="N1327" i="5"/>
  <c r="M1327" i="5"/>
  <c r="L1327" i="5"/>
  <c r="K1327" i="5"/>
  <c r="X1326" i="5"/>
  <c r="V1326" i="5"/>
  <c r="U1326" i="5"/>
  <c r="T1326" i="5"/>
  <c r="N1326" i="5"/>
  <c r="M1326" i="5"/>
  <c r="L1326" i="5"/>
  <c r="K1326" i="5"/>
  <c r="X1325" i="5"/>
  <c r="V1325" i="5"/>
  <c r="U1325" i="5"/>
  <c r="T1325" i="5"/>
  <c r="N1325" i="5"/>
  <c r="M1325" i="5"/>
  <c r="L1325" i="5"/>
  <c r="K1325" i="5"/>
  <c r="X1324" i="5"/>
  <c r="V1324" i="5"/>
  <c r="U1324" i="5"/>
  <c r="T1324" i="5"/>
  <c r="N1324" i="5"/>
  <c r="M1324" i="5"/>
  <c r="L1324" i="5"/>
  <c r="K1324" i="5"/>
  <c r="X1323" i="5"/>
  <c r="V1323" i="5"/>
  <c r="U1323" i="5"/>
  <c r="T1323" i="5"/>
  <c r="N1323" i="5"/>
  <c r="M1323" i="5"/>
  <c r="L1323" i="5"/>
  <c r="K1323" i="5"/>
  <c r="X1322" i="5"/>
  <c r="V1322" i="5"/>
  <c r="U1322" i="5"/>
  <c r="T1322" i="5"/>
  <c r="N1322" i="5"/>
  <c r="M1322" i="5"/>
  <c r="L1322" i="5"/>
  <c r="K1322" i="5"/>
  <c r="X1321" i="5"/>
  <c r="V1321" i="5"/>
  <c r="U1321" i="5"/>
  <c r="T1321" i="5"/>
  <c r="N1321" i="5"/>
  <c r="M1321" i="5"/>
  <c r="L1321" i="5"/>
  <c r="K1321" i="5"/>
  <c r="X1320" i="5"/>
  <c r="V1320" i="5"/>
  <c r="U1320" i="5"/>
  <c r="T1320" i="5"/>
  <c r="N1320" i="5"/>
  <c r="M1320" i="5"/>
  <c r="L1320" i="5"/>
  <c r="K1320" i="5"/>
  <c r="X1319" i="5"/>
  <c r="V1319" i="5"/>
  <c r="U1319" i="5"/>
  <c r="T1319" i="5"/>
  <c r="N1319" i="5"/>
  <c r="M1319" i="5"/>
  <c r="L1319" i="5"/>
  <c r="K1319" i="5"/>
  <c r="X1318" i="5"/>
  <c r="V1318" i="5"/>
  <c r="U1318" i="5"/>
  <c r="T1318" i="5"/>
  <c r="N1318" i="5"/>
  <c r="M1318" i="5"/>
  <c r="L1318" i="5"/>
  <c r="K1318" i="5"/>
  <c r="X1317" i="5"/>
  <c r="V1317" i="5"/>
  <c r="U1317" i="5"/>
  <c r="T1317" i="5"/>
  <c r="N1317" i="5"/>
  <c r="M1317" i="5"/>
  <c r="L1317" i="5"/>
  <c r="K1317" i="5"/>
  <c r="X1316" i="5"/>
  <c r="V1316" i="5"/>
  <c r="U1316" i="5"/>
  <c r="T1316" i="5"/>
  <c r="N1316" i="5"/>
  <c r="M1316" i="5"/>
  <c r="L1316" i="5"/>
  <c r="K1316" i="5"/>
  <c r="X1315" i="5"/>
  <c r="V1315" i="5"/>
  <c r="U1315" i="5"/>
  <c r="T1315" i="5"/>
  <c r="N1315" i="5"/>
  <c r="M1315" i="5"/>
  <c r="L1315" i="5"/>
  <c r="K1315" i="5"/>
  <c r="X1314" i="5"/>
  <c r="V1314" i="5"/>
  <c r="U1314" i="5"/>
  <c r="T1314" i="5"/>
  <c r="N1314" i="5"/>
  <c r="M1314" i="5"/>
  <c r="L1314" i="5"/>
  <c r="K1314" i="5"/>
  <c r="X1313" i="5"/>
  <c r="V1313" i="5"/>
  <c r="U1313" i="5"/>
  <c r="T1313" i="5"/>
  <c r="N1313" i="5"/>
  <c r="M1313" i="5"/>
  <c r="L1313" i="5"/>
  <c r="K1313" i="5"/>
  <c r="X1312" i="5"/>
  <c r="V1312" i="5"/>
  <c r="U1312" i="5"/>
  <c r="T1312" i="5"/>
  <c r="N1312" i="5"/>
  <c r="M1312" i="5"/>
  <c r="L1312" i="5"/>
  <c r="K1312" i="5"/>
  <c r="X1311" i="5"/>
  <c r="V1311" i="5"/>
  <c r="U1311" i="5"/>
  <c r="T1311" i="5"/>
  <c r="N1311" i="5"/>
  <c r="M1311" i="5"/>
  <c r="L1311" i="5"/>
  <c r="K1311" i="5"/>
  <c r="X1310" i="5"/>
  <c r="V1310" i="5"/>
  <c r="U1310" i="5"/>
  <c r="T1310" i="5"/>
  <c r="N1310" i="5"/>
  <c r="M1310" i="5"/>
  <c r="L1310" i="5"/>
  <c r="K1310" i="5"/>
  <c r="X1309" i="5"/>
  <c r="V1309" i="5"/>
  <c r="U1309" i="5"/>
  <c r="T1309" i="5"/>
  <c r="N1309" i="5"/>
  <c r="M1309" i="5"/>
  <c r="L1309" i="5"/>
  <c r="K1309" i="5"/>
  <c r="X1308" i="5"/>
  <c r="V1308" i="5"/>
  <c r="U1308" i="5"/>
  <c r="T1308" i="5"/>
  <c r="N1308" i="5"/>
  <c r="M1308" i="5"/>
  <c r="L1308" i="5"/>
  <c r="K1308" i="5"/>
  <c r="X1307" i="5"/>
  <c r="V1307" i="5"/>
  <c r="U1307" i="5"/>
  <c r="T1307" i="5"/>
  <c r="N1307" i="5"/>
  <c r="M1307" i="5"/>
  <c r="L1307" i="5"/>
  <c r="K1307" i="5"/>
  <c r="X1306" i="5"/>
  <c r="V1306" i="5"/>
  <c r="U1306" i="5"/>
  <c r="T1306" i="5"/>
  <c r="N1306" i="5"/>
  <c r="M1306" i="5"/>
  <c r="L1306" i="5"/>
  <c r="K1306" i="5"/>
  <c r="X1305" i="5"/>
  <c r="V1305" i="5"/>
  <c r="U1305" i="5"/>
  <c r="T1305" i="5"/>
  <c r="N1305" i="5"/>
  <c r="M1305" i="5"/>
  <c r="L1305" i="5"/>
  <c r="K1305" i="5"/>
  <c r="X1304" i="5"/>
  <c r="V1304" i="5"/>
  <c r="U1304" i="5"/>
  <c r="T1304" i="5"/>
  <c r="N1304" i="5"/>
  <c r="M1304" i="5"/>
  <c r="L1304" i="5"/>
  <c r="K1304" i="5"/>
  <c r="X1303" i="5"/>
  <c r="V1303" i="5"/>
  <c r="U1303" i="5"/>
  <c r="T1303" i="5"/>
  <c r="N1303" i="5"/>
  <c r="M1303" i="5"/>
  <c r="L1303" i="5"/>
  <c r="K1303" i="5"/>
  <c r="X1302" i="5"/>
  <c r="V1302" i="5"/>
  <c r="U1302" i="5"/>
  <c r="T1302" i="5"/>
  <c r="N1302" i="5"/>
  <c r="M1302" i="5"/>
  <c r="L1302" i="5"/>
  <c r="K1302" i="5"/>
  <c r="X1301" i="5"/>
  <c r="V1301" i="5"/>
  <c r="U1301" i="5"/>
  <c r="T1301" i="5"/>
  <c r="N1301" i="5"/>
  <c r="M1301" i="5"/>
  <c r="L1301" i="5"/>
  <c r="K1301" i="5"/>
  <c r="X1300" i="5"/>
  <c r="V1300" i="5"/>
  <c r="U1300" i="5"/>
  <c r="T1300" i="5"/>
  <c r="N1300" i="5"/>
  <c r="M1300" i="5"/>
  <c r="L1300" i="5"/>
  <c r="K1300" i="5"/>
  <c r="X1299" i="5"/>
  <c r="V1299" i="5"/>
  <c r="U1299" i="5"/>
  <c r="T1299" i="5"/>
  <c r="N1299" i="5"/>
  <c r="M1299" i="5"/>
  <c r="L1299" i="5"/>
  <c r="K1299" i="5"/>
  <c r="X1298" i="5"/>
  <c r="V1298" i="5"/>
  <c r="U1298" i="5"/>
  <c r="T1298" i="5"/>
  <c r="N1298" i="5"/>
  <c r="M1298" i="5"/>
  <c r="L1298" i="5"/>
  <c r="K1298" i="5"/>
  <c r="X1297" i="5"/>
  <c r="V1297" i="5"/>
  <c r="U1297" i="5"/>
  <c r="T1297" i="5"/>
  <c r="N1297" i="5"/>
  <c r="M1297" i="5"/>
  <c r="L1297" i="5"/>
  <c r="K1297" i="5"/>
  <c r="X1296" i="5"/>
  <c r="V1296" i="5"/>
  <c r="U1296" i="5"/>
  <c r="T1296" i="5"/>
  <c r="N1296" i="5"/>
  <c r="M1296" i="5"/>
  <c r="L1296" i="5"/>
  <c r="K1296" i="5"/>
  <c r="X1295" i="5"/>
  <c r="V1295" i="5"/>
  <c r="U1295" i="5"/>
  <c r="T1295" i="5"/>
  <c r="N1295" i="5"/>
  <c r="M1295" i="5"/>
  <c r="L1295" i="5"/>
  <c r="K1295" i="5"/>
  <c r="X1294" i="5"/>
  <c r="V1294" i="5"/>
  <c r="U1294" i="5"/>
  <c r="T1294" i="5"/>
  <c r="N1294" i="5"/>
  <c r="M1294" i="5"/>
  <c r="L1294" i="5"/>
  <c r="K1294" i="5"/>
  <c r="X1293" i="5"/>
  <c r="V1293" i="5"/>
  <c r="U1293" i="5"/>
  <c r="T1293" i="5"/>
  <c r="N1293" i="5"/>
  <c r="M1293" i="5"/>
  <c r="L1293" i="5"/>
  <c r="K1293" i="5"/>
  <c r="X1292" i="5"/>
  <c r="V1292" i="5"/>
  <c r="U1292" i="5"/>
  <c r="T1292" i="5"/>
  <c r="N1292" i="5"/>
  <c r="M1292" i="5"/>
  <c r="L1292" i="5"/>
  <c r="K1292" i="5"/>
  <c r="X1291" i="5"/>
  <c r="V1291" i="5"/>
  <c r="U1291" i="5"/>
  <c r="T1291" i="5"/>
  <c r="N1291" i="5"/>
  <c r="M1291" i="5"/>
  <c r="L1291" i="5"/>
  <c r="K1291" i="5"/>
  <c r="X1290" i="5"/>
  <c r="V1290" i="5"/>
  <c r="U1290" i="5"/>
  <c r="T1290" i="5"/>
  <c r="N1290" i="5"/>
  <c r="M1290" i="5"/>
  <c r="L1290" i="5"/>
  <c r="K1290" i="5"/>
  <c r="X1289" i="5"/>
  <c r="V1289" i="5"/>
  <c r="U1289" i="5"/>
  <c r="T1289" i="5"/>
  <c r="N1289" i="5"/>
  <c r="M1289" i="5"/>
  <c r="L1289" i="5"/>
  <c r="K1289" i="5"/>
  <c r="X1288" i="5"/>
  <c r="V1288" i="5"/>
  <c r="U1288" i="5"/>
  <c r="T1288" i="5"/>
  <c r="N1288" i="5"/>
  <c r="M1288" i="5"/>
  <c r="L1288" i="5"/>
  <c r="K1288" i="5"/>
  <c r="X1287" i="5"/>
  <c r="V1287" i="5"/>
  <c r="U1287" i="5"/>
  <c r="T1287" i="5"/>
  <c r="N1287" i="5"/>
  <c r="M1287" i="5"/>
  <c r="L1287" i="5"/>
  <c r="K1287" i="5"/>
  <c r="X1286" i="5"/>
  <c r="V1286" i="5"/>
  <c r="U1286" i="5"/>
  <c r="T1286" i="5"/>
  <c r="N1286" i="5"/>
  <c r="M1286" i="5"/>
  <c r="L1286" i="5"/>
  <c r="K1286" i="5"/>
  <c r="X1285" i="5"/>
  <c r="V1285" i="5"/>
  <c r="U1285" i="5"/>
  <c r="T1285" i="5"/>
  <c r="N1285" i="5"/>
  <c r="M1285" i="5"/>
  <c r="L1285" i="5"/>
  <c r="K1285" i="5"/>
  <c r="X1284" i="5"/>
  <c r="V1284" i="5"/>
  <c r="U1284" i="5"/>
  <c r="T1284" i="5"/>
  <c r="N1284" i="5"/>
  <c r="M1284" i="5"/>
  <c r="L1284" i="5"/>
  <c r="K1284" i="5"/>
  <c r="X1283" i="5"/>
  <c r="V1283" i="5"/>
  <c r="U1283" i="5"/>
  <c r="T1283" i="5"/>
  <c r="N1283" i="5"/>
  <c r="M1283" i="5"/>
  <c r="L1283" i="5"/>
  <c r="K1283" i="5"/>
  <c r="X1282" i="5"/>
  <c r="V1282" i="5"/>
  <c r="U1282" i="5"/>
  <c r="T1282" i="5"/>
  <c r="N1282" i="5"/>
  <c r="M1282" i="5"/>
  <c r="L1282" i="5"/>
  <c r="K1282" i="5"/>
  <c r="X1281" i="5"/>
  <c r="V1281" i="5"/>
  <c r="U1281" i="5"/>
  <c r="T1281" i="5"/>
  <c r="N1281" i="5"/>
  <c r="M1281" i="5"/>
  <c r="L1281" i="5"/>
  <c r="K1281" i="5"/>
  <c r="X1280" i="5"/>
  <c r="V1280" i="5"/>
  <c r="U1280" i="5"/>
  <c r="T1280" i="5"/>
  <c r="N1280" i="5"/>
  <c r="M1280" i="5"/>
  <c r="L1280" i="5"/>
  <c r="K1280" i="5"/>
  <c r="X1279" i="5"/>
  <c r="V1279" i="5"/>
  <c r="U1279" i="5"/>
  <c r="T1279" i="5"/>
  <c r="N1279" i="5"/>
  <c r="M1279" i="5"/>
  <c r="L1279" i="5"/>
  <c r="K1279" i="5"/>
  <c r="X1278" i="5"/>
  <c r="V1278" i="5"/>
  <c r="U1278" i="5"/>
  <c r="T1278" i="5"/>
  <c r="N1278" i="5"/>
  <c r="M1278" i="5"/>
  <c r="L1278" i="5"/>
  <c r="K1278" i="5"/>
  <c r="X1277" i="5"/>
  <c r="V1277" i="5"/>
  <c r="U1277" i="5"/>
  <c r="T1277" i="5"/>
  <c r="N1277" i="5"/>
  <c r="M1277" i="5"/>
  <c r="L1277" i="5"/>
  <c r="K1277" i="5"/>
  <c r="X1276" i="5"/>
  <c r="V1276" i="5"/>
  <c r="U1276" i="5"/>
  <c r="T1276" i="5"/>
  <c r="N1276" i="5"/>
  <c r="M1276" i="5"/>
  <c r="L1276" i="5"/>
  <c r="K1276" i="5"/>
  <c r="X1275" i="5"/>
  <c r="V1275" i="5"/>
  <c r="U1275" i="5"/>
  <c r="T1275" i="5"/>
  <c r="N1275" i="5"/>
  <c r="M1275" i="5"/>
  <c r="L1275" i="5"/>
  <c r="K1275" i="5"/>
  <c r="X1274" i="5"/>
  <c r="V1274" i="5"/>
  <c r="U1274" i="5"/>
  <c r="T1274" i="5"/>
  <c r="N1274" i="5"/>
  <c r="M1274" i="5"/>
  <c r="L1274" i="5"/>
  <c r="K1274" i="5"/>
  <c r="X1273" i="5"/>
  <c r="V1273" i="5"/>
  <c r="U1273" i="5"/>
  <c r="T1273" i="5"/>
  <c r="N1273" i="5"/>
  <c r="M1273" i="5"/>
  <c r="L1273" i="5"/>
  <c r="K1273" i="5"/>
  <c r="X1272" i="5"/>
  <c r="V1272" i="5"/>
  <c r="U1272" i="5"/>
  <c r="T1272" i="5"/>
  <c r="N1272" i="5"/>
  <c r="M1272" i="5"/>
  <c r="L1272" i="5"/>
  <c r="K1272" i="5"/>
  <c r="X1271" i="5"/>
  <c r="V1271" i="5"/>
  <c r="U1271" i="5"/>
  <c r="T1271" i="5"/>
  <c r="N1271" i="5"/>
  <c r="M1271" i="5"/>
  <c r="L1271" i="5"/>
  <c r="K1271" i="5"/>
  <c r="X1270" i="5"/>
  <c r="V1270" i="5"/>
  <c r="U1270" i="5"/>
  <c r="T1270" i="5"/>
  <c r="N1270" i="5"/>
  <c r="M1270" i="5"/>
  <c r="L1270" i="5"/>
  <c r="K1270" i="5"/>
  <c r="X1269" i="5"/>
  <c r="V1269" i="5"/>
  <c r="U1269" i="5"/>
  <c r="T1269" i="5"/>
  <c r="N1269" i="5"/>
  <c r="M1269" i="5"/>
  <c r="L1269" i="5"/>
  <c r="K1269" i="5"/>
  <c r="X1268" i="5"/>
  <c r="V1268" i="5"/>
  <c r="U1268" i="5"/>
  <c r="T1268" i="5"/>
  <c r="N1268" i="5"/>
  <c r="M1268" i="5"/>
  <c r="L1268" i="5"/>
  <c r="K1268" i="5"/>
  <c r="X1267" i="5"/>
  <c r="V1267" i="5"/>
  <c r="U1267" i="5"/>
  <c r="T1267" i="5"/>
  <c r="N1267" i="5"/>
  <c r="M1267" i="5"/>
  <c r="L1267" i="5"/>
  <c r="K1267" i="5"/>
  <c r="X1266" i="5"/>
  <c r="V1266" i="5"/>
  <c r="U1266" i="5"/>
  <c r="T1266" i="5"/>
  <c r="N1266" i="5"/>
  <c r="M1266" i="5"/>
  <c r="L1266" i="5"/>
  <c r="K1266" i="5"/>
  <c r="X1265" i="5"/>
  <c r="V1265" i="5"/>
  <c r="U1265" i="5"/>
  <c r="T1265" i="5"/>
  <c r="N1265" i="5"/>
  <c r="M1265" i="5"/>
  <c r="L1265" i="5"/>
  <c r="K1265" i="5"/>
  <c r="X1264" i="5"/>
  <c r="V1264" i="5"/>
  <c r="U1264" i="5"/>
  <c r="T1264" i="5"/>
  <c r="N1264" i="5"/>
  <c r="M1264" i="5"/>
  <c r="L1264" i="5"/>
  <c r="K1264" i="5"/>
  <c r="X1263" i="5"/>
  <c r="V1263" i="5"/>
  <c r="U1263" i="5"/>
  <c r="T1263" i="5"/>
  <c r="N1263" i="5"/>
  <c r="M1263" i="5"/>
  <c r="L1263" i="5"/>
  <c r="K1263" i="5"/>
  <c r="X1262" i="5"/>
  <c r="V1262" i="5"/>
  <c r="U1262" i="5"/>
  <c r="T1262" i="5"/>
  <c r="N1262" i="5"/>
  <c r="M1262" i="5"/>
  <c r="L1262" i="5"/>
  <c r="K1262" i="5"/>
  <c r="X1261" i="5"/>
  <c r="V1261" i="5"/>
  <c r="U1261" i="5"/>
  <c r="T1261" i="5"/>
  <c r="N1261" i="5"/>
  <c r="M1261" i="5"/>
  <c r="L1261" i="5"/>
  <c r="K1261" i="5"/>
  <c r="X1260" i="5"/>
  <c r="V1260" i="5"/>
  <c r="U1260" i="5"/>
  <c r="T1260" i="5"/>
  <c r="N1260" i="5"/>
  <c r="M1260" i="5"/>
  <c r="L1260" i="5"/>
  <c r="K1260" i="5"/>
  <c r="X1259" i="5"/>
  <c r="V1259" i="5"/>
  <c r="U1259" i="5"/>
  <c r="T1259" i="5"/>
  <c r="N1259" i="5"/>
  <c r="M1259" i="5"/>
  <c r="L1259" i="5"/>
  <c r="K1259" i="5"/>
  <c r="X1258" i="5"/>
  <c r="V1258" i="5"/>
  <c r="U1258" i="5"/>
  <c r="T1258" i="5"/>
  <c r="N1258" i="5"/>
  <c r="M1258" i="5"/>
  <c r="L1258" i="5"/>
  <c r="K1258" i="5"/>
  <c r="X1257" i="5"/>
  <c r="V1257" i="5"/>
  <c r="U1257" i="5"/>
  <c r="T1257" i="5"/>
  <c r="N1257" i="5"/>
  <c r="M1257" i="5"/>
  <c r="L1257" i="5"/>
  <c r="K1257" i="5"/>
  <c r="X1256" i="5"/>
  <c r="V1256" i="5"/>
  <c r="U1256" i="5"/>
  <c r="T1256" i="5"/>
  <c r="N1256" i="5"/>
  <c r="M1256" i="5"/>
  <c r="L1256" i="5"/>
  <c r="K1256" i="5"/>
  <c r="X1255" i="5"/>
  <c r="V1255" i="5"/>
  <c r="U1255" i="5"/>
  <c r="T1255" i="5"/>
  <c r="N1255" i="5"/>
  <c r="M1255" i="5"/>
  <c r="L1255" i="5"/>
  <c r="K1255" i="5"/>
  <c r="X1254" i="5"/>
  <c r="V1254" i="5"/>
  <c r="U1254" i="5"/>
  <c r="T1254" i="5"/>
  <c r="N1254" i="5"/>
  <c r="M1254" i="5"/>
  <c r="L1254" i="5"/>
  <c r="K1254" i="5"/>
  <c r="X1253" i="5"/>
  <c r="V1253" i="5"/>
  <c r="U1253" i="5"/>
  <c r="T1253" i="5"/>
  <c r="N1253" i="5"/>
  <c r="M1253" i="5"/>
  <c r="L1253" i="5"/>
  <c r="K1253" i="5"/>
  <c r="X1252" i="5"/>
  <c r="V1252" i="5"/>
  <c r="U1252" i="5"/>
  <c r="T1252" i="5"/>
  <c r="N1252" i="5"/>
  <c r="M1252" i="5"/>
  <c r="L1252" i="5"/>
  <c r="K1252" i="5"/>
  <c r="X1251" i="5"/>
  <c r="V1251" i="5"/>
  <c r="U1251" i="5"/>
  <c r="T1251" i="5"/>
  <c r="N1251" i="5"/>
  <c r="M1251" i="5"/>
  <c r="L1251" i="5"/>
  <c r="K1251" i="5"/>
  <c r="X1250" i="5"/>
  <c r="V1250" i="5"/>
  <c r="U1250" i="5"/>
  <c r="T1250" i="5"/>
  <c r="N1250" i="5"/>
  <c r="M1250" i="5"/>
  <c r="L1250" i="5"/>
  <c r="K1250" i="5"/>
  <c r="X1249" i="5"/>
  <c r="V1249" i="5"/>
  <c r="U1249" i="5"/>
  <c r="T1249" i="5"/>
  <c r="N1249" i="5"/>
  <c r="M1249" i="5"/>
  <c r="L1249" i="5"/>
  <c r="K1249" i="5"/>
  <c r="X1248" i="5"/>
  <c r="V1248" i="5"/>
  <c r="U1248" i="5"/>
  <c r="T1248" i="5"/>
  <c r="N1248" i="5"/>
  <c r="M1248" i="5"/>
  <c r="L1248" i="5"/>
  <c r="K1248" i="5"/>
  <c r="X1247" i="5"/>
  <c r="V1247" i="5"/>
  <c r="U1247" i="5"/>
  <c r="T1247" i="5"/>
  <c r="N1247" i="5"/>
  <c r="M1247" i="5"/>
  <c r="L1247" i="5"/>
  <c r="K1247" i="5"/>
  <c r="X1246" i="5"/>
  <c r="V1246" i="5"/>
  <c r="U1246" i="5"/>
  <c r="T1246" i="5"/>
  <c r="N1246" i="5"/>
  <c r="M1246" i="5"/>
  <c r="L1246" i="5"/>
  <c r="K1246" i="5"/>
  <c r="X1245" i="5"/>
  <c r="V1245" i="5"/>
  <c r="U1245" i="5"/>
  <c r="T1245" i="5"/>
  <c r="N1245" i="5"/>
  <c r="M1245" i="5"/>
  <c r="L1245" i="5"/>
  <c r="K1245" i="5"/>
  <c r="X1244" i="5"/>
  <c r="V1244" i="5"/>
  <c r="U1244" i="5"/>
  <c r="T1244" i="5"/>
  <c r="N1244" i="5"/>
  <c r="M1244" i="5"/>
  <c r="L1244" i="5"/>
  <c r="K1244" i="5"/>
  <c r="X1243" i="5"/>
  <c r="V1243" i="5"/>
  <c r="U1243" i="5"/>
  <c r="T1243" i="5"/>
  <c r="N1243" i="5"/>
  <c r="M1243" i="5"/>
  <c r="L1243" i="5"/>
  <c r="K1243" i="5"/>
  <c r="X1242" i="5"/>
  <c r="V1242" i="5"/>
  <c r="U1242" i="5"/>
  <c r="T1242" i="5"/>
  <c r="N1242" i="5"/>
  <c r="M1242" i="5"/>
  <c r="L1242" i="5"/>
  <c r="K1242" i="5"/>
  <c r="X1241" i="5"/>
  <c r="V1241" i="5"/>
  <c r="U1241" i="5"/>
  <c r="T1241" i="5"/>
  <c r="N1241" i="5"/>
  <c r="M1241" i="5"/>
  <c r="L1241" i="5"/>
  <c r="K1241" i="5"/>
  <c r="X1240" i="5"/>
  <c r="V1240" i="5"/>
  <c r="U1240" i="5"/>
  <c r="T1240" i="5"/>
  <c r="N1240" i="5"/>
  <c r="M1240" i="5"/>
  <c r="L1240" i="5"/>
  <c r="K1240" i="5"/>
  <c r="X1239" i="5"/>
  <c r="V1239" i="5"/>
  <c r="U1239" i="5"/>
  <c r="T1239" i="5"/>
  <c r="N1239" i="5"/>
  <c r="M1239" i="5"/>
  <c r="L1239" i="5"/>
  <c r="K1239" i="5"/>
  <c r="X1238" i="5"/>
  <c r="V1238" i="5"/>
  <c r="U1238" i="5"/>
  <c r="T1238" i="5"/>
  <c r="N1238" i="5"/>
  <c r="M1238" i="5"/>
  <c r="L1238" i="5"/>
  <c r="K1238" i="5"/>
  <c r="X1237" i="5"/>
  <c r="V1237" i="5"/>
  <c r="U1237" i="5"/>
  <c r="T1237" i="5"/>
  <c r="N1237" i="5"/>
  <c r="M1237" i="5"/>
  <c r="L1237" i="5"/>
  <c r="K1237" i="5"/>
  <c r="X1236" i="5"/>
  <c r="V1236" i="5"/>
  <c r="U1236" i="5"/>
  <c r="T1236" i="5"/>
  <c r="N1236" i="5"/>
  <c r="M1236" i="5"/>
  <c r="L1236" i="5"/>
  <c r="K1236" i="5"/>
  <c r="X1235" i="5"/>
  <c r="V1235" i="5"/>
  <c r="U1235" i="5"/>
  <c r="T1235" i="5"/>
  <c r="N1235" i="5"/>
  <c r="M1235" i="5"/>
  <c r="L1235" i="5"/>
  <c r="K1235" i="5"/>
  <c r="X1234" i="5"/>
  <c r="V1234" i="5"/>
  <c r="U1234" i="5"/>
  <c r="T1234" i="5"/>
  <c r="N1234" i="5"/>
  <c r="M1234" i="5"/>
  <c r="L1234" i="5"/>
  <c r="K1234" i="5"/>
  <c r="X1233" i="5"/>
  <c r="W1233" i="5"/>
  <c r="V1233" i="5"/>
  <c r="U1233" i="5"/>
  <c r="T1233" i="5"/>
  <c r="S1233" i="5"/>
  <c r="N1233" i="5"/>
  <c r="M1233" i="5"/>
  <c r="L1233" i="5"/>
  <c r="K1233" i="5"/>
  <c r="X1232" i="5"/>
  <c r="V1232" i="5"/>
  <c r="U1232" i="5"/>
  <c r="T1232" i="5"/>
  <c r="N1232" i="5"/>
  <c r="M1232" i="5"/>
  <c r="L1232" i="5"/>
  <c r="K1232" i="5"/>
  <c r="X1231" i="5"/>
  <c r="V1231" i="5"/>
  <c r="U1231" i="5"/>
  <c r="T1231" i="5"/>
  <c r="N1231" i="5"/>
  <c r="M1231" i="5"/>
  <c r="L1231" i="5"/>
  <c r="K1231" i="5"/>
  <c r="X1230" i="5"/>
  <c r="V1230" i="5"/>
  <c r="U1230" i="5"/>
  <c r="T1230" i="5"/>
  <c r="N1230" i="5"/>
  <c r="M1230" i="5"/>
  <c r="L1230" i="5"/>
  <c r="K1230" i="5"/>
  <c r="X1229" i="5"/>
  <c r="W1229" i="5"/>
  <c r="V1229" i="5"/>
  <c r="U1229" i="5"/>
  <c r="T1229" i="5"/>
  <c r="S1229" i="5"/>
  <c r="N1229" i="5"/>
  <c r="M1229" i="5"/>
  <c r="L1229" i="5"/>
  <c r="K1229" i="5"/>
  <c r="X1228" i="5"/>
  <c r="V1228" i="5"/>
  <c r="U1228" i="5"/>
  <c r="T1228" i="5"/>
  <c r="N1228" i="5"/>
  <c r="M1228" i="5"/>
  <c r="L1228" i="5"/>
  <c r="K1228" i="5"/>
  <c r="X1227" i="5"/>
  <c r="V1227" i="5"/>
  <c r="U1227" i="5"/>
  <c r="T1227" i="5"/>
  <c r="N1227" i="5"/>
  <c r="M1227" i="5"/>
  <c r="L1227" i="5"/>
  <c r="K1227" i="5"/>
  <c r="X1226" i="5"/>
  <c r="V1226" i="5"/>
  <c r="U1226" i="5"/>
  <c r="T1226" i="5"/>
  <c r="N1226" i="5"/>
  <c r="M1226" i="5"/>
  <c r="L1226" i="5"/>
  <c r="K1226" i="5"/>
  <c r="X1225" i="5"/>
  <c r="V1225" i="5"/>
  <c r="U1225" i="5"/>
  <c r="T1225" i="5"/>
  <c r="N1225" i="5"/>
  <c r="M1225" i="5"/>
  <c r="L1225" i="5"/>
  <c r="K1225" i="5"/>
  <c r="X1224" i="5"/>
  <c r="V1224" i="5"/>
  <c r="U1224" i="5"/>
  <c r="T1224" i="5"/>
  <c r="N1224" i="5"/>
  <c r="M1224" i="5"/>
  <c r="L1224" i="5"/>
  <c r="K1224" i="5"/>
  <c r="X1223" i="5"/>
  <c r="V1223" i="5"/>
  <c r="U1223" i="5"/>
  <c r="T1223" i="5"/>
  <c r="N1223" i="5"/>
  <c r="M1223" i="5"/>
  <c r="L1223" i="5"/>
  <c r="K1223" i="5"/>
  <c r="X1222" i="5"/>
  <c r="V1222" i="5"/>
  <c r="U1222" i="5"/>
  <c r="T1222" i="5"/>
  <c r="N1222" i="5"/>
  <c r="M1222" i="5"/>
  <c r="L1222" i="5"/>
  <c r="K1222" i="5"/>
  <c r="X1221" i="5"/>
  <c r="V1221" i="5"/>
  <c r="U1221" i="5"/>
  <c r="T1221" i="5"/>
  <c r="N1221" i="5"/>
  <c r="M1221" i="5"/>
  <c r="L1221" i="5"/>
  <c r="K1221" i="5"/>
  <c r="X1220" i="5"/>
  <c r="V1220" i="5"/>
  <c r="U1220" i="5"/>
  <c r="T1220" i="5"/>
  <c r="N1220" i="5"/>
  <c r="M1220" i="5"/>
  <c r="L1220" i="5"/>
  <c r="K1220" i="5"/>
  <c r="X1219" i="5"/>
  <c r="V1219" i="5"/>
  <c r="U1219" i="5"/>
  <c r="T1219" i="5"/>
  <c r="N1219" i="5"/>
  <c r="M1219" i="5"/>
  <c r="L1219" i="5"/>
  <c r="K1219" i="5"/>
  <c r="X1218" i="5"/>
  <c r="V1218" i="5"/>
  <c r="U1218" i="5"/>
  <c r="T1218" i="5"/>
  <c r="N1218" i="5"/>
  <c r="M1218" i="5"/>
  <c r="L1218" i="5"/>
  <c r="K1218" i="5"/>
  <c r="X1217" i="5"/>
  <c r="V1217" i="5"/>
  <c r="U1217" i="5"/>
  <c r="T1217" i="5"/>
  <c r="N1217" i="5"/>
  <c r="M1217" i="5"/>
  <c r="L1217" i="5"/>
  <c r="K1217" i="5"/>
  <c r="X1216" i="5"/>
  <c r="V1216" i="5"/>
  <c r="U1216" i="5"/>
  <c r="T1216" i="5"/>
  <c r="N1216" i="5"/>
  <c r="M1216" i="5"/>
  <c r="L1216" i="5"/>
  <c r="K1216" i="5"/>
  <c r="X1215" i="5"/>
  <c r="W1215" i="5"/>
  <c r="V1215" i="5"/>
  <c r="U1215" i="5"/>
  <c r="T1215" i="5"/>
  <c r="S1215" i="5"/>
  <c r="N1215" i="5"/>
  <c r="M1215" i="5"/>
  <c r="L1215" i="5"/>
  <c r="K1215" i="5"/>
  <c r="X1214" i="5"/>
  <c r="V1214" i="5"/>
  <c r="U1214" i="5"/>
  <c r="T1214" i="5"/>
  <c r="N1214" i="5"/>
  <c r="M1214" i="5"/>
  <c r="L1214" i="5"/>
  <c r="K1214" i="5"/>
  <c r="X1213" i="5"/>
  <c r="V1213" i="5"/>
  <c r="U1213" i="5"/>
  <c r="T1213" i="5"/>
  <c r="N1213" i="5"/>
  <c r="M1213" i="5"/>
  <c r="L1213" i="5"/>
  <c r="K1213" i="5"/>
  <c r="X1212" i="5"/>
  <c r="V1212" i="5"/>
  <c r="U1212" i="5"/>
  <c r="T1212" i="5"/>
  <c r="N1212" i="5"/>
  <c r="M1212" i="5"/>
  <c r="L1212" i="5"/>
  <c r="K1212" i="5"/>
  <c r="X1211" i="5"/>
  <c r="V1211" i="5"/>
  <c r="U1211" i="5"/>
  <c r="T1211" i="5"/>
  <c r="N1211" i="5"/>
  <c r="M1211" i="5"/>
  <c r="L1211" i="5"/>
  <c r="K1211" i="5"/>
  <c r="X1210" i="5"/>
  <c r="W1210" i="5"/>
  <c r="V1210" i="5"/>
  <c r="U1210" i="5"/>
  <c r="T1210" i="5"/>
  <c r="S1210" i="5"/>
  <c r="N1210" i="5"/>
  <c r="M1210" i="5"/>
  <c r="L1210" i="5"/>
  <c r="K1210" i="5"/>
  <c r="X1209" i="5"/>
  <c r="V1209" i="5"/>
  <c r="U1209" i="5"/>
  <c r="T1209" i="5"/>
  <c r="N1209" i="5"/>
  <c r="M1209" i="5"/>
  <c r="L1209" i="5"/>
  <c r="K1209" i="5"/>
  <c r="X1208" i="5"/>
  <c r="V1208" i="5"/>
  <c r="U1208" i="5"/>
  <c r="T1208" i="5"/>
  <c r="N1208" i="5"/>
  <c r="M1208" i="5"/>
  <c r="L1208" i="5"/>
  <c r="K1208" i="5"/>
  <c r="X1207" i="5"/>
  <c r="V1207" i="5"/>
  <c r="U1207" i="5"/>
  <c r="T1207" i="5"/>
  <c r="N1207" i="5"/>
  <c r="M1207" i="5"/>
  <c r="L1207" i="5"/>
  <c r="K1207" i="5"/>
  <c r="X1206" i="5"/>
  <c r="V1206" i="5"/>
  <c r="U1206" i="5"/>
  <c r="T1206" i="5"/>
  <c r="N1206" i="5"/>
  <c r="M1206" i="5"/>
  <c r="L1206" i="5"/>
  <c r="K1206" i="5"/>
  <c r="X1205" i="5"/>
  <c r="W1205" i="5"/>
  <c r="V1205" i="5"/>
  <c r="U1205" i="5"/>
  <c r="T1205" i="5"/>
  <c r="S1205" i="5"/>
  <c r="N1205" i="5"/>
  <c r="M1205" i="5"/>
  <c r="L1205" i="5"/>
  <c r="K1205" i="5"/>
  <c r="X1204" i="5"/>
  <c r="V1204" i="5"/>
  <c r="U1204" i="5"/>
  <c r="T1204" i="5"/>
  <c r="N1204" i="5"/>
  <c r="M1204" i="5"/>
  <c r="L1204" i="5"/>
  <c r="K1204" i="5"/>
  <c r="X1203" i="5"/>
  <c r="V1203" i="5"/>
  <c r="U1203" i="5"/>
  <c r="T1203" i="5"/>
  <c r="N1203" i="5"/>
  <c r="M1203" i="5"/>
  <c r="L1203" i="5"/>
  <c r="K1203" i="5"/>
  <c r="X1202" i="5"/>
  <c r="V1202" i="5"/>
  <c r="U1202" i="5"/>
  <c r="T1202" i="5"/>
  <c r="N1202" i="5"/>
  <c r="M1202" i="5"/>
  <c r="L1202" i="5"/>
  <c r="K1202" i="5"/>
  <c r="X1201" i="5"/>
  <c r="V1201" i="5"/>
  <c r="U1201" i="5"/>
  <c r="T1201" i="5"/>
  <c r="N1201" i="5"/>
  <c r="M1201" i="5"/>
  <c r="L1201" i="5"/>
  <c r="K1201" i="5"/>
  <c r="X1200" i="5"/>
  <c r="W1200" i="5"/>
  <c r="V1200" i="5"/>
  <c r="U1200" i="5"/>
  <c r="T1200" i="5"/>
  <c r="S1200" i="5"/>
  <c r="N1200" i="5"/>
  <c r="M1200" i="5"/>
  <c r="L1200" i="5"/>
  <c r="K1200" i="5"/>
  <c r="X1199" i="5"/>
  <c r="V1199" i="5"/>
  <c r="U1199" i="5"/>
  <c r="T1199" i="5"/>
  <c r="N1199" i="5"/>
  <c r="M1199" i="5"/>
  <c r="L1199" i="5"/>
  <c r="K1199" i="5"/>
  <c r="X1198" i="5"/>
  <c r="W1198" i="5"/>
  <c r="V1198" i="5"/>
  <c r="U1198" i="5"/>
  <c r="T1198" i="5"/>
  <c r="S1198" i="5"/>
  <c r="N1198" i="5"/>
  <c r="M1198" i="5"/>
  <c r="L1198" i="5"/>
  <c r="K1198" i="5"/>
  <c r="X1197" i="5"/>
  <c r="W1197" i="5"/>
  <c r="V1197" i="5"/>
  <c r="U1197" i="5"/>
  <c r="T1197" i="5"/>
  <c r="S1197" i="5"/>
  <c r="N1197" i="5"/>
  <c r="M1197" i="5"/>
  <c r="L1197" i="5"/>
  <c r="K1197" i="5"/>
  <c r="X1196" i="5"/>
  <c r="V1196" i="5"/>
  <c r="U1196" i="5"/>
  <c r="T1196" i="5"/>
  <c r="P1196" i="5"/>
  <c r="N1196" i="5"/>
  <c r="M1196" i="5"/>
  <c r="O1196" i="5" s="1"/>
  <c r="R1196" i="5" s="1"/>
  <c r="L1196" i="5"/>
  <c r="K1196" i="5"/>
  <c r="X1195" i="5"/>
  <c r="V1195" i="5"/>
  <c r="U1195" i="5"/>
  <c r="T1195" i="5"/>
  <c r="N1195" i="5"/>
  <c r="M1195" i="5"/>
  <c r="L1195" i="5"/>
  <c r="K1195" i="5"/>
  <c r="X1194" i="5"/>
  <c r="V1194" i="5"/>
  <c r="U1194" i="5"/>
  <c r="T1194" i="5"/>
  <c r="N1194" i="5"/>
  <c r="M1194" i="5"/>
  <c r="L1194" i="5"/>
  <c r="K1194" i="5"/>
  <c r="X1193" i="5"/>
  <c r="V1193" i="5"/>
  <c r="U1193" i="5"/>
  <c r="T1193" i="5"/>
  <c r="N1193" i="5"/>
  <c r="M1193" i="5"/>
  <c r="L1193" i="5"/>
  <c r="K1193" i="5"/>
  <c r="X1192" i="5"/>
  <c r="V1192" i="5"/>
  <c r="U1192" i="5"/>
  <c r="T1192" i="5"/>
  <c r="N1192" i="5"/>
  <c r="M1192" i="5"/>
  <c r="L1192" i="5"/>
  <c r="K1192" i="5"/>
  <c r="X1191" i="5"/>
  <c r="V1191" i="5"/>
  <c r="U1191" i="5"/>
  <c r="T1191" i="5"/>
  <c r="N1191" i="5"/>
  <c r="M1191" i="5"/>
  <c r="L1191" i="5"/>
  <c r="K1191" i="5"/>
  <c r="X1190" i="5"/>
  <c r="W1190" i="5"/>
  <c r="V1190" i="5"/>
  <c r="U1190" i="5"/>
  <c r="T1190" i="5"/>
  <c r="S1190" i="5"/>
  <c r="N1190" i="5"/>
  <c r="M1190" i="5"/>
  <c r="L1190" i="5"/>
  <c r="K1190" i="5"/>
  <c r="X1189" i="5"/>
  <c r="V1189" i="5"/>
  <c r="U1189" i="5"/>
  <c r="T1189" i="5"/>
  <c r="N1189" i="5"/>
  <c r="M1189" i="5"/>
  <c r="L1189" i="5"/>
  <c r="K1189" i="5"/>
  <c r="X1188" i="5"/>
  <c r="W1188" i="5"/>
  <c r="V1188" i="5"/>
  <c r="U1188" i="5"/>
  <c r="T1188" i="5"/>
  <c r="S1188" i="5"/>
  <c r="N1188" i="5"/>
  <c r="M1188" i="5"/>
  <c r="L1188" i="5"/>
  <c r="K1188" i="5"/>
  <c r="X1187" i="5"/>
  <c r="V1187" i="5"/>
  <c r="U1187" i="5"/>
  <c r="T1187" i="5"/>
  <c r="N1187" i="5"/>
  <c r="M1187" i="5"/>
  <c r="L1187" i="5"/>
  <c r="K1187" i="5"/>
  <c r="X1186" i="5"/>
  <c r="W1186" i="5"/>
  <c r="V1186" i="5"/>
  <c r="U1186" i="5"/>
  <c r="T1186" i="5"/>
  <c r="S1186" i="5"/>
  <c r="N1186" i="5"/>
  <c r="M1186" i="5"/>
  <c r="L1186" i="5"/>
  <c r="K1186" i="5"/>
  <c r="X1185" i="5"/>
  <c r="W1185" i="5"/>
  <c r="V1185" i="5"/>
  <c r="U1185" i="5"/>
  <c r="T1185" i="5"/>
  <c r="S1185" i="5"/>
  <c r="N1185" i="5"/>
  <c r="M1185" i="5"/>
  <c r="L1185" i="5"/>
  <c r="K1185" i="5"/>
  <c r="X1184" i="5"/>
  <c r="V1184" i="5"/>
  <c r="U1184" i="5"/>
  <c r="T1184" i="5"/>
  <c r="N1184" i="5"/>
  <c r="M1184" i="5"/>
  <c r="L1184" i="5"/>
  <c r="K1184" i="5"/>
  <c r="X1183" i="5"/>
  <c r="W1183" i="5"/>
  <c r="V1183" i="5"/>
  <c r="U1183" i="5"/>
  <c r="T1183" i="5"/>
  <c r="S1183" i="5"/>
  <c r="N1183" i="5"/>
  <c r="M1183" i="5"/>
  <c r="L1183" i="5"/>
  <c r="K1183" i="5"/>
  <c r="X1182" i="5"/>
  <c r="V1182" i="5"/>
  <c r="U1182" i="5"/>
  <c r="T1182" i="5"/>
  <c r="N1182" i="5"/>
  <c r="M1182" i="5"/>
  <c r="L1182" i="5"/>
  <c r="K1182" i="5"/>
  <c r="X1181" i="5"/>
  <c r="W1181" i="5"/>
  <c r="V1181" i="5"/>
  <c r="U1181" i="5"/>
  <c r="T1181" i="5"/>
  <c r="S1181" i="5"/>
  <c r="N1181" i="5"/>
  <c r="M1181" i="5"/>
  <c r="L1181" i="5"/>
  <c r="K1181" i="5"/>
  <c r="X1180" i="5"/>
  <c r="W1180" i="5"/>
  <c r="V1180" i="5"/>
  <c r="U1180" i="5"/>
  <c r="T1180" i="5"/>
  <c r="S1180" i="5"/>
  <c r="N1180" i="5"/>
  <c r="M1180" i="5"/>
  <c r="L1180" i="5"/>
  <c r="K1180" i="5"/>
  <c r="X1179" i="5"/>
  <c r="V1179" i="5"/>
  <c r="U1179" i="5"/>
  <c r="T1179" i="5"/>
  <c r="N1179" i="5"/>
  <c r="M1179" i="5"/>
  <c r="L1179" i="5"/>
  <c r="K1179" i="5"/>
  <c r="X1178" i="5"/>
  <c r="V1178" i="5"/>
  <c r="U1178" i="5"/>
  <c r="T1178" i="5"/>
  <c r="N1178" i="5"/>
  <c r="M1178" i="5"/>
  <c r="L1178" i="5"/>
  <c r="K1178" i="5"/>
  <c r="X1177" i="5"/>
  <c r="W1177" i="5"/>
  <c r="V1177" i="5"/>
  <c r="U1177" i="5"/>
  <c r="T1177" i="5"/>
  <c r="S1177" i="5"/>
  <c r="N1177" i="5"/>
  <c r="M1177" i="5"/>
  <c r="L1177" i="5"/>
  <c r="K1177" i="5"/>
  <c r="X1176" i="5"/>
  <c r="V1176" i="5"/>
  <c r="U1176" i="5"/>
  <c r="T1176" i="5"/>
  <c r="N1176" i="5"/>
  <c r="M1176" i="5"/>
  <c r="L1176" i="5"/>
  <c r="K1176" i="5"/>
  <c r="X1175" i="5"/>
  <c r="V1175" i="5"/>
  <c r="U1175" i="5"/>
  <c r="T1175" i="5"/>
  <c r="N1175" i="5"/>
  <c r="M1175" i="5"/>
  <c r="L1175" i="5"/>
  <c r="K1175" i="5"/>
  <c r="X1174" i="5"/>
  <c r="W1174" i="5"/>
  <c r="V1174" i="5"/>
  <c r="U1174" i="5"/>
  <c r="T1174" i="5"/>
  <c r="S1174" i="5"/>
  <c r="N1174" i="5"/>
  <c r="M1174" i="5"/>
  <c r="L1174" i="5"/>
  <c r="K1174" i="5"/>
  <c r="X1173" i="5"/>
  <c r="W1173" i="5"/>
  <c r="V1173" i="5"/>
  <c r="U1173" i="5"/>
  <c r="T1173" i="5"/>
  <c r="S1173" i="5"/>
  <c r="N1173" i="5"/>
  <c r="M1173" i="5"/>
  <c r="L1173" i="5"/>
  <c r="K1173" i="5"/>
  <c r="X1172" i="5"/>
  <c r="W1172" i="5"/>
  <c r="V1172" i="5"/>
  <c r="U1172" i="5"/>
  <c r="T1172" i="5"/>
  <c r="S1172" i="5"/>
  <c r="N1172" i="5"/>
  <c r="M1172" i="5"/>
  <c r="L1172" i="5"/>
  <c r="K1172" i="5"/>
  <c r="X1171" i="5"/>
  <c r="W1171" i="5"/>
  <c r="V1171" i="5"/>
  <c r="U1171" i="5"/>
  <c r="T1171" i="5"/>
  <c r="S1171" i="5"/>
  <c r="N1171" i="5"/>
  <c r="M1171" i="5"/>
  <c r="L1171" i="5"/>
  <c r="K1171" i="5"/>
  <c r="X1170" i="5"/>
  <c r="W1170" i="5"/>
  <c r="V1170" i="5"/>
  <c r="U1170" i="5"/>
  <c r="T1170" i="5"/>
  <c r="S1170" i="5"/>
  <c r="N1170" i="5"/>
  <c r="M1170" i="5"/>
  <c r="L1170" i="5"/>
  <c r="K1170" i="5"/>
  <c r="X1169" i="5"/>
  <c r="V1169" i="5"/>
  <c r="U1169" i="5"/>
  <c r="T1169" i="5"/>
  <c r="N1169" i="5"/>
  <c r="M1169" i="5"/>
  <c r="L1169" i="5"/>
  <c r="K1169" i="5"/>
  <c r="X1168" i="5"/>
  <c r="V1168" i="5"/>
  <c r="U1168" i="5"/>
  <c r="T1168" i="5"/>
  <c r="N1168" i="5"/>
  <c r="M1168" i="5"/>
  <c r="L1168" i="5"/>
  <c r="K1168" i="5"/>
  <c r="X1167" i="5"/>
  <c r="W1167" i="5"/>
  <c r="V1167" i="5"/>
  <c r="U1167" i="5"/>
  <c r="T1167" i="5"/>
  <c r="S1167" i="5"/>
  <c r="N1167" i="5"/>
  <c r="M1167" i="5"/>
  <c r="L1167" i="5"/>
  <c r="K1167" i="5"/>
  <c r="X1166" i="5"/>
  <c r="W1166" i="5"/>
  <c r="V1166" i="5"/>
  <c r="U1166" i="5"/>
  <c r="T1166" i="5"/>
  <c r="S1166" i="5"/>
  <c r="N1166" i="5"/>
  <c r="M1166" i="5"/>
  <c r="L1166" i="5"/>
  <c r="K1166" i="5"/>
  <c r="X1165" i="5"/>
  <c r="W1165" i="5"/>
  <c r="V1165" i="5"/>
  <c r="U1165" i="5"/>
  <c r="T1165" i="5"/>
  <c r="S1165" i="5"/>
  <c r="P1165" i="5"/>
  <c r="Q1165" i="5" s="1"/>
  <c r="O1165" i="5"/>
  <c r="R1165" i="5" s="1"/>
  <c r="N1165" i="5"/>
  <c r="M1165" i="5"/>
  <c r="L1165" i="5"/>
  <c r="K1165" i="5"/>
  <c r="X1164" i="5"/>
  <c r="V1164" i="5"/>
  <c r="U1164" i="5"/>
  <c r="T1164" i="5"/>
  <c r="N1164" i="5"/>
  <c r="M1164" i="5"/>
  <c r="L1164" i="5"/>
  <c r="K1164" i="5"/>
  <c r="X1163" i="5"/>
  <c r="V1163" i="5"/>
  <c r="U1163" i="5"/>
  <c r="T1163" i="5"/>
  <c r="N1163" i="5"/>
  <c r="M1163" i="5"/>
  <c r="L1163" i="5"/>
  <c r="K1163" i="5"/>
  <c r="X1162" i="5"/>
  <c r="V1162" i="5"/>
  <c r="U1162" i="5"/>
  <c r="T1162" i="5"/>
  <c r="N1162" i="5"/>
  <c r="M1162" i="5"/>
  <c r="L1162" i="5"/>
  <c r="K1162" i="5"/>
  <c r="X1161" i="5"/>
  <c r="V1161" i="5"/>
  <c r="U1161" i="5"/>
  <c r="T1161" i="5"/>
  <c r="N1161" i="5"/>
  <c r="M1161" i="5"/>
  <c r="L1161" i="5"/>
  <c r="K1161" i="5"/>
  <c r="X1160" i="5"/>
  <c r="V1160" i="5"/>
  <c r="U1160" i="5"/>
  <c r="T1160" i="5"/>
  <c r="N1160" i="5"/>
  <c r="M1160" i="5"/>
  <c r="L1160" i="5"/>
  <c r="K1160" i="5"/>
  <c r="X1159" i="5"/>
  <c r="V1159" i="5"/>
  <c r="U1159" i="5"/>
  <c r="T1159" i="5"/>
  <c r="N1159" i="5"/>
  <c r="M1159" i="5"/>
  <c r="L1159" i="5"/>
  <c r="K1159" i="5"/>
  <c r="X1158" i="5"/>
  <c r="V1158" i="5"/>
  <c r="U1158" i="5"/>
  <c r="T1158" i="5"/>
  <c r="N1158" i="5"/>
  <c r="M1158" i="5"/>
  <c r="L1158" i="5"/>
  <c r="K1158" i="5"/>
  <c r="X1157" i="5"/>
  <c r="V1157" i="5"/>
  <c r="U1157" i="5"/>
  <c r="T1157" i="5"/>
  <c r="N1157" i="5"/>
  <c r="M1157" i="5"/>
  <c r="L1157" i="5"/>
  <c r="K1157" i="5"/>
  <c r="X1156" i="5"/>
  <c r="V1156" i="5"/>
  <c r="U1156" i="5"/>
  <c r="T1156" i="5"/>
  <c r="N1156" i="5"/>
  <c r="M1156" i="5"/>
  <c r="L1156" i="5"/>
  <c r="K1156" i="5"/>
  <c r="X1155" i="5"/>
  <c r="V1155" i="5"/>
  <c r="U1155" i="5"/>
  <c r="T1155" i="5"/>
  <c r="N1155" i="5"/>
  <c r="M1155" i="5"/>
  <c r="L1155" i="5"/>
  <c r="K1155" i="5"/>
  <c r="X1154" i="5"/>
  <c r="V1154" i="5"/>
  <c r="U1154" i="5"/>
  <c r="T1154" i="5"/>
  <c r="N1154" i="5"/>
  <c r="M1154" i="5"/>
  <c r="L1154" i="5"/>
  <c r="K1154" i="5"/>
  <c r="X1153" i="5"/>
  <c r="V1153" i="5"/>
  <c r="U1153" i="5"/>
  <c r="T1153" i="5"/>
  <c r="N1153" i="5"/>
  <c r="M1153" i="5"/>
  <c r="L1153" i="5"/>
  <c r="K1153" i="5"/>
  <c r="X1152" i="5"/>
  <c r="V1152" i="5"/>
  <c r="U1152" i="5"/>
  <c r="T1152" i="5"/>
  <c r="N1152" i="5"/>
  <c r="M1152" i="5"/>
  <c r="L1152" i="5"/>
  <c r="K1152" i="5"/>
  <c r="X1151" i="5"/>
  <c r="V1151" i="5"/>
  <c r="U1151" i="5"/>
  <c r="T1151" i="5"/>
  <c r="N1151" i="5"/>
  <c r="M1151" i="5"/>
  <c r="L1151" i="5"/>
  <c r="K1151" i="5"/>
  <c r="X1150" i="5"/>
  <c r="V1150" i="5"/>
  <c r="U1150" i="5"/>
  <c r="T1150" i="5"/>
  <c r="N1150" i="5"/>
  <c r="M1150" i="5"/>
  <c r="L1150" i="5"/>
  <c r="K1150" i="5"/>
  <c r="X1149" i="5"/>
  <c r="V1149" i="5"/>
  <c r="U1149" i="5"/>
  <c r="T1149" i="5"/>
  <c r="N1149" i="5"/>
  <c r="M1149" i="5"/>
  <c r="L1149" i="5"/>
  <c r="K1149" i="5"/>
  <c r="X1148" i="5"/>
  <c r="V1148" i="5"/>
  <c r="U1148" i="5"/>
  <c r="T1148" i="5"/>
  <c r="N1148" i="5"/>
  <c r="M1148" i="5"/>
  <c r="L1148" i="5"/>
  <c r="K1148" i="5"/>
  <c r="X1147" i="5"/>
  <c r="V1147" i="5"/>
  <c r="U1147" i="5"/>
  <c r="T1147" i="5"/>
  <c r="N1147" i="5"/>
  <c r="M1147" i="5"/>
  <c r="L1147" i="5"/>
  <c r="K1147" i="5"/>
  <c r="X1146" i="5"/>
  <c r="V1146" i="5"/>
  <c r="U1146" i="5"/>
  <c r="T1146" i="5"/>
  <c r="N1146" i="5"/>
  <c r="M1146" i="5"/>
  <c r="L1146" i="5"/>
  <c r="K1146" i="5"/>
  <c r="X1145" i="5"/>
  <c r="V1145" i="5"/>
  <c r="U1145" i="5"/>
  <c r="T1145" i="5"/>
  <c r="N1145" i="5"/>
  <c r="M1145" i="5"/>
  <c r="L1145" i="5"/>
  <c r="K1145" i="5"/>
  <c r="X1144" i="5"/>
  <c r="V1144" i="5"/>
  <c r="U1144" i="5"/>
  <c r="T1144" i="5"/>
  <c r="N1144" i="5"/>
  <c r="M1144" i="5"/>
  <c r="L1144" i="5"/>
  <c r="K1144" i="5"/>
  <c r="X1143" i="5"/>
  <c r="V1143" i="5"/>
  <c r="U1143" i="5"/>
  <c r="T1143" i="5"/>
  <c r="N1143" i="5"/>
  <c r="M1143" i="5"/>
  <c r="L1143" i="5"/>
  <c r="K1143" i="5"/>
  <c r="X1142" i="5"/>
  <c r="V1142" i="5"/>
  <c r="U1142" i="5"/>
  <c r="T1142" i="5"/>
  <c r="N1142" i="5"/>
  <c r="M1142" i="5"/>
  <c r="L1142" i="5"/>
  <c r="K1142" i="5"/>
  <c r="X1141" i="5"/>
  <c r="V1141" i="5"/>
  <c r="U1141" i="5"/>
  <c r="T1141" i="5"/>
  <c r="N1141" i="5"/>
  <c r="M1141" i="5"/>
  <c r="L1141" i="5"/>
  <c r="K1141" i="5"/>
  <c r="X1140" i="5"/>
  <c r="V1140" i="5"/>
  <c r="U1140" i="5"/>
  <c r="T1140" i="5"/>
  <c r="N1140" i="5"/>
  <c r="M1140" i="5"/>
  <c r="L1140" i="5"/>
  <c r="K1140" i="5"/>
  <c r="X1139" i="5"/>
  <c r="V1139" i="5"/>
  <c r="U1139" i="5"/>
  <c r="T1139" i="5"/>
  <c r="N1139" i="5"/>
  <c r="M1139" i="5"/>
  <c r="L1139" i="5"/>
  <c r="K1139" i="5"/>
  <c r="X1138" i="5"/>
  <c r="V1138" i="5"/>
  <c r="U1138" i="5"/>
  <c r="T1138" i="5"/>
  <c r="N1138" i="5"/>
  <c r="M1138" i="5"/>
  <c r="L1138" i="5"/>
  <c r="K1138" i="5"/>
  <c r="X1137" i="5"/>
  <c r="V1137" i="5"/>
  <c r="U1137" i="5"/>
  <c r="T1137" i="5"/>
  <c r="N1137" i="5"/>
  <c r="M1137" i="5"/>
  <c r="L1137" i="5"/>
  <c r="K1137" i="5"/>
  <c r="X1136" i="5"/>
  <c r="V1136" i="5"/>
  <c r="U1136" i="5"/>
  <c r="T1136" i="5"/>
  <c r="N1136" i="5"/>
  <c r="M1136" i="5"/>
  <c r="L1136" i="5"/>
  <c r="K1136" i="5"/>
  <c r="X1135" i="5"/>
  <c r="V1135" i="5"/>
  <c r="U1135" i="5"/>
  <c r="T1135" i="5"/>
  <c r="N1135" i="5"/>
  <c r="M1135" i="5"/>
  <c r="L1135" i="5"/>
  <c r="K1135" i="5"/>
  <c r="X1134" i="5"/>
  <c r="V1134" i="5"/>
  <c r="U1134" i="5"/>
  <c r="T1134" i="5"/>
  <c r="N1134" i="5"/>
  <c r="M1134" i="5"/>
  <c r="L1134" i="5"/>
  <c r="K1134" i="5"/>
  <c r="X1133" i="5"/>
  <c r="V1133" i="5"/>
  <c r="U1133" i="5"/>
  <c r="T1133" i="5"/>
  <c r="N1133" i="5"/>
  <c r="M1133" i="5"/>
  <c r="L1133" i="5"/>
  <c r="K1133" i="5"/>
  <c r="X1132" i="5"/>
  <c r="V1132" i="5"/>
  <c r="U1132" i="5"/>
  <c r="T1132" i="5"/>
  <c r="N1132" i="5"/>
  <c r="M1132" i="5"/>
  <c r="L1132" i="5"/>
  <c r="K1132" i="5"/>
  <c r="X1131" i="5"/>
  <c r="V1131" i="5"/>
  <c r="U1131" i="5"/>
  <c r="T1131" i="5"/>
  <c r="N1131" i="5"/>
  <c r="M1131" i="5"/>
  <c r="L1131" i="5"/>
  <c r="K1131" i="5"/>
  <c r="X1130" i="5"/>
  <c r="V1130" i="5"/>
  <c r="U1130" i="5"/>
  <c r="T1130" i="5"/>
  <c r="N1130" i="5"/>
  <c r="M1130" i="5"/>
  <c r="L1130" i="5"/>
  <c r="K1130" i="5"/>
  <c r="X1129" i="5"/>
  <c r="V1129" i="5"/>
  <c r="U1129" i="5"/>
  <c r="T1129" i="5"/>
  <c r="N1129" i="5"/>
  <c r="M1129" i="5"/>
  <c r="L1129" i="5"/>
  <c r="K1129" i="5"/>
  <c r="X1128" i="5"/>
  <c r="V1128" i="5"/>
  <c r="U1128" i="5"/>
  <c r="T1128" i="5"/>
  <c r="N1128" i="5"/>
  <c r="M1128" i="5"/>
  <c r="L1128" i="5"/>
  <c r="K1128" i="5"/>
  <c r="X1127" i="5"/>
  <c r="V1127" i="5"/>
  <c r="U1127" i="5"/>
  <c r="T1127" i="5"/>
  <c r="N1127" i="5"/>
  <c r="M1127" i="5"/>
  <c r="L1127" i="5"/>
  <c r="K1127" i="5"/>
  <c r="X1126" i="5"/>
  <c r="V1126" i="5"/>
  <c r="U1126" i="5"/>
  <c r="T1126" i="5"/>
  <c r="N1126" i="5"/>
  <c r="M1126" i="5"/>
  <c r="L1126" i="5"/>
  <c r="K1126" i="5"/>
  <c r="X1125" i="5"/>
  <c r="V1125" i="5"/>
  <c r="U1125" i="5"/>
  <c r="T1125" i="5"/>
  <c r="N1125" i="5"/>
  <c r="M1125" i="5"/>
  <c r="L1125" i="5"/>
  <c r="K1125" i="5"/>
  <c r="X1124" i="5"/>
  <c r="V1124" i="5"/>
  <c r="U1124" i="5"/>
  <c r="T1124" i="5"/>
  <c r="N1124" i="5"/>
  <c r="M1124" i="5"/>
  <c r="L1124" i="5"/>
  <c r="K1124" i="5"/>
  <c r="X1123" i="5"/>
  <c r="V1123" i="5"/>
  <c r="U1123" i="5"/>
  <c r="T1123" i="5"/>
  <c r="N1123" i="5"/>
  <c r="M1123" i="5"/>
  <c r="L1123" i="5"/>
  <c r="K1123" i="5"/>
  <c r="X1122" i="5"/>
  <c r="V1122" i="5"/>
  <c r="U1122" i="5"/>
  <c r="T1122" i="5"/>
  <c r="N1122" i="5"/>
  <c r="M1122" i="5"/>
  <c r="L1122" i="5"/>
  <c r="K1122" i="5"/>
  <c r="X1121" i="5"/>
  <c r="V1121" i="5"/>
  <c r="U1121" i="5"/>
  <c r="T1121" i="5"/>
  <c r="N1121" i="5"/>
  <c r="M1121" i="5"/>
  <c r="L1121" i="5"/>
  <c r="K1121" i="5"/>
  <c r="X1120" i="5"/>
  <c r="V1120" i="5"/>
  <c r="U1120" i="5"/>
  <c r="T1120" i="5"/>
  <c r="N1120" i="5"/>
  <c r="M1120" i="5"/>
  <c r="L1120" i="5"/>
  <c r="K1120" i="5"/>
  <c r="X1119" i="5"/>
  <c r="V1119" i="5"/>
  <c r="U1119" i="5"/>
  <c r="T1119" i="5"/>
  <c r="N1119" i="5"/>
  <c r="M1119" i="5"/>
  <c r="L1119" i="5"/>
  <c r="K1119" i="5"/>
  <c r="X1118" i="5"/>
  <c r="V1118" i="5"/>
  <c r="U1118" i="5"/>
  <c r="T1118" i="5"/>
  <c r="N1118" i="5"/>
  <c r="M1118" i="5"/>
  <c r="L1118" i="5"/>
  <c r="K1118" i="5"/>
  <c r="X1117" i="5"/>
  <c r="V1117" i="5"/>
  <c r="U1117" i="5"/>
  <c r="T1117" i="5"/>
  <c r="N1117" i="5"/>
  <c r="M1117" i="5"/>
  <c r="L1117" i="5"/>
  <c r="K1117" i="5"/>
  <c r="X1116" i="5"/>
  <c r="V1116" i="5"/>
  <c r="U1116" i="5"/>
  <c r="T1116" i="5"/>
  <c r="N1116" i="5"/>
  <c r="M1116" i="5"/>
  <c r="L1116" i="5"/>
  <c r="K1116" i="5"/>
  <c r="X1115" i="5"/>
  <c r="V1115" i="5"/>
  <c r="U1115" i="5"/>
  <c r="T1115" i="5"/>
  <c r="N1115" i="5"/>
  <c r="M1115" i="5"/>
  <c r="L1115" i="5"/>
  <c r="K1115" i="5"/>
  <c r="X1114" i="5"/>
  <c r="V1114" i="5"/>
  <c r="U1114" i="5"/>
  <c r="T1114" i="5"/>
  <c r="N1114" i="5"/>
  <c r="M1114" i="5"/>
  <c r="L1114" i="5"/>
  <c r="K1114" i="5"/>
  <c r="X1113" i="5"/>
  <c r="V1113" i="5"/>
  <c r="U1113" i="5"/>
  <c r="T1113" i="5"/>
  <c r="N1113" i="5"/>
  <c r="M1113" i="5"/>
  <c r="L1113" i="5"/>
  <c r="K1113" i="5"/>
  <c r="X1112" i="5"/>
  <c r="V1112" i="5"/>
  <c r="U1112" i="5"/>
  <c r="T1112" i="5"/>
  <c r="N1112" i="5"/>
  <c r="M1112" i="5"/>
  <c r="L1112" i="5"/>
  <c r="K1112" i="5"/>
  <c r="X1111" i="5"/>
  <c r="V1111" i="5"/>
  <c r="U1111" i="5"/>
  <c r="T1111" i="5"/>
  <c r="N1111" i="5"/>
  <c r="M1111" i="5"/>
  <c r="L1111" i="5"/>
  <c r="K1111" i="5"/>
  <c r="X1110" i="5"/>
  <c r="V1110" i="5"/>
  <c r="U1110" i="5"/>
  <c r="T1110" i="5"/>
  <c r="N1110" i="5"/>
  <c r="M1110" i="5"/>
  <c r="L1110" i="5"/>
  <c r="K1110" i="5"/>
  <c r="X1109" i="5"/>
  <c r="V1109" i="5"/>
  <c r="U1109" i="5"/>
  <c r="T1109" i="5"/>
  <c r="N1109" i="5"/>
  <c r="M1109" i="5"/>
  <c r="L1109" i="5"/>
  <c r="K1109" i="5"/>
  <c r="X1108" i="5"/>
  <c r="V1108" i="5"/>
  <c r="U1108" i="5"/>
  <c r="T1108" i="5"/>
  <c r="N1108" i="5"/>
  <c r="M1108" i="5"/>
  <c r="L1108" i="5"/>
  <c r="K1108" i="5"/>
  <c r="X1107" i="5"/>
  <c r="V1107" i="5"/>
  <c r="U1107" i="5"/>
  <c r="T1107" i="5"/>
  <c r="N1107" i="5"/>
  <c r="M1107" i="5"/>
  <c r="L1107" i="5"/>
  <c r="K1107" i="5"/>
  <c r="X1106" i="5"/>
  <c r="V1106" i="5"/>
  <c r="U1106" i="5"/>
  <c r="T1106" i="5"/>
  <c r="N1106" i="5"/>
  <c r="M1106" i="5"/>
  <c r="L1106" i="5"/>
  <c r="K1106" i="5"/>
  <c r="X1105" i="5"/>
  <c r="V1105" i="5"/>
  <c r="U1105" i="5"/>
  <c r="T1105" i="5"/>
  <c r="N1105" i="5"/>
  <c r="M1105" i="5"/>
  <c r="L1105" i="5"/>
  <c r="K1105" i="5"/>
  <c r="X1104" i="5"/>
  <c r="V1104" i="5"/>
  <c r="U1104" i="5"/>
  <c r="T1104" i="5"/>
  <c r="N1104" i="5"/>
  <c r="M1104" i="5"/>
  <c r="L1104" i="5"/>
  <c r="K1104" i="5"/>
  <c r="X1103" i="5"/>
  <c r="V1103" i="5"/>
  <c r="U1103" i="5"/>
  <c r="T1103" i="5"/>
  <c r="N1103" i="5"/>
  <c r="M1103" i="5"/>
  <c r="L1103" i="5"/>
  <c r="K1103" i="5"/>
  <c r="X1102" i="5"/>
  <c r="V1102" i="5"/>
  <c r="U1102" i="5"/>
  <c r="T1102" i="5"/>
  <c r="N1102" i="5"/>
  <c r="M1102" i="5"/>
  <c r="L1102" i="5"/>
  <c r="K1102" i="5"/>
  <c r="X1101" i="5"/>
  <c r="V1101" i="5"/>
  <c r="U1101" i="5"/>
  <c r="T1101" i="5"/>
  <c r="N1101" i="5"/>
  <c r="M1101" i="5"/>
  <c r="L1101" i="5"/>
  <c r="K1101" i="5"/>
  <c r="X1100" i="5"/>
  <c r="V1100" i="5"/>
  <c r="U1100" i="5"/>
  <c r="T1100" i="5"/>
  <c r="N1100" i="5"/>
  <c r="M1100" i="5"/>
  <c r="L1100" i="5"/>
  <c r="K1100" i="5"/>
  <c r="X1099" i="5"/>
  <c r="V1099" i="5"/>
  <c r="U1099" i="5"/>
  <c r="T1099" i="5"/>
  <c r="N1099" i="5"/>
  <c r="M1099" i="5"/>
  <c r="L1099" i="5"/>
  <c r="K1099" i="5"/>
  <c r="X1098" i="5"/>
  <c r="V1098" i="5"/>
  <c r="U1098" i="5"/>
  <c r="T1098" i="5"/>
  <c r="N1098" i="5"/>
  <c r="M1098" i="5"/>
  <c r="L1098" i="5"/>
  <c r="K1098" i="5"/>
  <c r="X1097" i="5"/>
  <c r="V1097" i="5"/>
  <c r="U1097" i="5"/>
  <c r="T1097" i="5"/>
  <c r="N1097" i="5"/>
  <c r="M1097" i="5"/>
  <c r="L1097" i="5"/>
  <c r="K1097" i="5"/>
  <c r="X1096" i="5"/>
  <c r="V1096" i="5"/>
  <c r="U1096" i="5"/>
  <c r="T1096" i="5"/>
  <c r="N1096" i="5"/>
  <c r="M1096" i="5"/>
  <c r="L1096" i="5"/>
  <c r="K1096" i="5"/>
  <c r="X1095" i="5"/>
  <c r="V1095" i="5"/>
  <c r="U1095" i="5"/>
  <c r="T1095" i="5"/>
  <c r="N1095" i="5"/>
  <c r="M1095" i="5"/>
  <c r="L1095" i="5"/>
  <c r="K1095" i="5"/>
  <c r="X1094" i="5"/>
  <c r="V1094" i="5"/>
  <c r="U1094" i="5"/>
  <c r="T1094" i="5"/>
  <c r="N1094" i="5"/>
  <c r="M1094" i="5"/>
  <c r="L1094" i="5"/>
  <c r="K1094" i="5"/>
  <c r="X1093" i="5"/>
  <c r="V1093" i="5"/>
  <c r="U1093" i="5"/>
  <c r="T1093" i="5"/>
  <c r="N1093" i="5"/>
  <c r="M1093" i="5"/>
  <c r="L1093" i="5"/>
  <c r="K1093" i="5"/>
  <c r="X1092" i="5"/>
  <c r="V1092" i="5"/>
  <c r="U1092" i="5"/>
  <c r="T1092" i="5"/>
  <c r="N1092" i="5"/>
  <c r="M1092" i="5"/>
  <c r="L1092" i="5"/>
  <c r="K1092" i="5"/>
  <c r="X1091" i="5"/>
  <c r="V1091" i="5"/>
  <c r="U1091" i="5"/>
  <c r="T1091" i="5"/>
  <c r="N1091" i="5"/>
  <c r="M1091" i="5"/>
  <c r="L1091" i="5"/>
  <c r="K1091" i="5"/>
  <c r="X1090" i="5"/>
  <c r="V1090" i="5"/>
  <c r="U1090" i="5"/>
  <c r="T1090" i="5"/>
  <c r="N1090" i="5"/>
  <c r="M1090" i="5"/>
  <c r="L1090" i="5"/>
  <c r="K1090" i="5"/>
  <c r="X1089" i="5"/>
  <c r="V1089" i="5"/>
  <c r="U1089" i="5"/>
  <c r="T1089" i="5"/>
  <c r="N1089" i="5"/>
  <c r="M1089" i="5"/>
  <c r="L1089" i="5"/>
  <c r="K1089" i="5"/>
  <c r="X1088" i="5"/>
  <c r="V1088" i="5"/>
  <c r="U1088" i="5"/>
  <c r="T1088" i="5"/>
  <c r="N1088" i="5"/>
  <c r="M1088" i="5"/>
  <c r="L1088" i="5"/>
  <c r="K1088" i="5"/>
  <c r="X1087" i="5"/>
  <c r="V1087" i="5"/>
  <c r="U1087" i="5"/>
  <c r="T1087" i="5"/>
  <c r="N1087" i="5"/>
  <c r="M1087" i="5"/>
  <c r="L1087" i="5"/>
  <c r="K1087" i="5"/>
  <c r="X1086" i="5"/>
  <c r="V1086" i="5"/>
  <c r="U1086" i="5"/>
  <c r="T1086" i="5"/>
  <c r="N1086" i="5"/>
  <c r="M1086" i="5"/>
  <c r="L1086" i="5"/>
  <c r="K1086" i="5"/>
  <c r="X1085" i="5"/>
  <c r="V1085" i="5"/>
  <c r="U1085" i="5"/>
  <c r="T1085" i="5"/>
  <c r="N1085" i="5"/>
  <c r="M1085" i="5"/>
  <c r="L1085" i="5"/>
  <c r="K1085" i="5"/>
  <c r="X1084" i="5"/>
  <c r="V1084" i="5"/>
  <c r="U1084" i="5"/>
  <c r="T1084" i="5"/>
  <c r="N1084" i="5"/>
  <c r="M1084" i="5"/>
  <c r="L1084" i="5"/>
  <c r="K1084" i="5"/>
  <c r="X1083" i="5"/>
  <c r="V1083" i="5"/>
  <c r="U1083" i="5"/>
  <c r="T1083" i="5"/>
  <c r="N1083" i="5"/>
  <c r="M1083" i="5"/>
  <c r="L1083" i="5"/>
  <c r="K1083" i="5"/>
  <c r="X1082" i="5"/>
  <c r="V1082" i="5"/>
  <c r="U1082" i="5"/>
  <c r="T1082" i="5"/>
  <c r="N1082" i="5"/>
  <c r="M1082" i="5"/>
  <c r="L1082" i="5"/>
  <c r="K1082" i="5"/>
  <c r="X1081" i="5"/>
  <c r="V1081" i="5"/>
  <c r="U1081" i="5"/>
  <c r="T1081" i="5"/>
  <c r="N1081" i="5"/>
  <c r="M1081" i="5"/>
  <c r="L1081" i="5"/>
  <c r="K1081" i="5"/>
  <c r="X1080" i="5"/>
  <c r="V1080" i="5"/>
  <c r="U1080" i="5"/>
  <c r="T1080" i="5"/>
  <c r="N1080" i="5"/>
  <c r="M1080" i="5"/>
  <c r="L1080" i="5"/>
  <c r="K1080" i="5"/>
  <c r="X1079" i="5"/>
  <c r="V1079" i="5"/>
  <c r="U1079" i="5"/>
  <c r="T1079" i="5"/>
  <c r="N1079" i="5"/>
  <c r="M1079" i="5"/>
  <c r="L1079" i="5"/>
  <c r="K1079" i="5"/>
  <c r="X1078" i="5"/>
  <c r="V1078" i="5"/>
  <c r="U1078" i="5"/>
  <c r="T1078" i="5"/>
  <c r="N1078" i="5"/>
  <c r="M1078" i="5"/>
  <c r="L1078" i="5"/>
  <c r="K1078" i="5"/>
  <c r="X1077" i="5"/>
  <c r="V1077" i="5"/>
  <c r="U1077" i="5"/>
  <c r="T1077" i="5"/>
  <c r="N1077" i="5"/>
  <c r="M1077" i="5"/>
  <c r="L1077" i="5"/>
  <c r="K1077" i="5"/>
  <c r="X1076" i="5"/>
  <c r="V1076" i="5"/>
  <c r="U1076" i="5"/>
  <c r="T1076" i="5"/>
  <c r="N1076" i="5"/>
  <c r="M1076" i="5"/>
  <c r="L1076" i="5"/>
  <c r="K1076" i="5"/>
  <c r="X1075" i="5"/>
  <c r="V1075" i="5"/>
  <c r="U1075" i="5"/>
  <c r="T1075" i="5"/>
  <c r="N1075" i="5"/>
  <c r="M1075" i="5"/>
  <c r="L1075" i="5"/>
  <c r="K1075" i="5"/>
  <c r="X1074" i="5"/>
  <c r="V1074" i="5"/>
  <c r="U1074" i="5"/>
  <c r="T1074" i="5"/>
  <c r="N1074" i="5"/>
  <c r="M1074" i="5"/>
  <c r="L1074" i="5"/>
  <c r="K1074" i="5"/>
  <c r="X1073" i="5"/>
  <c r="V1073" i="5"/>
  <c r="U1073" i="5"/>
  <c r="T1073" i="5"/>
  <c r="N1073" i="5"/>
  <c r="M1073" i="5"/>
  <c r="L1073" i="5"/>
  <c r="K1073" i="5"/>
  <c r="X1072" i="5"/>
  <c r="V1072" i="5"/>
  <c r="U1072" i="5"/>
  <c r="T1072" i="5"/>
  <c r="N1072" i="5"/>
  <c r="M1072" i="5"/>
  <c r="L1072" i="5"/>
  <c r="K1072" i="5"/>
  <c r="X1071" i="5"/>
  <c r="V1071" i="5"/>
  <c r="U1071" i="5"/>
  <c r="T1071" i="5"/>
  <c r="N1071" i="5"/>
  <c r="M1071" i="5"/>
  <c r="L1071" i="5"/>
  <c r="K1071" i="5"/>
  <c r="X1070" i="5"/>
  <c r="V1070" i="5"/>
  <c r="U1070" i="5"/>
  <c r="T1070" i="5"/>
  <c r="N1070" i="5"/>
  <c r="M1070" i="5"/>
  <c r="L1070" i="5"/>
  <c r="K1070" i="5"/>
  <c r="X1069" i="5"/>
  <c r="V1069" i="5"/>
  <c r="U1069" i="5"/>
  <c r="T1069" i="5"/>
  <c r="N1069" i="5"/>
  <c r="M1069" i="5"/>
  <c r="L1069" i="5"/>
  <c r="K1069" i="5"/>
  <c r="X1068" i="5"/>
  <c r="V1068" i="5"/>
  <c r="U1068" i="5"/>
  <c r="T1068" i="5"/>
  <c r="N1068" i="5"/>
  <c r="M1068" i="5"/>
  <c r="L1068" i="5"/>
  <c r="K1068" i="5"/>
  <c r="X1067" i="5"/>
  <c r="V1067" i="5"/>
  <c r="U1067" i="5"/>
  <c r="T1067" i="5"/>
  <c r="N1067" i="5"/>
  <c r="M1067" i="5"/>
  <c r="L1067" i="5"/>
  <c r="K1067" i="5"/>
  <c r="X1066" i="5"/>
  <c r="V1066" i="5"/>
  <c r="U1066" i="5"/>
  <c r="T1066" i="5"/>
  <c r="N1066" i="5"/>
  <c r="M1066" i="5"/>
  <c r="L1066" i="5"/>
  <c r="K1066" i="5"/>
  <c r="X1065" i="5"/>
  <c r="V1065" i="5"/>
  <c r="U1065" i="5"/>
  <c r="T1065" i="5"/>
  <c r="N1065" i="5"/>
  <c r="M1065" i="5"/>
  <c r="L1065" i="5"/>
  <c r="K1065" i="5"/>
  <c r="X1064" i="5"/>
  <c r="V1064" i="5"/>
  <c r="U1064" i="5"/>
  <c r="T1064" i="5"/>
  <c r="N1064" i="5"/>
  <c r="M1064" i="5"/>
  <c r="L1064" i="5"/>
  <c r="K1064" i="5"/>
  <c r="X1063" i="5"/>
  <c r="V1063" i="5"/>
  <c r="U1063" i="5"/>
  <c r="T1063" i="5"/>
  <c r="N1063" i="5"/>
  <c r="M1063" i="5"/>
  <c r="L1063" i="5"/>
  <c r="K1063" i="5"/>
  <c r="X1062" i="5"/>
  <c r="V1062" i="5"/>
  <c r="U1062" i="5"/>
  <c r="T1062" i="5"/>
  <c r="N1062" i="5"/>
  <c r="M1062" i="5"/>
  <c r="L1062" i="5"/>
  <c r="K1062" i="5"/>
  <c r="X1061" i="5"/>
  <c r="V1061" i="5"/>
  <c r="U1061" i="5"/>
  <c r="T1061" i="5"/>
  <c r="N1061" i="5"/>
  <c r="M1061" i="5"/>
  <c r="L1061" i="5"/>
  <c r="K1061" i="5"/>
  <c r="X1060" i="5"/>
  <c r="V1060" i="5"/>
  <c r="U1060" i="5"/>
  <c r="T1060" i="5"/>
  <c r="N1060" i="5"/>
  <c r="M1060" i="5"/>
  <c r="L1060" i="5"/>
  <c r="K1060" i="5"/>
  <c r="X1059" i="5"/>
  <c r="V1059" i="5"/>
  <c r="U1059" i="5"/>
  <c r="T1059" i="5"/>
  <c r="N1059" i="5"/>
  <c r="M1059" i="5"/>
  <c r="L1059" i="5"/>
  <c r="K1059" i="5"/>
  <c r="X1058" i="5"/>
  <c r="V1058" i="5"/>
  <c r="U1058" i="5"/>
  <c r="T1058" i="5"/>
  <c r="N1058" i="5"/>
  <c r="M1058" i="5"/>
  <c r="L1058" i="5"/>
  <c r="K1058" i="5"/>
  <c r="X1057" i="5"/>
  <c r="V1057" i="5"/>
  <c r="U1057" i="5"/>
  <c r="T1057" i="5"/>
  <c r="N1057" i="5"/>
  <c r="M1057" i="5"/>
  <c r="L1057" i="5"/>
  <c r="K1057" i="5"/>
  <c r="X1056" i="5"/>
  <c r="V1056" i="5"/>
  <c r="U1056" i="5"/>
  <c r="T1056" i="5"/>
  <c r="N1056" i="5"/>
  <c r="M1056" i="5"/>
  <c r="L1056" i="5"/>
  <c r="K1056" i="5"/>
  <c r="X1055" i="5"/>
  <c r="V1055" i="5"/>
  <c r="U1055" i="5"/>
  <c r="T1055" i="5"/>
  <c r="N1055" i="5"/>
  <c r="M1055" i="5"/>
  <c r="L1055" i="5"/>
  <c r="K1055" i="5"/>
  <c r="X1054" i="5"/>
  <c r="V1054" i="5"/>
  <c r="U1054" i="5"/>
  <c r="T1054" i="5"/>
  <c r="N1054" i="5"/>
  <c r="M1054" i="5"/>
  <c r="L1054" i="5"/>
  <c r="K1054" i="5"/>
  <c r="X1053" i="5"/>
  <c r="V1053" i="5"/>
  <c r="U1053" i="5"/>
  <c r="T1053" i="5"/>
  <c r="N1053" i="5"/>
  <c r="M1053" i="5"/>
  <c r="L1053" i="5"/>
  <c r="K1053" i="5"/>
  <c r="X1052" i="5"/>
  <c r="V1052" i="5"/>
  <c r="U1052" i="5"/>
  <c r="T1052" i="5"/>
  <c r="N1052" i="5"/>
  <c r="M1052" i="5"/>
  <c r="L1052" i="5"/>
  <c r="K1052" i="5"/>
  <c r="X1051" i="5"/>
  <c r="V1051" i="5"/>
  <c r="U1051" i="5"/>
  <c r="T1051" i="5"/>
  <c r="N1051" i="5"/>
  <c r="M1051" i="5"/>
  <c r="L1051" i="5"/>
  <c r="K1051" i="5"/>
  <c r="X1050" i="5"/>
  <c r="V1050" i="5"/>
  <c r="U1050" i="5"/>
  <c r="T1050" i="5"/>
  <c r="N1050" i="5"/>
  <c r="M1050" i="5"/>
  <c r="L1050" i="5"/>
  <c r="K1050" i="5"/>
  <c r="X1049" i="5"/>
  <c r="V1049" i="5"/>
  <c r="U1049" i="5"/>
  <c r="T1049" i="5"/>
  <c r="N1049" i="5"/>
  <c r="M1049" i="5"/>
  <c r="L1049" i="5"/>
  <c r="K1049" i="5"/>
  <c r="X1048" i="5"/>
  <c r="V1048" i="5"/>
  <c r="U1048" i="5"/>
  <c r="T1048" i="5"/>
  <c r="N1048" i="5"/>
  <c r="M1048" i="5"/>
  <c r="L1048" i="5"/>
  <c r="K1048" i="5"/>
  <c r="X1047" i="5"/>
  <c r="V1047" i="5"/>
  <c r="U1047" i="5"/>
  <c r="T1047" i="5"/>
  <c r="N1047" i="5"/>
  <c r="M1047" i="5"/>
  <c r="L1047" i="5"/>
  <c r="K1047" i="5"/>
  <c r="X1046" i="5"/>
  <c r="V1046" i="5"/>
  <c r="U1046" i="5"/>
  <c r="T1046" i="5"/>
  <c r="N1046" i="5"/>
  <c r="M1046" i="5"/>
  <c r="L1046" i="5"/>
  <c r="K1046" i="5"/>
  <c r="X1045" i="5"/>
  <c r="V1045" i="5"/>
  <c r="U1045" i="5"/>
  <c r="T1045" i="5"/>
  <c r="N1045" i="5"/>
  <c r="M1045" i="5"/>
  <c r="L1045" i="5"/>
  <c r="K1045" i="5"/>
  <c r="X1044" i="5"/>
  <c r="V1044" i="5"/>
  <c r="U1044" i="5"/>
  <c r="T1044" i="5"/>
  <c r="N1044" i="5"/>
  <c r="M1044" i="5"/>
  <c r="L1044" i="5"/>
  <c r="K1044" i="5"/>
  <c r="X1043" i="5"/>
  <c r="V1043" i="5"/>
  <c r="U1043" i="5"/>
  <c r="T1043" i="5"/>
  <c r="N1043" i="5"/>
  <c r="M1043" i="5"/>
  <c r="L1043" i="5"/>
  <c r="K1043" i="5"/>
  <c r="X1042" i="5"/>
  <c r="V1042" i="5"/>
  <c r="U1042" i="5"/>
  <c r="T1042" i="5"/>
  <c r="N1042" i="5"/>
  <c r="M1042" i="5"/>
  <c r="L1042" i="5"/>
  <c r="K1042" i="5"/>
  <c r="X1041" i="5"/>
  <c r="V1041" i="5"/>
  <c r="U1041" i="5"/>
  <c r="T1041" i="5"/>
  <c r="N1041" i="5"/>
  <c r="M1041" i="5"/>
  <c r="L1041" i="5"/>
  <c r="K1041" i="5"/>
  <c r="X1040" i="5"/>
  <c r="V1040" i="5"/>
  <c r="U1040" i="5"/>
  <c r="T1040" i="5"/>
  <c r="N1040" i="5"/>
  <c r="M1040" i="5"/>
  <c r="L1040" i="5"/>
  <c r="K1040" i="5"/>
  <c r="X1039" i="5"/>
  <c r="V1039" i="5"/>
  <c r="U1039" i="5"/>
  <c r="T1039" i="5"/>
  <c r="N1039" i="5"/>
  <c r="M1039" i="5"/>
  <c r="L1039" i="5"/>
  <c r="K1039" i="5"/>
  <c r="X1038" i="5"/>
  <c r="V1038" i="5"/>
  <c r="U1038" i="5"/>
  <c r="T1038" i="5"/>
  <c r="N1038" i="5"/>
  <c r="M1038" i="5"/>
  <c r="L1038" i="5"/>
  <c r="K1038" i="5"/>
  <c r="X1037" i="5"/>
  <c r="V1037" i="5"/>
  <c r="U1037" i="5"/>
  <c r="T1037" i="5"/>
  <c r="N1037" i="5"/>
  <c r="M1037" i="5"/>
  <c r="L1037" i="5"/>
  <c r="K1037" i="5"/>
  <c r="X1036" i="5"/>
  <c r="V1036" i="5"/>
  <c r="U1036" i="5"/>
  <c r="T1036" i="5"/>
  <c r="N1036" i="5"/>
  <c r="M1036" i="5"/>
  <c r="L1036" i="5"/>
  <c r="K1036" i="5"/>
  <c r="X1035" i="5"/>
  <c r="V1035" i="5"/>
  <c r="U1035" i="5"/>
  <c r="T1035" i="5"/>
  <c r="N1035" i="5"/>
  <c r="M1035" i="5"/>
  <c r="L1035" i="5"/>
  <c r="K1035" i="5"/>
  <c r="X1034" i="5"/>
  <c r="V1034" i="5"/>
  <c r="U1034" i="5"/>
  <c r="T1034" i="5"/>
  <c r="N1034" i="5"/>
  <c r="M1034" i="5"/>
  <c r="L1034" i="5"/>
  <c r="K1034" i="5"/>
  <c r="X1033" i="5"/>
  <c r="V1033" i="5"/>
  <c r="U1033" i="5"/>
  <c r="T1033" i="5"/>
  <c r="N1033" i="5"/>
  <c r="M1033" i="5"/>
  <c r="L1033" i="5"/>
  <c r="K1033" i="5"/>
  <c r="X1032" i="5"/>
  <c r="V1032" i="5"/>
  <c r="U1032" i="5"/>
  <c r="T1032" i="5"/>
  <c r="N1032" i="5"/>
  <c r="M1032" i="5"/>
  <c r="L1032" i="5"/>
  <c r="K1032" i="5"/>
  <c r="X1031" i="5"/>
  <c r="V1031" i="5"/>
  <c r="U1031" i="5"/>
  <c r="T1031" i="5"/>
  <c r="N1031" i="5"/>
  <c r="M1031" i="5"/>
  <c r="L1031" i="5"/>
  <c r="K1031" i="5"/>
  <c r="X1030" i="5"/>
  <c r="V1030" i="5"/>
  <c r="U1030" i="5"/>
  <c r="T1030" i="5"/>
  <c r="N1030" i="5"/>
  <c r="M1030" i="5"/>
  <c r="L1030" i="5"/>
  <c r="K1030" i="5"/>
  <c r="X1029" i="5"/>
  <c r="V1029" i="5"/>
  <c r="U1029" i="5"/>
  <c r="T1029" i="5"/>
  <c r="N1029" i="5"/>
  <c r="M1029" i="5"/>
  <c r="L1029" i="5"/>
  <c r="K1029" i="5"/>
  <c r="X1028" i="5"/>
  <c r="V1028" i="5"/>
  <c r="U1028" i="5"/>
  <c r="T1028" i="5"/>
  <c r="N1028" i="5"/>
  <c r="M1028" i="5"/>
  <c r="L1028" i="5"/>
  <c r="K1028" i="5"/>
  <c r="X1027" i="5"/>
  <c r="V1027" i="5"/>
  <c r="U1027" i="5"/>
  <c r="T1027" i="5"/>
  <c r="N1027" i="5"/>
  <c r="M1027" i="5"/>
  <c r="L1027" i="5"/>
  <c r="K1027" i="5"/>
  <c r="X1026" i="5"/>
  <c r="V1026" i="5"/>
  <c r="U1026" i="5"/>
  <c r="T1026" i="5"/>
  <c r="N1026" i="5"/>
  <c r="M1026" i="5"/>
  <c r="L1026" i="5"/>
  <c r="K1026" i="5"/>
  <c r="X1025" i="5"/>
  <c r="V1025" i="5"/>
  <c r="U1025" i="5"/>
  <c r="T1025" i="5"/>
  <c r="N1025" i="5"/>
  <c r="M1025" i="5"/>
  <c r="L1025" i="5"/>
  <c r="K1025" i="5"/>
  <c r="X1024" i="5"/>
  <c r="V1024" i="5"/>
  <c r="U1024" i="5"/>
  <c r="T1024" i="5"/>
  <c r="N1024" i="5"/>
  <c r="M1024" i="5"/>
  <c r="L1024" i="5"/>
  <c r="K1024" i="5"/>
  <c r="X1023" i="5"/>
  <c r="V1023" i="5"/>
  <c r="U1023" i="5"/>
  <c r="T1023" i="5"/>
  <c r="N1023" i="5"/>
  <c r="M1023" i="5"/>
  <c r="L1023" i="5"/>
  <c r="K1023" i="5"/>
  <c r="X1022" i="5"/>
  <c r="V1022" i="5"/>
  <c r="U1022" i="5"/>
  <c r="T1022" i="5"/>
  <c r="N1022" i="5"/>
  <c r="M1022" i="5"/>
  <c r="L1022" i="5"/>
  <c r="K1022" i="5"/>
  <c r="X1021" i="5"/>
  <c r="V1021" i="5"/>
  <c r="U1021" i="5"/>
  <c r="T1021" i="5"/>
  <c r="N1021" i="5"/>
  <c r="M1021" i="5"/>
  <c r="L1021" i="5"/>
  <c r="K1021" i="5"/>
  <c r="X1020" i="5"/>
  <c r="V1020" i="5"/>
  <c r="U1020" i="5"/>
  <c r="T1020" i="5"/>
  <c r="N1020" i="5"/>
  <c r="M1020" i="5"/>
  <c r="L1020" i="5"/>
  <c r="K1020" i="5"/>
  <c r="X1019" i="5"/>
  <c r="V1019" i="5"/>
  <c r="U1019" i="5"/>
  <c r="T1019" i="5"/>
  <c r="N1019" i="5"/>
  <c r="M1019" i="5"/>
  <c r="L1019" i="5"/>
  <c r="K1019" i="5"/>
  <c r="X1018" i="5"/>
  <c r="V1018" i="5"/>
  <c r="U1018" i="5"/>
  <c r="T1018" i="5"/>
  <c r="N1018" i="5"/>
  <c r="M1018" i="5"/>
  <c r="L1018" i="5"/>
  <c r="K1018" i="5"/>
  <c r="X1017" i="5"/>
  <c r="V1017" i="5"/>
  <c r="U1017" i="5"/>
  <c r="T1017" i="5"/>
  <c r="N1017" i="5"/>
  <c r="M1017" i="5"/>
  <c r="L1017" i="5"/>
  <c r="K1017" i="5"/>
  <c r="X1016" i="5"/>
  <c r="V1016" i="5"/>
  <c r="U1016" i="5"/>
  <c r="T1016" i="5"/>
  <c r="N1016" i="5"/>
  <c r="M1016" i="5"/>
  <c r="L1016" i="5"/>
  <c r="K1016" i="5"/>
  <c r="X1015" i="5"/>
  <c r="V1015" i="5"/>
  <c r="U1015" i="5"/>
  <c r="T1015" i="5"/>
  <c r="N1015" i="5"/>
  <c r="M1015" i="5"/>
  <c r="L1015" i="5"/>
  <c r="K1015" i="5"/>
  <c r="X1014" i="5"/>
  <c r="V1014" i="5"/>
  <c r="U1014" i="5"/>
  <c r="T1014" i="5"/>
  <c r="N1014" i="5"/>
  <c r="M1014" i="5"/>
  <c r="L1014" i="5"/>
  <c r="K1014" i="5"/>
  <c r="X1013" i="5"/>
  <c r="V1013" i="5"/>
  <c r="U1013" i="5"/>
  <c r="T1013" i="5"/>
  <c r="N1013" i="5"/>
  <c r="M1013" i="5"/>
  <c r="L1013" i="5"/>
  <c r="K1013" i="5"/>
  <c r="X1012" i="5"/>
  <c r="V1012" i="5"/>
  <c r="U1012" i="5"/>
  <c r="T1012" i="5"/>
  <c r="N1012" i="5"/>
  <c r="M1012" i="5"/>
  <c r="L1012" i="5"/>
  <c r="K1012" i="5"/>
  <c r="X1011" i="5"/>
  <c r="V1011" i="5"/>
  <c r="U1011" i="5"/>
  <c r="T1011" i="5"/>
  <c r="N1011" i="5"/>
  <c r="M1011" i="5"/>
  <c r="L1011" i="5"/>
  <c r="K1011" i="5"/>
  <c r="X1010" i="5"/>
  <c r="V1010" i="5"/>
  <c r="U1010" i="5"/>
  <c r="T1010" i="5"/>
  <c r="N1010" i="5"/>
  <c r="M1010" i="5"/>
  <c r="L1010" i="5"/>
  <c r="K1010" i="5"/>
  <c r="X1009" i="5"/>
  <c r="V1009" i="5"/>
  <c r="U1009" i="5"/>
  <c r="T1009" i="5"/>
  <c r="N1009" i="5"/>
  <c r="M1009" i="5"/>
  <c r="L1009" i="5"/>
  <c r="K1009" i="5"/>
  <c r="X1008" i="5"/>
  <c r="V1008" i="5"/>
  <c r="U1008" i="5"/>
  <c r="T1008" i="5"/>
  <c r="N1008" i="5"/>
  <c r="M1008" i="5"/>
  <c r="L1008" i="5"/>
  <c r="K1008" i="5"/>
  <c r="X1007" i="5"/>
  <c r="V1007" i="5"/>
  <c r="U1007" i="5"/>
  <c r="T1007" i="5"/>
  <c r="N1007" i="5"/>
  <c r="M1007" i="5"/>
  <c r="L1007" i="5"/>
  <c r="K1007" i="5"/>
  <c r="X1006" i="5"/>
  <c r="V1006" i="5"/>
  <c r="U1006" i="5"/>
  <c r="T1006" i="5"/>
  <c r="N1006" i="5"/>
  <c r="M1006" i="5"/>
  <c r="L1006" i="5"/>
  <c r="K1006" i="5"/>
  <c r="X1005" i="5"/>
  <c r="V1005" i="5"/>
  <c r="U1005" i="5"/>
  <c r="T1005" i="5"/>
  <c r="N1005" i="5"/>
  <c r="M1005" i="5"/>
  <c r="L1005" i="5"/>
  <c r="K1005" i="5"/>
  <c r="X1004" i="5"/>
  <c r="V1004" i="5"/>
  <c r="U1004" i="5"/>
  <c r="T1004" i="5"/>
  <c r="N1004" i="5"/>
  <c r="M1004" i="5"/>
  <c r="L1004" i="5"/>
  <c r="K1004" i="5"/>
  <c r="X1003" i="5"/>
  <c r="V1003" i="5"/>
  <c r="U1003" i="5"/>
  <c r="T1003" i="5"/>
  <c r="N1003" i="5"/>
  <c r="M1003" i="5"/>
  <c r="L1003" i="5"/>
  <c r="K1003" i="5"/>
  <c r="X1002" i="5"/>
  <c r="V1002" i="5"/>
  <c r="U1002" i="5"/>
  <c r="T1002" i="5"/>
  <c r="N1002" i="5"/>
  <c r="M1002" i="5"/>
  <c r="L1002" i="5"/>
  <c r="K1002" i="5"/>
  <c r="X1001" i="5"/>
  <c r="V1001" i="5"/>
  <c r="U1001" i="5"/>
  <c r="T1001" i="5"/>
  <c r="N1001" i="5"/>
  <c r="M1001" i="5"/>
  <c r="L1001" i="5"/>
  <c r="K1001" i="5"/>
  <c r="X1000" i="5"/>
  <c r="V1000" i="5"/>
  <c r="U1000" i="5"/>
  <c r="T1000" i="5"/>
  <c r="N1000" i="5"/>
  <c r="M1000" i="5"/>
  <c r="L1000" i="5"/>
  <c r="K1000" i="5"/>
  <c r="X999" i="5"/>
  <c r="V999" i="5"/>
  <c r="U999" i="5"/>
  <c r="T999" i="5"/>
  <c r="N999" i="5"/>
  <c r="M999" i="5"/>
  <c r="L999" i="5"/>
  <c r="K999" i="5"/>
  <c r="X998" i="5"/>
  <c r="V998" i="5"/>
  <c r="U998" i="5"/>
  <c r="T998" i="5"/>
  <c r="N998" i="5"/>
  <c r="M998" i="5"/>
  <c r="L998" i="5"/>
  <c r="K998" i="5"/>
  <c r="X997" i="5"/>
  <c r="V997" i="5"/>
  <c r="U997" i="5"/>
  <c r="T997" i="5"/>
  <c r="N997" i="5"/>
  <c r="M997" i="5"/>
  <c r="L997" i="5"/>
  <c r="K997" i="5"/>
  <c r="X996" i="5"/>
  <c r="V996" i="5"/>
  <c r="U996" i="5"/>
  <c r="T996" i="5"/>
  <c r="N996" i="5"/>
  <c r="M996" i="5"/>
  <c r="L996" i="5"/>
  <c r="K996" i="5"/>
  <c r="X995" i="5"/>
  <c r="V995" i="5"/>
  <c r="U995" i="5"/>
  <c r="T995" i="5"/>
  <c r="N995" i="5"/>
  <c r="M995" i="5"/>
  <c r="L995" i="5"/>
  <c r="K995" i="5"/>
  <c r="X994" i="5"/>
  <c r="V994" i="5"/>
  <c r="U994" i="5"/>
  <c r="T994" i="5"/>
  <c r="N994" i="5"/>
  <c r="M994" i="5"/>
  <c r="L994" i="5"/>
  <c r="K994" i="5"/>
  <c r="X993" i="5"/>
  <c r="V993" i="5"/>
  <c r="U993" i="5"/>
  <c r="T993" i="5"/>
  <c r="N993" i="5"/>
  <c r="M993" i="5"/>
  <c r="L993" i="5"/>
  <c r="K993" i="5"/>
  <c r="X992" i="5"/>
  <c r="V992" i="5"/>
  <c r="U992" i="5"/>
  <c r="T992" i="5"/>
  <c r="N992" i="5"/>
  <c r="M992" i="5"/>
  <c r="L992" i="5"/>
  <c r="K992" i="5"/>
  <c r="X991" i="5"/>
  <c r="V991" i="5"/>
  <c r="U991" i="5"/>
  <c r="T991" i="5"/>
  <c r="N991" i="5"/>
  <c r="M991" i="5"/>
  <c r="L991" i="5"/>
  <c r="K991" i="5"/>
  <c r="X990" i="5"/>
  <c r="V990" i="5"/>
  <c r="U990" i="5"/>
  <c r="T990" i="5"/>
  <c r="N990" i="5"/>
  <c r="M990" i="5"/>
  <c r="L990" i="5"/>
  <c r="K990" i="5"/>
  <c r="X989" i="5"/>
  <c r="V989" i="5"/>
  <c r="U989" i="5"/>
  <c r="T989" i="5"/>
  <c r="N989" i="5"/>
  <c r="M989" i="5"/>
  <c r="L989" i="5"/>
  <c r="K989" i="5"/>
  <c r="X988" i="5"/>
  <c r="V988" i="5"/>
  <c r="U988" i="5"/>
  <c r="T988" i="5"/>
  <c r="N988" i="5"/>
  <c r="M988" i="5"/>
  <c r="L988" i="5"/>
  <c r="K988" i="5"/>
  <c r="X987" i="5"/>
  <c r="V987" i="5"/>
  <c r="U987" i="5"/>
  <c r="T987" i="5"/>
  <c r="N987" i="5"/>
  <c r="M987" i="5"/>
  <c r="L987" i="5"/>
  <c r="K987" i="5"/>
  <c r="X986" i="5"/>
  <c r="V986" i="5"/>
  <c r="U986" i="5"/>
  <c r="T986" i="5"/>
  <c r="N986" i="5"/>
  <c r="M986" i="5"/>
  <c r="L986" i="5"/>
  <c r="K986" i="5"/>
  <c r="X985" i="5"/>
  <c r="V985" i="5"/>
  <c r="U985" i="5"/>
  <c r="T985" i="5"/>
  <c r="N985" i="5"/>
  <c r="M985" i="5"/>
  <c r="L985" i="5"/>
  <c r="K985" i="5"/>
  <c r="X984" i="5"/>
  <c r="V984" i="5"/>
  <c r="U984" i="5"/>
  <c r="T984" i="5"/>
  <c r="N984" i="5"/>
  <c r="M984" i="5"/>
  <c r="L984" i="5"/>
  <c r="K984" i="5"/>
  <c r="X983" i="5"/>
  <c r="V983" i="5"/>
  <c r="U983" i="5"/>
  <c r="T983" i="5"/>
  <c r="N983" i="5"/>
  <c r="M983" i="5"/>
  <c r="L983" i="5"/>
  <c r="K983" i="5"/>
  <c r="X982" i="5"/>
  <c r="V982" i="5"/>
  <c r="U982" i="5"/>
  <c r="T982" i="5"/>
  <c r="N982" i="5"/>
  <c r="M982" i="5"/>
  <c r="L982" i="5"/>
  <c r="K982" i="5"/>
  <c r="X981" i="5"/>
  <c r="V981" i="5"/>
  <c r="U981" i="5"/>
  <c r="T981" i="5"/>
  <c r="N981" i="5"/>
  <c r="M981" i="5"/>
  <c r="L981" i="5"/>
  <c r="K981" i="5"/>
  <c r="X980" i="5"/>
  <c r="W980" i="5"/>
  <c r="V980" i="5"/>
  <c r="U980" i="5"/>
  <c r="T980" i="5"/>
  <c r="S980" i="5"/>
  <c r="N980" i="5"/>
  <c r="M980" i="5"/>
  <c r="L980" i="5"/>
  <c r="K980" i="5"/>
  <c r="X979" i="5"/>
  <c r="V979" i="5"/>
  <c r="U979" i="5"/>
  <c r="T979" i="5"/>
  <c r="N979" i="5"/>
  <c r="M979" i="5"/>
  <c r="L979" i="5"/>
  <c r="K979" i="5"/>
  <c r="X978" i="5"/>
  <c r="V978" i="5"/>
  <c r="U978" i="5"/>
  <c r="T978" i="5"/>
  <c r="N978" i="5"/>
  <c r="M978" i="5"/>
  <c r="L978" i="5"/>
  <c r="K978" i="5"/>
  <c r="X977" i="5"/>
  <c r="W977" i="5"/>
  <c r="V977" i="5"/>
  <c r="U977" i="5"/>
  <c r="T977" i="5"/>
  <c r="S977" i="5"/>
  <c r="N977" i="5"/>
  <c r="M977" i="5"/>
  <c r="L977" i="5"/>
  <c r="K977" i="5"/>
  <c r="X976" i="5"/>
  <c r="V976" i="5"/>
  <c r="U976" i="5"/>
  <c r="T976" i="5"/>
  <c r="N976" i="5"/>
  <c r="M976" i="5"/>
  <c r="L976" i="5"/>
  <c r="K976" i="5"/>
  <c r="X975" i="5"/>
  <c r="V975" i="5"/>
  <c r="U975" i="5"/>
  <c r="T975" i="5"/>
  <c r="N975" i="5"/>
  <c r="M975" i="5"/>
  <c r="L975" i="5"/>
  <c r="K975" i="5"/>
  <c r="X974" i="5"/>
  <c r="V974" i="5"/>
  <c r="U974" i="5"/>
  <c r="T974" i="5"/>
  <c r="N974" i="5"/>
  <c r="M974" i="5"/>
  <c r="L974" i="5"/>
  <c r="K974" i="5"/>
  <c r="X973" i="5"/>
  <c r="V973" i="5"/>
  <c r="U973" i="5"/>
  <c r="T973" i="5"/>
  <c r="N973" i="5"/>
  <c r="M973" i="5"/>
  <c r="L973" i="5"/>
  <c r="K973" i="5"/>
  <c r="X972" i="5"/>
  <c r="V972" i="5"/>
  <c r="U972" i="5"/>
  <c r="T972" i="5"/>
  <c r="N972" i="5"/>
  <c r="M972" i="5"/>
  <c r="L972" i="5"/>
  <c r="K972" i="5"/>
  <c r="X971" i="5"/>
  <c r="V971" i="5"/>
  <c r="U971" i="5"/>
  <c r="T971" i="5"/>
  <c r="N971" i="5"/>
  <c r="M971" i="5"/>
  <c r="L971" i="5"/>
  <c r="K971" i="5"/>
  <c r="X970" i="5"/>
  <c r="V970" i="5"/>
  <c r="U970" i="5"/>
  <c r="T970" i="5"/>
  <c r="N970" i="5"/>
  <c r="M970" i="5"/>
  <c r="L970" i="5"/>
  <c r="K970" i="5"/>
  <c r="X969" i="5"/>
  <c r="W969" i="5"/>
  <c r="V969" i="5"/>
  <c r="U969" i="5"/>
  <c r="T969" i="5"/>
  <c r="S969" i="5"/>
  <c r="N969" i="5"/>
  <c r="M969" i="5"/>
  <c r="L969" i="5"/>
  <c r="K969" i="5"/>
  <c r="X968" i="5"/>
  <c r="V968" i="5"/>
  <c r="U968" i="5"/>
  <c r="T968" i="5"/>
  <c r="N968" i="5"/>
  <c r="M968" i="5"/>
  <c r="L968" i="5"/>
  <c r="K968" i="5"/>
  <c r="X967" i="5"/>
  <c r="V967" i="5"/>
  <c r="U967" i="5"/>
  <c r="T967" i="5"/>
  <c r="N967" i="5"/>
  <c r="M967" i="5"/>
  <c r="L967" i="5"/>
  <c r="K967" i="5"/>
  <c r="X966" i="5"/>
  <c r="V966" i="5"/>
  <c r="U966" i="5"/>
  <c r="T966" i="5"/>
  <c r="N966" i="5"/>
  <c r="M966" i="5"/>
  <c r="L966" i="5"/>
  <c r="K966" i="5"/>
  <c r="X965" i="5"/>
  <c r="W965" i="5"/>
  <c r="V965" i="5"/>
  <c r="U965" i="5"/>
  <c r="T965" i="5"/>
  <c r="S965" i="5"/>
  <c r="N965" i="5"/>
  <c r="M965" i="5"/>
  <c r="L965" i="5"/>
  <c r="K965" i="5"/>
  <c r="X964" i="5"/>
  <c r="V964" i="5"/>
  <c r="U964" i="5"/>
  <c r="T964" i="5"/>
  <c r="N964" i="5"/>
  <c r="M964" i="5"/>
  <c r="L964" i="5"/>
  <c r="K964" i="5"/>
  <c r="X963" i="5"/>
  <c r="V963" i="5"/>
  <c r="U963" i="5"/>
  <c r="T963" i="5"/>
  <c r="N963" i="5"/>
  <c r="M963" i="5"/>
  <c r="L963" i="5"/>
  <c r="K963" i="5"/>
  <c r="X962" i="5"/>
  <c r="V962" i="5"/>
  <c r="U962" i="5"/>
  <c r="T962" i="5"/>
  <c r="N962" i="5"/>
  <c r="M962" i="5"/>
  <c r="L962" i="5"/>
  <c r="K962" i="5"/>
  <c r="X961" i="5"/>
  <c r="V961" i="5"/>
  <c r="U961" i="5"/>
  <c r="T961" i="5"/>
  <c r="N961" i="5"/>
  <c r="M961" i="5"/>
  <c r="L961" i="5"/>
  <c r="K961" i="5"/>
  <c r="X960" i="5"/>
  <c r="V960" i="5"/>
  <c r="U960" i="5"/>
  <c r="T960" i="5"/>
  <c r="N960" i="5"/>
  <c r="M960" i="5"/>
  <c r="L960" i="5"/>
  <c r="K960" i="5"/>
  <c r="X959" i="5"/>
  <c r="W959" i="5"/>
  <c r="V959" i="5"/>
  <c r="U959" i="5"/>
  <c r="T959" i="5"/>
  <c r="S959" i="5"/>
  <c r="N959" i="5"/>
  <c r="M959" i="5"/>
  <c r="L959" i="5"/>
  <c r="K959" i="5"/>
  <c r="X958" i="5"/>
  <c r="V958" i="5"/>
  <c r="U958" i="5"/>
  <c r="T958" i="5"/>
  <c r="N958" i="5"/>
  <c r="M958" i="5"/>
  <c r="L958" i="5"/>
  <c r="K958" i="5"/>
  <c r="X957" i="5"/>
  <c r="W957" i="5"/>
  <c r="V957" i="5"/>
  <c r="U957" i="5"/>
  <c r="T957" i="5"/>
  <c r="S957" i="5"/>
  <c r="N957" i="5"/>
  <c r="M957" i="5"/>
  <c r="L957" i="5"/>
  <c r="K957" i="5"/>
  <c r="X956" i="5"/>
  <c r="V956" i="5"/>
  <c r="U956" i="5"/>
  <c r="T956" i="5"/>
  <c r="N956" i="5"/>
  <c r="M956" i="5"/>
  <c r="L956" i="5"/>
  <c r="K956" i="5"/>
  <c r="X955" i="5"/>
  <c r="W955" i="5"/>
  <c r="V955" i="5"/>
  <c r="U955" i="5"/>
  <c r="T955" i="5"/>
  <c r="S955" i="5"/>
  <c r="N955" i="5"/>
  <c r="M955" i="5"/>
  <c r="L955" i="5"/>
  <c r="K955" i="5"/>
  <c r="X954" i="5"/>
  <c r="W954" i="5"/>
  <c r="V954" i="5"/>
  <c r="U954" i="5"/>
  <c r="T954" i="5"/>
  <c r="S954" i="5"/>
  <c r="N954" i="5"/>
  <c r="M954" i="5"/>
  <c r="L954" i="5"/>
  <c r="K954" i="5"/>
  <c r="X953" i="5"/>
  <c r="W953" i="5"/>
  <c r="V953" i="5"/>
  <c r="U953" i="5"/>
  <c r="T953" i="5"/>
  <c r="S953" i="5"/>
  <c r="N953" i="5"/>
  <c r="M953" i="5"/>
  <c r="L953" i="5"/>
  <c r="K953" i="5"/>
  <c r="X952" i="5"/>
  <c r="W952" i="5"/>
  <c r="V952" i="5"/>
  <c r="U952" i="5"/>
  <c r="T952" i="5"/>
  <c r="S952" i="5"/>
  <c r="N952" i="5"/>
  <c r="M952" i="5"/>
  <c r="L952" i="5"/>
  <c r="K952" i="5"/>
  <c r="X951" i="5"/>
  <c r="W951" i="5"/>
  <c r="V951" i="5"/>
  <c r="U951" i="5"/>
  <c r="T951" i="5"/>
  <c r="S951" i="5"/>
  <c r="N951" i="5"/>
  <c r="M951" i="5"/>
  <c r="L951" i="5"/>
  <c r="K951" i="5"/>
  <c r="X950" i="5"/>
  <c r="V950" i="5"/>
  <c r="U950" i="5"/>
  <c r="T950" i="5"/>
  <c r="N950" i="5"/>
  <c r="M950" i="5"/>
  <c r="L950" i="5"/>
  <c r="K950" i="5"/>
  <c r="X949" i="5"/>
  <c r="V949" i="5"/>
  <c r="U949" i="5"/>
  <c r="T949" i="5"/>
  <c r="N949" i="5"/>
  <c r="M949" i="5"/>
  <c r="L949" i="5"/>
  <c r="K949" i="5"/>
  <c r="X948" i="5"/>
  <c r="W948" i="5"/>
  <c r="V948" i="5"/>
  <c r="U948" i="5"/>
  <c r="T948" i="5"/>
  <c r="S948" i="5"/>
  <c r="N948" i="5"/>
  <c r="M948" i="5"/>
  <c r="L948" i="5"/>
  <c r="K948" i="5"/>
  <c r="X947" i="5"/>
  <c r="W947" i="5"/>
  <c r="V947" i="5"/>
  <c r="U947" i="5"/>
  <c r="T947" i="5"/>
  <c r="S947" i="5"/>
  <c r="N947" i="5"/>
  <c r="M947" i="5"/>
  <c r="L947" i="5"/>
  <c r="K947" i="5"/>
  <c r="X946" i="5"/>
  <c r="W946" i="5"/>
  <c r="V946" i="5"/>
  <c r="U946" i="5"/>
  <c r="T946" i="5"/>
  <c r="S946" i="5"/>
  <c r="N946" i="5"/>
  <c r="M946" i="5"/>
  <c r="L946" i="5"/>
  <c r="K946" i="5"/>
  <c r="X945" i="5"/>
  <c r="W945" i="5"/>
  <c r="V945" i="5"/>
  <c r="U945" i="5"/>
  <c r="T945" i="5"/>
  <c r="S945" i="5"/>
  <c r="N945" i="5"/>
  <c r="M945" i="5"/>
  <c r="L945" i="5"/>
  <c r="K945" i="5"/>
  <c r="X944" i="5"/>
  <c r="W944" i="5"/>
  <c r="V944" i="5"/>
  <c r="U944" i="5"/>
  <c r="T944" i="5"/>
  <c r="S944" i="5"/>
  <c r="N944" i="5"/>
  <c r="M944" i="5"/>
  <c r="L944" i="5"/>
  <c r="K944" i="5"/>
  <c r="X943" i="5"/>
  <c r="W943" i="5"/>
  <c r="V943" i="5"/>
  <c r="U943" i="5"/>
  <c r="T943" i="5"/>
  <c r="S943" i="5"/>
  <c r="N943" i="5"/>
  <c r="M943" i="5"/>
  <c r="L943" i="5"/>
  <c r="K943" i="5"/>
  <c r="X942" i="5"/>
  <c r="W942" i="5"/>
  <c r="V942" i="5"/>
  <c r="U942" i="5"/>
  <c r="T942" i="5"/>
  <c r="S942" i="5"/>
  <c r="N942" i="5"/>
  <c r="M942" i="5"/>
  <c r="L942" i="5"/>
  <c r="K942" i="5"/>
  <c r="X941" i="5"/>
  <c r="W941" i="5"/>
  <c r="V941" i="5"/>
  <c r="U941" i="5"/>
  <c r="T941" i="5"/>
  <c r="S941" i="5"/>
  <c r="N941" i="5"/>
  <c r="M941" i="5"/>
  <c r="L941" i="5"/>
  <c r="K941" i="5"/>
  <c r="X940" i="5"/>
  <c r="W940" i="5"/>
  <c r="V940" i="5"/>
  <c r="U940" i="5"/>
  <c r="T940" i="5"/>
  <c r="S940" i="5"/>
  <c r="N940" i="5"/>
  <c r="M940" i="5"/>
  <c r="L940" i="5"/>
  <c r="K940" i="5"/>
  <c r="X939" i="5"/>
  <c r="W939" i="5"/>
  <c r="V939" i="5"/>
  <c r="U939" i="5"/>
  <c r="T939" i="5"/>
  <c r="S939" i="5"/>
  <c r="N939" i="5"/>
  <c r="M939" i="5"/>
  <c r="L939" i="5"/>
  <c r="K939" i="5"/>
  <c r="X938" i="5"/>
  <c r="W938" i="5"/>
  <c r="V938" i="5"/>
  <c r="U938" i="5"/>
  <c r="T938" i="5"/>
  <c r="S938" i="5"/>
  <c r="N938" i="5"/>
  <c r="M938" i="5"/>
  <c r="L938" i="5"/>
  <c r="K938" i="5"/>
  <c r="X937" i="5"/>
  <c r="W937" i="5"/>
  <c r="V937" i="5"/>
  <c r="U937" i="5"/>
  <c r="T937" i="5"/>
  <c r="S937" i="5"/>
  <c r="N937" i="5"/>
  <c r="M937" i="5"/>
  <c r="L937" i="5"/>
  <c r="K937" i="5"/>
  <c r="X936" i="5"/>
  <c r="W936" i="5"/>
  <c r="V936" i="5"/>
  <c r="U936" i="5"/>
  <c r="T936" i="5"/>
  <c r="S936" i="5"/>
  <c r="N936" i="5"/>
  <c r="M936" i="5"/>
  <c r="L936" i="5"/>
  <c r="K936" i="5"/>
  <c r="X935" i="5"/>
  <c r="W935" i="5"/>
  <c r="V935" i="5"/>
  <c r="U935" i="5"/>
  <c r="T935" i="5"/>
  <c r="S935" i="5"/>
  <c r="N935" i="5"/>
  <c r="M935" i="5"/>
  <c r="L935" i="5"/>
  <c r="K935" i="5"/>
  <c r="X934" i="5"/>
  <c r="W934" i="5"/>
  <c r="V934" i="5"/>
  <c r="U934" i="5"/>
  <c r="T934" i="5"/>
  <c r="S934" i="5"/>
  <c r="N934" i="5"/>
  <c r="M934" i="5"/>
  <c r="L934" i="5"/>
  <c r="K934" i="5"/>
  <c r="X933" i="5"/>
  <c r="W933" i="5"/>
  <c r="V933" i="5"/>
  <c r="U933" i="5"/>
  <c r="T933" i="5"/>
  <c r="S933" i="5"/>
  <c r="N933" i="5"/>
  <c r="M933" i="5"/>
  <c r="L933" i="5"/>
  <c r="K933" i="5"/>
  <c r="X932" i="5"/>
  <c r="W932" i="5"/>
  <c r="V932" i="5"/>
  <c r="U932" i="5"/>
  <c r="T932" i="5"/>
  <c r="S932" i="5"/>
  <c r="N932" i="5"/>
  <c r="M932" i="5"/>
  <c r="L932" i="5"/>
  <c r="K932" i="5"/>
  <c r="X931" i="5"/>
  <c r="W931" i="5"/>
  <c r="V931" i="5"/>
  <c r="U931" i="5"/>
  <c r="T931" i="5"/>
  <c r="S931" i="5"/>
  <c r="N931" i="5"/>
  <c r="M931" i="5"/>
  <c r="L931" i="5"/>
  <c r="K931" i="5"/>
  <c r="X930" i="5"/>
  <c r="W930" i="5"/>
  <c r="V930" i="5"/>
  <c r="U930" i="5"/>
  <c r="T930" i="5"/>
  <c r="S930" i="5"/>
  <c r="N930" i="5"/>
  <c r="M930" i="5"/>
  <c r="L930" i="5"/>
  <c r="K930" i="5"/>
  <c r="X929" i="5"/>
  <c r="W929" i="5"/>
  <c r="V929" i="5"/>
  <c r="U929" i="5"/>
  <c r="T929" i="5"/>
  <c r="S929" i="5"/>
  <c r="N929" i="5"/>
  <c r="M929" i="5"/>
  <c r="L929" i="5"/>
  <c r="K929" i="5"/>
  <c r="X928" i="5"/>
  <c r="V928" i="5"/>
  <c r="U928" i="5"/>
  <c r="T928" i="5"/>
  <c r="N928" i="5"/>
  <c r="M928" i="5"/>
  <c r="L928" i="5"/>
  <c r="K928" i="5"/>
  <c r="X927" i="5"/>
  <c r="W927" i="5"/>
  <c r="V927" i="5"/>
  <c r="U927" i="5"/>
  <c r="T927" i="5"/>
  <c r="S927" i="5"/>
  <c r="N927" i="5"/>
  <c r="M927" i="5"/>
  <c r="L927" i="5"/>
  <c r="K927" i="5"/>
  <c r="X926" i="5"/>
  <c r="V926" i="5"/>
  <c r="U926" i="5"/>
  <c r="T926" i="5"/>
  <c r="N926" i="5"/>
  <c r="M926" i="5"/>
  <c r="L926" i="5"/>
  <c r="K926" i="5"/>
  <c r="X925" i="5"/>
  <c r="W925" i="5"/>
  <c r="V925" i="5"/>
  <c r="U925" i="5"/>
  <c r="T925" i="5"/>
  <c r="S925" i="5"/>
  <c r="N925" i="5"/>
  <c r="M925" i="5"/>
  <c r="L925" i="5"/>
  <c r="K925" i="5"/>
  <c r="X924" i="5"/>
  <c r="W924" i="5"/>
  <c r="V924" i="5"/>
  <c r="U924" i="5"/>
  <c r="T924" i="5"/>
  <c r="S924" i="5"/>
  <c r="N924" i="5"/>
  <c r="M924" i="5"/>
  <c r="L924" i="5"/>
  <c r="K924" i="5"/>
  <c r="X923" i="5"/>
  <c r="W923" i="5"/>
  <c r="V923" i="5"/>
  <c r="U923" i="5"/>
  <c r="T923" i="5"/>
  <c r="S923" i="5"/>
  <c r="N923" i="5"/>
  <c r="M923" i="5"/>
  <c r="L923" i="5"/>
  <c r="K923" i="5"/>
  <c r="X922" i="5"/>
  <c r="W922" i="5"/>
  <c r="V922" i="5"/>
  <c r="U922" i="5"/>
  <c r="T922" i="5"/>
  <c r="S922" i="5"/>
  <c r="N922" i="5"/>
  <c r="M922" i="5"/>
  <c r="L922" i="5"/>
  <c r="K922" i="5"/>
  <c r="X921" i="5"/>
  <c r="W921" i="5"/>
  <c r="V921" i="5"/>
  <c r="U921" i="5"/>
  <c r="T921" i="5"/>
  <c r="S921" i="5"/>
  <c r="N921" i="5"/>
  <c r="M921" i="5"/>
  <c r="L921" i="5"/>
  <c r="K921" i="5"/>
  <c r="X920" i="5"/>
  <c r="W920" i="5"/>
  <c r="V920" i="5"/>
  <c r="U920" i="5"/>
  <c r="T920" i="5"/>
  <c r="S920" i="5"/>
  <c r="N920" i="5"/>
  <c r="M920" i="5"/>
  <c r="L920" i="5"/>
  <c r="K920" i="5"/>
  <c r="X919" i="5"/>
  <c r="W919" i="5"/>
  <c r="V919" i="5"/>
  <c r="U919" i="5"/>
  <c r="T919" i="5"/>
  <c r="S919" i="5"/>
  <c r="N919" i="5"/>
  <c r="M919" i="5"/>
  <c r="L919" i="5"/>
  <c r="K919" i="5"/>
  <c r="X918" i="5"/>
  <c r="W918" i="5"/>
  <c r="V918" i="5"/>
  <c r="U918" i="5"/>
  <c r="T918" i="5"/>
  <c r="S918" i="5"/>
  <c r="N918" i="5"/>
  <c r="M918" i="5"/>
  <c r="L918" i="5"/>
  <c r="K918" i="5"/>
  <c r="X917" i="5"/>
  <c r="W917" i="5"/>
  <c r="V917" i="5"/>
  <c r="U917" i="5"/>
  <c r="T917" i="5"/>
  <c r="S917" i="5"/>
  <c r="N917" i="5"/>
  <c r="M917" i="5"/>
  <c r="L917" i="5"/>
  <c r="K917" i="5"/>
  <c r="X916" i="5"/>
  <c r="W916" i="5"/>
  <c r="V916" i="5"/>
  <c r="U916" i="5"/>
  <c r="T916" i="5"/>
  <c r="S916" i="5"/>
  <c r="N916" i="5"/>
  <c r="M916" i="5"/>
  <c r="L916" i="5"/>
  <c r="K916" i="5"/>
  <c r="X915" i="5"/>
  <c r="W915" i="5"/>
  <c r="V915" i="5"/>
  <c r="U915" i="5"/>
  <c r="T915" i="5"/>
  <c r="S915" i="5"/>
  <c r="N915" i="5"/>
  <c r="M915" i="5"/>
  <c r="L915" i="5"/>
  <c r="K915" i="5"/>
  <c r="X914" i="5"/>
  <c r="W914" i="5"/>
  <c r="V914" i="5"/>
  <c r="U914" i="5"/>
  <c r="T914" i="5"/>
  <c r="S914" i="5"/>
  <c r="N914" i="5"/>
  <c r="M914" i="5"/>
  <c r="L914" i="5"/>
  <c r="K914" i="5"/>
  <c r="X913" i="5"/>
  <c r="W913" i="5"/>
  <c r="V913" i="5"/>
  <c r="U913" i="5"/>
  <c r="T913" i="5"/>
  <c r="S913" i="5"/>
  <c r="N913" i="5"/>
  <c r="M913" i="5"/>
  <c r="L913" i="5"/>
  <c r="K913" i="5"/>
  <c r="X912" i="5"/>
  <c r="W912" i="5"/>
  <c r="V912" i="5"/>
  <c r="U912" i="5"/>
  <c r="T912" i="5"/>
  <c r="S912" i="5"/>
  <c r="N912" i="5"/>
  <c r="M912" i="5"/>
  <c r="L912" i="5"/>
  <c r="K912" i="5"/>
  <c r="X911" i="5"/>
  <c r="W911" i="5"/>
  <c r="V911" i="5"/>
  <c r="U911" i="5"/>
  <c r="T911" i="5"/>
  <c r="S911" i="5"/>
  <c r="N911" i="5"/>
  <c r="M911" i="5"/>
  <c r="L911" i="5"/>
  <c r="K911" i="5"/>
  <c r="X910" i="5"/>
  <c r="W910" i="5"/>
  <c r="V910" i="5"/>
  <c r="U910" i="5"/>
  <c r="T910" i="5"/>
  <c r="S910" i="5"/>
  <c r="N910" i="5"/>
  <c r="M910" i="5"/>
  <c r="L910" i="5"/>
  <c r="K910" i="5"/>
  <c r="X909" i="5"/>
  <c r="W909" i="5"/>
  <c r="V909" i="5"/>
  <c r="U909" i="5"/>
  <c r="T909" i="5"/>
  <c r="S909" i="5"/>
  <c r="N909" i="5"/>
  <c r="M909" i="5"/>
  <c r="L909" i="5"/>
  <c r="K909" i="5"/>
  <c r="X908" i="5"/>
  <c r="W908" i="5"/>
  <c r="V908" i="5"/>
  <c r="U908" i="5"/>
  <c r="T908" i="5"/>
  <c r="S908" i="5"/>
  <c r="N908" i="5"/>
  <c r="M908" i="5"/>
  <c r="L908" i="5"/>
  <c r="K908" i="5"/>
  <c r="X907" i="5"/>
  <c r="W907" i="5"/>
  <c r="V907" i="5"/>
  <c r="U907" i="5"/>
  <c r="T907" i="5"/>
  <c r="S907" i="5"/>
  <c r="N907" i="5"/>
  <c r="M907" i="5"/>
  <c r="L907" i="5"/>
  <c r="K907" i="5"/>
  <c r="X906" i="5"/>
  <c r="W906" i="5"/>
  <c r="V906" i="5"/>
  <c r="U906" i="5"/>
  <c r="T906" i="5"/>
  <c r="S906" i="5"/>
  <c r="N906" i="5"/>
  <c r="M906" i="5"/>
  <c r="L906" i="5"/>
  <c r="K906" i="5"/>
  <c r="X905" i="5"/>
  <c r="W905" i="5"/>
  <c r="V905" i="5"/>
  <c r="U905" i="5"/>
  <c r="T905" i="5"/>
  <c r="S905" i="5"/>
  <c r="N905" i="5"/>
  <c r="M905" i="5"/>
  <c r="L905" i="5"/>
  <c r="K905" i="5"/>
  <c r="X904" i="5"/>
  <c r="W904" i="5"/>
  <c r="V904" i="5"/>
  <c r="U904" i="5"/>
  <c r="T904" i="5"/>
  <c r="S904" i="5"/>
  <c r="N904" i="5"/>
  <c r="M904" i="5"/>
  <c r="L904" i="5"/>
  <c r="K904" i="5"/>
  <c r="X903" i="5"/>
  <c r="W903" i="5"/>
  <c r="V903" i="5"/>
  <c r="U903" i="5"/>
  <c r="T903" i="5"/>
  <c r="S903" i="5"/>
  <c r="N903" i="5"/>
  <c r="M903" i="5"/>
  <c r="L903" i="5"/>
  <c r="K903" i="5"/>
  <c r="X902" i="5"/>
  <c r="W902" i="5"/>
  <c r="V902" i="5"/>
  <c r="U902" i="5"/>
  <c r="T902" i="5"/>
  <c r="S902" i="5"/>
  <c r="N902" i="5"/>
  <c r="M902" i="5"/>
  <c r="L902" i="5"/>
  <c r="K902" i="5"/>
  <c r="X901" i="5"/>
  <c r="W901" i="5"/>
  <c r="V901" i="5"/>
  <c r="U901" i="5"/>
  <c r="T901" i="5"/>
  <c r="S901" i="5"/>
  <c r="N901" i="5"/>
  <c r="M901" i="5"/>
  <c r="L901" i="5"/>
  <c r="K901" i="5"/>
  <c r="X900" i="5"/>
  <c r="W900" i="5"/>
  <c r="V900" i="5"/>
  <c r="U900" i="5"/>
  <c r="T900" i="5"/>
  <c r="S900" i="5"/>
  <c r="N900" i="5"/>
  <c r="M900" i="5"/>
  <c r="L900" i="5"/>
  <c r="K900" i="5"/>
  <c r="X899" i="5"/>
  <c r="W899" i="5"/>
  <c r="V899" i="5"/>
  <c r="U899" i="5"/>
  <c r="T899" i="5"/>
  <c r="S899" i="5"/>
  <c r="N899" i="5"/>
  <c r="M899" i="5"/>
  <c r="L899" i="5"/>
  <c r="K899" i="5"/>
  <c r="X898" i="5"/>
  <c r="W898" i="5"/>
  <c r="V898" i="5"/>
  <c r="U898" i="5"/>
  <c r="T898" i="5"/>
  <c r="S898" i="5"/>
  <c r="N898" i="5"/>
  <c r="M898" i="5"/>
  <c r="L898" i="5"/>
  <c r="K898" i="5"/>
  <c r="X897" i="5"/>
  <c r="W897" i="5"/>
  <c r="V897" i="5"/>
  <c r="U897" i="5"/>
  <c r="T897" i="5"/>
  <c r="S897" i="5"/>
  <c r="N897" i="5"/>
  <c r="M897" i="5"/>
  <c r="L897" i="5"/>
  <c r="K897" i="5"/>
  <c r="X896" i="5"/>
  <c r="W896" i="5"/>
  <c r="V896" i="5"/>
  <c r="U896" i="5"/>
  <c r="T896" i="5"/>
  <c r="S896" i="5"/>
  <c r="N896" i="5"/>
  <c r="M896" i="5"/>
  <c r="L896" i="5"/>
  <c r="K896" i="5"/>
  <c r="X895" i="5"/>
  <c r="W895" i="5"/>
  <c r="V895" i="5"/>
  <c r="U895" i="5"/>
  <c r="T895" i="5"/>
  <c r="S895" i="5"/>
  <c r="N895" i="5"/>
  <c r="M895" i="5"/>
  <c r="L895" i="5"/>
  <c r="K895" i="5"/>
  <c r="X894" i="5"/>
  <c r="W894" i="5"/>
  <c r="V894" i="5"/>
  <c r="U894" i="5"/>
  <c r="T894" i="5"/>
  <c r="S894" i="5"/>
  <c r="N894" i="5"/>
  <c r="M894" i="5"/>
  <c r="L894" i="5"/>
  <c r="K894" i="5"/>
  <c r="X893" i="5"/>
  <c r="W893" i="5"/>
  <c r="V893" i="5"/>
  <c r="U893" i="5"/>
  <c r="T893" i="5"/>
  <c r="S893" i="5"/>
  <c r="N893" i="5"/>
  <c r="M893" i="5"/>
  <c r="L893" i="5"/>
  <c r="K893" i="5"/>
  <c r="X892" i="5"/>
  <c r="W892" i="5"/>
  <c r="V892" i="5"/>
  <c r="U892" i="5"/>
  <c r="T892" i="5"/>
  <c r="S892" i="5"/>
  <c r="N892" i="5"/>
  <c r="M892" i="5"/>
  <c r="L892" i="5"/>
  <c r="K892" i="5"/>
  <c r="X891" i="5"/>
  <c r="W891" i="5"/>
  <c r="V891" i="5"/>
  <c r="U891" i="5"/>
  <c r="T891" i="5"/>
  <c r="S891" i="5"/>
  <c r="N891" i="5"/>
  <c r="M891" i="5"/>
  <c r="L891" i="5"/>
  <c r="K891" i="5"/>
  <c r="X890" i="5"/>
  <c r="W890" i="5"/>
  <c r="V890" i="5"/>
  <c r="U890" i="5"/>
  <c r="T890" i="5"/>
  <c r="S890" i="5"/>
  <c r="N890" i="5"/>
  <c r="M890" i="5"/>
  <c r="L890" i="5"/>
  <c r="K890" i="5"/>
  <c r="X889" i="5"/>
  <c r="W889" i="5"/>
  <c r="V889" i="5"/>
  <c r="U889" i="5"/>
  <c r="T889" i="5"/>
  <c r="S889" i="5"/>
  <c r="N889" i="5"/>
  <c r="M889" i="5"/>
  <c r="L889" i="5"/>
  <c r="K889" i="5"/>
  <c r="X888" i="5"/>
  <c r="W888" i="5"/>
  <c r="V888" i="5"/>
  <c r="U888" i="5"/>
  <c r="T888" i="5"/>
  <c r="S888" i="5"/>
  <c r="N888" i="5"/>
  <c r="M888" i="5"/>
  <c r="L888" i="5"/>
  <c r="K888" i="5"/>
  <c r="X887" i="5"/>
  <c r="W887" i="5"/>
  <c r="V887" i="5"/>
  <c r="U887" i="5"/>
  <c r="T887" i="5"/>
  <c r="S887" i="5"/>
  <c r="N887" i="5"/>
  <c r="M887" i="5"/>
  <c r="L887" i="5"/>
  <c r="K887" i="5"/>
  <c r="X886" i="5"/>
  <c r="W886" i="5"/>
  <c r="V886" i="5"/>
  <c r="U886" i="5"/>
  <c r="T886" i="5"/>
  <c r="S886" i="5"/>
  <c r="N886" i="5"/>
  <c r="M886" i="5"/>
  <c r="L886" i="5"/>
  <c r="K886" i="5"/>
  <c r="X885" i="5"/>
  <c r="W885" i="5"/>
  <c r="V885" i="5"/>
  <c r="U885" i="5"/>
  <c r="T885" i="5"/>
  <c r="S885" i="5"/>
  <c r="N885" i="5"/>
  <c r="M885" i="5"/>
  <c r="L885" i="5"/>
  <c r="K885" i="5"/>
  <c r="X884" i="5"/>
  <c r="W884" i="5"/>
  <c r="V884" i="5"/>
  <c r="U884" i="5"/>
  <c r="T884" i="5"/>
  <c r="S884" i="5"/>
  <c r="N884" i="5"/>
  <c r="M884" i="5"/>
  <c r="L884" i="5"/>
  <c r="K884" i="5"/>
  <c r="X883" i="5"/>
  <c r="W883" i="5"/>
  <c r="V883" i="5"/>
  <c r="U883" i="5"/>
  <c r="T883" i="5"/>
  <c r="S883" i="5"/>
  <c r="N883" i="5"/>
  <c r="M883" i="5"/>
  <c r="L883" i="5"/>
  <c r="K883" i="5"/>
  <c r="X882" i="5"/>
  <c r="W882" i="5"/>
  <c r="V882" i="5"/>
  <c r="U882" i="5"/>
  <c r="T882" i="5"/>
  <c r="S882" i="5"/>
  <c r="N882" i="5"/>
  <c r="M882" i="5"/>
  <c r="L882" i="5"/>
  <c r="K882" i="5"/>
  <c r="X881" i="5"/>
  <c r="V881" i="5"/>
  <c r="U881" i="5"/>
  <c r="T881" i="5"/>
  <c r="N881" i="5"/>
  <c r="M881" i="5"/>
  <c r="L881" i="5"/>
  <c r="K881" i="5"/>
  <c r="X880" i="5"/>
  <c r="V880" i="5"/>
  <c r="U880" i="5"/>
  <c r="T880" i="5"/>
  <c r="N880" i="5"/>
  <c r="M880" i="5"/>
  <c r="L880" i="5"/>
  <c r="K880" i="5"/>
  <c r="X879" i="5"/>
  <c r="V879" i="5"/>
  <c r="U879" i="5"/>
  <c r="T879" i="5"/>
  <c r="N879" i="5"/>
  <c r="M879" i="5"/>
  <c r="L879" i="5"/>
  <c r="K879" i="5"/>
  <c r="X878" i="5"/>
  <c r="V878" i="5"/>
  <c r="U878" i="5"/>
  <c r="T878" i="5"/>
  <c r="N878" i="5"/>
  <c r="M878" i="5"/>
  <c r="L878" i="5"/>
  <c r="K878" i="5"/>
  <c r="X877" i="5"/>
  <c r="V877" i="5"/>
  <c r="U877" i="5"/>
  <c r="T877" i="5"/>
  <c r="N877" i="5"/>
  <c r="M877" i="5"/>
  <c r="L877" i="5"/>
  <c r="K877" i="5"/>
  <c r="X876" i="5"/>
  <c r="V876" i="5"/>
  <c r="U876" i="5"/>
  <c r="T876" i="5"/>
  <c r="N876" i="5"/>
  <c r="M876" i="5"/>
  <c r="L876" i="5"/>
  <c r="K876" i="5"/>
  <c r="X875" i="5"/>
  <c r="V875" i="5"/>
  <c r="U875" i="5"/>
  <c r="T875" i="5"/>
  <c r="N875" i="5"/>
  <c r="M875" i="5"/>
  <c r="L875" i="5"/>
  <c r="K875" i="5"/>
  <c r="X874" i="5"/>
  <c r="V874" i="5"/>
  <c r="U874" i="5"/>
  <c r="T874" i="5"/>
  <c r="N874" i="5"/>
  <c r="M874" i="5"/>
  <c r="L874" i="5"/>
  <c r="K874" i="5"/>
  <c r="X873" i="5"/>
  <c r="V873" i="5"/>
  <c r="U873" i="5"/>
  <c r="T873" i="5"/>
  <c r="N873" i="5"/>
  <c r="M873" i="5"/>
  <c r="L873" i="5"/>
  <c r="K873" i="5"/>
  <c r="X872" i="5"/>
  <c r="V872" i="5"/>
  <c r="U872" i="5"/>
  <c r="T872" i="5"/>
  <c r="N872" i="5"/>
  <c r="M872" i="5"/>
  <c r="L872" i="5"/>
  <c r="K872" i="5"/>
  <c r="X871" i="5"/>
  <c r="V871" i="5"/>
  <c r="U871" i="5"/>
  <c r="T871" i="5"/>
  <c r="N871" i="5"/>
  <c r="M871" i="5"/>
  <c r="L871" i="5"/>
  <c r="K871" i="5"/>
  <c r="X870" i="5"/>
  <c r="V870" i="5"/>
  <c r="U870" i="5"/>
  <c r="T870" i="5"/>
  <c r="N870" i="5"/>
  <c r="M870" i="5"/>
  <c r="L870" i="5"/>
  <c r="K870" i="5"/>
  <c r="X869" i="5"/>
  <c r="V869" i="5"/>
  <c r="U869" i="5"/>
  <c r="T869" i="5"/>
  <c r="N869" i="5"/>
  <c r="M869" i="5"/>
  <c r="L869" i="5"/>
  <c r="K869" i="5"/>
  <c r="X868" i="5"/>
  <c r="V868" i="5"/>
  <c r="U868" i="5"/>
  <c r="T868" i="5"/>
  <c r="N868" i="5"/>
  <c r="M868" i="5"/>
  <c r="L868" i="5"/>
  <c r="K868" i="5"/>
  <c r="X867" i="5"/>
  <c r="V867" i="5"/>
  <c r="U867" i="5"/>
  <c r="T867" i="5"/>
  <c r="N867" i="5"/>
  <c r="M867" i="5"/>
  <c r="L867" i="5"/>
  <c r="K867" i="5"/>
  <c r="X866" i="5"/>
  <c r="V866" i="5"/>
  <c r="U866" i="5"/>
  <c r="T866" i="5"/>
  <c r="N866" i="5"/>
  <c r="M866" i="5"/>
  <c r="L866" i="5"/>
  <c r="K866" i="5"/>
  <c r="X865" i="5"/>
  <c r="V865" i="5"/>
  <c r="U865" i="5"/>
  <c r="T865" i="5"/>
  <c r="N865" i="5"/>
  <c r="M865" i="5"/>
  <c r="L865" i="5"/>
  <c r="K865" i="5"/>
  <c r="X864" i="5"/>
  <c r="V864" i="5"/>
  <c r="U864" i="5"/>
  <c r="T864" i="5"/>
  <c r="N864" i="5"/>
  <c r="M864" i="5"/>
  <c r="L864" i="5"/>
  <c r="K864" i="5"/>
  <c r="X863" i="5"/>
  <c r="V863" i="5"/>
  <c r="U863" i="5"/>
  <c r="T863" i="5"/>
  <c r="N863" i="5"/>
  <c r="M863" i="5"/>
  <c r="L863" i="5"/>
  <c r="K863" i="5"/>
  <c r="X862" i="5"/>
  <c r="V862" i="5"/>
  <c r="U862" i="5"/>
  <c r="T862" i="5"/>
  <c r="N862" i="5"/>
  <c r="M862" i="5"/>
  <c r="L862" i="5"/>
  <c r="K862" i="5"/>
  <c r="X861" i="5"/>
  <c r="V861" i="5"/>
  <c r="U861" i="5"/>
  <c r="T861" i="5"/>
  <c r="N861" i="5"/>
  <c r="M861" i="5"/>
  <c r="L861" i="5"/>
  <c r="K861" i="5"/>
  <c r="X860" i="5"/>
  <c r="V860" i="5"/>
  <c r="U860" i="5"/>
  <c r="T860" i="5"/>
  <c r="N860" i="5"/>
  <c r="M860" i="5"/>
  <c r="L860" i="5"/>
  <c r="K860" i="5"/>
  <c r="X859" i="5"/>
  <c r="V859" i="5"/>
  <c r="U859" i="5"/>
  <c r="T859" i="5"/>
  <c r="N859" i="5"/>
  <c r="M859" i="5"/>
  <c r="L859" i="5"/>
  <c r="K859" i="5"/>
  <c r="X858" i="5"/>
  <c r="V858" i="5"/>
  <c r="U858" i="5"/>
  <c r="T858" i="5"/>
  <c r="N858" i="5"/>
  <c r="M858" i="5"/>
  <c r="L858" i="5"/>
  <c r="K858" i="5"/>
  <c r="X857" i="5"/>
  <c r="V857" i="5"/>
  <c r="U857" i="5"/>
  <c r="T857" i="5"/>
  <c r="N857" i="5"/>
  <c r="M857" i="5"/>
  <c r="L857" i="5"/>
  <c r="K857" i="5"/>
  <c r="X856" i="5"/>
  <c r="V856" i="5"/>
  <c r="U856" i="5"/>
  <c r="T856" i="5"/>
  <c r="N856" i="5"/>
  <c r="M856" i="5"/>
  <c r="L856" i="5"/>
  <c r="K856" i="5"/>
  <c r="X855" i="5"/>
  <c r="V855" i="5"/>
  <c r="U855" i="5"/>
  <c r="T855" i="5"/>
  <c r="N855" i="5"/>
  <c r="M855" i="5"/>
  <c r="L855" i="5"/>
  <c r="K855" i="5"/>
  <c r="X854" i="5"/>
  <c r="V854" i="5"/>
  <c r="U854" i="5"/>
  <c r="T854" i="5"/>
  <c r="N854" i="5"/>
  <c r="M854" i="5"/>
  <c r="L854" i="5"/>
  <c r="K854" i="5"/>
  <c r="X853" i="5"/>
  <c r="V853" i="5"/>
  <c r="U853" i="5"/>
  <c r="T853" i="5"/>
  <c r="N853" i="5"/>
  <c r="M853" i="5"/>
  <c r="L853" i="5"/>
  <c r="K853" i="5"/>
  <c r="X852" i="5"/>
  <c r="V852" i="5"/>
  <c r="U852" i="5"/>
  <c r="T852" i="5"/>
  <c r="N852" i="5"/>
  <c r="M852" i="5"/>
  <c r="L852" i="5"/>
  <c r="K852" i="5"/>
  <c r="X851" i="5"/>
  <c r="V851" i="5"/>
  <c r="U851" i="5"/>
  <c r="T851" i="5"/>
  <c r="N851" i="5"/>
  <c r="M851" i="5"/>
  <c r="L851" i="5"/>
  <c r="K851" i="5"/>
  <c r="X850" i="5"/>
  <c r="V850" i="5"/>
  <c r="U850" i="5"/>
  <c r="T850" i="5"/>
  <c r="N850" i="5"/>
  <c r="M850" i="5"/>
  <c r="L850" i="5"/>
  <c r="K850" i="5"/>
  <c r="X849" i="5"/>
  <c r="V849" i="5"/>
  <c r="U849" i="5"/>
  <c r="T849" i="5"/>
  <c r="N849" i="5"/>
  <c r="M849" i="5"/>
  <c r="L849" i="5"/>
  <c r="K849" i="5"/>
  <c r="X848" i="5"/>
  <c r="V848" i="5"/>
  <c r="U848" i="5"/>
  <c r="T848" i="5"/>
  <c r="N848" i="5"/>
  <c r="M848" i="5"/>
  <c r="L848" i="5"/>
  <c r="K848" i="5"/>
  <c r="X847" i="5"/>
  <c r="V847" i="5"/>
  <c r="U847" i="5"/>
  <c r="T847" i="5"/>
  <c r="N847" i="5"/>
  <c r="M847" i="5"/>
  <c r="L847" i="5"/>
  <c r="K847" i="5"/>
  <c r="X846" i="5"/>
  <c r="V846" i="5"/>
  <c r="U846" i="5"/>
  <c r="T846" i="5"/>
  <c r="N846" i="5"/>
  <c r="M846" i="5"/>
  <c r="L846" i="5"/>
  <c r="K846" i="5"/>
  <c r="X845" i="5"/>
  <c r="V845" i="5"/>
  <c r="U845" i="5"/>
  <c r="T845" i="5"/>
  <c r="N845" i="5"/>
  <c r="M845" i="5"/>
  <c r="L845" i="5"/>
  <c r="K845" i="5"/>
  <c r="X844" i="5"/>
  <c r="V844" i="5"/>
  <c r="U844" i="5"/>
  <c r="T844" i="5"/>
  <c r="N844" i="5"/>
  <c r="M844" i="5"/>
  <c r="L844" i="5"/>
  <c r="K844" i="5"/>
  <c r="X843" i="5"/>
  <c r="V843" i="5"/>
  <c r="U843" i="5"/>
  <c r="T843" i="5"/>
  <c r="N843" i="5"/>
  <c r="M843" i="5"/>
  <c r="L843" i="5"/>
  <c r="K843" i="5"/>
  <c r="X842" i="5"/>
  <c r="V842" i="5"/>
  <c r="U842" i="5"/>
  <c r="T842" i="5"/>
  <c r="N842" i="5"/>
  <c r="M842" i="5"/>
  <c r="L842" i="5"/>
  <c r="K842" i="5"/>
  <c r="X841" i="5"/>
  <c r="V841" i="5"/>
  <c r="U841" i="5"/>
  <c r="T841" i="5"/>
  <c r="N841" i="5"/>
  <c r="M841" i="5"/>
  <c r="L841" i="5"/>
  <c r="K841" i="5"/>
  <c r="X840" i="5"/>
  <c r="V840" i="5"/>
  <c r="U840" i="5"/>
  <c r="T840" i="5"/>
  <c r="N840" i="5"/>
  <c r="M840" i="5"/>
  <c r="L840" i="5"/>
  <c r="K840" i="5"/>
  <c r="X839" i="5"/>
  <c r="V839" i="5"/>
  <c r="U839" i="5"/>
  <c r="T839" i="5"/>
  <c r="N839" i="5"/>
  <c r="M839" i="5"/>
  <c r="L839" i="5"/>
  <c r="K839" i="5"/>
  <c r="X838" i="5"/>
  <c r="V838" i="5"/>
  <c r="U838" i="5"/>
  <c r="T838" i="5"/>
  <c r="N838" i="5"/>
  <c r="M838" i="5"/>
  <c r="L838" i="5"/>
  <c r="K838" i="5"/>
  <c r="X837" i="5"/>
  <c r="V837" i="5"/>
  <c r="U837" i="5"/>
  <c r="T837" i="5"/>
  <c r="N837" i="5"/>
  <c r="M837" i="5"/>
  <c r="L837" i="5"/>
  <c r="K837" i="5"/>
  <c r="X836" i="5"/>
  <c r="V836" i="5"/>
  <c r="U836" i="5"/>
  <c r="T836" i="5"/>
  <c r="N836" i="5"/>
  <c r="M836" i="5"/>
  <c r="L836" i="5"/>
  <c r="K836" i="5"/>
  <c r="X835" i="5"/>
  <c r="V835" i="5"/>
  <c r="U835" i="5"/>
  <c r="T835" i="5"/>
  <c r="N835" i="5"/>
  <c r="M835" i="5"/>
  <c r="L835" i="5"/>
  <c r="K835" i="5"/>
  <c r="X834" i="5"/>
  <c r="V834" i="5"/>
  <c r="U834" i="5"/>
  <c r="T834" i="5"/>
  <c r="N834" i="5"/>
  <c r="M834" i="5"/>
  <c r="L834" i="5"/>
  <c r="K834" i="5"/>
  <c r="X833" i="5"/>
  <c r="V833" i="5"/>
  <c r="U833" i="5"/>
  <c r="T833" i="5"/>
  <c r="N833" i="5"/>
  <c r="M833" i="5"/>
  <c r="L833" i="5"/>
  <c r="K833" i="5"/>
  <c r="X832" i="5"/>
  <c r="V832" i="5"/>
  <c r="U832" i="5"/>
  <c r="T832" i="5"/>
  <c r="N832" i="5"/>
  <c r="M832" i="5"/>
  <c r="L832" i="5"/>
  <c r="K832" i="5"/>
  <c r="X831" i="5"/>
  <c r="V831" i="5"/>
  <c r="U831" i="5"/>
  <c r="T831" i="5"/>
  <c r="N831" i="5"/>
  <c r="M831" i="5"/>
  <c r="L831" i="5"/>
  <c r="K831" i="5"/>
  <c r="X830" i="5"/>
  <c r="V830" i="5"/>
  <c r="U830" i="5"/>
  <c r="T830" i="5"/>
  <c r="N830" i="5"/>
  <c r="M830" i="5"/>
  <c r="L830" i="5"/>
  <c r="K830" i="5"/>
  <c r="X829" i="5"/>
  <c r="V829" i="5"/>
  <c r="U829" i="5"/>
  <c r="T829" i="5"/>
  <c r="N829" i="5"/>
  <c r="M829" i="5"/>
  <c r="L829" i="5"/>
  <c r="K829" i="5"/>
  <c r="X828" i="5"/>
  <c r="V828" i="5"/>
  <c r="U828" i="5"/>
  <c r="T828" i="5"/>
  <c r="N828" i="5"/>
  <c r="M828" i="5"/>
  <c r="L828" i="5"/>
  <c r="K828" i="5"/>
  <c r="X827" i="5"/>
  <c r="V827" i="5"/>
  <c r="U827" i="5"/>
  <c r="T827" i="5"/>
  <c r="N827" i="5"/>
  <c r="M827" i="5"/>
  <c r="L827" i="5"/>
  <c r="K827" i="5"/>
  <c r="X826" i="5"/>
  <c r="V826" i="5"/>
  <c r="U826" i="5"/>
  <c r="T826" i="5"/>
  <c r="N826" i="5"/>
  <c r="M826" i="5"/>
  <c r="L826" i="5"/>
  <c r="K826" i="5"/>
  <c r="X825" i="5"/>
  <c r="V825" i="5"/>
  <c r="U825" i="5"/>
  <c r="T825" i="5"/>
  <c r="N825" i="5"/>
  <c r="M825" i="5"/>
  <c r="L825" i="5"/>
  <c r="K825" i="5"/>
  <c r="X824" i="5"/>
  <c r="V824" i="5"/>
  <c r="U824" i="5"/>
  <c r="T824" i="5"/>
  <c r="N824" i="5"/>
  <c r="M824" i="5"/>
  <c r="L824" i="5"/>
  <c r="K824" i="5"/>
  <c r="X823" i="5"/>
  <c r="V823" i="5"/>
  <c r="U823" i="5"/>
  <c r="T823" i="5"/>
  <c r="N823" i="5"/>
  <c r="M823" i="5"/>
  <c r="L823" i="5"/>
  <c r="K823" i="5"/>
  <c r="X822" i="5"/>
  <c r="V822" i="5"/>
  <c r="U822" i="5"/>
  <c r="T822" i="5"/>
  <c r="N822" i="5"/>
  <c r="M822" i="5"/>
  <c r="L822" i="5"/>
  <c r="K822" i="5"/>
  <c r="X821" i="5"/>
  <c r="V821" i="5"/>
  <c r="U821" i="5"/>
  <c r="T821" i="5"/>
  <c r="N821" i="5"/>
  <c r="M821" i="5"/>
  <c r="L821" i="5"/>
  <c r="K821" i="5"/>
  <c r="X820" i="5"/>
  <c r="V820" i="5"/>
  <c r="U820" i="5"/>
  <c r="T820" i="5"/>
  <c r="N820" i="5"/>
  <c r="M820" i="5"/>
  <c r="L820" i="5"/>
  <c r="K820" i="5"/>
  <c r="X819" i="5"/>
  <c r="V819" i="5"/>
  <c r="U819" i="5"/>
  <c r="T819" i="5"/>
  <c r="N819" i="5"/>
  <c r="M819" i="5"/>
  <c r="L819" i="5"/>
  <c r="K819" i="5"/>
  <c r="X818" i="5"/>
  <c r="V818" i="5"/>
  <c r="U818" i="5"/>
  <c r="T818" i="5"/>
  <c r="N818" i="5"/>
  <c r="M818" i="5"/>
  <c r="L818" i="5"/>
  <c r="K818" i="5"/>
  <c r="X817" i="5"/>
  <c r="V817" i="5"/>
  <c r="U817" i="5"/>
  <c r="T817" i="5"/>
  <c r="N817" i="5"/>
  <c r="M817" i="5"/>
  <c r="L817" i="5"/>
  <c r="K817" i="5"/>
  <c r="X816" i="5"/>
  <c r="V816" i="5"/>
  <c r="U816" i="5"/>
  <c r="T816" i="5"/>
  <c r="N816" i="5"/>
  <c r="M816" i="5"/>
  <c r="L816" i="5"/>
  <c r="K816" i="5"/>
  <c r="X815" i="5"/>
  <c r="V815" i="5"/>
  <c r="U815" i="5"/>
  <c r="T815" i="5"/>
  <c r="N815" i="5"/>
  <c r="M815" i="5"/>
  <c r="L815" i="5"/>
  <c r="K815" i="5"/>
  <c r="X814" i="5"/>
  <c r="V814" i="5"/>
  <c r="U814" i="5"/>
  <c r="T814" i="5"/>
  <c r="N814" i="5"/>
  <c r="M814" i="5"/>
  <c r="L814" i="5"/>
  <c r="K814" i="5"/>
  <c r="X813" i="5"/>
  <c r="V813" i="5"/>
  <c r="U813" i="5"/>
  <c r="T813" i="5"/>
  <c r="N813" i="5"/>
  <c r="M813" i="5"/>
  <c r="L813" i="5"/>
  <c r="K813" i="5"/>
  <c r="X812" i="5"/>
  <c r="V812" i="5"/>
  <c r="U812" i="5"/>
  <c r="T812" i="5"/>
  <c r="N812" i="5"/>
  <c r="M812" i="5"/>
  <c r="L812" i="5"/>
  <c r="K812" i="5"/>
  <c r="X811" i="5"/>
  <c r="V811" i="5"/>
  <c r="U811" i="5"/>
  <c r="T811" i="5"/>
  <c r="N811" i="5"/>
  <c r="M811" i="5"/>
  <c r="L811" i="5"/>
  <c r="K811" i="5"/>
  <c r="X810" i="5"/>
  <c r="V810" i="5"/>
  <c r="U810" i="5"/>
  <c r="T810" i="5"/>
  <c r="N810" i="5"/>
  <c r="M810" i="5"/>
  <c r="L810" i="5"/>
  <c r="K810" i="5"/>
  <c r="X809" i="5"/>
  <c r="V809" i="5"/>
  <c r="U809" i="5"/>
  <c r="T809" i="5"/>
  <c r="N809" i="5"/>
  <c r="M809" i="5"/>
  <c r="L809" i="5"/>
  <c r="K809" i="5"/>
  <c r="X808" i="5"/>
  <c r="V808" i="5"/>
  <c r="U808" i="5"/>
  <c r="T808" i="5"/>
  <c r="N808" i="5"/>
  <c r="M808" i="5"/>
  <c r="L808" i="5"/>
  <c r="K808" i="5"/>
  <c r="X807" i="5"/>
  <c r="V807" i="5"/>
  <c r="U807" i="5"/>
  <c r="T807" i="5"/>
  <c r="N807" i="5"/>
  <c r="M807" i="5"/>
  <c r="L807" i="5"/>
  <c r="K807" i="5"/>
  <c r="X806" i="5"/>
  <c r="V806" i="5"/>
  <c r="U806" i="5"/>
  <c r="T806" i="5"/>
  <c r="N806" i="5"/>
  <c r="M806" i="5"/>
  <c r="L806" i="5"/>
  <c r="K806" i="5"/>
  <c r="X805" i="5"/>
  <c r="V805" i="5"/>
  <c r="U805" i="5"/>
  <c r="T805" i="5"/>
  <c r="N805" i="5"/>
  <c r="M805" i="5"/>
  <c r="L805" i="5"/>
  <c r="K805" i="5"/>
  <c r="X804" i="5"/>
  <c r="V804" i="5"/>
  <c r="U804" i="5"/>
  <c r="T804" i="5"/>
  <c r="N804" i="5"/>
  <c r="M804" i="5"/>
  <c r="L804" i="5"/>
  <c r="K804" i="5"/>
  <c r="X803" i="5"/>
  <c r="V803" i="5"/>
  <c r="U803" i="5"/>
  <c r="T803" i="5"/>
  <c r="N803" i="5"/>
  <c r="M803" i="5"/>
  <c r="L803" i="5"/>
  <c r="K803" i="5"/>
  <c r="X802" i="5"/>
  <c r="V802" i="5"/>
  <c r="U802" i="5"/>
  <c r="T802" i="5"/>
  <c r="N802" i="5"/>
  <c r="M802" i="5"/>
  <c r="L802" i="5"/>
  <c r="K802" i="5"/>
  <c r="X801" i="5"/>
  <c r="V801" i="5"/>
  <c r="U801" i="5"/>
  <c r="T801" i="5"/>
  <c r="N801" i="5"/>
  <c r="M801" i="5"/>
  <c r="L801" i="5"/>
  <c r="K801" i="5"/>
  <c r="X800" i="5"/>
  <c r="V800" i="5"/>
  <c r="U800" i="5"/>
  <c r="T800" i="5"/>
  <c r="N800" i="5"/>
  <c r="M800" i="5"/>
  <c r="L800" i="5"/>
  <c r="K800" i="5"/>
  <c r="X799" i="5"/>
  <c r="V799" i="5"/>
  <c r="U799" i="5"/>
  <c r="T799" i="5"/>
  <c r="N799" i="5"/>
  <c r="M799" i="5"/>
  <c r="L799" i="5"/>
  <c r="K799" i="5"/>
  <c r="X798" i="5"/>
  <c r="V798" i="5"/>
  <c r="U798" i="5"/>
  <c r="T798" i="5"/>
  <c r="N798" i="5"/>
  <c r="M798" i="5"/>
  <c r="L798" i="5"/>
  <c r="K798" i="5"/>
  <c r="X797" i="5"/>
  <c r="V797" i="5"/>
  <c r="U797" i="5"/>
  <c r="T797" i="5"/>
  <c r="N797" i="5"/>
  <c r="M797" i="5"/>
  <c r="L797" i="5"/>
  <c r="K797" i="5"/>
  <c r="X796" i="5"/>
  <c r="V796" i="5"/>
  <c r="U796" i="5"/>
  <c r="T796" i="5"/>
  <c r="N796" i="5"/>
  <c r="M796" i="5"/>
  <c r="L796" i="5"/>
  <c r="K796" i="5"/>
  <c r="X795" i="5"/>
  <c r="V795" i="5"/>
  <c r="U795" i="5"/>
  <c r="T795" i="5"/>
  <c r="N795" i="5"/>
  <c r="M795" i="5"/>
  <c r="L795" i="5"/>
  <c r="K795" i="5"/>
  <c r="X794" i="5"/>
  <c r="V794" i="5"/>
  <c r="U794" i="5"/>
  <c r="T794" i="5"/>
  <c r="N794" i="5"/>
  <c r="M794" i="5"/>
  <c r="L794" i="5"/>
  <c r="K794" i="5"/>
  <c r="X793" i="5"/>
  <c r="V793" i="5"/>
  <c r="U793" i="5"/>
  <c r="T793" i="5"/>
  <c r="N793" i="5"/>
  <c r="M793" i="5"/>
  <c r="L793" i="5"/>
  <c r="K793" i="5"/>
  <c r="X792" i="5"/>
  <c r="V792" i="5"/>
  <c r="U792" i="5"/>
  <c r="T792" i="5"/>
  <c r="N792" i="5"/>
  <c r="M792" i="5"/>
  <c r="L792" i="5"/>
  <c r="K792" i="5"/>
  <c r="X791" i="5"/>
  <c r="V791" i="5"/>
  <c r="U791" i="5"/>
  <c r="T791" i="5"/>
  <c r="N791" i="5"/>
  <c r="M791" i="5"/>
  <c r="L791" i="5"/>
  <c r="K791" i="5"/>
  <c r="X790" i="5"/>
  <c r="V790" i="5"/>
  <c r="U790" i="5"/>
  <c r="T790" i="5"/>
  <c r="N790" i="5"/>
  <c r="M790" i="5"/>
  <c r="L790" i="5"/>
  <c r="K790" i="5"/>
  <c r="X789" i="5"/>
  <c r="V789" i="5"/>
  <c r="U789" i="5"/>
  <c r="T789" i="5"/>
  <c r="N789" i="5"/>
  <c r="M789" i="5"/>
  <c r="L789" i="5"/>
  <c r="K789" i="5"/>
  <c r="X788" i="5"/>
  <c r="V788" i="5"/>
  <c r="U788" i="5"/>
  <c r="T788" i="5"/>
  <c r="N788" i="5"/>
  <c r="M788" i="5"/>
  <c r="L788" i="5"/>
  <c r="K788" i="5"/>
  <c r="X787" i="5"/>
  <c r="V787" i="5"/>
  <c r="U787" i="5"/>
  <c r="T787" i="5"/>
  <c r="N787" i="5"/>
  <c r="M787" i="5"/>
  <c r="L787" i="5"/>
  <c r="K787" i="5"/>
  <c r="X786" i="5"/>
  <c r="V786" i="5"/>
  <c r="U786" i="5"/>
  <c r="T786" i="5"/>
  <c r="N786" i="5"/>
  <c r="M786" i="5"/>
  <c r="L786" i="5"/>
  <c r="K786" i="5"/>
  <c r="X785" i="5"/>
  <c r="V785" i="5"/>
  <c r="U785" i="5"/>
  <c r="T785" i="5"/>
  <c r="N785" i="5"/>
  <c r="M785" i="5"/>
  <c r="L785" i="5"/>
  <c r="K785" i="5"/>
  <c r="X784" i="5"/>
  <c r="V784" i="5"/>
  <c r="U784" i="5"/>
  <c r="T784" i="5"/>
  <c r="N784" i="5"/>
  <c r="M784" i="5"/>
  <c r="L784" i="5"/>
  <c r="K784" i="5"/>
  <c r="X783" i="5"/>
  <c r="V783" i="5"/>
  <c r="U783" i="5"/>
  <c r="T783" i="5"/>
  <c r="N783" i="5"/>
  <c r="M783" i="5"/>
  <c r="L783" i="5"/>
  <c r="K783" i="5"/>
  <c r="X782" i="5"/>
  <c r="V782" i="5"/>
  <c r="U782" i="5"/>
  <c r="T782" i="5"/>
  <c r="N782" i="5"/>
  <c r="M782" i="5"/>
  <c r="L782" i="5"/>
  <c r="K782" i="5"/>
  <c r="X781" i="5"/>
  <c r="V781" i="5"/>
  <c r="U781" i="5"/>
  <c r="T781" i="5"/>
  <c r="N781" i="5"/>
  <c r="M781" i="5"/>
  <c r="L781" i="5"/>
  <c r="K781" i="5"/>
  <c r="X780" i="5"/>
  <c r="V780" i="5"/>
  <c r="U780" i="5"/>
  <c r="T780" i="5"/>
  <c r="N780" i="5"/>
  <c r="M780" i="5"/>
  <c r="L780" i="5"/>
  <c r="K780" i="5"/>
  <c r="X779" i="5"/>
  <c r="V779" i="5"/>
  <c r="U779" i="5"/>
  <c r="T779" i="5"/>
  <c r="N779" i="5"/>
  <c r="M779" i="5"/>
  <c r="L779" i="5"/>
  <c r="K779" i="5"/>
  <c r="X778" i="5"/>
  <c r="V778" i="5"/>
  <c r="U778" i="5"/>
  <c r="T778" i="5"/>
  <c r="N778" i="5"/>
  <c r="M778" i="5"/>
  <c r="L778" i="5"/>
  <c r="K778" i="5"/>
  <c r="X777" i="5"/>
  <c r="V777" i="5"/>
  <c r="U777" i="5"/>
  <c r="T777" i="5"/>
  <c r="N777" i="5"/>
  <c r="M777" i="5"/>
  <c r="L777" i="5"/>
  <c r="K777" i="5"/>
  <c r="X776" i="5"/>
  <c r="V776" i="5"/>
  <c r="U776" i="5"/>
  <c r="T776" i="5"/>
  <c r="N776" i="5"/>
  <c r="M776" i="5"/>
  <c r="L776" i="5"/>
  <c r="K776" i="5"/>
  <c r="X775" i="5"/>
  <c r="V775" i="5"/>
  <c r="U775" i="5"/>
  <c r="T775" i="5"/>
  <c r="N775" i="5"/>
  <c r="M775" i="5"/>
  <c r="L775" i="5"/>
  <c r="K775" i="5"/>
  <c r="X774" i="5"/>
  <c r="V774" i="5"/>
  <c r="U774" i="5"/>
  <c r="T774" i="5"/>
  <c r="N774" i="5"/>
  <c r="M774" i="5"/>
  <c r="L774" i="5"/>
  <c r="K774" i="5"/>
  <c r="X773" i="5"/>
  <c r="V773" i="5"/>
  <c r="U773" i="5"/>
  <c r="T773" i="5"/>
  <c r="N773" i="5"/>
  <c r="M773" i="5"/>
  <c r="L773" i="5"/>
  <c r="K773" i="5"/>
  <c r="X772" i="5"/>
  <c r="V772" i="5"/>
  <c r="U772" i="5"/>
  <c r="T772" i="5"/>
  <c r="N772" i="5"/>
  <c r="M772" i="5"/>
  <c r="L772" i="5"/>
  <c r="K772" i="5"/>
  <c r="X771" i="5"/>
  <c r="V771" i="5"/>
  <c r="U771" i="5"/>
  <c r="T771" i="5"/>
  <c r="N771" i="5"/>
  <c r="M771" i="5"/>
  <c r="L771" i="5"/>
  <c r="K771" i="5"/>
  <c r="X770" i="5"/>
  <c r="V770" i="5"/>
  <c r="U770" i="5"/>
  <c r="T770" i="5"/>
  <c r="N770" i="5"/>
  <c r="M770" i="5"/>
  <c r="L770" i="5"/>
  <c r="K770" i="5"/>
  <c r="X769" i="5"/>
  <c r="V769" i="5"/>
  <c r="U769" i="5"/>
  <c r="T769" i="5"/>
  <c r="N769" i="5"/>
  <c r="M769" i="5"/>
  <c r="L769" i="5"/>
  <c r="K769" i="5"/>
  <c r="X768" i="5"/>
  <c r="V768" i="5"/>
  <c r="U768" i="5"/>
  <c r="T768" i="5"/>
  <c r="N768" i="5"/>
  <c r="M768" i="5"/>
  <c r="L768" i="5"/>
  <c r="K768" i="5"/>
  <c r="X767" i="5"/>
  <c r="V767" i="5"/>
  <c r="U767" i="5"/>
  <c r="T767" i="5"/>
  <c r="N767" i="5"/>
  <c r="M767" i="5"/>
  <c r="L767" i="5"/>
  <c r="K767" i="5"/>
  <c r="X766" i="5"/>
  <c r="V766" i="5"/>
  <c r="U766" i="5"/>
  <c r="T766" i="5"/>
  <c r="N766" i="5"/>
  <c r="M766" i="5"/>
  <c r="L766" i="5"/>
  <c r="K766" i="5"/>
  <c r="X765" i="5"/>
  <c r="V765" i="5"/>
  <c r="U765" i="5"/>
  <c r="T765" i="5"/>
  <c r="N765" i="5"/>
  <c r="M765" i="5"/>
  <c r="L765" i="5"/>
  <c r="K765" i="5"/>
  <c r="X764" i="5"/>
  <c r="V764" i="5"/>
  <c r="U764" i="5"/>
  <c r="T764" i="5"/>
  <c r="N764" i="5"/>
  <c r="M764" i="5"/>
  <c r="L764" i="5"/>
  <c r="K764" i="5"/>
  <c r="X763" i="5"/>
  <c r="V763" i="5"/>
  <c r="U763" i="5"/>
  <c r="T763" i="5"/>
  <c r="N763" i="5"/>
  <c r="M763" i="5"/>
  <c r="L763" i="5"/>
  <c r="K763" i="5"/>
  <c r="X762" i="5"/>
  <c r="V762" i="5"/>
  <c r="U762" i="5"/>
  <c r="T762" i="5"/>
  <c r="N762" i="5"/>
  <c r="M762" i="5"/>
  <c r="L762" i="5"/>
  <c r="K762" i="5"/>
  <c r="X761" i="5"/>
  <c r="V761" i="5"/>
  <c r="U761" i="5"/>
  <c r="T761" i="5"/>
  <c r="N761" i="5"/>
  <c r="M761" i="5"/>
  <c r="L761" i="5"/>
  <c r="K761" i="5"/>
  <c r="X760" i="5"/>
  <c r="V760" i="5"/>
  <c r="U760" i="5"/>
  <c r="T760" i="5"/>
  <c r="N760" i="5"/>
  <c r="M760" i="5"/>
  <c r="L760" i="5"/>
  <c r="K760" i="5"/>
  <c r="X759" i="5"/>
  <c r="V759" i="5"/>
  <c r="U759" i="5"/>
  <c r="T759" i="5"/>
  <c r="N759" i="5"/>
  <c r="M759" i="5"/>
  <c r="L759" i="5"/>
  <c r="K759" i="5"/>
  <c r="X758" i="5"/>
  <c r="V758" i="5"/>
  <c r="U758" i="5"/>
  <c r="T758" i="5"/>
  <c r="N758" i="5"/>
  <c r="M758" i="5"/>
  <c r="L758" i="5"/>
  <c r="K758" i="5"/>
  <c r="X757" i="5"/>
  <c r="V757" i="5"/>
  <c r="U757" i="5"/>
  <c r="T757" i="5"/>
  <c r="N757" i="5"/>
  <c r="M757" i="5"/>
  <c r="L757" i="5"/>
  <c r="K757" i="5"/>
  <c r="X756" i="5"/>
  <c r="V756" i="5"/>
  <c r="U756" i="5"/>
  <c r="T756" i="5"/>
  <c r="N756" i="5"/>
  <c r="M756" i="5"/>
  <c r="L756" i="5"/>
  <c r="K756" i="5"/>
  <c r="X755" i="5"/>
  <c r="V755" i="5"/>
  <c r="U755" i="5"/>
  <c r="T755" i="5"/>
  <c r="N755" i="5"/>
  <c r="M755" i="5"/>
  <c r="L755" i="5"/>
  <c r="K755" i="5"/>
  <c r="X754" i="5"/>
  <c r="V754" i="5"/>
  <c r="U754" i="5"/>
  <c r="T754" i="5"/>
  <c r="N754" i="5"/>
  <c r="M754" i="5"/>
  <c r="L754" i="5"/>
  <c r="K754" i="5"/>
  <c r="X753" i="5"/>
  <c r="V753" i="5"/>
  <c r="U753" i="5"/>
  <c r="T753" i="5"/>
  <c r="N753" i="5"/>
  <c r="M753" i="5"/>
  <c r="L753" i="5"/>
  <c r="K753" i="5"/>
  <c r="X752" i="5"/>
  <c r="V752" i="5"/>
  <c r="U752" i="5"/>
  <c r="T752" i="5"/>
  <c r="N752" i="5"/>
  <c r="M752" i="5"/>
  <c r="L752" i="5"/>
  <c r="K752" i="5"/>
  <c r="X751" i="5"/>
  <c r="V751" i="5"/>
  <c r="U751" i="5"/>
  <c r="T751" i="5"/>
  <c r="N751" i="5"/>
  <c r="M751" i="5"/>
  <c r="L751" i="5"/>
  <c r="K751" i="5"/>
  <c r="X750" i="5"/>
  <c r="V750" i="5"/>
  <c r="U750" i="5"/>
  <c r="T750" i="5"/>
  <c r="N750" i="5"/>
  <c r="M750" i="5"/>
  <c r="L750" i="5"/>
  <c r="K750" i="5"/>
  <c r="X749" i="5"/>
  <c r="V749" i="5"/>
  <c r="U749" i="5"/>
  <c r="T749" i="5"/>
  <c r="N749" i="5"/>
  <c r="M749" i="5"/>
  <c r="L749" i="5"/>
  <c r="K749" i="5"/>
  <c r="X748" i="5"/>
  <c r="V748" i="5"/>
  <c r="U748" i="5"/>
  <c r="T748" i="5"/>
  <c r="N748" i="5"/>
  <c r="M748" i="5"/>
  <c r="L748" i="5"/>
  <c r="K748" i="5"/>
  <c r="X747" i="5"/>
  <c r="V747" i="5"/>
  <c r="U747" i="5"/>
  <c r="T747" i="5"/>
  <c r="N747" i="5"/>
  <c r="M747" i="5"/>
  <c r="L747" i="5"/>
  <c r="K747" i="5"/>
  <c r="X746" i="5"/>
  <c r="V746" i="5"/>
  <c r="U746" i="5"/>
  <c r="T746" i="5"/>
  <c r="N746" i="5"/>
  <c r="M746" i="5"/>
  <c r="L746" i="5"/>
  <c r="K746" i="5"/>
  <c r="X745" i="5"/>
  <c r="V745" i="5"/>
  <c r="U745" i="5"/>
  <c r="T745" i="5"/>
  <c r="N745" i="5"/>
  <c r="M745" i="5"/>
  <c r="L745" i="5"/>
  <c r="K745" i="5"/>
  <c r="X744" i="5"/>
  <c r="V744" i="5"/>
  <c r="U744" i="5"/>
  <c r="T744" i="5"/>
  <c r="N744" i="5"/>
  <c r="M744" i="5"/>
  <c r="L744" i="5"/>
  <c r="K744" i="5"/>
  <c r="X743" i="5"/>
  <c r="V743" i="5"/>
  <c r="U743" i="5"/>
  <c r="T743" i="5"/>
  <c r="N743" i="5"/>
  <c r="M743" i="5"/>
  <c r="L743" i="5"/>
  <c r="K743" i="5"/>
  <c r="X742" i="5"/>
  <c r="V742" i="5"/>
  <c r="U742" i="5"/>
  <c r="T742" i="5"/>
  <c r="N742" i="5"/>
  <c r="M742" i="5"/>
  <c r="L742" i="5"/>
  <c r="K742" i="5"/>
  <c r="X741" i="5"/>
  <c r="V741" i="5"/>
  <c r="U741" i="5"/>
  <c r="T741" i="5"/>
  <c r="N741" i="5"/>
  <c r="M741" i="5"/>
  <c r="L741" i="5"/>
  <c r="K741" i="5"/>
  <c r="X740" i="5"/>
  <c r="V740" i="5"/>
  <c r="U740" i="5"/>
  <c r="T740" i="5"/>
  <c r="N740" i="5"/>
  <c r="M740" i="5"/>
  <c r="L740" i="5"/>
  <c r="K740" i="5"/>
  <c r="X739" i="5"/>
  <c r="V739" i="5"/>
  <c r="U739" i="5"/>
  <c r="T739" i="5"/>
  <c r="N739" i="5"/>
  <c r="M739" i="5"/>
  <c r="L739" i="5"/>
  <c r="K739" i="5"/>
  <c r="X738" i="5"/>
  <c r="V738" i="5"/>
  <c r="U738" i="5"/>
  <c r="T738" i="5"/>
  <c r="N738" i="5"/>
  <c r="M738" i="5"/>
  <c r="L738" i="5"/>
  <c r="K738" i="5"/>
  <c r="X737" i="5"/>
  <c r="V737" i="5"/>
  <c r="U737" i="5"/>
  <c r="T737" i="5"/>
  <c r="N737" i="5"/>
  <c r="M737" i="5"/>
  <c r="L737" i="5"/>
  <c r="K737" i="5"/>
  <c r="X736" i="5"/>
  <c r="V736" i="5"/>
  <c r="U736" i="5"/>
  <c r="T736" i="5"/>
  <c r="N736" i="5"/>
  <c r="M736" i="5"/>
  <c r="L736" i="5"/>
  <c r="K736" i="5"/>
  <c r="X735" i="5"/>
  <c r="V735" i="5"/>
  <c r="U735" i="5"/>
  <c r="T735" i="5"/>
  <c r="N735" i="5"/>
  <c r="M735" i="5"/>
  <c r="L735" i="5"/>
  <c r="K735" i="5"/>
  <c r="X734" i="5"/>
  <c r="V734" i="5"/>
  <c r="U734" i="5"/>
  <c r="T734" i="5"/>
  <c r="N734" i="5"/>
  <c r="M734" i="5"/>
  <c r="L734" i="5"/>
  <c r="K734" i="5"/>
  <c r="X733" i="5"/>
  <c r="V733" i="5"/>
  <c r="U733" i="5"/>
  <c r="T733" i="5"/>
  <c r="N733" i="5"/>
  <c r="M733" i="5"/>
  <c r="L733" i="5"/>
  <c r="K733" i="5"/>
  <c r="X732" i="5"/>
  <c r="V732" i="5"/>
  <c r="U732" i="5"/>
  <c r="T732" i="5"/>
  <c r="N732" i="5"/>
  <c r="M732" i="5"/>
  <c r="L732" i="5"/>
  <c r="K732" i="5"/>
  <c r="X731" i="5"/>
  <c r="V731" i="5"/>
  <c r="U731" i="5"/>
  <c r="T731" i="5"/>
  <c r="N731" i="5"/>
  <c r="M731" i="5"/>
  <c r="L731" i="5"/>
  <c r="K731" i="5"/>
  <c r="X730" i="5"/>
  <c r="V730" i="5"/>
  <c r="U730" i="5"/>
  <c r="T730" i="5"/>
  <c r="N730" i="5"/>
  <c r="M730" i="5"/>
  <c r="L730" i="5"/>
  <c r="K730" i="5"/>
  <c r="X729" i="5"/>
  <c r="V729" i="5"/>
  <c r="U729" i="5"/>
  <c r="T729" i="5"/>
  <c r="N729" i="5"/>
  <c r="M729" i="5"/>
  <c r="L729" i="5"/>
  <c r="K729" i="5"/>
  <c r="X728" i="5"/>
  <c r="V728" i="5"/>
  <c r="U728" i="5"/>
  <c r="T728" i="5"/>
  <c r="N728" i="5"/>
  <c r="M728" i="5"/>
  <c r="L728" i="5"/>
  <c r="K728" i="5"/>
  <c r="X727" i="5"/>
  <c r="V727" i="5"/>
  <c r="U727" i="5"/>
  <c r="T727" i="5"/>
  <c r="N727" i="5"/>
  <c r="M727" i="5"/>
  <c r="L727" i="5"/>
  <c r="K727" i="5"/>
  <c r="X726" i="5"/>
  <c r="V726" i="5"/>
  <c r="U726" i="5"/>
  <c r="T726" i="5"/>
  <c r="N726" i="5"/>
  <c r="M726" i="5"/>
  <c r="L726" i="5"/>
  <c r="K726" i="5"/>
  <c r="X725" i="5"/>
  <c r="V725" i="5"/>
  <c r="U725" i="5"/>
  <c r="T725" i="5"/>
  <c r="N725" i="5"/>
  <c r="M725" i="5"/>
  <c r="L725" i="5"/>
  <c r="K725" i="5"/>
  <c r="X724" i="5"/>
  <c r="V724" i="5"/>
  <c r="U724" i="5"/>
  <c r="T724" i="5"/>
  <c r="N724" i="5"/>
  <c r="M724" i="5"/>
  <c r="L724" i="5"/>
  <c r="K724" i="5"/>
  <c r="X723" i="5"/>
  <c r="V723" i="5"/>
  <c r="U723" i="5"/>
  <c r="T723" i="5"/>
  <c r="N723" i="5"/>
  <c r="M723" i="5"/>
  <c r="L723" i="5"/>
  <c r="K723" i="5"/>
  <c r="X722" i="5"/>
  <c r="V722" i="5"/>
  <c r="U722" i="5"/>
  <c r="T722" i="5"/>
  <c r="N722" i="5"/>
  <c r="M722" i="5"/>
  <c r="L722" i="5"/>
  <c r="K722" i="5"/>
  <c r="X721" i="5"/>
  <c r="V721" i="5"/>
  <c r="U721" i="5"/>
  <c r="T721" i="5"/>
  <c r="N721" i="5"/>
  <c r="M721" i="5"/>
  <c r="L721" i="5"/>
  <c r="K721" i="5"/>
  <c r="X720" i="5"/>
  <c r="V720" i="5"/>
  <c r="U720" i="5"/>
  <c r="T720" i="5"/>
  <c r="N720" i="5"/>
  <c r="M720" i="5"/>
  <c r="L720" i="5"/>
  <c r="K720" i="5"/>
  <c r="X719" i="5"/>
  <c r="V719" i="5"/>
  <c r="U719" i="5"/>
  <c r="T719" i="5"/>
  <c r="N719" i="5"/>
  <c r="M719" i="5"/>
  <c r="L719" i="5"/>
  <c r="K719" i="5"/>
  <c r="X718" i="5"/>
  <c r="V718" i="5"/>
  <c r="U718" i="5"/>
  <c r="T718" i="5"/>
  <c r="N718" i="5"/>
  <c r="M718" i="5"/>
  <c r="L718" i="5"/>
  <c r="K718" i="5"/>
  <c r="X717" i="5"/>
  <c r="V717" i="5"/>
  <c r="U717" i="5"/>
  <c r="T717" i="5"/>
  <c r="N717" i="5"/>
  <c r="M717" i="5"/>
  <c r="L717" i="5"/>
  <c r="K717" i="5"/>
  <c r="X716" i="5"/>
  <c r="V716" i="5"/>
  <c r="U716" i="5"/>
  <c r="T716" i="5"/>
  <c r="N716" i="5"/>
  <c r="M716" i="5"/>
  <c r="L716" i="5"/>
  <c r="K716" i="5"/>
  <c r="X715" i="5"/>
  <c r="V715" i="5"/>
  <c r="U715" i="5"/>
  <c r="T715" i="5"/>
  <c r="N715" i="5"/>
  <c r="M715" i="5"/>
  <c r="L715" i="5"/>
  <c r="K715" i="5"/>
  <c r="X714" i="5"/>
  <c r="V714" i="5"/>
  <c r="U714" i="5"/>
  <c r="T714" i="5"/>
  <c r="N714" i="5"/>
  <c r="M714" i="5"/>
  <c r="L714" i="5"/>
  <c r="K714" i="5"/>
  <c r="X713" i="5"/>
  <c r="V713" i="5"/>
  <c r="U713" i="5"/>
  <c r="T713" i="5"/>
  <c r="N713" i="5"/>
  <c r="M713" i="5"/>
  <c r="L713" i="5"/>
  <c r="K713" i="5"/>
  <c r="X712" i="5"/>
  <c r="V712" i="5"/>
  <c r="U712" i="5"/>
  <c r="T712" i="5"/>
  <c r="N712" i="5"/>
  <c r="M712" i="5"/>
  <c r="L712" i="5"/>
  <c r="K712" i="5"/>
  <c r="X711" i="5"/>
  <c r="V711" i="5"/>
  <c r="U711" i="5"/>
  <c r="T711" i="5"/>
  <c r="N711" i="5"/>
  <c r="M711" i="5"/>
  <c r="L711" i="5"/>
  <c r="K711" i="5"/>
  <c r="X710" i="5"/>
  <c r="V710" i="5"/>
  <c r="U710" i="5"/>
  <c r="T710" i="5"/>
  <c r="N710" i="5"/>
  <c r="M710" i="5"/>
  <c r="L710" i="5"/>
  <c r="K710" i="5"/>
  <c r="X709" i="5"/>
  <c r="V709" i="5"/>
  <c r="U709" i="5"/>
  <c r="T709" i="5"/>
  <c r="N709" i="5"/>
  <c r="M709" i="5"/>
  <c r="L709" i="5"/>
  <c r="K709" i="5"/>
  <c r="X708" i="5"/>
  <c r="V708" i="5"/>
  <c r="U708" i="5"/>
  <c r="T708" i="5"/>
  <c r="N708" i="5"/>
  <c r="M708" i="5"/>
  <c r="L708" i="5"/>
  <c r="K708" i="5"/>
  <c r="X707" i="5"/>
  <c r="V707" i="5"/>
  <c r="U707" i="5"/>
  <c r="T707" i="5"/>
  <c r="N707" i="5"/>
  <c r="M707" i="5"/>
  <c r="L707" i="5"/>
  <c r="K707" i="5"/>
  <c r="X706" i="5"/>
  <c r="V706" i="5"/>
  <c r="U706" i="5"/>
  <c r="T706" i="5"/>
  <c r="N706" i="5"/>
  <c r="M706" i="5"/>
  <c r="L706" i="5"/>
  <c r="K706" i="5"/>
  <c r="X705" i="5"/>
  <c r="V705" i="5"/>
  <c r="U705" i="5"/>
  <c r="T705" i="5"/>
  <c r="N705" i="5"/>
  <c r="M705" i="5"/>
  <c r="L705" i="5"/>
  <c r="K705" i="5"/>
  <c r="X704" i="5"/>
  <c r="V704" i="5"/>
  <c r="U704" i="5"/>
  <c r="T704" i="5"/>
  <c r="N704" i="5"/>
  <c r="M704" i="5"/>
  <c r="L704" i="5"/>
  <c r="K704" i="5"/>
  <c r="X703" i="5"/>
  <c r="V703" i="5"/>
  <c r="U703" i="5"/>
  <c r="T703" i="5"/>
  <c r="N703" i="5"/>
  <c r="M703" i="5"/>
  <c r="L703" i="5"/>
  <c r="K703" i="5"/>
  <c r="X702" i="5"/>
  <c r="V702" i="5"/>
  <c r="U702" i="5"/>
  <c r="T702" i="5"/>
  <c r="N702" i="5"/>
  <c r="M702" i="5"/>
  <c r="L702" i="5"/>
  <c r="K702" i="5"/>
  <c r="X701" i="5"/>
  <c r="V701" i="5"/>
  <c r="U701" i="5"/>
  <c r="T701" i="5"/>
  <c r="N701" i="5"/>
  <c r="M701" i="5"/>
  <c r="L701" i="5"/>
  <c r="K701" i="5"/>
  <c r="X700" i="5"/>
  <c r="V700" i="5"/>
  <c r="U700" i="5"/>
  <c r="T700" i="5"/>
  <c r="N700" i="5"/>
  <c r="M700" i="5"/>
  <c r="L700" i="5"/>
  <c r="K700" i="5"/>
  <c r="X699" i="5"/>
  <c r="V699" i="5"/>
  <c r="U699" i="5"/>
  <c r="T699" i="5"/>
  <c r="N699" i="5"/>
  <c r="M699" i="5"/>
  <c r="L699" i="5"/>
  <c r="K699" i="5"/>
  <c r="X698" i="5"/>
  <c r="V698" i="5"/>
  <c r="U698" i="5"/>
  <c r="T698" i="5"/>
  <c r="N698" i="5"/>
  <c r="M698" i="5"/>
  <c r="L698" i="5"/>
  <c r="K698" i="5"/>
  <c r="X697" i="5"/>
  <c r="V697" i="5"/>
  <c r="U697" i="5"/>
  <c r="T697" i="5"/>
  <c r="N697" i="5"/>
  <c r="M697" i="5"/>
  <c r="L697" i="5"/>
  <c r="K697" i="5"/>
  <c r="X696" i="5"/>
  <c r="V696" i="5"/>
  <c r="U696" i="5"/>
  <c r="T696" i="5"/>
  <c r="N696" i="5"/>
  <c r="M696" i="5"/>
  <c r="L696" i="5"/>
  <c r="K696" i="5"/>
  <c r="X695" i="5"/>
  <c r="V695" i="5"/>
  <c r="U695" i="5"/>
  <c r="T695" i="5"/>
  <c r="N695" i="5"/>
  <c r="M695" i="5"/>
  <c r="L695" i="5"/>
  <c r="K695" i="5"/>
  <c r="X694" i="5"/>
  <c r="V694" i="5"/>
  <c r="U694" i="5"/>
  <c r="T694" i="5"/>
  <c r="N694" i="5"/>
  <c r="M694" i="5"/>
  <c r="L694" i="5"/>
  <c r="K694" i="5"/>
  <c r="X693" i="5"/>
  <c r="V693" i="5"/>
  <c r="U693" i="5"/>
  <c r="T693" i="5"/>
  <c r="N693" i="5"/>
  <c r="M693" i="5"/>
  <c r="L693" i="5"/>
  <c r="K693" i="5"/>
  <c r="X692" i="5"/>
  <c r="V692" i="5"/>
  <c r="U692" i="5"/>
  <c r="T692" i="5"/>
  <c r="N692" i="5"/>
  <c r="M692" i="5"/>
  <c r="L692" i="5"/>
  <c r="K692" i="5"/>
  <c r="X691" i="5"/>
  <c r="V691" i="5"/>
  <c r="U691" i="5"/>
  <c r="T691" i="5"/>
  <c r="N691" i="5"/>
  <c r="M691" i="5"/>
  <c r="L691" i="5"/>
  <c r="K691" i="5"/>
  <c r="X690" i="5"/>
  <c r="V690" i="5"/>
  <c r="U690" i="5"/>
  <c r="T690" i="5"/>
  <c r="N690" i="5"/>
  <c r="M690" i="5"/>
  <c r="L690" i="5"/>
  <c r="K690" i="5"/>
  <c r="X689" i="5"/>
  <c r="V689" i="5"/>
  <c r="U689" i="5"/>
  <c r="T689" i="5"/>
  <c r="N689" i="5"/>
  <c r="M689" i="5"/>
  <c r="L689" i="5"/>
  <c r="K689" i="5"/>
  <c r="X688" i="5"/>
  <c r="V688" i="5"/>
  <c r="U688" i="5"/>
  <c r="T688" i="5"/>
  <c r="N688" i="5"/>
  <c r="M688" i="5"/>
  <c r="L688" i="5"/>
  <c r="K688" i="5"/>
  <c r="X687" i="5"/>
  <c r="V687" i="5"/>
  <c r="U687" i="5"/>
  <c r="T687" i="5"/>
  <c r="N687" i="5"/>
  <c r="M687" i="5"/>
  <c r="L687" i="5"/>
  <c r="K687" i="5"/>
  <c r="X686" i="5"/>
  <c r="V686" i="5"/>
  <c r="U686" i="5"/>
  <c r="T686" i="5"/>
  <c r="N686" i="5"/>
  <c r="M686" i="5"/>
  <c r="L686" i="5"/>
  <c r="K686" i="5"/>
  <c r="X685" i="5"/>
  <c r="V685" i="5"/>
  <c r="U685" i="5"/>
  <c r="T685" i="5"/>
  <c r="N685" i="5"/>
  <c r="M685" i="5"/>
  <c r="L685" i="5"/>
  <c r="K685" i="5"/>
  <c r="X684" i="5"/>
  <c r="V684" i="5"/>
  <c r="U684" i="5"/>
  <c r="T684" i="5"/>
  <c r="N684" i="5"/>
  <c r="M684" i="5"/>
  <c r="L684" i="5"/>
  <c r="K684" i="5"/>
  <c r="X683" i="5"/>
  <c r="V683" i="5"/>
  <c r="U683" i="5"/>
  <c r="T683" i="5"/>
  <c r="N683" i="5"/>
  <c r="M683" i="5"/>
  <c r="L683" i="5"/>
  <c r="K683" i="5"/>
  <c r="X682" i="5"/>
  <c r="V682" i="5"/>
  <c r="U682" i="5"/>
  <c r="T682" i="5"/>
  <c r="N682" i="5"/>
  <c r="M682" i="5"/>
  <c r="L682" i="5"/>
  <c r="K682" i="5"/>
  <c r="X681" i="5"/>
  <c r="V681" i="5"/>
  <c r="U681" i="5"/>
  <c r="T681" i="5"/>
  <c r="N681" i="5"/>
  <c r="M681" i="5"/>
  <c r="L681" i="5"/>
  <c r="K681" i="5"/>
  <c r="X680" i="5"/>
  <c r="V680" i="5"/>
  <c r="U680" i="5"/>
  <c r="T680" i="5"/>
  <c r="N680" i="5"/>
  <c r="M680" i="5"/>
  <c r="L680" i="5"/>
  <c r="K680" i="5"/>
  <c r="X679" i="5"/>
  <c r="V679" i="5"/>
  <c r="U679" i="5"/>
  <c r="T679" i="5"/>
  <c r="N679" i="5"/>
  <c r="M679" i="5"/>
  <c r="L679" i="5"/>
  <c r="K679" i="5"/>
  <c r="X678" i="5"/>
  <c r="V678" i="5"/>
  <c r="U678" i="5"/>
  <c r="T678" i="5"/>
  <c r="N678" i="5"/>
  <c r="M678" i="5"/>
  <c r="L678" i="5"/>
  <c r="K678" i="5"/>
  <c r="X677" i="5"/>
  <c r="V677" i="5"/>
  <c r="U677" i="5"/>
  <c r="T677" i="5"/>
  <c r="N677" i="5"/>
  <c r="M677" i="5"/>
  <c r="L677" i="5"/>
  <c r="K677" i="5"/>
  <c r="X676" i="5"/>
  <c r="V676" i="5"/>
  <c r="U676" i="5"/>
  <c r="T676" i="5"/>
  <c r="N676" i="5"/>
  <c r="M676" i="5"/>
  <c r="L676" i="5"/>
  <c r="K676" i="5"/>
  <c r="X675" i="5"/>
  <c r="V675" i="5"/>
  <c r="U675" i="5"/>
  <c r="T675" i="5"/>
  <c r="N675" i="5"/>
  <c r="M675" i="5"/>
  <c r="L675" i="5"/>
  <c r="K675" i="5"/>
  <c r="X674" i="5"/>
  <c r="V674" i="5"/>
  <c r="U674" i="5"/>
  <c r="T674" i="5"/>
  <c r="N674" i="5"/>
  <c r="M674" i="5"/>
  <c r="L674" i="5"/>
  <c r="K674" i="5"/>
  <c r="X673" i="5"/>
  <c r="V673" i="5"/>
  <c r="U673" i="5"/>
  <c r="T673" i="5"/>
  <c r="N673" i="5"/>
  <c r="M673" i="5"/>
  <c r="L673" i="5"/>
  <c r="K673" i="5"/>
  <c r="X672" i="5"/>
  <c r="V672" i="5"/>
  <c r="U672" i="5"/>
  <c r="T672" i="5"/>
  <c r="N672" i="5"/>
  <c r="M672" i="5"/>
  <c r="L672" i="5"/>
  <c r="K672" i="5"/>
  <c r="X671" i="5"/>
  <c r="V671" i="5"/>
  <c r="U671" i="5"/>
  <c r="T671" i="5"/>
  <c r="N671" i="5"/>
  <c r="M671" i="5"/>
  <c r="L671" i="5"/>
  <c r="K671" i="5"/>
  <c r="X670" i="5"/>
  <c r="V670" i="5"/>
  <c r="U670" i="5"/>
  <c r="T670" i="5"/>
  <c r="N670" i="5"/>
  <c r="M670" i="5"/>
  <c r="L670" i="5"/>
  <c r="K670" i="5"/>
  <c r="X669" i="5"/>
  <c r="V669" i="5"/>
  <c r="U669" i="5"/>
  <c r="T669" i="5"/>
  <c r="N669" i="5"/>
  <c r="M669" i="5"/>
  <c r="L669" i="5"/>
  <c r="K669" i="5"/>
  <c r="X668" i="5"/>
  <c r="V668" i="5"/>
  <c r="U668" i="5"/>
  <c r="T668" i="5"/>
  <c r="N668" i="5"/>
  <c r="M668" i="5"/>
  <c r="L668" i="5"/>
  <c r="K668" i="5"/>
  <c r="X667" i="5"/>
  <c r="V667" i="5"/>
  <c r="U667" i="5"/>
  <c r="T667" i="5"/>
  <c r="N667" i="5"/>
  <c r="M667" i="5"/>
  <c r="L667" i="5"/>
  <c r="K667" i="5"/>
  <c r="X666" i="5"/>
  <c r="V666" i="5"/>
  <c r="U666" i="5"/>
  <c r="T666" i="5"/>
  <c r="N666" i="5"/>
  <c r="M666" i="5"/>
  <c r="L666" i="5"/>
  <c r="K666" i="5"/>
  <c r="X665" i="5"/>
  <c r="V665" i="5"/>
  <c r="U665" i="5"/>
  <c r="T665" i="5"/>
  <c r="N665" i="5"/>
  <c r="M665" i="5"/>
  <c r="L665" i="5"/>
  <c r="K665" i="5"/>
  <c r="X664" i="5"/>
  <c r="V664" i="5"/>
  <c r="U664" i="5"/>
  <c r="T664" i="5"/>
  <c r="N664" i="5"/>
  <c r="M664" i="5"/>
  <c r="L664" i="5"/>
  <c r="K664" i="5"/>
  <c r="X663" i="5"/>
  <c r="V663" i="5"/>
  <c r="U663" i="5"/>
  <c r="T663" i="5"/>
  <c r="N663" i="5"/>
  <c r="M663" i="5"/>
  <c r="L663" i="5"/>
  <c r="K663" i="5"/>
  <c r="X662" i="5"/>
  <c r="V662" i="5"/>
  <c r="U662" i="5"/>
  <c r="T662" i="5"/>
  <c r="N662" i="5"/>
  <c r="M662" i="5"/>
  <c r="L662" i="5"/>
  <c r="K662" i="5"/>
  <c r="X661" i="5"/>
  <c r="V661" i="5"/>
  <c r="U661" i="5"/>
  <c r="T661" i="5"/>
  <c r="N661" i="5"/>
  <c r="M661" i="5"/>
  <c r="L661" i="5"/>
  <c r="K661" i="5"/>
  <c r="X660" i="5"/>
  <c r="V660" i="5"/>
  <c r="U660" i="5"/>
  <c r="T660" i="5"/>
  <c r="N660" i="5"/>
  <c r="M660" i="5"/>
  <c r="L660" i="5"/>
  <c r="K660" i="5"/>
  <c r="X659" i="5"/>
  <c r="V659" i="5"/>
  <c r="U659" i="5"/>
  <c r="T659" i="5"/>
  <c r="N659" i="5"/>
  <c r="M659" i="5"/>
  <c r="L659" i="5"/>
  <c r="K659" i="5"/>
  <c r="X658" i="5"/>
  <c r="V658" i="5"/>
  <c r="U658" i="5"/>
  <c r="T658" i="5"/>
  <c r="N658" i="5"/>
  <c r="M658" i="5"/>
  <c r="L658" i="5"/>
  <c r="K658" i="5"/>
  <c r="X657" i="5"/>
  <c r="V657" i="5"/>
  <c r="U657" i="5"/>
  <c r="T657" i="5"/>
  <c r="N657" i="5"/>
  <c r="M657" i="5"/>
  <c r="L657" i="5"/>
  <c r="K657" i="5"/>
  <c r="X656" i="5"/>
  <c r="V656" i="5"/>
  <c r="U656" i="5"/>
  <c r="T656" i="5"/>
  <c r="N656" i="5"/>
  <c r="M656" i="5"/>
  <c r="L656" i="5"/>
  <c r="K656" i="5"/>
  <c r="X655" i="5"/>
  <c r="V655" i="5"/>
  <c r="U655" i="5"/>
  <c r="T655" i="5"/>
  <c r="N655" i="5"/>
  <c r="M655" i="5"/>
  <c r="L655" i="5"/>
  <c r="K655" i="5"/>
  <c r="X654" i="5"/>
  <c r="V654" i="5"/>
  <c r="U654" i="5"/>
  <c r="T654" i="5"/>
  <c r="N654" i="5"/>
  <c r="M654" i="5"/>
  <c r="L654" i="5"/>
  <c r="K654" i="5"/>
  <c r="X653" i="5"/>
  <c r="V653" i="5"/>
  <c r="U653" i="5"/>
  <c r="T653" i="5"/>
  <c r="N653" i="5"/>
  <c r="M653" i="5"/>
  <c r="L653" i="5"/>
  <c r="K653" i="5"/>
  <c r="X652" i="5"/>
  <c r="V652" i="5"/>
  <c r="U652" i="5"/>
  <c r="T652" i="5"/>
  <c r="N652" i="5"/>
  <c r="M652" i="5"/>
  <c r="L652" i="5"/>
  <c r="K652" i="5"/>
  <c r="X651" i="5"/>
  <c r="V651" i="5"/>
  <c r="U651" i="5"/>
  <c r="T651" i="5"/>
  <c r="N651" i="5"/>
  <c r="M651" i="5"/>
  <c r="L651" i="5"/>
  <c r="K651" i="5"/>
  <c r="X650" i="5"/>
  <c r="V650" i="5"/>
  <c r="U650" i="5"/>
  <c r="T650" i="5"/>
  <c r="N650" i="5"/>
  <c r="M650" i="5"/>
  <c r="L650" i="5"/>
  <c r="K650" i="5"/>
  <c r="X649" i="5"/>
  <c r="V649" i="5"/>
  <c r="U649" i="5"/>
  <c r="T649" i="5"/>
  <c r="N649" i="5"/>
  <c r="M649" i="5"/>
  <c r="L649" i="5"/>
  <c r="K649" i="5"/>
  <c r="X648" i="5"/>
  <c r="V648" i="5"/>
  <c r="U648" i="5"/>
  <c r="T648" i="5"/>
  <c r="N648" i="5"/>
  <c r="M648" i="5"/>
  <c r="L648" i="5"/>
  <c r="K648" i="5"/>
  <c r="X647" i="5"/>
  <c r="V647" i="5"/>
  <c r="U647" i="5"/>
  <c r="T647" i="5"/>
  <c r="N647" i="5"/>
  <c r="M647" i="5"/>
  <c r="L647" i="5"/>
  <c r="K647" i="5"/>
  <c r="X646" i="5"/>
  <c r="V646" i="5"/>
  <c r="U646" i="5"/>
  <c r="T646" i="5"/>
  <c r="N646" i="5"/>
  <c r="M646" i="5"/>
  <c r="L646" i="5"/>
  <c r="K646" i="5"/>
  <c r="X645" i="5"/>
  <c r="V645" i="5"/>
  <c r="U645" i="5"/>
  <c r="T645" i="5"/>
  <c r="N645" i="5"/>
  <c r="M645" i="5"/>
  <c r="L645" i="5"/>
  <c r="K645" i="5"/>
  <c r="X644" i="5"/>
  <c r="V644" i="5"/>
  <c r="U644" i="5"/>
  <c r="T644" i="5"/>
  <c r="N644" i="5"/>
  <c r="M644" i="5"/>
  <c r="L644" i="5"/>
  <c r="K644" i="5"/>
  <c r="X643" i="5"/>
  <c r="V643" i="5"/>
  <c r="U643" i="5"/>
  <c r="T643" i="5"/>
  <c r="N643" i="5"/>
  <c r="M643" i="5"/>
  <c r="L643" i="5"/>
  <c r="K643" i="5"/>
  <c r="X642" i="5"/>
  <c r="V642" i="5"/>
  <c r="U642" i="5"/>
  <c r="T642" i="5"/>
  <c r="N642" i="5"/>
  <c r="M642" i="5"/>
  <c r="L642" i="5"/>
  <c r="K642" i="5"/>
  <c r="X641" i="5"/>
  <c r="V641" i="5"/>
  <c r="U641" i="5"/>
  <c r="T641" i="5"/>
  <c r="N641" i="5"/>
  <c r="M641" i="5"/>
  <c r="L641" i="5"/>
  <c r="K641" i="5"/>
  <c r="X640" i="5"/>
  <c r="V640" i="5"/>
  <c r="U640" i="5"/>
  <c r="T640" i="5"/>
  <c r="N640" i="5"/>
  <c r="M640" i="5"/>
  <c r="L640" i="5"/>
  <c r="K640" i="5"/>
  <c r="X639" i="5"/>
  <c r="V639" i="5"/>
  <c r="U639" i="5"/>
  <c r="T639" i="5"/>
  <c r="N639" i="5"/>
  <c r="M639" i="5"/>
  <c r="L639" i="5"/>
  <c r="K639" i="5"/>
  <c r="X638" i="5"/>
  <c r="V638" i="5"/>
  <c r="U638" i="5"/>
  <c r="T638" i="5"/>
  <c r="N638" i="5"/>
  <c r="M638" i="5"/>
  <c r="L638" i="5"/>
  <c r="K638" i="5"/>
  <c r="X637" i="5"/>
  <c r="V637" i="5"/>
  <c r="U637" i="5"/>
  <c r="T637" i="5"/>
  <c r="N637" i="5"/>
  <c r="M637" i="5"/>
  <c r="L637" i="5"/>
  <c r="K637" i="5"/>
  <c r="X636" i="5"/>
  <c r="V636" i="5"/>
  <c r="U636" i="5"/>
  <c r="T636" i="5"/>
  <c r="N636" i="5"/>
  <c r="M636" i="5"/>
  <c r="L636" i="5"/>
  <c r="K636" i="5"/>
  <c r="X635" i="5"/>
  <c r="V635" i="5"/>
  <c r="U635" i="5"/>
  <c r="T635" i="5"/>
  <c r="N635" i="5"/>
  <c r="M635" i="5"/>
  <c r="L635" i="5"/>
  <c r="K635" i="5"/>
  <c r="X634" i="5"/>
  <c r="V634" i="5"/>
  <c r="U634" i="5"/>
  <c r="T634" i="5"/>
  <c r="N634" i="5"/>
  <c r="M634" i="5"/>
  <c r="L634" i="5"/>
  <c r="K634" i="5"/>
  <c r="X633" i="5"/>
  <c r="V633" i="5"/>
  <c r="U633" i="5"/>
  <c r="T633" i="5"/>
  <c r="N633" i="5"/>
  <c r="M633" i="5"/>
  <c r="L633" i="5"/>
  <c r="K633" i="5"/>
  <c r="X632" i="5"/>
  <c r="V632" i="5"/>
  <c r="U632" i="5"/>
  <c r="T632" i="5"/>
  <c r="N632" i="5"/>
  <c r="M632" i="5"/>
  <c r="L632" i="5"/>
  <c r="K632" i="5"/>
  <c r="X631" i="5"/>
  <c r="V631" i="5"/>
  <c r="U631" i="5"/>
  <c r="T631" i="5"/>
  <c r="N631" i="5"/>
  <c r="M631" i="5"/>
  <c r="L631" i="5"/>
  <c r="K631" i="5"/>
  <c r="X630" i="5"/>
  <c r="V630" i="5"/>
  <c r="U630" i="5"/>
  <c r="T630" i="5"/>
  <c r="N630" i="5"/>
  <c r="M630" i="5"/>
  <c r="L630" i="5"/>
  <c r="K630" i="5"/>
  <c r="X629" i="5"/>
  <c r="V629" i="5"/>
  <c r="U629" i="5"/>
  <c r="T629" i="5"/>
  <c r="N629" i="5"/>
  <c r="M629" i="5"/>
  <c r="L629" i="5"/>
  <c r="K629" i="5"/>
  <c r="X628" i="5"/>
  <c r="V628" i="5"/>
  <c r="U628" i="5"/>
  <c r="T628" i="5"/>
  <c r="N628" i="5"/>
  <c r="M628" i="5"/>
  <c r="L628" i="5"/>
  <c r="K628" i="5"/>
  <c r="X627" i="5"/>
  <c r="V627" i="5"/>
  <c r="U627" i="5"/>
  <c r="T627" i="5"/>
  <c r="N627" i="5"/>
  <c r="M627" i="5"/>
  <c r="L627" i="5"/>
  <c r="K627" i="5"/>
  <c r="X626" i="5"/>
  <c r="V626" i="5"/>
  <c r="U626" i="5"/>
  <c r="T626" i="5"/>
  <c r="N626" i="5"/>
  <c r="M626" i="5"/>
  <c r="L626" i="5"/>
  <c r="K626" i="5"/>
  <c r="X625" i="5"/>
  <c r="V625" i="5"/>
  <c r="U625" i="5"/>
  <c r="T625" i="5"/>
  <c r="N625" i="5"/>
  <c r="M625" i="5"/>
  <c r="L625" i="5"/>
  <c r="K625" i="5"/>
  <c r="X624" i="5"/>
  <c r="V624" i="5"/>
  <c r="U624" i="5"/>
  <c r="T624" i="5"/>
  <c r="N624" i="5"/>
  <c r="M624" i="5"/>
  <c r="L624" i="5"/>
  <c r="K624" i="5"/>
  <c r="X623" i="5"/>
  <c r="V623" i="5"/>
  <c r="U623" i="5"/>
  <c r="T623" i="5"/>
  <c r="N623" i="5"/>
  <c r="M623" i="5"/>
  <c r="L623" i="5"/>
  <c r="K623" i="5"/>
  <c r="X622" i="5"/>
  <c r="V622" i="5"/>
  <c r="U622" i="5"/>
  <c r="T622" i="5"/>
  <c r="N622" i="5"/>
  <c r="M622" i="5"/>
  <c r="L622" i="5"/>
  <c r="K622" i="5"/>
  <c r="X621" i="5"/>
  <c r="V621" i="5"/>
  <c r="U621" i="5"/>
  <c r="T621" i="5"/>
  <c r="N621" i="5"/>
  <c r="M621" i="5"/>
  <c r="L621" i="5"/>
  <c r="K621" i="5"/>
  <c r="X620" i="5"/>
  <c r="V620" i="5"/>
  <c r="U620" i="5"/>
  <c r="T620" i="5"/>
  <c r="N620" i="5"/>
  <c r="M620" i="5"/>
  <c r="L620" i="5"/>
  <c r="K620" i="5"/>
  <c r="X619" i="5"/>
  <c r="V619" i="5"/>
  <c r="U619" i="5"/>
  <c r="T619" i="5"/>
  <c r="N619" i="5"/>
  <c r="M619" i="5"/>
  <c r="L619" i="5"/>
  <c r="K619" i="5"/>
  <c r="X618" i="5"/>
  <c r="V618" i="5"/>
  <c r="U618" i="5"/>
  <c r="T618" i="5"/>
  <c r="N618" i="5"/>
  <c r="M618" i="5"/>
  <c r="L618" i="5"/>
  <c r="K618" i="5"/>
  <c r="X617" i="5"/>
  <c r="V617" i="5"/>
  <c r="U617" i="5"/>
  <c r="T617" i="5"/>
  <c r="N617" i="5"/>
  <c r="M617" i="5"/>
  <c r="L617" i="5"/>
  <c r="K617" i="5"/>
  <c r="X616" i="5"/>
  <c r="V616" i="5"/>
  <c r="U616" i="5"/>
  <c r="T616" i="5"/>
  <c r="N616" i="5"/>
  <c r="M616" i="5"/>
  <c r="L616" i="5"/>
  <c r="K616" i="5"/>
  <c r="X615" i="5"/>
  <c r="V615" i="5"/>
  <c r="U615" i="5"/>
  <c r="T615" i="5"/>
  <c r="N615" i="5"/>
  <c r="M615" i="5"/>
  <c r="L615" i="5"/>
  <c r="K615" i="5"/>
  <c r="X614" i="5"/>
  <c r="V614" i="5"/>
  <c r="U614" i="5"/>
  <c r="T614" i="5"/>
  <c r="N614" i="5"/>
  <c r="M614" i="5"/>
  <c r="L614" i="5"/>
  <c r="K614" i="5"/>
  <c r="X613" i="5"/>
  <c r="V613" i="5"/>
  <c r="U613" i="5"/>
  <c r="T613" i="5"/>
  <c r="N613" i="5"/>
  <c r="M613" i="5"/>
  <c r="L613" i="5"/>
  <c r="K613" i="5"/>
  <c r="X612" i="5"/>
  <c r="V612" i="5"/>
  <c r="U612" i="5"/>
  <c r="T612" i="5"/>
  <c r="N612" i="5"/>
  <c r="M612" i="5"/>
  <c r="L612" i="5"/>
  <c r="K612" i="5"/>
  <c r="X611" i="5"/>
  <c r="V611" i="5"/>
  <c r="U611" i="5"/>
  <c r="T611" i="5"/>
  <c r="N611" i="5"/>
  <c r="M611" i="5"/>
  <c r="L611" i="5"/>
  <c r="K611" i="5"/>
  <c r="X610" i="5"/>
  <c r="V610" i="5"/>
  <c r="U610" i="5"/>
  <c r="T610" i="5"/>
  <c r="N610" i="5"/>
  <c r="M610" i="5"/>
  <c r="L610" i="5"/>
  <c r="K610" i="5"/>
  <c r="X609" i="5"/>
  <c r="V609" i="5"/>
  <c r="U609" i="5"/>
  <c r="T609" i="5"/>
  <c r="N609" i="5"/>
  <c r="M609" i="5"/>
  <c r="L609" i="5"/>
  <c r="K609" i="5"/>
  <c r="X608" i="5"/>
  <c r="V608" i="5"/>
  <c r="U608" i="5"/>
  <c r="T608" i="5"/>
  <c r="N608" i="5"/>
  <c r="M608" i="5"/>
  <c r="L608" i="5"/>
  <c r="K608" i="5"/>
  <c r="X607" i="5"/>
  <c r="V607" i="5"/>
  <c r="U607" i="5"/>
  <c r="T607" i="5"/>
  <c r="N607" i="5"/>
  <c r="M607" i="5"/>
  <c r="L607" i="5"/>
  <c r="K607" i="5"/>
  <c r="X606" i="5"/>
  <c r="V606" i="5"/>
  <c r="U606" i="5"/>
  <c r="T606" i="5"/>
  <c r="N606" i="5"/>
  <c r="M606" i="5"/>
  <c r="L606" i="5"/>
  <c r="K606" i="5"/>
  <c r="X605" i="5"/>
  <c r="V605" i="5"/>
  <c r="U605" i="5"/>
  <c r="T605" i="5"/>
  <c r="N605" i="5"/>
  <c r="M605" i="5"/>
  <c r="L605" i="5"/>
  <c r="K605" i="5"/>
  <c r="X604" i="5"/>
  <c r="V604" i="5"/>
  <c r="U604" i="5"/>
  <c r="T604" i="5"/>
  <c r="N604" i="5"/>
  <c r="M604" i="5"/>
  <c r="L604" i="5"/>
  <c r="K604" i="5"/>
  <c r="X603" i="5"/>
  <c r="V603" i="5"/>
  <c r="U603" i="5"/>
  <c r="T603" i="5"/>
  <c r="N603" i="5"/>
  <c r="M603" i="5"/>
  <c r="L603" i="5"/>
  <c r="K603" i="5"/>
  <c r="X602" i="5"/>
  <c r="V602" i="5"/>
  <c r="U602" i="5"/>
  <c r="T602" i="5"/>
  <c r="N602" i="5"/>
  <c r="M602" i="5"/>
  <c r="L602" i="5"/>
  <c r="K602" i="5"/>
  <c r="X601" i="5"/>
  <c r="V601" i="5"/>
  <c r="U601" i="5"/>
  <c r="T601" i="5"/>
  <c r="N601" i="5"/>
  <c r="M601" i="5"/>
  <c r="L601" i="5"/>
  <c r="K601" i="5"/>
  <c r="X600" i="5"/>
  <c r="V600" i="5"/>
  <c r="U600" i="5"/>
  <c r="T600" i="5"/>
  <c r="N600" i="5"/>
  <c r="M600" i="5"/>
  <c r="L600" i="5"/>
  <c r="K600" i="5"/>
  <c r="X599" i="5"/>
  <c r="V599" i="5"/>
  <c r="U599" i="5"/>
  <c r="T599" i="5"/>
  <c r="N599" i="5"/>
  <c r="M599" i="5"/>
  <c r="L599" i="5"/>
  <c r="K599" i="5"/>
  <c r="X598" i="5"/>
  <c r="V598" i="5"/>
  <c r="U598" i="5"/>
  <c r="T598" i="5"/>
  <c r="N598" i="5"/>
  <c r="M598" i="5"/>
  <c r="L598" i="5"/>
  <c r="K598" i="5"/>
  <c r="X597" i="5"/>
  <c r="V597" i="5"/>
  <c r="U597" i="5"/>
  <c r="T597" i="5"/>
  <c r="N597" i="5"/>
  <c r="M597" i="5"/>
  <c r="L597" i="5"/>
  <c r="K597" i="5"/>
  <c r="X596" i="5"/>
  <c r="V596" i="5"/>
  <c r="U596" i="5"/>
  <c r="T596" i="5"/>
  <c r="N596" i="5"/>
  <c r="M596" i="5"/>
  <c r="L596" i="5"/>
  <c r="K596" i="5"/>
  <c r="X595" i="5"/>
  <c r="V595" i="5"/>
  <c r="U595" i="5"/>
  <c r="T595" i="5"/>
  <c r="N595" i="5"/>
  <c r="M595" i="5"/>
  <c r="L595" i="5"/>
  <c r="K595" i="5"/>
  <c r="X594" i="5"/>
  <c r="V594" i="5"/>
  <c r="U594" i="5"/>
  <c r="T594" i="5"/>
  <c r="N594" i="5"/>
  <c r="M594" i="5"/>
  <c r="L594" i="5"/>
  <c r="K594" i="5"/>
  <c r="X593" i="5"/>
  <c r="V593" i="5"/>
  <c r="U593" i="5"/>
  <c r="T593" i="5"/>
  <c r="N593" i="5"/>
  <c r="M593" i="5"/>
  <c r="L593" i="5"/>
  <c r="K593" i="5"/>
  <c r="X592" i="5"/>
  <c r="V592" i="5"/>
  <c r="U592" i="5"/>
  <c r="T592" i="5"/>
  <c r="N592" i="5"/>
  <c r="M592" i="5"/>
  <c r="L592" i="5"/>
  <c r="K592" i="5"/>
  <c r="X591" i="5"/>
  <c r="V591" i="5"/>
  <c r="U591" i="5"/>
  <c r="T591" i="5"/>
  <c r="N591" i="5"/>
  <c r="M591" i="5"/>
  <c r="L591" i="5"/>
  <c r="K591" i="5"/>
  <c r="X590" i="5"/>
  <c r="V590" i="5"/>
  <c r="U590" i="5"/>
  <c r="T590" i="5"/>
  <c r="N590" i="5"/>
  <c r="M590" i="5"/>
  <c r="L590" i="5"/>
  <c r="K590" i="5"/>
  <c r="X589" i="5"/>
  <c r="V589" i="5"/>
  <c r="U589" i="5"/>
  <c r="T589" i="5"/>
  <c r="N589" i="5"/>
  <c r="M589" i="5"/>
  <c r="L589" i="5"/>
  <c r="K589" i="5"/>
  <c r="X588" i="5"/>
  <c r="V588" i="5"/>
  <c r="U588" i="5"/>
  <c r="T588" i="5"/>
  <c r="N588" i="5"/>
  <c r="M588" i="5"/>
  <c r="L588" i="5"/>
  <c r="K588" i="5"/>
  <c r="X587" i="5"/>
  <c r="V587" i="5"/>
  <c r="U587" i="5"/>
  <c r="T587" i="5"/>
  <c r="N587" i="5"/>
  <c r="M587" i="5"/>
  <c r="L587" i="5"/>
  <c r="K587" i="5"/>
  <c r="X586" i="5"/>
  <c r="V586" i="5"/>
  <c r="U586" i="5"/>
  <c r="T586" i="5"/>
  <c r="N586" i="5"/>
  <c r="M586" i="5"/>
  <c r="L586" i="5"/>
  <c r="K586" i="5"/>
  <c r="X585" i="5"/>
  <c r="V585" i="5"/>
  <c r="U585" i="5"/>
  <c r="T585" i="5"/>
  <c r="N585" i="5"/>
  <c r="M585" i="5"/>
  <c r="L585" i="5"/>
  <c r="K585" i="5"/>
  <c r="X584" i="5"/>
  <c r="V584" i="5"/>
  <c r="U584" i="5"/>
  <c r="T584" i="5"/>
  <c r="N584" i="5"/>
  <c r="M584" i="5"/>
  <c r="L584" i="5"/>
  <c r="K584" i="5"/>
  <c r="X583" i="5"/>
  <c r="V583" i="5"/>
  <c r="U583" i="5"/>
  <c r="T583" i="5"/>
  <c r="N583" i="5"/>
  <c r="M583" i="5"/>
  <c r="L583" i="5"/>
  <c r="K583" i="5"/>
  <c r="X582" i="5"/>
  <c r="V582" i="5"/>
  <c r="U582" i="5"/>
  <c r="T582" i="5"/>
  <c r="N582" i="5"/>
  <c r="M582" i="5"/>
  <c r="L582" i="5"/>
  <c r="K582" i="5"/>
  <c r="X581" i="5"/>
  <c r="V581" i="5"/>
  <c r="U581" i="5"/>
  <c r="T581" i="5"/>
  <c r="N581" i="5"/>
  <c r="M581" i="5"/>
  <c r="L581" i="5"/>
  <c r="K581" i="5"/>
  <c r="X580" i="5"/>
  <c r="V580" i="5"/>
  <c r="U580" i="5"/>
  <c r="T580" i="5"/>
  <c r="N580" i="5"/>
  <c r="M580" i="5"/>
  <c r="L580" i="5"/>
  <c r="K580" i="5"/>
  <c r="X579" i="5"/>
  <c r="V579" i="5"/>
  <c r="U579" i="5"/>
  <c r="T579" i="5"/>
  <c r="N579" i="5"/>
  <c r="M579" i="5"/>
  <c r="L579" i="5"/>
  <c r="K579" i="5"/>
  <c r="X578" i="5"/>
  <c r="V578" i="5"/>
  <c r="U578" i="5"/>
  <c r="T578" i="5"/>
  <c r="N578" i="5"/>
  <c r="M578" i="5"/>
  <c r="L578" i="5"/>
  <c r="K578" i="5"/>
  <c r="X577" i="5"/>
  <c r="V577" i="5"/>
  <c r="U577" i="5"/>
  <c r="T577" i="5"/>
  <c r="N577" i="5"/>
  <c r="M577" i="5"/>
  <c r="L577" i="5"/>
  <c r="K577" i="5"/>
  <c r="X576" i="5"/>
  <c r="V576" i="5"/>
  <c r="U576" i="5"/>
  <c r="T576" i="5"/>
  <c r="N576" i="5"/>
  <c r="M576" i="5"/>
  <c r="L576" i="5"/>
  <c r="K576" i="5"/>
  <c r="X575" i="5"/>
  <c r="V575" i="5"/>
  <c r="U575" i="5"/>
  <c r="T575" i="5"/>
  <c r="N575" i="5"/>
  <c r="M575" i="5"/>
  <c r="L575" i="5"/>
  <c r="K575" i="5"/>
  <c r="X574" i="5"/>
  <c r="V574" i="5"/>
  <c r="U574" i="5"/>
  <c r="T574" i="5"/>
  <c r="N574" i="5"/>
  <c r="M574" i="5"/>
  <c r="L574" i="5"/>
  <c r="K574" i="5"/>
  <c r="X573" i="5"/>
  <c r="V573" i="5"/>
  <c r="U573" i="5"/>
  <c r="T573" i="5"/>
  <c r="N573" i="5"/>
  <c r="M573" i="5"/>
  <c r="L573" i="5"/>
  <c r="K573" i="5"/>
  <c r="X572" i="5"/>
  <c r="V572" i="5"/>
  <c r="U572" i="5"/>
  <c r="T572" i="5"/>
  <c r="N572" i="5"/>
  <c r="M572" i="5"/>
  <c r="L572" i="5"/>
  <c r="K572" i="5"/>
  <c r="X571" i="5"/>
  <c r="V571" i="5"/>
  <c r="U571" i="5"/>
  <c r="T571" i="5"/>
  <c r="N571" i="5"/>
  <c r="M571" i="5"/>
  <c r="L571" i="5"/>
  <c r="K571" i="5"/>
  <c r="X570" i="5"/>
  <c r="V570" i="5"/>
  <c r="U570" i="5"/>
  <c r="T570" i="5"/>
  <c r="N570" i="5"/>
  <c r="M570" i="5"/>
  <c r="L570" i="5"/>
  <c r="K570" i="5"/>
  <c r="X569" i="5"/>
  <c r="V569" i="5"/>
  <c r="U569" i="5"/>
  <c r="T569" i="5"/>
  <c r="N569" i="5"/>
  <c r="M569" i="5"/>
  <c r="L569" i="5"/>
  <c r="K569" i="5"/>
  <c r="X568" i="5"/>
  <c r="V568" i="5"/>
  <c r="U568" i="5"/>
  <c r="T568" i="5"/>
  <c r="N568" i="5"/>
  <c r="M568" i="5"/>
  <c r="L568" i="5"/>
  <c r="K568" i="5"/>
  <c r="X567" i="5"/>
  <c r="V567" i="5"/>
  <c r="U567" i="5"/>
  <c r="T567" i="5"/>
  <c r="N567" i="5"/>
  <c r="M567" i="5"/>
  <c r="L567" i="5"/>
  <c r="K567" i="5"/>
  <c r="X566" i="5"/>
  <c r="V566" i="5"/>
  <c r="U566" i="5"/>
  <c r="T566" i="5"/>
  <c r="N566" i="5"/>
  <c r="M566" i="5"/>
  <c r="L566" i="5"/>
  <c r="K566" i="5"/>
  <c r="X565" i="5"/>
  <c r="V565" i="5"/>
  <c r="U565" i="5"/>
  <c r="T565" i="5"/>
  <c r="N565" i="5"/>
  <c r="M565" i="5"/>
  <c r="L565" i="5"/>
  <c r="K565" i="5"/>
  <c r="X564" i="5"/>
  <c r="V564" i="5"/>
  <c r="U564" i="5"/>
  <c r="T564" i="5"/>
  <c r="N564" i="5"/>
  <c r="M564" i="5"/>
  <c r="L564" i="5"/>
  <c r="K564" i="5"/>
  <c r="X563" i="5"/>
  <c r="V563" i="5"/>
  <c r="U563" i="5"/>
  <c r="T563" i="5"/>
  <c r="N563" i="5"/>
  <c r="M563" i="5"/>
  <c r="L563" i="5"/>
  <c r="K563" i="5"/>
  <c r="X562" i="5"/>
  <c r="V562" i="5"/>
  <c r="U562" i="5"/>
  <c r="T562" i="5"/>
  <c r="N562" i="5"/>
  <c r="M562" i="5"/>
  <c r="L562" i="5"/>
  <c r="K562" i="5"/>
  <c r="X561" i="5"/>
  <c r="V561" i="5"/>
  <c r="U561" i="5"/>
  <c r="T561" i="5"/>
  <c r="N561" i="5"/>
  <c r="M561" i="5"/>
  <c r="L561" i="5"/>
  <c r="K561" i="5"/>
  <c r="X560" i="5"/>
  <c r="V560" i="5"/>
  <c r="U560" i="5"/>
  <c r="T560" i="5"/>
  <c r="N560" i="5"/>
  <c r="M560" i="5"/>
  <c r="L560" i="5"/>
  <c r="K560" i="5"/>
  <c r="X559" i="5"/>
  <c r="V559" i="5"/>
  <c r="U559" i="5"/>
  <c r="T559" i="5"/>
  <c r="N559" i="5"/>
  <c r="M559" i="5"/>
  <c r="L559" i="5"/>
  <c r="K559" i="5"/>
  <c r="X558" i="5"/>
  <c r="V558" i="5"/>
  <c r="U558" i="5"/>
  <c r="T558" i="5"/>
  <c r="N558" i="5"/>
  <c r="M558" i="5"/>
  <c r="L558" i="5"/>
  <c r="K558" i="5"/>
  <c r="X557" i="5"/>
  <c r="V557" i="5"/>
  <c r="U557" i="5"/>
  <c r="T557" i="5"/>
  <c r="N557" i="5"/>
  <c r="M557" i="5"/>
  <c r="L557" i="5"/>
  <c r="K557" i="5"/>
  <c r="X556" i="5"/>
  <c r="V556" i="5"/>
  <c r="U556" i="5"/>
  <c r="T556" i="5"/>
  <c r="N556" i="5"/>
  <c r="M556" i="5"/>
  <c r="L556" i="5"/>
  <c r="K556" i="5"/>
  <c r="X555" i="5"/>
  <c r="V555" i="5"/>
  <c r="U555" i="5"/>
  <c r="T555" i="5"/>
  <c r="N555" i="5"/>
  <c r="M555" i="5"/>
  <c r="L555" i="5"/>
  <c r="K555" i="5"/>
  <c r="X554" i="5"/>
  <c r="V554" i="5"/>
  <c r="U554" i="5"/>
  <c r="T554" i="5"/>
  <c r="N554" i="5"/>
  <c r="M554" i="5"/>
  <c r="L554" i="5"/>
  <c r="K554" i="5"/>
  <c r="X553" i="5"/>
  <c r="V553" i="5"/>
  <c r="U553" i="5"/>
  <c r="T553" i="5"/>
  <c r="N553" i="5"/>
  <c r="M553" i="5"/>
  <c r="L553" i="5"/>
  <c r="K553" i="5"/>
  <c r="X552" i="5"/>
  <c r="V552" i="5"/>
  <c r="U552" i="5"/>
  <c r="T552" i="5"/>
  <c r="N552" i="5"/>
  <c r="M552" i="5"/>
  <c r="L552" i="5"/>
  <c r="K552" i="5"/>
  <c r="X551" i="5"/>
  <c r="V551" i="5"/>
  <c r="U551" i="5"/>
  <c r="T551" i="5"/>
  <c r="N551" i="5"/>
  <c r="M551" i="5"/>
  <c r="L551" i="5"/>
  <c r="K551" i="5"/>
  <c r="X550" i="5"/>
  <c r="V550" i="5"/>
  <c r="U550" i="5"/>
  <c r="T550" i="5"/>
  <c r="N550" i="5"/>
  <c r="M550" i="5"/>
  <c r="L550" i="5"/>
  <c r="K550" i="5"/>
  <c r="X549" i="5"/>
  <c r="V549" i="5"/>
  <c r="U549" i="5"/>
  <c r="T549" i="5"/>
  <c r="N549" i="5"/>
  <c r="M549" i="5"/>
  <c r="L549" i="5"/>
  <c r="K549" i="5"/>
  <c r="X548" i="5"/>
  <c r="V548" i="5"/>
  <c r="U548" i="5"/>
  <c r="T548" i="5"/>
  <c r="N548" i="5"/>
  <c r="M548" i="5"/>
  <c r="L548" i="5"/>
  <c r="K548" i="5"/>
  <c r="X547" i="5"/>
  <c r="V547" i="5"/>
  <c r="U547" i="5"/>
  <c r="T547" i="5"/>
  <c r="N547" i="5"/>
  <c r="M547" i="5"/>
  <c r="L547" i="5"/>
  <c r="K547" i="5"/>
  <c r="X546" i="5"/>
  <c r="V546" i="5"/>
  <c r="U546" i="5"/>
  <c r="T546" i="5"/>
  <c r="N546" i="5"/>
  <c r="M546" i="5"/>
  <c r="L546" i="5"/>
  <c r="K546" i="5"/>
  <c r="X545" i="5"/>
  <c r="V545" i="5"/>
  <c r="U545" i="5"/>
  <c r="T545" i="5"/>
  <c r="N545" i="5"/>
  <c r="M545" i="5"/>
  <c r="L545" i="5"/>
  <c r="K545" i="5"/>
  <c r="X544" i="5"/>
  <c r="V544" i="5"/>
  <c r="U544" i="5"/>
  <c r="T544" i="5"/>
  <c r="N544" i="5"/>
  <c r="M544" i="5"/>
  <c r="L544" i="5"/>
  <c r="K544" i="5"/>
  <c r="X543" i="5"/>
  <c r="V543" i="5"/>
  <c r="U543" i="5"/>
  <c r="T543" i="5"/>
  <c r="N543" i="5"/>
  <c r="M543" i="5"/>
  <c r="L543" i="5"/>
  <c r="K543" i="5"/>
  <c r="X542" i="5"/>
  <c r="V542" i="5"/>
  <c r="U542" i="5"/>
  <c r="T542" i="5"/>
  <c r="N542" i="5"/>
  <c r="M542" i="5"/>
  <c r="L542" i="5"/>
  <c r="K542" i="5"/>
  <c r="X541" i="5"/>
  <c r="V541" i="5"/>
  <c r="U541" i="5"/>
  <c r="T541" i="5"/>
  <c r="N541" i="5"/>
  <c r="M541" i="5"/>
  <c r="L541" i="5"/>
  <c r="K541" i="5"/>
  <c r="X540" i="5"/>
  <c r="V540" i="5"/>
  <c r="U540" i="5"/>
  <c r="T540" i="5"/>
  <c r="N540" i="5"/>
  <c r="M540" i="5"/>
  <c r="L540" i="5"/>
  <c r="K540" i="5"/>
  <c r="X539" i="5"/>
  <c r="V539" i="5"/>
  <c r="U539" i="5"/>
  <c r="T539" i="5"/>
  <c r="N539" i="5"/>
  <c r="M539" i="5"/>
  <c r="L539" i="5"/>
  <c r="K539" i="5"/>
  <c r="X538" i="5"/>
  <c r="V538" i="5"/>
  <c r="U538" i="5"/>
  <c r="T538" i="5"/>
  <c r="N538" i="5"/>
  <c r="M538" i="5"/>
  <c r="L538" i="5"/>
  <c r="K538" i="5"/>
  <c r="X537" i="5"/>
  <c r="V537" i="5"/>
  <c r="U537" i="5"/>
  <c r="T537" i="5"/>
  <c r="N537" i="5"/>
  <c r="M537" i="5"/>
  <c r="L537" i="5"/>
  <c r="K537" i="5"/>
  <c r="X536" i="5"/>
  <c r="V536" i="5"/>
  <c r="U536" i="5"/>
  <c r="T536" i="5"/>
  <c r="N536" i="5"/>
  <c r="M536" i="5"/>
  <c r="L536" i="5"/>
  <c r="K536" i="5"/>
  <c r="X535" i="5"/>
  <c r="V535" i="5"/>
  <c r="U535" i="5"/>
  <c r="T535" i="5"/>
  <c r="N535" i="5"/>
  <c r="M535" i="5"/>
  <c r="L535" i="5"/>
  <c r="K535" i="5"/>
  <c r="X534" i="5"/>
  <c r="V534" i="5"/>
  <c r="U534" i="5"/>
  <c r="T534" i="5"/>
  <c r="N534" i="5"/>
  <c r="M534" i="5"/>
  <c r="L534" i="5"/>
  <c r="K534" i="5"/>
  <c r="X533" i="5"/>
  <c r="V533" i="5"/>
  <c r="U533" i="5"/>
  <c r="T533" i="5"/>
  <c r="N533" i="5"/>
  <c r="M533" i="5"/>
  <c r="L533" i="5"/>
  <c r="K533" i="5"/>
  <c r="X532" i="5"/>
  <c r="V532" i="5"/>
  <c r="U532" i="5"/>
  <c r="T532" i="5"/>
  <c r="N532" i="5"/>
  <c r="M532" i="5"/>
  <c r="L532" i="5"/>
  <c r="K532" i="5"/>
  <c r="X531" i="5"/>
  <c r="V531" i="5"/>
  <c r="U531" i="5"/>
  <c r="T531" i="5"/>
  <c r="N531" i="5"/>
  <c r="M531" i="5"/>
  <c r="L531" i="5"/>
  <c r="K531" i="5"/>
  <c r="X530" i="5"/>
  <c r="V530" i="5"/>
  <c r="U530" i="5"/>
  <c r="T530" i="5"/>
  <c r="N530" i="5"/>
  <c r="M530" i="5"/>
  <c r="L530" i="5"/>
  <c r="K530" i="5"/>
  <c r="X529" i="5"/>
  <c r="V529" i="5"/>
  <c r="U529" i="5"/>
  <c r="T529" i="5"/>
  <c r="N529" i="5"/>
  <c r="M529" i="5"/>
  <c r="L529" i="5"/>
  <c r="K529" i="5"/>
  <c r="X528" i="5"/>
  <c r="V528" i="5"/>
  <c r="U528" i="5"/>
  <c r="T528" i="5"/>
  <c r="N528" i="5"/>
  <c r="M528" i="5"/>
  <c r="L528" i="5"/>
  <c r="K528" i="5"/>
  <c r="X527" i="5"/>
  <c r="V527" i="5"/>
  <c r="U527" i="5"/>
  <c r="T527" i="5"/>
  <c r="N527" i="5"/>
  <c r="M527" i="5"/>
  <c r="L527" i="5"/>
  <c r="K527" i="5"/>
  <c r="X526" i="5"/>
  <c r="V526" i="5"/>
  <c r="U526" i="5"/>
  <c r="T526" i="5"/>
  <c r="N526" i="5"/>
  <c r="M526" i="5"/>
  <c r="L526" i="5"/>
  <c r="K526" i="5"/>
  <c r="X525" i="5"/>
  <c r="V525" i="5"/>
  <c r="U525" i="5"/>
  <c r="T525" i="5"/>
  <c r="N525" i="5"/>
  <c r="M525" i="5"/>
  <c r="L525" i="5"/>
  <c r="K525" i="5"/>
  <c r="X524" i="5"/>
  <c r="V524" i="5"/>
  <c r="U524" i="5"/>
  <c r="T524" i="5"/>
  <c r="N524" i="5"/>
  <c r="M524" i="5"/>
  <c r="L524" i="5"/>
  <c r="K524" i="5"/>
  <c r="X523" i="5"/>
  <c r="V523" i="5"/>
  <c r="U523" i="5"/>
  <c r="T523" i="5"/>
  <c r="N523" i="5"/>
  <c r="M523" i="5"/>
  <c r="L523" i="5"/>
  <c r="K523" i="5"/>
  <c r="X522" i="5"/>
  <c r="V522" i="5"/>
  <c r="U522" i="5"/>
  <c r="T522" i="5"/>
  <c r="N522" i="5"/>
  <c r="M522" i="5"/>
  <c r="L522" i="5"/>
  <c r="K522" i="5"/>
  <c r="X521" i="5"/>
  <c r="V521" i="5"/>
  <c r="U521" i="5"/>
  <c r="T521" i="5"/>
  <c r="N521" i="5"/>
  <c r="M521" i="5"/>
  <c r="L521" i="5"/>
  <c r="K521" i="5"/>
  <c r="X520" i="5"/>
  <c r="V520" i="5"/>
  <c r="U520" i="5"/>
  <c r="T520" i="5"/>
  <c r="N520" i="5"/>
  <c r="M520" i="5"/>
  <c r="L520" i="5"/>
  <c r="K520" i="5"/>
  <c r="X519" i="5"/>
  <c r="V519" i="5"/>
  <c r="U519" i="5"/>
  <c r="T519" i="5"/>
  <c r="N519" i="5"/>
  <c r="M519" i="5"/>
  <c r="L519" i="5"/>
  <c r="K519" i="5"/>
  <c r="X518" i="5"/>
  <c r="V518" i="5"/>
  <c r="U518" i="5"/>
  <c r="T518" i="5"/>
  <c r="N518" i="5"/>
  <c r="M518" i="5"/>
  <c r="L518" i="5"/>
  <c r="K518" i="5"/>
  <c r="X517" i="5"/>
  <c r="V517" i="5"/>
  <c r="U517" i="5"/>
  <c r="T517" i="5"/>
  <c r="N517" i="5"/>
  <c r="M517" i="5"/>
  <c r="L517" i="5"/>
  <c r="K517" i="5"/>
  <c r="X516" i="5"/>
  <c r="V516" i="5"/>
  <c r="U516" i="5"/>
  <c r="T516" i="5"/>
  <c r="N516" i="5"/>
  <c r="M516" i="5"/>
  <c r="L516" i="5"/>
  <c r="K516" i="5"/>
  <c r="X515" i="5"/>
  <c r="V515" i="5"/>
  <c r="U515" i="5"/>
  <c r="T515" i="5"/>
  <c r="N515" i="5"/>
  <c r="M515" i="5"/>
  <c r="L515" i="5"/>
  <c r="K515" i="5"/>
  <c r="X514" i="5"/>
  <c r="V514" i="5"/>
  <c r="U514" i="5"/>
  <c r="T514" i="5"/>
  <c r="N514" i="5"/>
  <c r="M514" i="5"/>
  <c r="L514" i="5"/>
  <c r="K514" i="5"/>
  <c r="X513" i="5"/>
  <c r="V513" i="5"/>
  <c r="U513" i="5"/>
  <c r="T513" i="5"/>
  <c r="N513" i="5"/>
  <c r="M513" i="5"/>
  <c r="L513" i="5"/>
  <c r="K513" i="5"/>
  <c r="X512" i="5"/>
  <c r="V512" i="5"/>
  <c r="U512" i="5"/>
  <c r="T512" i="5"/>
  <c r="N512" i="5"/>
  <c r="M512" i="5"/>
  <c r="L512" i="5"/>
  <c r="K512" i="5"/>
  <c r="X511" i="5"/>
  <c r="V511" i="5"/>
  <c r="U511" i="5"/>
  <c r="T511" i="5"/>
  <c r="N511" i="5"/>
  <c r="M511" i="5"/>
  <c r="L511" i="5"/>
  <c r="K511" i="5"/>
  <c r="X510" i="5"/>
  <c r="V510" i="5"/>
  <c r="U510" i="5"/>
  <c r="T510" i="5"/>
  <c r="N510" i="5"/>
  <c r="M510" i="5"/>
  <c r="L510" i="5"/>
  <c r="K510" i="5"/>
  <c r="X509" i="5"/>
  <c r="V509" i="5"/>
  <c r="U509" i="5"/>
  <c r="T509" i="5"/>
  <c r="N509" i="5"/>
  <c r="M509" i="5"/>
  <c r="L509" i="5"/>
  <c r="K509" i="5"/>
  <c r="X508" i="5"/>
  <c r="V508" i="5"/>
  <c r="U508" i="5"/>
  <c r="T508" i="5"/>
  <c r="N508" i="5"/>
  <c r="M508" i="5"/>
  <c r="L508" i="5"/>
  <c r="K508" i="5"/>
  <c r="X507" i="5"/>
  <c r="V507" i="5"/>
  <c r="U507" i="5"/>
  <c r="T507" i="5"/>
  <c r="N507" i="5"/>
  <c r="M507" i="5"/>
  <c r="L507" i="5"/>
  <c r="K507" i="5"/>
  <c r="X506" i="5"/>
  <c r="V506" i="5"/>
  <c r="U506" i="5"/>
  <c r="T506" i="5"/>
  <c r="N506" i="5"/>
  <c r="M506" i="5"/>
  <c r="L506" i="5"/>
  <c r="K506" i="5"/>
  <c r="X505" i="5"/>
  <c r="V505" i="5"/>
  <c r="U505" i="5"/>
  <c r="T505" i="5"/>
  <c r="N505" i="5"/>
  <c r="M505" i="5"/>
  <c r="L505" i="5"/>
  <c r="K505" i="5"/>
  <c r="X504" i="5"/>
  <c r="V504" i="5"/>
  <c r="U504" i="5"/>
  <c r="T504" i="5"/>
  <c r="N504" i="5"/>
  <c r="M504" i="5"/>
  <c r="L504" i="5"/>
  <c r="K504" i="5"/>
  <c r="X503" i="5"/>
  <c r="V503" i="5"/>
  <c r="U503" i="5"/>
  <c r="T503" i="5"/>
  <c r="N503" i="5"/>
  <c r="M503" i="5"/>
  <c r="L503" i="5"/>
  <c r="K503" i="5"/>
  <c r="X502" i="5"/>
  <c r="V502" i="5"/>
  <c r="U502" i="5"/>
  <c r="T502" i="5"/>
  <c r="N502" i="5"/>
  <c r="M502" i="5"/>
  <c r="L502" i="5"/>
  <c r="K502" i="5"/>
  <c r="X501" i="5"/>
  <c r="V501" i="5"/>
  <c r="U501" i="5"/>
  <c r="T501" i="5"/>
  <c r="N501" i="5"/>
  <c r="M501" i="5"/>
  <c r="L501" i="5"/>
  <c r="K501" i="5"/>
  <c r="X500" i="5"/>
  <c r="V500" i="5"/>
  <c r="U500" i="5"/>
  <c r="T500" i="5"/>
  <c r="N500" i="5"/>
  <c r="M500" i="5"/>
  <c r="L500" i="5"/>
  <c r="K500" i="5"/>
  <c r="X499" i="5"/>
  <c r="V499" i="5"/>
  <c r="U499" i="5"/>
  <c r="T499" i="5"/>
  <c r="N499" i="5"/>
  <c r="M499" i="5"/>
  <c r="L499" i="5"/>
  <c r="K499" i="5"/>
  <c r="X498" i="5"/>
  <c r="V498" i="5"/>
  <c r="U498" i="5"/>
  <c r="T498" i="5"/>
  <c r="N498" i="5"/>
  <c r="M498" i="5"/>
  <c r="L498" i="5"/>
  <c r="K498" i="5"/>
  <c r="X497" i="5"/>
  <c r="V497" i="5"/>
  <c r="U497" i="5"/>
  <c r="T497" i="5"/>
  <c r="N497" i="5"/>
  <c r="M497" i="5"/>
  <c r="L497" i="5"/>
  <c r="K497" i="5"/>
  <c r="X496" i="5"/>
  <c r="V496" i="5"/>
  <c r="U496" i="5"/>
  <c r="T496" i="5"/>
  <c r="N496" i="5"/>
  <c r="M496" i="5"/>
  <c r="L496" i="5"/>
  <c r="K496" i="5"/>
  <c r="X495" i="5"/>
  <c r="V495" i="5"/>
  <c r="U495" i="5"/>
  <c r="T495" i="5"/>
  <c r="N495" i="5"/>
  <c r="M495" i="5"/>
  <c r="L495" i="5"/>
  <c r="K495" i="5"/>
  <c r="X494" i="5"/>
  <c r="V494" i="5"/>
  <c r="U494" i="5"/>
  <c r="T494" i="5"/>
  <c r="N494" i="5"/>
  <c r="M494" i="5"/>
  <c r="L494" i="5"/>
  <c r="K494" i="5"/>
  <c r="X493" i="5"/>
  <c r="V493" i="5"/>
  <c r="U493" i="5"/>
  <c r="T493" i="5"/>
  <c r="N493" i="5"/>
  <c r="M493" i="5"/>
  <c r="L493" i="5"/>
  <c r="K493" i="5"/>
  <c r="X492" i="5"/>
  <c r="V492" i="5"/>
  <c r="U492" i="5"/>
  <c r="T492" i="5"/>
  <c r="N492" i="5"/>
  <c r="M492" i="5"/>
  <c r="L492" i="5"/>
  <c r="K492" i="5"/>
  <c r="X491" i="5"/>
  <c r="V491" i="5"/>
  <c r="U491" i="5"/>
  <c r="T491" i="5"/>
  <c r="N491" i="5"/>
  <c r="M491" i="5"/>
  <c r="L491" i="5"/>
  <c r="K491" i="5"/>
  <c r="X490" i="5"/>
  <c r="V490" i="5"/>
  <c r="U490" i="5"/>
  <c r="T490" i="5"/>
  <c r="N490" i="5"/>
  <c r="M490" i="5"/>
  <c r="L490" i="5"/>
  <c r="K490" i="5"/>
  <c r="X489" i="5"/>
  <c r="V489" i="5"/>
  <c r="U489" i="5"/>
  <c r="T489" i="5"/>
  <c r="N489" i="5"/>
  <c r="M489" i="5"/>
  <c r="L489" i="5"/>
  <c r="K489" i="5"/>
  <c r="X488" i="5"/>
  <c r="V488" i="5"/>
  <c r="U488" i="5"/>
  <c r="T488" i="5"/>
  <c r="N488" i="5"/>
  <c r="M488" i="5"/>
  <c r="L488" i="5"/>
  <c r="K488" i="5"/>
  <c r="X487" i="5"/>
  <c r="V487" i="5"/>
  <c r="U487" i="5"/>
  <c r="T487" i="5"/>
  <c r="N487" i="5"/>
  <c r="M487" i="5"/>
  <c r="L487" i="5"/>
  <c r="K487" i="5"/>
  <c r="X486" i="5"/>
  <c r="V486" i="5"/>
  <c r="U486" i="5"/>
  <c r="T486" i="5"/>
  <c r="N486" i="5"/>
  <c r="M486" i="5"/>
  <c r="L486" i="5"/>
  <c r="K486" i="5"/>
  <c r="X485" i="5"/>
  <c r="V485" i="5"/>
  <c r="U485" i="5"/>
  <c r="T485" i="5"/>
  <c r="N485" i="5"/>
  <c r="M485" i="5"/>
  <c r="L485" i="5"/>
  <c r="K485" i="5"/>
  <c r="X484" i="5"/>
  <c r="V484" i="5"/>
  <c r="U484" i="5"/>
  <c r="T484" i="5"/>
  <c r="N484" i="5"/>
  <c r="M484" i="5"/>
  <c r="L484" i="5"/>
  <c r="K484" i="5"/>
  <c r="X483" i="5"/>
  <c r="V483" i="5"/>
  <c r="U483" i="5"/>
  <c r="T483" i="5"/>
  <c r="N483" i="5"/>
  <c r="M483" i="5"/>
  <c r="L483" i="5"/>
  <c r="K483" i="5"/>
  <c r="X482" i="5"/>
  <c r="V482" i="5"/>
  <c r="U482" i="5"/>
  <c r="T482" i="5"/>
  <c r="N482" i="5"/>
  <c r="M482" i="5"/>
  <c r="L482" i="5"/>
  <c r="K482" i="5"/>
  <c r="X481" i="5"/>
  <c r="V481" i="5"/>
  <c r="U481" i="5"/>
  <c r="T481" i="5"/>
  <c r="N481" i="5"/>
  <c r="M481" i="5"/>
  <c r="L481" i="5"/>
  <c r="K481" i="5"/>
  <c r="X480" i="5"/>
  <c r="V480" i="5"/>
  <c r="U480" i="5"/>
  <c r="T480" i="5"/>
  <c r="N480" i="5"/>
  <c r="M480" i="5"/>
  <c r="L480" i="5"/>
  <c r="K480" i="5"/>
  <c r="X479" i="5"/>
  <c r="V479" i="5"/>
  <c r="U479" i="5"/>
  <c r="T479" i="5"/>
  <c r="N479" i="5"/>
  <c r="M479" i="5"/>
  <c r="L479" i="5"/>
  <c r="K479" i="5"/>
  <c r="X478" i="5"/>
  <c r="V478" i="5"/>
  <c r="U478" i="5"/>
  <c r="T478" i="5"/>
  <c r="N478" i="5"/>
  <c r="M478" i="5"/>
  <c r="L478" i="5"/>
  <c r="K478" i="5"/>
  <c r="X477" i="5"/>
  <c r="V477" i="5"/>
  <c r="U477" i="5"/>
  <c r="T477" i="5"/>
  <c r="N477" i="5"/>
  <c r="M477" i="5"/>
  <c r="L477" i="5"/>
  <c r="K477" i="5"/>
  <c r="X476" i="5"/>
  <c r="V476" i="5"/>
  <c r="U476" i="5"/>
  <c r="T476" i="5"/>
  <c r="N476" i="5"/>
  <c r="M476" i="5"/>
  <c r="L476" i="5"/>
  <c r="K476" i="5"/>
  <c r="X475" i="5"/>
  <c r="V475" i="5"/>
  <c r="U475" i="5"/>
  <c r="T475" i="5"/>
  <c r="N475" i="5"/>
  <c r="M475" i="5"/>
  <c r="L475" i="5"/>
  <c r="K475" i="5"/>
  <c r="X474" i="5"/>
  <c r="V474" i="5"/>
  <c r="U474" i="5"/>
  <c r="T474" i="5"/>
  <c r="N474" i="5"/>
  <c r="M474" i="5"/>
  <c r="L474" i="5"/>
  <c r="K474" i="5"/>
  <c r="X473" i="5"/>
  <c r="V473" i="5"/>
  <c r="U473" i="5"/>
  <c r="T473" i="5"/>
  <c r="N473" i="5"/>
  <c r="M473" i="5"/>
  <c r="L473" i="5"/>
  <c r="K473" i="5"/>
  <c r="X472" i="5"/>
  <c r="V472" i="5"/>
  <c r="U472" i="5"/>
  <c r="T472" i="5"/>
  <c r="N472" i="5"/>
  <c r="M472" i="5"/>
  <c r="L472" i="5"/>
  <c r="K472" i="5"/>
  <c r="X471" i="5"/>
  <c r="V471" i="5"/>
  <c r="U471" i="5"/>
  <c r="T471" i="5"/>
  <c r="N471" i="5"/>
  <c r="M471" i="5"/>
  <c r="L471" i="5"/>
  <c r="K471" i="5"/>
  <c r="X470" i="5"/>
  <c r="V470" i="5"/>
  <c r="U470" i="5"/>
  <c r="T470" i="5"/>
  <c r="N470" i="5"/>
  <c r="M470" i="5"/>
  <c r="L470" i="5"/>
  <c r="K470" i="5"/>
  <c r="X469" i="5"/>
  <c r="V469" i="5"/>
  <c r="U469" i="5"/>
  <c r="T469" i="5"/>
  <c r="N469" i="5"/>
  <c r="M469" i="5"/>
  <c r="L469" i="5"/>
  <c r="K469" i="5"/>
  <c r="X468" i="5"/>
  <c r="V468" i="5"/>
  <c r="U468" i="5"/>
  <c r="T468" i="5"/>
  <c r="N468" i="5"/>
  <c r="M468" i="5"/>
  <c r="L468" i="5"/>
  <c r="K468" i="5"/>
  <c r="X467" i="5"/>
  <c r="V467" i="5"/>
  <c r="U467" i="5"/>
  <c r="T467" i="5"/>
  <c r="N467" i="5"/>
  <c r="M467" i="5"/>
  <c r="L467" i="5"/>
  <c r="K467" i="5"/>
  <c r="X466" i="5"/>
  <c r="V466" i="5"/>
  <c r="U466" i="5"/>
  <c r="T466" i="5"/>
  <c r="N466" i="5"/>
  <c r="M466" i="5"/>
  <c r="L466" i="5"/>
  <c r="K466" i="5"/>
  <c r="X465" i="5"/>
  <c r="V465" i="5"/>
  <c r="U465" i="5"/>
  <c r="T465" i="5"/>
  <c r="N465" i="5"/>
  <c r="M465" i="5"/>
  <c r="L465" i="5"/>
  <c r="K465" i="5"/>
  <c r="X464" i="5"/>
  <c r="V464" i="5"/>
  <c r="U464" i="5"/>
  <c r="T464" i="5"/>
  <c r="N464" i="5"/>
  <c r="M464" i="5"/>
  <c r="L464" i="5"/>
  <c r="K464" i="5"/>
  <c r="X463" i="5"/>
  <c r="V463" i="5"/>
  <c r="U463" i="5"/>
  <c r="T463" i="5"/>
  <c r="N463" i="5"/>
  <c r="M463" i="5"/>
  <c r="L463" i="5"/>
  <c r="K463" i="5"/>
  <c r="X462" i="5"/>
  <c r="V462" i="5"/>
  <c r="U462" i="5"/>
  <c r="T462" i="5"/>
  <c r="N462" i="5"/>
  <c r="M462" i="5"/>
  <c r="L462" i="5"/>
  <c r="K462" i="5"/>
  <c r="X461" i="5"/>
  <c r="V461" i="5"/>
  <c r="U461" i="5"/>
  <c r="T461" i="5"/>
  <c r="N461" i="5"/>
  <c r="M461" i="5"/>
  <c r="L461" i="5"/>
  <c r="K461" i="5"/>
  <c r="X460" i="5"/>
  <c r="V460" i="5"/>
  <c r="U460" i="5"/>
  <c r="T460" i="5"/>
  <c r="N460" i="5"/>
  <c r="M460" i="5"/>
  <c r="L460" i="5"/>
  <c r="K460" i="5"/>
  <c r="X459" i="5"/>
  <c r="V459" i="5"/>
  <c r="U459" i="5"/>
  <c r="T459" i="5"/>
  <c r="N459" i="5"/>
  <c r="M459" i="5"/>
  <c r="L459" i="5"/>
  <c r="K459" i="5"/>
  <c r="X458" i="5"/>
  <c r="V458" i="5"/>
  <c r="U458" i="5"/>
  <c r="T458" i="5"/>
  <c r="N458" i="5"/>
  <c r="M458" i="5"/>
  <c r="L458" i="5"/>
  <c r="K458" i="5"/>
  <c r="X457" i="5"/>
  <c r="V457" i="5"/>
  <c r="U457" i="5"/>
  <c r="T457" i="5"/>
  <c r="N457" i="5"/>
  <c r="M457" i="5"/>
  <c r="L457" i="5"/>
  <c r="K457" i="5"/>
  <c r="X456" i="5"/>
  <c r="V456" i="5"/>
  <c r="U456" i="5"/>
  <c r="T456" i="5"/>
  <c r="N456" i="5"/>
  <c r="M456" i="5"/>
  <c r="L456" i="5"/>
  <c r="K456" i="5"/>
  <c r="X455" i="5"/>
  <c r="V455" i="5"/>
  <c r="U455" i="5"/>
  <c r="T455" i="5"/>
  <c r="N455" i="5"/>
  <c r="M455" i="5"/>
  <c r="L455" i="5"/>
  <c r="K455" i="5"/>
  <c r="X454" i="5"/>
  <c r="V454" i="5"/>
  <c r="U454" i="5"/>
  <c r="T454" i="5"/>
  <c r="N454" i="5"/>
  <c r="M454" i="5"/>
  <c r="L454" i="5"/>
  <c r="K454" i="5"/>
  <c r="X453" i="5"/>
  <c r="V453" i="5"/>
  <c r="U453" i="5"/>
  <c r="T453" i="5"/>
  <c r="N453" i="5"/>
  <c r="M453" i="5"/>
  <c r="L453" i="5"/>
  <c r="K453" i="5"/>
  <c r="X452" i="5"/>
  <c r="V452" i="5"/>
  <c r="U452" i="5"/>
  <c r="T452" i="5"/>
  <c r="N452" i="5"/>
  <c r="M452" i="5"/>
  <c r="L452" i="5"/>
  <c r="K452" i="5"/>
  <c r="X451" i="5"/>
  <c r="V451" i="5"/>
  <c r="U451" i="5"/>
  <c r="T451" i="5"/>
  <c r="N451" i="5"/>
  <c r="M451" i="5"/>
  <c r="L451" i="5"/>
  <c r="K451" i="5"/>
  <c r="X450" i="5"/>
  <c r="V450" i="5"/>
  <c r="U450" i="5"/>
  <c r="T450" i="5"/>
  <c r="N450" i="5"/>
  <c r="M450" i="5"/>
  <c r="L450" i="5"/>
  <c r="K450" i="5"/>
  <c r="X449" i="5"/>
  <c r="V449" i="5"/>
  <c r="U449" i="5"/>
  <c r="T449" i="5"/>
  <c r="N449" i="5"/>
  <c r="M449" i="5"/>
  <c r="L449" i="5"/>
  <c r="K449" i="5"/>
  <c r="X448" i="5"/>
  <c r="V448" i="5"/>
  <c r="U448" i="5"/>
  <c r="T448" i="5"/>
  <c r="N448" i="5"/>
  <c r="M448" i="5"/>
  <c r="L448" i="5"/>
  <c r="K448" i="5"/>
  <c r="X447" i="5"/>
  <c r="V447" i="5"/>
  <c r="U447" i="5"/>
  <c r="T447" i="5"/>
  <c r="N447" i="5"/>
  <c r="M447" i="5"/>
  <c r="L447" i="5"/>
  <c r="K447" i="5"/>
  <c r="X446" i="5"/>
  <c r="V446" i="5"/>
  <c r="U446" i="5"/>
  <c r="T446" i="5"/>
  <c r="N446" i="5"/>
  <c r="M446" i="5"/>
  <c r="L446" i="5"/>
  <c r="K446" i="5"/>
  <c r="X445" i="5"/>
  <c r="V445" i="5"/>
  <c r="U445" i="5"/>
  <c r="T445" i="5"/>
  <c r="N445" i="5"/>
  <c r="M445" i="5"/>
  <c r="L445" i="5"/>
  <c r="K445" i="5"/>
  <c r="X444" i="5"/>
  <c r="V444" i="5"/>
  <c r="U444" i="5"/>
  <c r="T444" i="5"/>
  <c r="N444" i="5"/>
  <c r="M444" i="5"/>
  <c r="L444" i="5"/>
  <c r="K444" i="5"/>
  <c r="X443" i="5"/>
  <c r="V443" i="5"/>
  <c r="U443" i="5"/>
  <c r="T443" i="5"/>
  <c r="N443" i="5"/>
  <c r="M443" i="5"/>
  <c r="L443" i="5"/>
  <c r="K443" i="5"/>
  <c r="X442" i="5"/>
  <c r="V442" i="5"/>
  <c r="U442" i="5"/>
  <c r="T442" i="5"/>
  <c r="N442" i="5"/>
  <c r="M442" i="5"/>
  <c r="L442" i="5"/>
  <c r="K442" i="5"/>
  <c r="X441" i="5"/>
  <c r="V441" i="5"/>
  <c r="U441" i="5"/>
  <c r="T441" i="5"/>
  <c r="N441" i="5"/>
  <c r="M441" i="5"/>
  <c r="L441" i="5"/>
  <c r="K441" i="5"/>
  <c r="X440" i="5"/>
  <c r="V440" i="5"/>
  <c r="U440" i="5"/>
  <c r="T440" i="5"/>
  <c r="N440" i="5"/>
  <c r="M440" i="5"/>
  <c r="L440" i="5"/>
  <c r="K440" i="5"/>
  <c r="X439" i="5"/>
  <c r="V439" i="5"/>
  <c r="U439" i="5"/>
  <c r="T439" i="5"/>
  <c r="N439" i="5"/>
  <c r="M439" i="5"/>
  <c r="L439" i="5"/>
  <c r="K439" i="5"/>
  <c r="X438" i="5"/>
  <c r="V438" i="5"/>
  <c r="U438" i="5"/>
  <c r="T438" i="5"/>
  <c r="N438" i="5"/>
  <c r="M438" i="5"/>
  <c r="L438" i="5"/>
  <c r="K438" i="5"/>
  <c r="X437" i="5"/>
  <c r="V437" i="5"/>
  <c r="U437" i="5"/>
  <c r="T437" i="5"/>
  <c r="N437" i="5"/>
  <c r="M437" i="5"/>
  <c r="L437" i="5"/>
  <c r="K437" i="5"/>
  <c r="X436" i="5"/>
  <c r="V436" i="5"/>
  <c r="U436" i="5"/>
  <c r="T436" i="5"/>
  <c r="N436" i="5"/>
  <c r="M436" i="5"/>
  <c r="L436" i="5"/>
  <c r="K436" i="5"/>
  <c r="X435" i="5"/>
  <c r="V435" i="5"/>
  <c r="U435" i="5"/>
  <c r="T435" i="5"/>
  <c r="N435" i="5"/>
  <c r="M435" i="5"/>
  <c r="L435" i="5"/>
  <c r="K435" i="5"/>
  <c r="X434" i="5"/>
  <c r="V434" i="5"/>
  <c r="U434" i="5"/>
  <c r="T434" i="5"/>
  <c r="N434" i="5"/>
  <c r="M434" i="5"/>
  <c r="L434" i="5"/>
  <c r="K434" i="5"/>
  <c r="X433" i="5"/>
  <c r="V433" i="5"/>
  <c r="U433" i="5"/>
  <c r="T433" i="5"/>
  <c r="N433" i="5"/>
  <c r="M433" i="5"/>
  <c r="L433" i="5"/>
  <c r="K433" i="5"/>
  <c r="X432" i="5"/>
  <c r="V432" i="5"/>
  <c r="U432" i="5"/>
  <c r="T432" i="5"/>
  <c r="N432" i="5"/>
  <c r="M432" i="5"/>
  <c r="L432" i="5"/>
  <c r="K432" i="5"/>
  <c r="X431" i="5"/>
  <c r="V431" i="5"/>
  <c r="U431" i="5"/>
  <c r="T431" i="5"/>
  <c r="N431" i="5"/>
  <c r="M431" i="5"/>
  <c r="L431" i="5"/>
  <c r="K431" i="5"/>
  <c r="X430" i="5"/>
  <c r="V430" i="5"/>
  <c r="U430" i="5"/>
  <c r="T430" i="5"/>
  <c r="N430" i="5"/>
  <c r="M430" i="5"/>
  <c r="L430" i="5"/>
  <c r="K430" i="5"/>
  <c r="X429" i="5"/>
  <c r="V429" i="5"/>
  <c r="U429" i="5"/>
  <c r="T429" i="5"/>
  <c r="N429" i="5"/>
  <c r="M429" i="5"/>
  <c r="L429" i="5"/>
  <c r="K429" i="5"/>
  <c r="X428" i="5"/>
  <c r="V428" i="5"/>
  <c r="U428" i="5"/>
  <c r="T428" i="5"/>
  <c r="N428" i="5"/>
  <c r="M428" i="5"/>
  <c r="L428" i="5"/>
  <c r="K428" i="5"/>
  <c r="X427" i="5"/>
  <c r="V427" i="5"/>
  <c r="U427" i="5"/>
  <c r="T427" i="5"/>
  <c r="N427" i="5"/>
  <c r="M427" i="5"/>
  <c r="L427" i="5"/>
  <c r="K427" i="5"/>
  <c r="X426" i="5"/>
  <c r="V426" i="5"/>
  <c r="U426" i="5"/>
  <c r="T426" i="5"/>
  <c r="N426" i="5"/>
  <c r="M426" i="5"/>
  <c r="L426" i="5"/>
  <c r="K426" i="5"/>
  <c r="X425" i="5"/>
  <c r="V425" i="5"/>
  <c r="U425" i="5"/>
  <c r="T425" i="5"/>
  <c r="N425" i="5"/>
  <c r="M425" i="5"/>
  <c r="L425" i="5"/>
  <c r="K425" i="5"/>
  <c r="X424" i="5"/>
  <c r="V424" i="5"/>
  <c r="U424" i="5"/>
  <c r="T424" i="5"/>
  <c r="N424" i="5"/>
  <c r="M424" i="5"/>
  <c r="L424" i="5"/>
  <c r="K424" i="5"/>
  <c r="X423" i="5"/>
  <c r="V423" i="5"/>
  <c r="U423" i="5"/>
  <c r="T423" i="5"/>
  <c r="N423" i="5"/>
  <c r="M423" i="5"/>
  <c r="L423" i="5"/>
  <c r="K423" i="5"/>
  <c r="X422" i="5"/>
  <c r="V422" i="5"/>
  <c r="U422" i="5"/>
  <c r="T422" i="5"/>
  <c r="N422" i="5"/>
  <c r="M422" i="5"/>
  <c r="L422" i="5"/>
  <c r="K422" i="5"/>
  <c r="X421" i="5"/>
  <c r="V421" i="5"/>
  <c r="U421" i="5"/>
  <c r="T421" i="5"/>
  <c r="N421" i="5"/>
  <c r="M421" i="5"/>
  <c r="L421" i="5"/>
  <c r="K421" i="5"/>
  <c r="X420" i="5"/>
  <c r="V420" i="5"/>
  <c r="U420" i="5"/>
  <c r="T420" i="5"/>
  <c r="N420" i="5"/>
  <c r="M420" i="5"/>
  <c r="L420" i="5"/>
  <c r="K420" i="5"/>
  <c r="X419" i="5"/>
  <c r="V419" i="5"/>
  <c r="U419" i="5"/>
  <c r="T419" i="5"/>
  <c r="N419" i="5"/>
  <c r="M419" i="5"/>
  <c r="L419" i="5"/>
  <c r="K419" i="5"/>
  <c r="X418" i="5"/>
  <c r="V418" i="5"/>
  <c r="U418" i="5"/>
  <c r="T418" i="5"/>
  <c r="N418" i="5"/>
  <c r="M418" i="5"/>
  <c r="L418" i="5"/>
  <c r="K418" i="5"/>
  <c r="X417" i="5"/>
  <c r="V417" i="5"/>
  <c r="U417" i="5"/>
  <c r="T417" i="5"/>
  <c r="N417" i="5"/>
  <c r="M417" i="5"/>
  <c r="L417" i="5"/>
  <c r="K417" i="5"/>
  <c r="X416" i="5"/>
  <c r="V416" i="5"/>
  <c r="U416" i="5"/>
  <c r="T416" i="5"/>
  <c r="N416" i="5"/>
  <c r="M416" i="5"/>
  <c r="L416" i="5"/>
  <c r="K416" i="5"/>
  <c r="X415" i="5"/>
  <c r="V415" i="5"/>
  <c r="U415" i="5"/>
  <c r="T415" i="5"/>
  <c r="N415" i="5"/>
  <c r="M415" i="5"/>
  <c r="L415" i="5"/>
  <c r="K415" i="5"/>
  <c r="X414" i="5"/>
  <c r="V414" i="5"/>
  <c r="U414" i="5"/>
  <c r="T414" i="5"/>
  <c r="N414" i="5"/>
  <c r="M414" i="5"/>
  <c r="L414" i="5"/>
  <c r="K414" i="5"/>
  <c r="X413" i="5"/>
  <c r="V413" i="5"/>
  <c r="U413" i="5"/>
  <c r="T413" i="5"/>
  <c r="N413" i="5"/>
  <c r="M413" i="5"/>
  <c r="L413" i="5"/>
  <c r="K413" i="5"/>
  <c r="X412" i="5"/>
  <c r="V412" i="5"/>
  <c r="U412" i="5"/>
  <c r="T412" i="5"/>
  <c r="N412" i="5"/>
  <c r="M412" i="5"/>
  <c r="L412" i="5"/>
  <c r="K412" i="5"/>
  <c r="X411" i="5"/>
  <c r="V411" i="5"/>
  <c r="U411" i="5"/>
  <c r="T411" i="5"/>
  <c r="N411" i="5"/>
  <c r="M411" i="5"/>
  <c r="L411" i="5"/>
  <c r="K411" i="5"/>
  <c r="X410" i="5"/>
  <c r="V410" i="5"/>
  <c r="U410" i="5"/>
  <c r="T410" i="5"/>
  <c r="N410" i="5"/>
  <c r="M410" i="5"/>
  <c r="L410" i="5"/>
  <c r="K410" i="5"/>
  <c r="X409" i="5"/>
  <c r="V409" i="5"/>
  <c r="U409" i="5"/>
  <c r="T409" i="5"/>
  <c r="N409" i="5"/>
  <c r="M409" i="5"/>
  <c r="L409" i="5"/>
  <c r="K409" i="5"/>
  <c r="X408" i="5"/>
  <c r="V408" i="5"/>
  <c r="U408" i="5"/>
  <c r="T408" i="5"/>
  <c r="N408" i="5"/>
  <c r="M408" i="5"/>
  <c r="L408" i="5"/>
  <c r="K408" i="5"/>
  <c r="X407" i="5"/>
  <c r="V407" i="5"/>
  <c r="U407" i="5"/>
  <c r="T407" i="5"/>
  <c r="N407" i="5"/>
  <c r="M407" i="5"/>
  <c r="L407" i="5"/>
  <c r="K407" i="5"/>
  <c r="X406" i="5"/>
  <c r="V406" i="5"/>
  <c r="U406" i="5"/>
  <c r="T406" i="5"/>
  <c r="N406" i="5"/>
  <c r="M406" i="5"/>
  <c r="L406" i="5"/>
  <c r="K406" i="5"/>
  <c r="X405" i="5"/>
  <c r="V405" i="5"/>
  <c r="U405" i="5"/>
  <c r="T405" i="5"/>
  <c r="N405" i="5"/>
  <c r="M405" i="5"/>
  <c r="L405" i="5"/>
  <c r="K405" i="5"/>
  <c r="X404" i="5"/>
  <c r="V404" i="5"/>
  <c r="U404" i="5"/>
  <c r="T404" i="5"/>
  <c r="N404" i="5"/>
  <c r="M404" i="5"/>
  <c r="L404" i="5"/>
  <c r="K404" i="5"/>
  <c r="X403" i="5"/>
  <c r="V403" i="5"/>
  <c r="U403" i="5"/>
  <c r="T403" i="5"/>
  <c r="N403" i="5"/>
  <c r="M403" i="5"/>
  <c r="L403" i="5"/>
  <c r="K403" i="5"/>
  <c r="X402" i="5"/>
  <c r="V402" i="5"/>
  <c r="U402" i="5"/>
  <c r="T402" i="5"/>
  <c r="N402" i="5"/>
  <c r="M402" i="5"/>
  <c r="L402" i="5"/>
  <c r="K402" i="5"/>
  <c r="X401" i="5"/>
  <c r="V401" i="5"/>
  <c r="U401" i="5"/>
  <c r="T401" i="5"/>
  <c r="N401" i="5"/>
  <c r="M401" i="5"/>
  <c r="L401" i="5"/>
  <c r="K401" i="5"/>
  <c r="X400" i="5"/>
  <c r="V400" i="5"/>
  <c r="U400" i="5"/>
  <c r="T400" i="5"/>
  <c r="N400" i="5"/>
  <c r="M400" i="5"/>
  <c r="L400" i="5"/>
  <c r="K400" i="5"/>
  <c r="X399" i="5"/>
  <c r="V399" i="5"/>
  <c r="U399" i="5"/>
  <c r="T399" i="5"/>
  <c r="N399" i="5"/>
  <c r="M399" i="5"/>
  <c r="L399" i="5"/>
  <c r="K399" i="5"/>
  <c r="X398" i="5"/>
  <c r="V398" i="5"/>
  <c r="U398" i="5"/>
  <c r="T398" i="5"/>
  <c r="N398" i="5"/>
  <c r="M398" i="5"/>
  <c r="L398" i="5"/>
  <c r="K398" i="5"/>
  <c r="X397" i="5"/>
  <c r="V397" i="5"/>
  <c r="U397" i="5"/>
  <c r="T397" i="5"/>
  <c r="N397" i="5"/>
  <c r="M397" i="5"/>
  <c r="L397" i="5"/>
  <c r="K397" i="5"/>
  <c r="X396" i="5"/>
  <c r="V396" i="5"/>
  <c r="U396" i="5"/>
  <c r="T396" i="5"/>
  <c r="N396" i="5"/>
  <c r="M396" i="5"/>
  <c r="L396" i="5"/>
  <c r="K396" i="5"/>
  <c r="X395" i="5"/>
  <c r="V395" i="5"/>
  <c r="U395" i="5"/>
  <c r="T395" i="5"/>
  <c r="N395" i="5"/>
  <c r="M395" i="5"/>
  <c r="L395" i="5"/>
  <c r="K395" i="5"/>
  <c r="X394" i="5"/>
  <c r="V394" i="5"/>
  <c r="U394" i="5"/>
  <c r="T394" i="5"/>
  <c r="N394" i="5"/>
  <c r="M394" i="5"/>
  <c r="L394" i="5"/>
  <c r="K394" i="5"/>
  <c r="X393" i="5"/>
  <c r="V393" i="5"/>
  <c r="U393" i="5"/>
  <c r="T393" i="5"/>
  <c r="N393" i="5"/>
  <c r="M393" i="5"/>
  <c r="L393" i="5"/>
  <c r="K393" i="5"/>
  <c r="X392" i="5"/>
  <c r="V392" i="5"/>
  <c r="U392" i="5"/>
  <c r="T392" i="5"/>
  <c r="N392" i="5"/>
  <c r="M392" i="5"/>
  <c r="L392" i="5"/>
  <c r="K392" i="5"/>
  <c r="X391" i="5"/>
  <c r="V391" i="5"/>
  <c r="U391" i="5"/>
  <c r="T391" i="5"/>
  <c r="N391" i="5"/>
  <c r="M391" i="5"/>
  <c r="L391" i="5"/>
  <c r="K391" i="5"/>
  <c r="X390" i="5"/>
  <c r="V390" i="5"/>
  <c r="U390" i="5"/>
  <c r="T390" i="5"/>
  <c r="N390" i="5"/>
  <c r="M390" i="5"/>
  <c r="L390" i="5"/>
  <c r="K390" i="5"/>
  <c r="X389" i="5"/>
  <c r="V389" i="5"/>
  <c r="U389" i="5"/>
  <c r="T389" i="5"/>
  <c r="N389" i="5"/>
  <c r="M389" i="5"/>
  <c r="L389" i="5"/>
  <c r="K389" i="5"/>
  <c r="X388" i="5"/>
  <c r="V388" i="5"/>
  <c r="U388" i="5"/>
  <c r="T388" i="5"/>
  <c r="N388" i="5"/>
  <c r="M388" i="5"/>
  <c r="L388" i="5"/>
  <c r="K388" i="5"/>
  <c r="X387" i="5"/>
  <c r="V387" i="5"/>
  <c r="U387" i="5"/>
  <c r="T387" i="5"/>
  <c r="N387" i="5"/>
  <c r="M387" i="5"/>
  <c r="L387" i="5"/>
  <c r="K387" i="5"/>
  <c r="X386" i="5"/>
  <c r="V386" i="5"/>
  <c r="U386" i="5"/>
  <c r="T386" i="5"/>
  <c r="N386" i="5"/>
  <c r="M386" i="5"/>
  <c r="L386" i="5"/>
  <c r="K386" i="5"/>
  <c r="X385" i="5"/>
  <c r="V385" i="5"/>
  <c r="U385" i="5"/>
  <c r="T385" i="5"/>
  <c r="N385" i="5"/>
  <c r="M385" i="5"/>
  <c r="L385" i="5"/>
  <c r="K385" i="5"/>
  <c r="X384" i="5"/>
  <c r="V384" i="5"/>
  <c r="U384" i="5"/>
  <c r="T384" i="5"/>
  <c r="N384" i="5"/>
  <c r="M384" i="5"/>
  <c r="L384" i="5"/>
  <c r="K384" i="5"/>
  <c r="X383" i="5"/>
  <c r="V383" i="5"/>
  <c r="U383" i="5"/>
  <c r="T383" i="5"/>
  <c r="N383" i="5"/>
  <c r="M383" i="5"/>
  <c r="L383" i="5"/>
  <c r="K383" i="5"/>
  <c r="X382" i="5"/>
  <c r="V382" i="5"/>
  <c r="U382" i="5"/>
  <c r="T382" i="5"/>
  <c r="N382" i="5"/>
  <c r="M382" i="5"/>
  <c r="L382" i="5"/>
  <c r="K382" i="5"/>
  <c r="X381" i="5"/>
  <c r="V381" i="5"/>
  <c r="U381" i="5"/>
  <c r="T381" i="5"/>
  <c r="N381" i="5"/>
  <c r="M381" i="5"/>
  <c r="L381" i="5"/>
  <c r="K381" i="5"/>
  <c r="X380" i="5"/>
  <c r="V380" i="5"/>
  <c r="U380" i="5"/>
  <c r="T380" i="5"/>
  <c r="N380" i="5"/>
  <c r="M380" i="5"/>
  <c r="L380" i="5"/>
  <c r="K380" i="5"/>
  <c r="X379" i="5"/>
  <c r="V379" i="5"/>
  <c r="U379" i="5"/>
  <c r="T379" i="5"/>
  <c r="N379" i="5"/>
  <c r="M379" i="5"/>
  <c r="L379" i="5"/>
  <c r="K379" i="5"/>
  <c r="X378" i="5"/>
  <c r="V378" i="5"/>
  <c r="U378" i="5"/>
  <c r="T378" i="5"/>
  <c r="N378" i="5"/>
  <c r="M378" i="5"/>
  <c r="L378" i="5"/>
  <c r="K378" i="5"/>
  <c r="X377" i="5"/>
  <c r="V377" i="5"/>
  <c r="U377" i="5"/>
  <c r="T377" i="5"/>
  <c r="N377" i="5"/>
  <c r="M377" i="5"/>
  <c r="L377" i="5"/>
  <c r="K377" i="5"/>
  <c r="X376" i="5"/>
  <c r="V376" i="5"/>
  <c r="U376" i="5"/>
  <c r="T376" i="5"/>
  <c r="N376" i="5"/>
  <c r="M376" i="5"/>
  <c r="L376" i="5"/>
  <c r="K376" i="5"/>
  <c r="X375" i="5"/>
  <c r="V375" i="5"/>
  <c r="U375" i="5"/>
  <c r="T375" i="5"/>
  <c r="N375" i="5"/>
  <c r="M375" i="5"/>
  <c r="L375" i="5"/>
  <c r="K375" i="5"/>
  <c r="X374" i="5"/>
  <c r="V374" i="5"/>
  <c r="U374" i="5"/>
  <c r="T374" i="5"/>
  <c r="N374" i="5"/>
  <c r="M374" i="5"/>
  <c r="L374" i="5"/>
  <c r="K374" i="5"/>
  <c r="X373" i="5"/>
  <c r="V373" i="5"/>
  <c r="U373" i="5"/>
  <c r="T373" i="5"/>
  <c r="N373" i="5"/>
  <c r="M373" i="5"/>
  <c r="L373" i="5"/>
  <c r="K373" i="5"/>
  <c r="X372" i="5"/>
  <c r="V372" i="5"/>
  <c r="U372" i="5"/>
  <c r="T372" i="5"/>
  <c r="N372" i="5"/>
  <c r="M372" i="5"/>
  <c r="L372" i="5"/>
  <c r="K372" i="5"/>
  <c r="X371" i="5"/>
  <c r="V371" i="5"/>
  <c r="U371" i="5"/>
  <c r="T371" i="5"/>
  <c r="N371" i="5"/>
  <c r="M371" i="5"/>
  <c r="L371" i="5"/>
  <c r="K371" i="5"/>
  <c r="X370" i="5"/>
  <c r="V370" i="5"/>
  <c r="U370" i="5"/>
  <c r="T370" i="5"/>
  <c r="N370" i="5"/>
  <c r="M370" i="5"/>
  <c r="L370" i="5"/>
  <c r="K370" i="5"/>
  <c r="X369" i="5"/>
  <c r="V369" i="5"/>
  <c r="U369" i="5"/>
  <c r="T369" i="5"/>
  <c r="N369" i="5"/>
  <c r="M369" i="5"/>
  <c r="L369" i="5"/>
  <c r="K369" i="5"/>
  <c r="X368" i="5"/>
  <c r="V368" i="5"/>
  <c r="U368" i="5"/>
  <c r="T368" i="5"/>
  <c r="N368" i="5"/>
  <c r="M368" i="5"/>
  <c r="L368" i="5"/>
  <c r="K368" i="5"/>
  <c r="X367" i="5"/>
  <c r="V367" i="5"/>
  <c r="U367" i="5"/>
  <c r="T367" i="5"/>
  <c r="N367" i="5"/>
  <c r="M367" i="5"/>
  <c r="L367" i="5"/>
  <c r="K367" i="5"/>
  <c r="X366" i="5"/>
  <c r="V366" i="5"/>
  <c r="U366" i="5"/>
  <c r="T366" i="5"/>
  <c r="N366" i="5"/>
  <c r="M366" i="5"/>
  <c r="L366" i="5"/>
  <c r="K366" i="5"/>
  <c r="X365" i="5"/>
  <c r="V365" i="5"/>
  <c r="U365" i="5"/>
  <c r="T365" i="5"/>
  <c r="N365" i="5"/>
  <c r="M365" i="5"/>
  <c r="L365" i="5"/>
  <c r="K365" i="5"/>
  <c r="X364" i="5"/>
  <c r="V364" i="5"/>
  <c r="U364" i="5"/>
  <c r="T364" i="5"/>
  <c r="N364" i="5"/>
  <c r="M364" i="5"/>
  <c r="L364" i="5"/>
  <c r="K364" i="5"/>
  <c r="X363" i="5"/>
  <c r="V363" i="5"/>
  <c r="U363" i="5"/>
  <c r="T363" i="5"/>
  <c r="N363" i="5"/>
  <c r="M363" i="5"/>
  <c r="L363" i="5"/>
  <c r="K363" i="5"/>
  <c r="X362" i="5"/>
  <c r="V362" i="5"/>
  <c r="U362" i="5"/>
  <c r="T362" i="5"/>
  <c r="N362" i="5"/>
  <c r="M362" i="5"/>
  <c r="L362" i="5"/>
  <c r="K362" i="5"/>
  <c r="X361" i="5"/>
  <c r="V361" i="5"/>
  <c r="U361" i="5"/>
  <c r="T361" i="5"/>
  <c r="N361" i="5"/>
  <c r="M361" i="5"/>
  <c r="L361" i="5"/>
  <c r="K361" i="5"/>
  <c r="X360" i="5"/>
  <c r="V360" i="5"/>
  <c r="U360" i="5"/>
  <c r="T360" i="5"/>
  <c r="N360" i="5"/>
  <c r="M360" i="5"/>
  <c r="L360" i="5"/>
  <c r="K360" i="5"/>
  <c r="X359" i="5"/>
  <c r="V359" i="5"/>
  <c r="U359" i="5"/>
  <c r="T359" i="5"/>
  <c r="N359" i="5"/>
  <c r="M359" i="5"/>
  <c r="L359" i="5"/>
  <c r="K359" i="5"/>
  <c r="X358" i="5"/>
  <c r="V358" i="5"/>
  <c r="U358" i="5"/>
  <c r="T358" i="5"/>
  <c r="N358" i="5"/>
  <c r="M358" i="5"/>
  <c r="L358" i="5"/>
  <c r="K358" i="5"/>
  <c r="X357" i="5"/>
  <c r="V357" i="5"/>
  <c r="U357" i="5"/>
  <c r="T357" i="5"/>
  <c r="N357" i="5"/>
  <c r="M357" i="5"/>
  <c r="L357" i="5"/>
  <c r="K357" i="5"/>
  <c r="X356" i="5"/>
  <c r="W356" i="5"/>
  <c r="V356" i="5"/>
  <c r="U356" i="5"/>
  <c r="T356" i="5"/>
  <c r="S356" i="5"/>
  <c r="N356" i="5"/>
  <c r="M356" i="5"/>
  <c r="L356" i="5"/>
  <c r="K356" i="5"/>
  <c r="X355" i="5"/>
  <c r="V355" i="5"/>
  <c r="U355" i="5"/>
  <c r="T355" i="5"/>
  <c r="N355" i="5"/>
  <c r="M355" i="5"/>
  <c r="L355" i="5"/>
  <c r="K355" i="5"/>
  <c r="X354" i="5"/>
  <c r="V354" i="5"/>
  <c r="U354" i="5"/>
  <c r="T354" i="5"/>
  <c r="N354" i="5"/>
  <c r="M354" i="5"/>
  <c r="L354" i="5"/>
  <c r="K354" i="5"/>
  <c r="X353" i="5"/>
  <c r="V353" i="5"/>
  <c r="U353" i="5"/>
  <c r="T353" i="5"/>
  <c r="N353" i="5"/>
  <c r="M353" i="5"/>
  <c r="L353" i="5"/>
  <c r="K353" i="5"/>
  <c r="X352" i="5"/>
  <c r="V352" i="5"/>
  <c r="U352" i="5"/>
  <c r="T352" i="5"/>
  <c r="N352" i="5"/>
  <c r="M352" i="5"/>
  <c r="L352" i="5"/>
  <c r="K352" i="5"/>
  <c r="X351" i="5"/>
  <c r="V351" i="5"/>
  <c r="U351" i="5"/>
  <c r="T351" i="5"/>
  <c r="N351" i="5"/>
  <c r="M351" i="5"/>
  <c r="L351" i="5"/>
  <c r="K351" i="5"/>
  <c r="X350" i="5"/>
  <c r="V350" i="5"/>
  <c r="U350" i="5"/>
  <c r="T350" i="5"/>
  <c r="N350" i="5"/>
  <c r="M350" i="5"/>
  <c r="L350" i="5"/>
  <c r="K350" i="5"/>
  <c r="X349" i="5"/>
  <c r="W349" i="5"/>
  <c r="V349" i="5"/>
  <c r="U349" i="5"/>
  <c r="T349" i="5"/>
  <c r="S349" i="5"/>
  <c r="N349" i="5"/>
  <c r="M349" i="5"/>
  <c r="L349" i="5"/>
  <c r="K349" i="5"/>
  <c r="X348" i="5"/>
  <c r="V348" i="5"/>
  <c r="U348" i="5"/>
  <c r="T348" i="5"/>
  <c r="N348" i="5"/>
  <c r="M348" i="5"/>
  <c r="L348" i="5"/>
  <c r="K348" i="5"/>
  <c r="X347" i="5"/>
  <c r="V347" i="5"/>
  <c r="U347" i="5"/>
  <c r="T347" i="5"/>
  <c r="N347" i="5"/>
  <c r="M347" i="5"/>
  <c r="L347" i="5"/>
  <c r="K347" i="5"/>
  <c r="X346" i="5"/>
  <c r="V346" i="5"/>
  <c r="U346" i="5"/>
  <c r="T346" i="5"/>
  <c r="N346" i="5"/>
  <c r="M346" i="5"/>
  <c r="L346" i="5"/>
  <c r="K346" i="5"/>
  <c r="X345" i="5"/>
  <c r="V345" i="5"/>
  <c r="U345" i="5"/>
  <c r="T345" i="5"/>
  <c r="N345" i="5"/>
  <c r="M345" i="5"/>
  <c r="L345" i="5"/>
  <c r="K345" i="5"/>
  <c r="X344" i="5"/>
  <c r="V344" i="5"/>
  <c r="U344" i="5"/>
  <c r="T344" i="5"/>
  <c r="N344" i="5"/>
  <c r="M344" i="5"/>
  <c r="L344" i="5"/>
  <c r="K344" i="5"/>
  <c r="X343" i="5"/>
  <c r="V343" i="5"/>
  <c r="U343" i="5"/>
  <c r="T343" i="5"/>
  <c r="N343" i="5"/>
  <c r="M343" i="5"/>
  <c r="L343" i="5"/>
  <c r="K343" i="5"/>
  <c r="X342" i="5"/>
  <c r="V342" i="5"/>
  <c r="U342" i="5"/>
  <c r="T342" i="5"/>
  <c r="N342" i="5"/>
  <c r="M342" i="5"/>
  <c r="L342" i="5"/>
  <c r="K342" i="5"/>
  <c r="X341" i="5"/>
  <c r="V341" i="5"/>
  <c r="U341" i="5"/>
  <c r="T341" i="5"/>
  <c r="N341" i="5"/>
  <c r="M341" i="5"/>
  <c r="L341" i="5"/>
  <c r="K341" i="5"/>
  <c r="X340" i="5"/>
  <c r="V340" i="5"/>
  <c r="U340" i="5"/>
  <c r="T340" i="5"/>
  <c r="N340" i="5"/>
  <c r="M340" i="5"/>
  <c r="L340" i="5"/>
  <c r="K340" i="5"/>
  <c r="X339" i="5"/>
  <c r="V339" i="5"/>
  <c r="U339" i="5"/>
  <c r="T339" i="5"/>
  <c r="N339" i="5"/>
  <c r="M339" i="5"/>
  <c r="L339" i="5"/>
  <c r="K339" i="5"/>
  <c r="X338" i="5"/>
  <c r="V338" i="5"/>
  <c r="U338" i="5"/>
  <c r="T338" i="5"/>
  <c r="N338" i="5"/>
  <c r="M338" i="5"/>
  <c r="L338" i="5"/>
  <c r="K338" i="5"/>
  <c r="X337" i="5"/>
  <c r="W337" i="5"/>
  <c r="V337" i="5"/>
  <c r="U337" i="5"/>
  <c r="T337" i="5"/>
  <c r="S337" i="5"/>
  <c r="N337" i="5"/>
  <c r="M337" i="5"/>
  <c r="L337" i="5"/>
  <c r="K337" i="5"/>
  <c r="X336" i="5"/>
  <c r="V336" i="5"/>
  <c r="U336" i="5"/>
  <c r="T336" i="5"/>
  <c r="N336" i="5"/>
  <c r="M336" i="5"/>
  <c r="L336" i="5"/>
  <c r="K336" i="5"/>
  <c r="X335" i="5"/>
  <c r="V335" i="5"/>
  <c r="U335" i="5"/>
  <c r="T335" i="5"/>
  <c r="N335" i="5"/>
  <c r="M335" i="5"/>
  <c r="L335" i="5"/>
  <c r="K335" i="5"/>
  <c r="X334" i="5"/>
  <c r="V334" i="5"/>
  <c r="U334" i="5"/>
  <c r="T334" i="5"/>
  <c r="N334" i="5"/>
  <c r="M334" i="5"/>
  <c r="L334" i="5"/>
  <c r="K334" i="5"/>
  <c r="X333" i="5"/>
  <c r="V333" i="5"/>
  <c r="U333" i="5"/>
  <c r="T333" i="5"/>
  <c r="N333" i="5"/>
  <c r="M333" i="5"/>
  <c r="L333" i="5"/>
  <c r="K333" i="5"/>
  <c r="X332" i="5"/>
  <c r="V332" i="5"/>
  <c r="U332" i="5"/>
  <c r="T332" i="5"/>
  <c r="N332" i="5"/>
  <c r="M332" i="5"/>
  <c r="L332" i="5"/>
  <c r="K332" i="5"/>
  <c r="X331" i="5"/>
  <c r="V331" i="5"/>
  <c r="U331" i="5"/>
  <c r="T331" i="5"/>
  <c r="N331" i="5"/>
  <c r="M331" i="5"/>
  <c r="L331" i="5"/>
  <c r="K331" i="5"/>
  <c r="X330" i="5"/>
  <c r="V330" i="5"/>
  <c r="U330" i="5"/>
  <c r="T330" i="5"/>
  <c r="N330" i="5"/>
  <c r="M330" i="5"/>
  <c r="L330" i="5"/>
  <c r="K330" i="5"/>
  <c r="X329" i="5"/>
  <c r="V329" i="5"/>
  <c r="U329" i="5"/>
  <c r="T329" i="5"/>
  <c r="N329" i="5"/>
  <c r="M329" i="5"/>
  <c r="L329" i="5"/>
  <c r="K329" i="5"/>
  <c r="X328" i="5"/>
  <c r="V328" i="5"/>
  <c r="U328" i="5"/>
  <c r="T328" i="5"/>
  <c r="N328" i="5"/>
  <c r="M328" i="5"/>
  <c r="L328" i="5"/>
  <c r="K328" i="5"/>
  <c r="X327" i="5"/>
  <c r="V327" i="5"/>
  <c r="U327" i="5"/>
  <c r="T327" i="5"/>
  <c r="N327" i="5"/>
  <c r="M327" i="5"/>
  <c r="L327" i="5"/>
  <c r="K327" i="5"/>
  <c r="X326" i="5"/>
  <c r="V326" i="5"/>
  <c r="U326" i="5"/>
  <c r="T326" i="5"/>
  <c r="N326" i="5"/>
  <c r="M326" i="5"/>
  <c r="L326" i="5"/>
  <c r="K326" i="5"/>
  <c r="X325" i="5"/>
  <c r="V325" i="5"/>
  <c r="U325" i="5"/>
  <c r="T325" i="5"/>
  <c r="N325" i="5"/>
  <c r="M325" i="5"/>
  <c r="L325" i="5"/>
  <c r="K325" i="5"/>
  <c r="X324" i="5"/>
  <c r="V324" i="5"/>
  <c r="U324" i="5"/>
  <c r="T324" i="5"/>
  <c r="N324" i="5"/>
  <c r="M324" i="5"/>
  <c r="L324" i="5"/>
  <c r="K324" i="5"/>
  <c r="X323" i="5"/>
  <c r="V323" i="5"/>
  <c r="U323" i="5"/>
  <c r="T323" i="5"/>
  <c r="N323" i="5"/>
  <c r="M323" i="5"/>
  <c r="L323" i="5"/>
  <c r="K323" i="5"/>
  <c r="X322" i="5"/>
  <c r="W322" i="5"/>
  <c r="V322" i="5"/>
  <c r="U322" i="5"/>
  <c r="T322" i="5"/>
  <c r="S322" i="5"/>
  <c r="N322" i="5"/>
  <c r="M322" i="5"/>
  <c r="L322" i="5"/>
  <c r="K322" i="5"/>
  <c r="X321" i="5"/>
  <c r="V321" i="5"/>
  <c r="U321" i="5"/>
  <c r="T321" i="5"/>
  <c r="N321" i="5"/>
  <c r="M321" i="5"/>
  <c r="L321" i="5"/>
  <c r="K321" i="5"/>
  <c r="X320" i="5"/>
  <c r="W320" i="5"/>
  <c r="V320" i="5"/>
  <c r="U320" i="5"/>
  <c r="T320" i="5"/>
  <c r="S320" i="5"/>
  <c r="N320" i="5"/>
  <c r="M320" i="5"/>
  <c r="L320" i="5"/>
  <c r="K320" i="5"/>
  <c r="X319" i="5"/>
  <c r="V319" i="5"/>
  <c r="U319" i="5"/>
  <c r="T319" i="5"/>
  <c r="N319" i="5"/>
  <c r="M319" i="5"/>
  <c r="L319" i="5"/>
  <c r="K319" i="5"/>
  <c r="X318" i="5"/>
  <c r="V318" i="5"/>
  <c r="U318" i="5"/>
  <c r="T318" i="5"/>
  <c r="N318" i="5"/>
  <c r="M318" i="5"/>
  <c r="L318" i="5"/>
  <c r="K318" i="5"/>
  <c r="X317" i="5"/>
  <c r="W317" i="5"/>
  <c r="V317" i="5"/>
  <c r="U317" i="5"/>
  <c r="T317" i="5"/>
  <c r="S317" i="5"/>
  <c r="N317" i="5"/>
  <c r="M317" i="5"/>
  <c r="L317" i="5"/>
  <c r="K317" i="5"/>
  <c r="X316" i="5"/>
  <c r="V316" i="5"/>
  <c r="U316" i="5"/>
  <c r="T316" i="5"/>
  <c r="N316" i="5"/>
  <c r="M316" i="5"/>
  <c r="L316" i="5"/>
  <c r="K316" i="5"/>
  <c r="X315" i="5"/>
  <c r="V315" i="5"/>
  <c r="U315" i="5"/>
  <c r="T315" i="5"/>
  <c r="N315" i="5"/>
  <c r="M315" i="5"/>
  <c r="L315" i="5"/>
  <c r="K315" i="5"/>
  <c r="X314" i="5"/>
  <c r="V314" i="5"/>
  <c r="U314" i="5"/>
  <c r="T314" i="5"/>
  <c r="N314" i="5"/>
  <c r="M314" i="5"/>
  <c r="L314" i="5"/>
  <c r="K314" i="5"/>
  <c r="X313" i="5"/>
  <c r="V313" i="5"/>
  <c r="U313" i="5"/>
  <c r="T313" i="5"/>
  <c r="N313" i="5"/>
  <c r="M313" i="5"/>
  <c r="L313" i="5"/>
  <c r="K313" i="5"/>
  <c r="X312" i="5"/>
  <c r="V312" i="5"/>
  <c r="U312" i="5"/>
  <c r="T312" i="5"/>
  <c r="N312" i="5"/>
  <c r="M312" i="5"/>
  <c r="L312" i="5"/>
  <c r="K312" i="5"/>
  <c r="X311" i="5"/>
  <c r="V311" i="5"/>
  <c r="U311" i="5"/>
  <c r="T311" i="5"/>
  <c r="N311" i="5"/>
  <c r="M311" i="5"/>
  <c r="L311" i="5"/>
  <c r="K311" i="5"/>
  <c r="X310" i="5"/>
  <c r="V310" i="5"/>
  <c r="U310" i="5"/>
  <c r="T310" i="5"/>
  <c r="N310" i="5"/>
  <c r="M310" i="5"/>
  <c r="L310" i="5"/>
  <c r="K310" i="5"/>
  <c r="X309" i="5"/>
  <c r="V309" i="5"/>
  <c r="U309" i="5"/>
  <c r="T309" i="5"/>
  <c r="N309" i="5"/>
  <c r="M309" i="5"/>
  <c r="L309" i="5"/>
  <c r="K309" i="5"/>
  <c r="X308" i="5"/>
  <c r="V308" i="5"/>
  <c r="U308" i="5"/>
  <c r="T308" i="5"/>
  <c r="N308" i="5"/>
  <c r="M308" i="5"/>
  <c r="L308" i="5"/>
  <c r="K308" i="5"/>
  <c r="X307" i="5"/>
  <c r="V307" i="5"/>
  <c r="U307" i="5"/>
  <c r="T307" i="5"/>
  <c r="N307" i="5"/>
  <c r="M307" i="5"/>
  <c r="L307" i="5"/>
  <c r="K307" i="5"/>
  <c r="X306" i="5"/>
  <c r="V306" i="5"/>
  <c r="U306" i="5"/>
  <c r="T306" i="5"/>
  <c r="N306" i="5"/>
  <c r="M306" i="5"/>
  <c r="L306" i="5"/>
  <c r="K306" i="5"/>
  <c r="X305" i="5"/>
  <c r="V305" i="5"/>
  <c r="U305" i="5"/>
  <c r="T305" i="5"/>
  <c r="N305" i="5"/>
  <c r="M305" i="5"/>
  <c r="L305" i="5"/>
  <c r="K305" i="5"/>
  <c r="X304" i="5"/>
  <c r="V304" i="5"/>
  <c r="U304" i="5"/>
  <c r="T304" i="5"/>
  <c r="N304" i="5"/>
  <c r="M304" i="5"/>
  <c r="L304" i="5"/>
  <c r="K304" i="5"/>
  <c r="X303" i="5"/>
  <c r="V303" i="5"/>
  <c r="U303" i="5"/>
  <c r="T303" i="5"/>
  <c r="N303" i="5"/>
  <c r="M303" i="5"/>
  <c r="L303" i="5"/>
  <c r="K303" i="5"/>
  <c r="X302" i="5"/>
  <c r="V302" i="5"/>
  <c r="U302" i="5"/>
  <c r="T302" i="5"/>
  <c r="N302" i="5"/>
  <c r="M302" i="5"/>
  <c r="L302" i="5"/>
  <c r="K302" i="5"/>
  <c r="X301" i="5"/>
  <c r="V301" i="5"/>
  <c r="U301" i="5"/>
  <c r="T301" i="5"/>
  <c r="N301" i="5"/>
  <c r="M301" i="5"/>
  <c r="L301" i="5"/>
  <c r="K301" i="5"/>
  <c r="X300" i="5"/>
  <c r="V300" i="5"/>
  <c r="U300" i="5"/>
  <c r="T300" i="5"/>
  <c r="N300" i="5"/>
  <c r="M300" i="5"/>
  <c r="L300" i="5"/>
  <c r="K300" i="5"/>
  <c r="X299" i="5"/>
  <c r="V299" i="5"/>
  <c r="U299" i="5"/>
  <c r="T299" i="5"/>
  <c r="N299" i="5"/>
  <c r="M299" i="5"/>
  <c r="L299" i="5"/>
  <c r="K299" i="5"/>
  <c r="X298" i="5"/>
  <c r="V298" i="5"/>
  <c r="U298" i="5"/>
  <c r="T298" i="5"/>
  <c r="N298" i="5"/>
  <c r="M298" i="5"/>
  <c r="L298" i="5"/>
  <c r="K298" i="5"/>
  <c r="X297" i="5"/>
  <c r="V297" i="5"/>
  <c r="U297" i="5"/>
  <c r="T297" i="5"/>
  <c r="N297" i="5"/>
  <c r="M297" i="5"/>
  <c r="L297" i="5"/>
  <c r="K297" i="5"/>
  <c r="X296" i="5"/>
  <c r="V296" i="5"/>
  <c r="U296" i="5"/>
  <c r="T296" i="5"/>
  <c r="N296" i="5"/>
  <c r="M296" i="5"/>
  <c r="L296" i="5"/>
  <c r="K296" i="5"/>
  <c r="X295" i="5"/>
  <c r="V295" i="5"/>
  <c r="U295" i="5"/>
  <c r="T295" i="5"/>
  <c r="N295" i="5"/>
  <c r="M295" i="5"/>
  <c r="L295" i="5"/>
  <c r="K295" i="5"/>
  <c r="X294" i="5"/>
  <c r="V294" i="5"/>
  <c r="U294" i="5"/>
  <c r="T294" i="5"/>
  <c r="N294" i="5"/>
  <c r="M294" i="5"/>
  <c r="L294" i="5"/>
  <c r="K294" i="5"/>
  <c r="X293" i="5"/>
  <c r="V293" i="5"/>
  <c r="U293" i="5"/>
  <c r="T293" i="5"/>
  <c r="N293" i="5"/>
  <c r="M293" i="5"/>
  <c r="L293" i="5"/>
  <c r="K293" i="5"/>
  <c r="X292" i="5"/>
  <c r="V292" i="5"/>
  <c r="U292" i="5"/>
  <c r="T292" i="5"/>
  <c r="N292" i="5"/>
  <c r="M292" i="5"/>
  <c r="L292" i="5"/>
  <c r="K292" i="5"/>
  <c r="X291" i="5"/>
  <c r="V291" i="5"/>
  <c r="U291" i="5"/>
  <c r="T291" i="5"/>
  <c r="N291" i="5"/>
  <c r="M291" i="5"/>
  <c r="L291" i="5"/>
  <c r="K291" i="5"/>
  <c r="X290" i="5"/>
  <c r="V290" i="5"/>
  <c r="U290" i="5"/>
  <c r="T290" i="5"/>
  <c r="N290" i="5"/>
  <c r="M290" i="5"/>
  <c r="L290" i="5"/>
  <c r="K290" i="5"/>
  <c r="X289" i="5"/>
  <c r="V289" i="5"/>
  <c r="U289" i="5"/>
  <c r="T289" i="5"/>
  <c r="N289" i="5"/>
  <c r="M289" i="5"/>
  <c r="L289" i="5"/>
  <c r="K289" i="5"/>
  <c r="X288" i="5"/>
  <c r="V288" i="5"/>
  <c r="U288" i="5"/>
  <c r="T288" i="5"/>
  <c r="N288" i="5"/>
  <c r="M288" i="5"/>
  <c r="L288" i="5"/>
  <c r="K288" i="5"/>
  <c r="X287" i="5"/>
  <c r="V287" i="5"/>
  <c r="U287" i="5"/>
  <c r="T287" i="5"/>
  <c r="N287" i="5"/>
  <c r="M287" i="5"/>
  <c r="L287" i="5"/>
  <c r="K287" i="5"/>
  <c r="X286" i="5"/>
  <c r="V286" i="5"/>
  <c r="U286" i="5"/>
  <c r="T286" i="5"/>
  <c r="N286" i="5"/>
  <c r="M286" i="5"/>
  <c r="L286" i="5"/>
  <c r="K286" i="5"/>
  <c r="X285" i="5"/>
  <c r="V285" i="5"/>
  <c r="U285" i="5"/>
  <c r="T285" i="5"/>
  <c r="N285" i="5"/>
  <c r="M285" i="5"/>
  <c r="L285" i="5"/>
  <c r="K285" i="5"/>
  <c r="X284" i="5"/>
  <c r="V284" i="5"/>
  <c r="U284" i="5"/>
  <c r="T284" i="5"/>
  <c r="N284" i="5"/>
  <c r="M284" i="5"/>
  <c r="L284" i="5"/>
  <c r="K284" i="5"/>
  <c r="X283" i="5"/>
  <c r="V283" i="5"/>
  <c r="U283" i="5"/>
  <c r="T283" i="5"/>
  <c r="N283" i="5"/>
  <c r="M283" i="5"/>
  <c r="L283" i="5"/>
  <c r="K283" i="5"/>
  <c r="X282" i="5"/>
  <c r="V282" i="5"/>
  <c r="U282" i="5"/>
  <c r="T282" i="5"/>
  <c r="N282" i="5"/>
  <c r="M282" i="5"/>
  <c r="L282" i="5"/>
  <c r="K282" i="5"/>
  <c r="X281" i="5"/>
  <c r="V281" i="5"/>
  <c r="U281" i="5"/>
  <c r="T281" i="5"/>
  <c r="N281" i="5"/>
  <c r="M281" i="5"/>
  <c r="L281" i="5"/>
  <c r="K281" i="5"/>
  <c r="X280" i="5"/>
  <c r="V280" i="5"/>
  <c r="U280" i="5"/>
  <c r="T280" i="5"/>
  <c r="N280" i="5"/>
  <c r="M280" i="5"/>
  <c r="L280" i="5"/>
  <c r="K280" i="5"/>
  <c r="X279" i="5"/>
  <c r="V279" i="5"/>
  <c r="U279" i="5"/>
  <c r="T279" i="5"/>
  <c r="N279" i="5"/>
  <c r="M279" i="5"/>
  <c r="L279" i="5"/>
  <c r="K279" i="5"/>
  <c r="X278" i="5"/>
  <c r="V278" i="5"/>
  <c r="U278" i="5"/>
  <c r="T278" i="5"/>
  <c r="N278" i="5"/>
  <c r="M278" i="5"/>
  <c r="L278" i="5"/>
  <c r="K278" i="5"/>
  <c r="X277" i="5"/>
  <c r="V277" i="5"/>
  <c r="U277" i="5"/>
  <c r="T277" i="5"/>
  <c r="N277" i="5"/>
  <c r="M277" i="5"/>
  <c r="L277" i="5"/>
  <c r="K277" i="5"/>
  <c r="X276" i="5"/>
  <c r="V276" i="5"/>
  <c r="U276" i="5"/>
  <c r="T276" i="5"/>
  <c r="N276" i="5"/>
  <c r="M276" i="5"/>
  <c r="L276" i="5"/>
  <c r="K276" i="5"/>
  <c r="X275" i="5"/>
  <c r="V275" i="5"/>
  <c r="U275" i="5"/>
  <c r="T275" i="5"/>
  <c r="N275" i="5"/>
  <c r="M275" i="5"/>
  <c r="L275" i="5"/>
  <c r="K275" i="5"/>
  <c r="X274" i="5"/>
  <c r="V274" i="5"/>
  <c r="U274" i="5"/>
  <c r="T274" i="5"/>
  <c r="N274" i="5"/>
  <c r="M274" i="5"/>
  <c r="L274" i="5"/>
  <c r="K274" i="5"/>
  <c r="X273" i="5"/>
  <c r="V273" i="5"/>
  <c r="U273" i="5"/>
  <c r="T273" i="5"/>
  <c r="N273" i="5"/>
  <c r="M273" i="5"/>
  <c r="L273" i="5"/>
  <c r="K273" i="5"/>
  <c r="X272" i="5"/>
  <c r="V272" i="5"/>
  <c r="U272" i="5"/>
  <c r="T272" i="5"/>
  <c r="N272" i="5"/>
  <c r="M272" i="5"/>
  <c r="L272" i="5"/>
  <c r="K272" i="5"/>
  <c r="X271" i="5"/>
  <c r="V271" i="5"/>
  <c r="U271" i="5"/>
  <c r="T271" i="5"/>
  <c r="N271" i="5"/>
  <c r="M271" i="5"/>
  <c r="L271" i="5"/>
  <c r="K271" i="5"/>
  <c r="X270" i="5"/>
  <c r="V270" i="5"/>
  <c r="U270" i="5"/>
  <c r="T270" i="5"/>
  <c r="N270" i="5"/>
  <c r="M270" i="5"/>
  <c r="L270" i="5"/>
  <c r="K270" i="5"/>
  <c r="X269" i="5"/>
  <c r="V269" i="5"/>
  <c r="U269" i="5"/>
  <c r="T269" i="5"/>
  <c r="N269" i="5"/>
  <c r="M269" i="5"/>
  <c r="L269" i="5"/>
  <c r="K269" i="5"/>
  <c r="X268" i="5"/>
  <c r="V268" i="5"/>
  <c r="U268" i="5"/>
  <c r="T268" i="5"/>
  <c r="N268" i="5"/>
  <c r="M268" i="5"/>
  <c r="L268" i="5"/>
  <c r="K268" i="5"/>
  <c r="X267" i="5"/>
  <c r="V267" i="5"/>
  <c r="U267" i="5"/>
  <c r="T267" i="5"/>
  <c r="N267" i="5"/>
  <c r="M267" i="5"/>
  <c r="L267" i="5"/>
  <c r="K267" i="5"/>
  <c r="X266" i="5"/>
  <c r="V266" i="5"/>
  <c r="U266" i="5"/>
  <c r="T266" i="5"/>
  <c r="N266" i="5"/>
  <c r="M266" i="5"/>
  <c r="L266" i="5"/>
  <c r="K266" i="5"/>
  <c r="X265" i="5"/>
  <c r="V265" i="5"/>
  <c r="U265" i="5"/>
  <c r="T265" i="5"/>
  <c r="N265" i="5"/>
  <c r="M265" i="5"/>
  <c r="L265" i="5"/>
  <c r="K265" i="5"/>
  <c r="X264" i="5"/>
  <c r="V264" i="5"/>
  <c r="U264" i="5"/>
  <c r="T264" i="5"/>
  <c r="N264" i="5"/>
  <c r="M264" i="5"/>
  <c r="L264" i="5"/>
  <c r="K264" i="5"/>
  <c r="X263" i="5"/>
  <c r="V263" i="5"/>
  <c r="U263" i="5"/>
  <c r="T263" i="5"/>
  <c r="N263" i="5"/>
  <c r="M263" i="5"/>
  <c r="L263" i="5"/>
  <c r="K263" i="5"/>
  <c r="X262" i="5"/>
  <c r="V262" i="5"/>
  <c r="U262" i="5"/>
  <c r="T262" i="5"/>
  <c r="N262" i="5"/>
  <c r="M262" i="5"/>
  <c r="L262" i="5"/>
  <c r="K262" i="5"/>
  <c r="X261" i="5"/>
  <c r="V261" i="5"/>
  <c r="U261" i="5"/>
  <c r="T261" i="5"/>
  <c r="N261" i="5"/>
  <c r="M261" i="5"/>
  <c r="L261" i="5"/>
  <c r="K261" i="5"/>
  <c r="X260" i="5"/>
  <c r="V260" i="5"/>
  <c r="U260" i="5"/>
  <c r="T260" i="5"/>
  <c r="N260" i="5"/>
  <c r="M260" i="5"/>
  <c r="L260" i="5"/>
  <c r="K260" i="5"/>
  <c r="X259" i="5"/>
  <c r="V259" i="5"/>
  <c r="U259" i="5"/>
  <c r="T259" i="5"/>
  <c r="N259" i="5"/>
  <c r="M259" i="5"/>
  <c r="L259" i="5"/>
  <c r="K259" i="5"/>
  <c r="X258" i="5"/>
  <c r="V258" i="5"/>
  <c r="U258" i="5"/>
  <c r="T258" i="5"/>
  <c r="N258" i="5"/>
  <c r="M258" i="5"/>
  <c r="L258" i="5"/>
  <c r="K258" i="5"/>
  <c r="X257" i="5"/>
  <c r="V257" i="5"/>
  <c r="U257" i="5"/>
  <c r="T257" i="5"/>
  <c r="N257" i="5"/>
  <c r="M257" i="5"/>
  <c r="L257" i="5"/>
  <c r="K257" i="5"/>
  <c r="X256" i="5"/>
  <c r="V256" i="5"/>
  <c r="U256" i="5"/>
  <c r="T256" i="5"/>
  <c r="N256" i="5"/>
  <c r="M256" i="5"/>
  <c r="L256" i="5"/>
  <c r="K256" i="5"/>
  <c r="X255" i="5"/>
  <c r="V255" i="5"/>
  <c r="U255" i="5"/>
  <c r="T255" i="5"/>
  <c r="N255" i="5"/>
  <c r="M255" i="5"/>
  <c r="L255" i="5"/>
  <c r="K255" i="5"/>
  <c r="X254" i="5"/>
  <c r="V254" i="5"/>
  <c r="U254" i="5"/>
  <c r="T254" i="5"/>
  <c r="N254" i="5"/>
  <c r="M254" i="5"/>
  <c r="L254" i="5"/>
  <c r="K254" i="5"/>
  <c r="X253" i="5"/>
  <c r="V253" i="5"/>
  <c r="U253" i="5"/>
  <c r="T253" i="5"/>
  <c r="N253" i="5"/>
  <c r="M253" i="5"/>
  <c r="L253" i="5"/>
  <c r="K253" i="5"/>
  <c r="X252" i="5"/>
  <c r="V252" i="5"/>
  <c r="U252" i="5"/>
  <c r="T252" i="5"/>
  <c r="N252" i="5"/>
  <c r="M252" i="5"/>
  <c r="L252" i="5"/>
  <c r="K252" i="5"/>
  <c r="X251" i="5"/>
  <c r="V251" i="5"/>
  <c r="U251" i="5"/>
  <c r="T251" i="5"/>
  <c r="N251" i="5"/>
  <c r="M251" i="5"/>
  <c r="L251" i="5"/>
  <c r="K251" i="5"/>
  <c r="X250" i="5"/>
  <c r="V250" i="5"/>
  <c r="U250" i="5"/>
  <c r="T250" i="5"/>
  <c r="N250" i="5"/>
  <c r="M250" i="5"/>
  <c r="L250" i="5"/>
  <c r="K250" i="5"/>
  <c r="X249" i="5"/>
  <c r="V249" i="5"/>
  <c r="U249" i="5"/>
  <c r="T249" i="5"/>
  <c r="N249" i="5"/>
  <c r="M249" i="5"/>
  <c r="L249" i="5"/>
  <c r="K249" i="5"/>
  <c r="X248" i="5"/>
  <c r="V248" i="5"/>
  <c r="U248" i="5"/>
  <c r="T248" i="5"/>
  <c r="N248" i="5"/>
  <c r="M248" i="5"/>
  <c r="L248" i="5"/>
  <c r="K248" i="5"/>
  <c r="X247" i="5"/>
  <c r="V247" i="5"/>
  <c r="U247" i="5"/>
  <c r="T247" i="5"/>
  <c r="N247" i="5"/>
  <c r="M247" i="5"/>
  <c r="L247" i="5"/>
  <c r="K247" i="5"/>
  <c r="X246" i="5"/>
  <c r="V246" i="5"/>
  <c r="U246" i="5"/>
  <c r="T246" i="5"/>
  <c r="N246" i="5"/>
  <c r="M246" i="5"/>
  <c r="L246" i="5"/>
  <c r="K246" i="5"/>
  <c r="X245" i="5"/>
  <c r="V245" i="5"/>
  <c r="U245" i="5"/>
  <c r="T245" i="5"/>
  <c r="N245" i="5"/>
  <c r="M245" i="5"/>
  <c r="L245" i="5"/>
  <c r="K245" i="5"/>
  <c r="X244" i="5"/>
  <c r="V244" i="5"/>
  <c r="U244" i="5"/>
  <c r="T244" i="5"/>
  <c r="N244" i="5"/>
  <c r="M244" i="5"/>
  <c r="L244" i="5"/>
  <c r="K244" i="5"/>
  <c r="X243" i="5"/>
  <c r="V243" i="5"/>
  <c r="U243" i="5"/>
  <c r="T243" i="5"/>
  <c r="N243" i="5"/>
  <c r="M243" i="5"/>
  <c r="L243" i="5"/>
  <c r="K243" i="5"/>
  <c r="X242" i="5"/>
  <c r="V242" i="5"/>
  <c r="U242" i="5"/>
  <c r="T242" i="5"/>
  <c r="N242" i="5"/>
  <c r="M242" i="5"/>
  <c r="L242" i="5"/>
  <c r="K242" i="5"/>
  <c r="X241" i="5"/>
  <c r="V241" i="5"/>
  <c r="U241" i="5"/>
  <c r="T241" i="5"/>
  <c r="N241" i="5"/>
  <c r="M241" i="5"/>
  <c r="L241" i="5"/>
  <c r="K241" i="5"/>
  <c r="X240" i="5"/>
  <c r="V240" i="5"/>
  <c r="U240" i="5"/>
  <c r="T240" i="5"/>
  <c r="N240" i="5"/>
  <c r="M240" i="5"/>
  <c r="L240" i="5"/>
  <c r="K240" i="5"/>
  <c r="X239" i="5"/>
  <c r="V239" i="5"/>
  <c r="U239" i="5"/>
  <c r="T239" i="5"/>
  <c r="N239" i="5"/>
  <c r="M239" i="5"/>
  <c r="L239" i="5"/>
  <c r="K239" i="5"/>
  <c r="X238" i="5"/>
  <c r="V238" i="5"/>
  <c r="U238" i="5"/>
  <c r="T238" i="5"/>
  <c r="N238" i="5"/>
  <c r="M238" i="5"/>
  <c r="L238" i="5"/>
  <c r="K238" i="5"/>
  <c r="X237" i="5"/>
  <c r="V237" i="5"/>
  <c r="U237" i="5"/>
  <c r="T237" i="5"/>
  <c r="N237" i="5"/>
  <c r="M237" i="5"/>
  <c r="L237" i="5"/>
  <c r="K237" i="5"/>
  <c r="X236" i="5"/>
  <c r="V236" i="5"/>
  <c r="U236" i="5"/>
  <c r="T236" i="5"/>
  <c r="N236" i="5"/>
  <c r="M236" i="5"/>
  <c r="L236" i="5"/>
  <c r="K236" i="5"/>
  <c r="X235" i="5"/>
  <c r="V235" i="5"/>
  <c r="U235" i="5"/>
  <c r="T235" i="5"/>
  <c r="N235" i="5"/>
  <c r="M235" i="5"/>
  <c r="L235" i="5"/>
  <c r="K235" i="5"/>
  <c r="X234" i="5"/>
  <c r="V234" i="5"/>
  <c r="U234" i="5"/>
  <c r="T234" i="5"/>
  <c r="N234" i="5"/>
  <c r="M234" i="5"/>
  <c r="L234" i="5"/>
  <c r="K234" i="5"/>
  <c r="X233" i="5"/>
  <c r="V233" i="5"/>
  <c r="U233" i="5"/>
  <c r="T233" i="5"/>
  <c r="N233" i="5"/>
  <c r="M233" i="5"/>
  <c r="L233" i="5"/>
  <c r="K233" i="5"/>
  <c r="X232" i="5"/>
  <c r="V232" i="5"/>
  <c r="U232" i="5"/>
  <c r="T232" i="5"/>
  <c r="N232" i="5"/>
  <c r="M232" i="5"/>
  <c r="L232" i="5"/>
  <c r="K232" i="5"/>
  <c r="X231" i="5"/>
  <c r="V231" i="5"/>
  <c r="U231" i="5"/>
  <c r="T231" i="5"/>
  <c r="N231" i="5"/>
  <c r="M231" i="5"/>
  <c r="L231" i="5"/>
  <c r="K231" i="5"/>
  <c r="X230" i="5"/>
  <c r="V230" i="5"/>
  <c r="U230" i="5"/>
  <c r="T230" i="5"/>
  <c r="N230" i="5"/>
  <c r="M230" i="5"/>
  <c r="L230" i="5"/>
  <c r="K230" i="5"/>
  <c r="X229" i="5"/>
  <c r="V229" i="5"/>
  <c r="U229" i="5"/>
  <c r="T229" i="5"/>
  <c r="N229" i="5"/>
  <c r="M229" i="5"/>
  <c r="L229" i="5"/>
  <c r="K229" i="5"/>
  <c r="X228" i="5"/>
  <c r="V228" i="5"/>
  <c r="U228" i="5"/>
  <c r="T228" i="5"/>
  <c r="N228" i="5"/>
  <c r="M228" i="5"/>
  <c r="L228" i="5"/>
  <c r="K228" i="5"/>
  <c r="X227" i="5"/>
  <c r="V227" i="5"/>
  <c r="U227" i="5"/>
  <c r="T227" i="5"/>
  <c r="N227" i="5"/>
  <c r="M227" i="5"/>
  <c r="L227" i="5"/>
  <c r="K227" i="5"/>
  <c r="X226" i="5"/>
  <c r="V226" i="5"/>
  <c r="U226" i="5"/>
  <c r="T226" i="5"/>
  <c r="N226" i="5"/>
  <c r="M226" i="5"/>
  <c r="L226" i="5"/>
  <c r="K226" i="5"/>
  <c r="X225" i="5"/>
  <c r="V225" i="5"/>
  <c r="U225" i="5"/>
  <c r="T225" i="5"/>
  <c r="N225" i="5"/>
  <c r="M225" i="5"/>
  <c r="L225" i="5"/>
  <c r="K225" i="5"/>
  <c r="X224" i="5"/>
  <c r="V224" i="5"/>
  <c r="U224" i="5"/>
  <c r="T224" i="5"/>
  <c r="N224" i="5"/>
  <c r="M224" i="5"/>
  <c r="L224" i="5"/>
  <c r="K224" i="5"/>
  <c r="X223" i="5"/>
  <c r="V223" i="5"/>
  <c r="U223" i="5"/>
  <c r="T223" i="5"/>
  <c r="N223" i="5"/>
  <c r="M223" i="5"/>
  <c r="L223" i="5"/>
  <c r="K223" i="5"/>
  <c r="X222" i="5"/>
  <c r="V222" i="5"/>
  <c r="U222" i="5"/>
  <c r="T222" i="5"/>
  <c r="N222" i="5"/>
  <c r="M222" i="5"/>
  <c r="L222" i="5"/>
  <c r="K222" i="5"/>
  <c r="X221" i="5"/>
  <c r="V221" i="5"/>
  <c r="U221" i="5"/>
  <c r="T221" i="5"/>
  <c r="N221" i="5"/>
  <c r="M221" i="5"/>
  <c r="L221" i="5"/>
  <c r="K221" i="5"/>
  <c r="X220" i="5"/>
  <c r="V220" i="5"/>
  <c r="U220" i="5"/>
  <c r="T220" i="5"/>
  <c r="N220" i="5"/>
  <c r="M220" i="5"/>
  <c r="L220" i="5"/>
  <c r="K220" i="5"/>
  <c r="X219" i="5"/>
  <c r="V219" i="5"/>
  <c r="U219" i="5"/>
  <c r="T219" i="5"/>
  <c r="N219" i="5"/>
  <c r="M219" i="5"/>
  <c r="L219" i="5"/>
  <c r="K219" i="5"/>
  <c r="X218" i="5"/>
  <c r="V218" i="5"/>
  <c r="U218" i="5"/>
  <c r="T218" i="5"/>
  <c r="N218" i="5"/>
  <c r="M218" i="5"/>
  <c r="L218" i="5"/>
  <c r="K218" i="5"/>
  <c r="X217" i="5"/>
  <c r="V217" i="5"/>
  <c r="U217" i="5"/>
  <c r="T217" i="5"/>
  <c r="N217" i="5"/>
  <c r="M217" i="5"/>
  <c r="L217" i="5"/>
  <c r="K217" i="5"/>
  <c r="X216" i="5"/>
  <c r="V216" i="5"/>
  <c r="U216" i="5"/>
  <c r="T216" i="5"/>
  <c r="N216" i="5"/>
  <c r="M216" i="5"/>
  <c r="L216" i="5"/>
  <c r="K216" i="5"/>
  <c r="X215" i="5"/>
  <c r="V215" i="5"/>
  <c r="U215" i="5"/>
  <c r="T215" i="5"/>
  <c r="N215" i="5"/>
  <c r="M215" i="5"/>
  <c r="L215" i="5"/>
  <c r="K215" i="5"/>
  <c r="X214" i="5"/>
  <c r="V214" i="5"/>
  <c r="U214" i="5"/>
  <c r="T214" i="5"/>
  <c r="N214" i="5"/>
  <c r="M214" i="5"/>
  <c r="L214" i="5"/>
  <c r="K214" i="5"/>
  <c r="X213" i="5"/>
  <c r="V213" i="5"/>
  <c r="U213" i="5"/>
  <c r="T213" i="5"/>
  <c r="N213" i="5"/>
  <c r="M213" i="5"/>
  <c r="L213" i="5"/>
  <c r="K213" i="5"/>
  <c r="X212" i="5"/>
  <c r="V212" i="5"/>
  <c r="U212" i="5"/>
  <c r="T212" i="5"/>
  <c r="N212" i="5"/>
  <c r="M212" i="5"/>
  <c r="L212" i="5"/>
  <c r="K212" i="5"/>
  <c r="X211" i="5"/>
  <c r="V211" i="5"/>
  <c r="U211" i="5"/>
  <c r="T211" i="5"/>
  <c r="N211" i="5"/>
  <c r="M211" i="5"/>
  <c r="L211" i="5"/>
  <c r="K211" i="5"/>
  <c r="X210" i="5"/>
  <c r="V210" i="5"/>
  <c r="U210" i="5"/>
  <c r="T210" i="5"/>
  <c r="N210" i="5"/>
  <c r="M210" i="5"/>
  <c r="L210" i="5"/>
  <c r="K210" i="5"/>
  <c r="X209" i="5"/>
  <c r="V209" i="5"/>
  <c r="U209" i="5"/>
  <c r="T209" i="5"/>
  <c r="N209" i="5"/>
  <c r="M209" i="5"/>
  <c r="L209" i="5"/>
  <c r="K209" i="5"/>
  <c r="X208" i="5"/>
  <c r="V208" i="5"/>
  <c r="U208" i="5"/>
  <c r="T208" i="5"/>
  <c r="N208" i="5"/>
  <c r="M208" i="5"/>
  <c r="L208" i="5"/>
  <c r="K208" i="5"/>
  <c r="X207" i="5"/>
  <c r="V207" i="5"/>
  <c r="U207" i="5"/>
  <c r="T207" i="5"/>
  <c r="N207" i="5"/>
  <c r="M207" i="5"/>
  <c r="L207" i="5"/>
  <c r="K207" i="5"/>
  <c r="X206" i="5"/>
  <c r="V206" i="5"/>
  <c r="U206" i="5"/>
  <c r="T206" i="5"/>
  <c r="N206" i="5"/>
  <c r="M206" i="5"/>
  <c r="L206" i="5"/>
  <c r="K206" i="5"/>
  <c r="X205" i="5"/>
  <c r="V205" i="5"/>
  <c r="U205" i="5"/>
  <c r="T205" i="5"/>
  <c r="N205" i="5"/>
  <c r="M205" i="5"/>
  <c r="L205" i="5"/>
  <c r="K205" i="5"/>
  <c r="X204" i="5"/>
  <c r="V204" i="5"/>
  <c r="U204" i="5"/>
  <c r="T204" i="5"/>
  <c r="N204" i="5"/>
  <c r="M204" i="5"/>
  <c r="L204" i="5"/>
  <c r="K204" i="5"/>
  <c r="X203" i="5"/>
  <c r="V203" i="5"/>
  <c r="U203" i="5"/>
  <c r="T203" i="5"/>
  <c r="N203" i="5"/>
  <c r="M203" i="5"/>
  <c r="L203" i="5"/>
  <c r="K203" i="5"/>
  <c r="X202" i="5"/>
  <c r="V202" i="5"/>
  <c r="U202" i="5"/>
  <c r="T202" i="5"/>
  <c r="N202" i="5"/>
  <c r="M202" i="5"/>
  <c r="L202" i="5"/>
  <c r="K202" i="5"/>
  <c r="X201" i="5"/>
  <c r="V201" i="5"/>
  <c r="U201" i="5"/>
  <c r="T201" i="5"/>
  <c r="N201" i="5"/>
  <c r="M201" i="5"/>
  <c r="L201" i="5"/>
  <c r="K201" i="5"/>
  <c r="X200" i="5"/>
  <c r="V200" i="5"/>
  <c r="U200" i="5"/>
  <c r="T200" i="5"/>
  <c r="N200" i="5"/>
  <c r="M200" i="5"/>
  <c r="L200" i="5"/>
  <c r="K200" i="5"/>
  <c r="X199" i="5"/>
  <c r="V199" i="5"/>
  <c r="U199" i="5"/>
  <c r="T199" i="5"/>
  <c r="N199" i="5"/>
  <c r="M199" i="5"/>
  <c r="L199" i="5"/>
  <c r="K199" i="5"/>
  <c r="X198" i="5"/>
  <c r="V198" i="5"/>
  <c r="U198" i="5"/>
  <c r="T198" i="5"/>
  <c r="N198" i="5"/>
  <c r="M198" i="5"/>
  <c r="L198" i="5"/>
  <c r="K198" i="5"/>
  <c r="X197" i="5"/>
  <c r="V197" i="5"/>
  <c r="U197" i="5"/>
  <c r="T197" i="5"/>
  <c r="N197" i="5"/>
  <c r="M197" i="5"/>
  <c r="L197" i="5"/>
  <c r="K197" i="5"/>
  <c r="X196" i="5"/>
  <c r="V196" i="5"/>
  <c r="U196" i="5"/>
  <c r="T196" i="5"/>
  <c r="N196" i="5"/>
  <c r="M196" i="5"/>
  <c r="L196" i="5"/>
  <c r="K196" i="5"/>
  <c r="X195" i="5"/>
  <c r="V195" i="5"/>
  <c r="U195" i="5"/>
  <c r="T195" i="5"/>
  <c r="N195" i="5"/>
  <c r="M195" i="5"/>
  <c r="L195" i="5"/>
  <c r="K195" i="5"/>
  <c r="X194" i="5"/>
  <c r="V194" i="5"/>
  <c r="U194" i="5"/>
  <c r="T194" i="5"/>
  <c r="N194" i="5"/>
  <c r="M194" i="5"/>
  <c r="L194" i="5"/>
  <c r="K194" i="5"/>
  <c r="X193" i="5"/>
  <c r="V193" i="5"/>
  <c r="U193" i="5"/>
  <c r="T193" i="5"/>
  <c r="N193" i="5"/>
  <c r="M193" i="5"/>
  <c r="L193" i="5"/>
  <c r="K193" i="5"/>
  <c r="X192" i="5"/>
  <c r="V192" i="5"/>
  <c r="U192" i="5"/>
  <c r="T192" i="5"/>
  <c r="N192" i="5"/>
  <c r="M192" i="5"/>
  <c r="L192" i="5"/>
  <c r="K192" i="5"/>
  <c r="X191" i="5"/>
  <c r="V191" i="5"/>
  <c r="U191" i="5"/>
  <c r="T191" i="5"/>
  <c r="N191" i="5"/>
  <c r="M191" i="5"/>
  <c r="L191" i="5"/>
  <c r="K191" i="5"/>
  <c r="X190" i="5"/>
  <c r="V190" i="5"/>
  <c r="U190" i="5"/>
  <c r="T190" i="5"/>
  <c r="N190" i="5"/>
  <c r="M190" i="5"/>
  <c r="L190" i="5"/>
  <c r="K190" i="5"/>
  <c r="X189" i="5"/>
  <c r="V189" i="5"/>
  <c r="U189" i="5"/>
  <c r="T189" i="5"/>
  <c r="N189" i="5"/>
  <c r="M189" i="5"/>
  <c r="L189" i="5"/>
  <c r="K189" i="5"/>
  <c r="X188" i="5"/>
  <c r="V188" i="5"/>
  <c r="U188" i="5"/>
  <c r="T188" i="5"/>
  <c r="N188" i="5"/>
  <c r="M188" i="5"/>
  <c r="L188" i="5"/>
  <c r="K188" i="5"/>
  <c r="X187" i="5"/>
  <c r="V187" i="5"/>
  <c r="U187" i="5"/>
  <c r="T187" i="5"/>
  <c r="N187" i="5"/>
  <c r="M187" i="5"/>
  <c r="L187" i="5"/>
  <c r="K187" i="5"/>
  <c r="X186" i="5"/>
  <c r="V186" i="5"/>
  <c r="U186" i="5"/>
  <c r="T186" i="5"/>
  <c r="N186" i="5"/>
  <c r="M186" i="5"/>
  <c r="L186" i="5"/>
  <c r="K186" i="5"/>
  <c r="X185" i="5"/>
  <c r="V185" i="5"/>
  <c r="U185" i="5"/>
  <c r="T185" i="5"/>
  <c r="N185" i="5"/>
  <c r="M185" i="5"/>
  <c r="L185" i="5"/>
  <c r="K185" i="5"/>
  <c r="X184" i="5"/>
  <c r="V184" i="5"/>
  <c r="U184" i="5"/>
  <c r="T184" i="5"/>
  <c r="N184" i="5"/>
  <c r="M184" i="5"/>
  <c r="L184" i="5"/>
  <c r="K184" i="5"/>
  <c r="X183" i="5"/>
  <c r="V183" i="5"/>
  <c r="U183" i="5"/>
  <c r="T183" i="5"/>
  <c r="N183" i="5"/>
  <c r="M183" i="5"/>
  <c r="L183" i="5"/>
  <c r="K183" i="5"/>
  <c r="X182" i="5"/>
  <c r="V182" i="5"/>
  <c r="U182" i="5"/>
  <c r="T182" i="5"/>
  <c r="N182" i="5"/>
  <c r="M182" i="5"/>
  <c r="L182" i="5"/>
  <c r="K182" i="5"/>
  <c r="X181" i="5"/>
  <c r="V181" i="5"/>
  <c r="U181" i="5"/>
  <c r="T181" i="5"/>
  <c r="N181" i="5"/>
  <c r="M181" i="5"/>
  <c r="L181" i="5"/>
  <c r="K181" i="5"/>
  <c r="X180" i="5"/>
  <c r="V180" i="5"/>
  <c r="U180" i="5"/>
  <c r="T180" i="5"/>
  <c r="N180" i="5"/>
  <c r="M180" i="5"/>
  <c r="L180" i="5"/>
  <c r="K180" i="5"/>
  <c r="X179" i="5"/>
  <c r="V179" i="5"/>
  <c r="U179" i="5"/>
  <c r="T179" i="5"/>
  <c r="N179" i="5"/>
  <c r="M179" i="5"/>
  <c r="L179" i="5"/>
  <c r="K179" i="5"/>
  <c r="X178" i="5"/>
  <c r="V178" i="5"/>
  <c r="U178" i="5"/>
  <c r="T178" i="5"/>
  <c r="N178" i="5"/>
  <c r="M178" i="5"/>
  <c r="L178" i="5"/>
  <c r="K178" i="5"/>
  <c r="X177" i="5"/>
  <c r="V177" i="5"/>
  <c r="U177" i="5"/>
  <c r="T177" i="5"/>
  <c r="N177" i="5"/>
  <c r="M177" i="5"/>
  <c r="L177" i="5"/>
  <c r="K177" i="5"/>
  <c r="X176" i="5"/>
  <c r="V176" i="5"/>
  <c r="U176" i="5"/>
  <c r="T176" i="5"/>
  <c r="N176" i="5"/>
  <c r="M176" i="5"/>
  <c r="L176" i="5"/>
  <c r="K176" i="5"/>
  <c r="X175" i="5"/>
  <c r="V175" i="5"/>
  <c r="U175" i="5"/>
  <c r="T175" i="5"/>
  <c r="N175" i="5"/>
  <c r="M175" i="5"/>
  <c r="L175" i="5"/>
  <c r="K175" i="5"/>
  <c r="X174" i="5"/>
  <c r="V174" i="5"/>
  <c r="U174" i="5"/>
  <c r="T174" i="5"/>
  <c r="N174" i="5"/>
  <c r="M174" i="5"/>
  <c r="L174" i="5"/>
  <c r="K174" i="5"/>
  <c r="X173" i="5"/>
  <c r="V173" i="5"/>
  <c r="U173" i="5"/>
  <c r="T173" i="5"/>
  <c r="N173" i="5"/>
  <c r="M173" i="5"/>
  <c r="L173" i="5"/>
  <c r="K173" i="5"/>
  <c r="X172" i="5"/>
  <c r="V172" i="5"/>
  <c r="U172" i="5"/>
  <c r="T172" i="5"/>
  <c r="N172" i="5"/>
  <c r="M172" i="5"/>
  <c r="L172" i="5"/>
  <c r="K172" i="5"/>
  <c r="X171" i="5"/>
  <c r="V171" i="5"/>
  <c r="U171" i="5"/>
  <c r="T171" i="5"/>
  <c r="N171" i="5"/>
  <c r="M171" i="5"/>
  <c r="L171" i="5"/>
  <c r="K171" i="5"/>
  <c r="X170" i="5"/>
  <c r="V170" i="5"/>
  <c r="U170" i="5"/>
  <c r="T170" i="5"/>
  <c r="N170" i="5"/>
  <c r="M170" i="5"/>
  <c r="L170" i="5"/>
  <c r="K170" i="5"/>
  <c r="X169" i="5"/>
  <c r="V169" i="5"/>
  <c r="U169" i="5"/>
  <c r="T169" i="5"/>
  <c r="N169" i="5"/>
  <c r="M169" i="5"/>
  <c r="L169" i="5"/>
  <c r="K169" i="5"/>
  <c r="X168" i="5"/>
  <c r="V168" i="5"/>
  <c r="U168" i="5"/>
  <c r="T168" i="5"/>
  <c r="N168" i="5"/>
  <c r="M168" i="5"/>
  <c r="L168" i="5"/>
  <c r="K168" i="5"/>
  <c r="X167" i="5"/>
  <c r="V167" i="5"/>
  <c r="U167" i="5"/>
  <c r="T167" i="5"/>
  <c r="N167" i="5"/>
  <c r="M167" i="5"/>
  <c r="L167" i="5"/>
  <c r="K167" i="5"/>
  <c r="X166" i="5"/>
  <c r="V166" i="5"/>
  <c r="U166" i="5"/>
  <c r="T166" i="5"/>
  <c r="N166" i="5"/>
  <c r="M166" i="5"/>
  <c r="L166" i="5"/>
  <c r="K166" i="5"/>
  <c r="X165" i="5"/>
  <c r="V165" i="5"/>
  <c r="U165" i="5"/>
  <c r="T165" i="5"/>
  <c r="N165" i="5"/>
  <c r="M165" i="5"/>
  <c r="L165" i="5"/>
  <c r="K165" i="5"/>
  <c r="X164" i="5"/>
  <c r="V164" i="5"/>
  <c r="U164" i="5"/>
  <c r="T164" i="5"/>
  <c r="N164" i="5"/>
  <c r="M164" i="5"/>
  <c r="L164" i="5"/>
  <c r="K164" i="5"/>
  <c r="X163" i="5"/>
  <c r="V163" i="5"/>
  <c r="U163" i="5"/>
  <c r="T163" i="5"/>
  <c r="N163" i="5"/>
  <c r="M163" i="5"/>
  <c r="L163" i="5"/>
  <c r="K163" i="5"/>
  <c r="X162" i="5"/>
  <c r="V162" i="5"/>
  <c r="U162" i="5"/>
  <c r="T162" i="5"/>
  <c r="N162" i="5"/>
  <c r="M162" i="5"/>
  <c r="L162" i="5"/>
  <c r="K162" i="5"/>
  <c r="X161" i="5"/>
  <c r="V161" i="5"/>
  <c r="U161" i="5"/>
  <c r="T161" i="5"/>
  <c r="N161" i="5"/>
  <c r="M161" i="5"/>
  <c r="L161" i="5"/>
  <c r="K161" i="5"/>
  <c r="X160" i="5"/>
  <c r="V160" i="5"/>
  <c r="U160" i="5"/>
  <c r="T160" i="5"/>
  <c r="N160" i="5"/>
  <c r="M160" i="5"/>
  <c r="L160" i="5"/>
  <c r="K160" i="5"/>
  <c r="X159" i="5"/>
  <c r="V159" i="5"/>
  <c r="U159" i="5"/>
  <c r="T159" i="5"/>
  <c r="N159" i="5"/>
  <c r="M159" i="5"/>
  <c r="L159" i="5"/>
  <c r="K159" i="5"/>
  <c r="X158" i="5"/>
  <c r="V158" i="5"/>
  <c r="U158" i="5"/>
  <c r="T158" i="5"/>
  <c r="N158" i="5"/>
  <c r="M158" i="5"/>
  <c r="L158" i="5"/>
  <c r="K158" i="5"/>
  <c r="X157" i="5"/>
  <c r="V157" i="5"/>
  <c r="U157" i="5"/>
  <c r="T157" i="5"/>
  <c r="N157" i="5"/>
  <c r="M157" i="5"/>
  <c r="L157" i="5"/>
  <c r="K157" i="5"/>
  <c r="X156" i="5"/>
  <c r="V156" i="5"/>
  <c r="U156" i="5"/>
  <c r="T156" i="5"/>
  <c r="N156" i="5"/>
  <c r="M156" i="5"/>
  <c r="L156" i="5"/>
  <c r="K156" i="5"/>
  <c r="X155" i="5"/>
  <c r="V155" i="5"/>
  <c r="U155" i="5"/>
  <c r="T155" i="5"/>
  <c r="N155" i="5"/>
  <c r="M155" i="5"/>
  <c r="L155" i="5"/>
  <c r="K155" i="5"/>
  <c r="X154" i="5"/>
  <c r="V154" i="5"/>
  <c r="U154" i="5"/>
  <c r="T154" i="5"/>
  <c r="N154" i="5"/>
  <c r="M154" i="5"/>
  <c r="L154" i="5"/>
  <c r="K154" i="5"/>
  <c r="X153" i="5"/>
  <c r="V153" i="5"/>
  <c r="U153" i="5"/>
  <c r="T153" i="5"/>
  <c r="N153" i="5"/>
  <c r="M153" i="5"/>
  <c r="L153" i="5"/>
  <c r="K153" i="5"/>
  <c r="X152" i="5"/>
  <c r="V152" i="5"/>
  <c r="U152" i="5"/>
  <c r="T152" i="5"/>
  <c r="N152" i="5"/>
  <c r="M152" i="5"/>
  <c r="L152" i="5"/>
  <c r="K152" i="5"/>
  <c r="X151" i="5"/>
  <c r="V151" i="5"/>
  <c r="U151" i="5"/>
  <c r="T151" i="5"/>
  <c r="N151" i="5"/>
  <c r="M151" i="5"/>
  <c r="L151" i="5"/>
  <c r="K151" i="5"/>
  <c r="X150" i="5"/>
  <c r="V150" i="5"/>
  <c r="U150" i="5"/>
  <c r="T150" i="5"/>
  <c r="N150" i="5"/>
  <c r="M150" i="5"/>
  <c r="L150" i="5"/>
  <c r="K150" i="5"/>
  <c r="X149" i="5"/>
  <c r="V149" i="5"/>
  <c r="U149" i="5"/>
  <c r="T149" i="5"/>
  <c r="N149" i="5"/>
  <c r="M149" i="5"/>
  <c r="L149" i="5"/>
  <c r="K149" i="5"/>
  <c r="X148" i="5"/>
  <c r="V148" i="5"/>
  <c r="U148" i="5"/>
  <c r="T148" i="5"/>
  <c r="N148" i="5"/>
  <c r="M148" i="5"/>
  <c r="L148" i="5"/>
  <c r="K148" i="5"/>
  <c r="X147" i="5"/>
  <c r="V147" i="5"/>
  <c r="U147" i="5"/>
  <c r="T147" i="5"/>
  <c r="N147" i="5"/>
  <c r="M147" i="5"/>
  <c r="L147" i="5"/>
  <c r="K147" i="5"/>
  <c r="X146" i="5"/>
  <c r="V146" i="5"/>
  <c r="U146" i="5"/>
  <c r="T146" i="5"/>
  <c r="N146" i="5"/>
  <c r="M146" i="5"/>
  <c r="L146" i="5"/>
  <c r="K146" i="5"/>
  <c r="X145" i="5"/>
  <c r="V145" i="5"/>
  <c r="U145" i="5"/>
  <c r="T145" i="5"/>
  <c r="N145" i="5"/>
  <c r="M145" i="5"/>
  <c r="L145" i="5"/>
  <c r="K145" i="5"/>
  <c r="X144" i="5"/>
  <c r="V144" i="5"/>
  <c r="U144" i="5"/>
  <c r="T144" i="5"/>
  <c r="N144" i="5"/>
  <c r="M144" i="5"/>
  <c r="L144" i="5"/>
  <c r="K144" i="5"/>
  <c r="X143" i="5"/>
  <c r="V143" i="5"/>
  <c r="U143" i="5"/>
  <c r="T143" i="5"/>
  <c r="N143" i="5"/>
  <c r="M143" i="5"/>
  <c r="L143" i="5"/>
  <c r="K143" i="5"/>
  <c r="X142" i="5"/>
  <c r="V142" i="5"/>
  <c r="U142" i="5"/>
  <c r="T142" i="5"/>
  <c r="N142" i="5"/>
  <c r="M142" i="5"/>
  <c r="L142" i="5"/>
  <c r="K142" i="5"/>
  <c r="X141" i="5"/>
  <c r="V141" i="5"/>
  <c r="U141" i="5"/>
  <c r="T141" i="5"/>
  <c r="N141" i="5"/>
  <c r="M141" i="5"/>
  <c r="L141" i="5"/>
  <c r="K141" i="5"/>
  <c r="X140" i="5"/>
  <c r="V140" i="5"/>
  <c r="U140" i="5"/>
  <c r="T140" i="5"/>
  <c r="N140" i="5"/>
  <c r="M140" i="5"/>
  <c r="L140" i="5"/>
  <c r="K140" i="5"/>
  <c r="X139" i="5"/>
  <c r="V139" i="5"/>
  <c r="U139" i="5"/>
  <c r="T139" i="5"/>
  <c r="N139" i="5"/>
  <c r="M139" i="5"/>
  <c r="L139" i="5"/>
  <c r="K139" i="5"/>
  <c r="X138" i="5"/>
  <c r="V138" i="5"/>
  <c r="U138" i="5"/>
  <c r="T138" i="5"/>
  <c r="N138" i="5"/>
  <c r="M138" i="5"/>
  <c r="L138" i="5"/>
  <c r="K138" i="5"/>
  <c r="X137" i="5"/>
  <c r="V137" i="5"/>
  <c r="U137" i="5"/>
  <c r="T137" i="5"/>
  <c r="N137" i="5"/>
  <c r="M137" i="5"/>
  <c r="L137" i="5"/>
  <c r="K137" i="5"/>
  <c r="X136" i="5"/>
  <c r="V136" i="5"/>
  <c r="U136" i="5"/>
  <c r="T136" i="5"/>
  <c r="N136" i="5"/>
  <c r="M136" i="5"/>
  <c r="L136" i="5"/>
  <c r="K136" i="5"/>
  <c r="X135" i="5"/>
  <c r="V135" i="5"/>
  <c r="U135" i="5"/>
  <c r="T135" i="5"/>
  <c r="N135" i="5"/>
  <c r="M135" i="5"/>
  <c r="L135" i="5"/>
  <c r="K135" i="5"/>
  <c r="X134" i="5"/>
  <c r="V134" i="5"/>
  <c r="U134" i="5"/>
  <c r="T134" i="5"/>
  <c r="N134" i="5"/>
  <c r="M134" i="5"/>
  <c r="L134" i="5"/>
  <c r="K134" i="5"/>
  <c r="X133" i="5"/>
  <c r="V133" i="5"/>
  <c r="U133" i="5"/>
  <c r="T133" i="5"/>
  <c r="N133" i="5"/>
  <c r="M133" i="5"/>
  <c r="L133" i="5"/>
  <c r="K133" i="5"/>
  <c r="X132" i="5"/>
  <c r="V132" i="5"/>
  <c r="U132" i="5"/>
  <c r="T132" i="5"/>
  <c r="N132" i="5"/>
  <c r="M132" i="5"/>
  <c r="L132" i="5"/>
  <c r="K132" i="5"/>
  <c r="X131" i="5"/>
  <c r="V131" i="5"/>
  <c r="U131" i="5"/>
  <c r="T131" i="5"/>
  <c r="N131" i="5"/>
  <c r="M131" i="5"/>
  <c r="L131" i="5"/>
  <c r="K131" i="5"/>
  <c r="X130" i="5"/>
  <c r="V130" i="5"/>
  <c r="U130" i="5"/>
  <c r="T130" i="5"/>
  <c r="N130" i="5"/>
  <c r="M130" i="5"/>
  <c r="L130" i="5"/>
  <c r="K130" i="5"/>
  <c r="X129" i="5"/>
  <c r="V129" i="5"/>
  <c r="U129" i="5"/>
  <c r="T129" i="5"/>
  <c r="N129" i="5"/>
  <c r="M129" i="5"/>
  <c r="L129" i="5"/>
  <c r="K129" i="5"/>
  <c r="X128" i="5"/>
  <c r="V128" i="5"/>
  <c r="U128" i="5"/>
  <c r="T128" i="5"/>
  <c r="N128" i="5"/>
  <c r="M128" i="5"/>
  <c r="L128" i="5"/>
  <c r="K128" i="5"/>
  <c r="X127" i="5"/>
  <c r="V127" i="5"/>
  <c r="U127" i="5"/>
  <c r="T127" i="5"/>
  <c r="N127" i="5"/>
  <c r="M127" i="5"/>
  <c r="L127" i="5"/>
  <c r="K127" i="5"/>
  <c r="X126" i="5"/>
  <c r="V126" i="5"/>
  <c r="U126" i="5"/>
  <c r="T126" i="5"/>
  <c r="N126" i="5"/>
  <c r="M126" i="5"/>
  <c r="L126" i="5"/>
  <c r="K126" i="5"/>
  <c r="X125" i="5"/>
  <c r="V125" i="5"/>
  <c r="U125" i="5"/>
  <c r="T125" i="5"/>
  <c r="N125" i="5"/>
  <c r="M125" i="5"/>
  <c r="L125" i="5"/>
  <c r="K125" i="5"/>
  <c r="X124" i="5"/>
  <c r="V124" i="5"/>
  <c r="U124" i="5"/>
  <c r="T124" i="5"/>
  <c r="N124" i="5"/>
  <c r="M124" i="5"/>
  <c r="L124" i="5"/>
  <c r="K124" i="5"/>
  <c r="X123" i="5"/>
  <c r="V123" i="5"/>
  <c r="U123" i="5"/>
  <c r="T123" i="5"/>
  <c r="N123" i="5"/>
  <c r="M123" i="5"/>
  <c r="L123" i="5"/>
  <c r="K123" i="5"/>
  <c r="X122" i="5"/>
  <c r="V122" i="5"/>
  <c r="U122" i="5"/>
  <c r="T122" i="5"/>
  <c r="N122" i="5"/>
  <c r="M122" i="5"/>
  <c r="L122" i="5"/>
  <c r="K122" i="5"/>
  <c r="X121" i="5"/>
  <c r="V121" i="5"/>
  <c r="U121" i="5"/>
  <c r="T121" i="5"/>
  <c r="N121" i="5"/>
  <c r="M121" i="5"/>
  <c r="L121" i="5"/>
  <c r="K121" i="5"/>
  <c r="X120" i="5"/>
  <c r="V120" i="5"/>
  <c r="U120" i="5"/>
  <c r="T120" i="5"/>
  <c r="N120" i="5"/>
  <c r="M120" i="5"/>
  <c r="L120" i="5"/>
  <c r="K120" i="5"/>
  <c r="X119" i="5"/>
  <c r="V119" i="5"/>
  <c r="U119" i="5"/>
  <c r="T119" i="5"/>
  <c r="N119" i="5"/>
  <c r="M119" i="5"/>
  <c r="L119" i="5"/>
  <c r="K119" i="5"/>
  <c r="X118" i="5"/>
  <c r="V118" i="5"/>
  <c r="U118" i="5"/>
  <c r="T118" i="5"/>
  <c r="N118" i="5"/>
  <c r="M118" i="5"/>
  <c r="L118" i="5"/>
  <c r="K118" i="5"/>
  <c r="X117" i="5"/>
  <c r="V117" i="5"/>
  <c r="U117" i="5"/>
  <c r="T117" i="5"/>
  <c r="N117" i="5"/>
  <c r="M117" i="5"/>
  <c r="L117" i="5"/>
  <c r="K117" i="5"/>
  <c r="X116" i="5"/>
  <c r="V116" i="5"/>
  <c r="U116" i="5"/>
  <c r="T116" i="5"/>
  <c r="N116" i="5"/>
  <c r="M116" i="5"/>
  <c r="L116" i="5"/>
  <c r="K116" i="5"/>
  <c r="X115" i="5"/>
  <c r="V115" i="5"/>
  <c r="U115" i="5"/>
  <c r="T115" i="5"/>
  <c r="N115" i="5"/>
  <c r="M115" i="5"/>
  <c r="L115" i="5"/>
  <c r="K115" i="5"/>
  <c r="X114" i="5"/>
  <c r="V114" i="5"/>
  <c r="U114" i="5"/>
  <c r="T114" i="5"/>
  <c r="N114" i="5"/>
  <c r="M114" i="5"/>
  <c r="L114" i="5"/>
  <c r="K114" i="5"/>
  <c r="X113" i="5"/>
  <c r="V113" i="5"/>
  <c r="U113" i="5"/>
  <c r="T113" i="5"/>
  <c r="N113" i="5"/>
  <c r="M113" i="5"/>
  <c r="L113" i="5"/>
  <c r="K113" i="5"/>
  <c r="X112" i="5"/>
  <c r="V112" i="5"/>
  <c r="U112" i="5"/>
  <c r="T112" i="5"/>
  <c r="N112" i="5"/>
  <c r="M112" i="5"/>
  <c r="L112" i="5"/>
  <c r="K112" i="5"/>
  <c r="X111" i="5"/>
  <c r="V111" i="5"/>
  <c r="U111" i="5"/>
  <c r="T111" i="5"/>
  <c r="N111" i="5"/>
  <c r="M111" i="5"/>
  <c r="L111" i="5"/>
  <c r="K111" i="5"/>
  <c r="X110" i="5"/>
  <c r="V110" i="5"/>
  <c r="U110" i="5"/>
  <c r="T110" i="5"/>
  <c r="N110" i="5"/>
  <c r="M110" i="5"/>
  <c r="L110" i="5"/>
  <c r="K110" i="5"/>
  <c r="X109" i="5"/>
  <c r="V109" i="5"/>
  <c r="U109" i="5"/>
  <c r="T109" i="5"/>
  <c r="N109" i="5"/>
  <c r="M109" i="5"/>
  <c r="L109" i="5"/>
  <c r="K109" i="5"/>
  <c r="X108" i="5"/>
  <c r="V108" i="5"/>
  <c r="U108" i="5"/>
  <c r="T108" i="5"/>
  <c r="N108" i="5"/>
  <c r="M108" i="5"/>
  <c r="L108" i="5"/>
  <c r="K108" i="5"/>
  <c r="X107" i="5"/>
  <c r="V107" i="5"/>
  <c r="U107" i="5"/>
  <c r="T107" i="5"/>
  <c r="N107" i="5"/>
  <c r="M107" i="5"/>
  <c r="L107" i="5"/>
  <c r="K107" i="5"/>
  <c r="X106" i="5"/>
  <c r="V106" i="5"/>
  <c r="U106" i="5"/>
  <c r="T106" i="5"/>
  <c r="N106" i="5"/>
  <c r="M106" i="5"/>
  <c r="L106" i="5"/>
  <c r="K106" i="5"/>
  <c r="X105" i="5"/>
  <c r="V105" i="5"/>
  <c r="U105" i="5"/>
  <c r="T105" i="5"/>
  <c r="N105" i="5"/>
  <c r="M105" i="5"/>
  <c r="L105" i="5"/>
  <c r="K105" i="5"/>
  <c r="X104" i="5"/>
  <c r="V104" i="5"/>
  <c r="U104" i="5"/>
  <c r="T104" i="5"/>
  <c r="N104" i="5"/>
  <c r="M104" i="5"/>
  <c r="L104" i="5"/>
  <c r="K104" i="5"/>
  <c r="X103" i="5"/>
  <c r="V103" i="5"/>
  <c r="U103" i="5"/>
  <c r="T103" i="5"/>
  <c r="N103" i="5"/>
  <c r="M103" i="5"/>
  <c r="L103" i="5"/>
  <c r="K103" i="5"/>
  <c r="X102" i="5"/>
  <c r="V102" i="5"/>
  <c r="U102" i="5"/>
  <c r="T102" i="5"/>
  <c r="N102" i="5"/>
  <c r="M102" i="5"/>
  <c r="L102" i="5"/>
  <c r="K102" i="5"/>
  <c r="X101" i="5"/>
  <c r="V101" i="5"/>
  <c r="U101" i="5"/>
  <c r="T101" i="5"/>
  <c r="N101" i="5"/>
  <c r="M101" i="5"/>
  <c r="L101" i="5"/>
  <c r="K101" i="5"/>
  <c r="X100" i="5"/>
  <c r="V100" i="5"/>
  <c r="U100" i="5"/>
  <c r="T100" i="5"/>
  <c r="N100" i="5"/>
  <c r="M100" i="5"/>
  <c r="L100" i="5"/>
  <c r="K100" i="5"/>
  <c r="X99" i="5"/>
  <c r="V99" i="5"/>
  <c r="U99" i="5"/>
  <c r="T99" i="5"/>
  <c r="N99" i="5"/>
  <c r="M99" i="5"/>
  <c r="L99" i="5"/>
  <c r="K99" i="5"/>
  <c r="X98" i="5"/>
  <c r="V98" i="5"/>
  <c r="U98" i="5"/>
  <c r="T98" i="5"/>
  <c r="N98" i="5"/>
  <c r="M98" i="5"/>
  <c r="L98" i="5"/>
  <c r="K98" i="5"/>
  <c r="X97" i="5"/>
  <c r="V97" i="5"/>
  <c r="U97" i="5"/>
  <c r="T97" i="5"/>
  <c r="N97" i="5"/>
  <c r="M97" i="5"/>
  <c r="L97" i="5"/>
  <c r="K97" i="5"/>
  <c r="X96" i="5"/>
  <c r="V96" i="5"/>
  <c r="U96" i="5"/>
  <c r="T96" i="5"/>
  <c r="N96" i="5"/>
  <c r="M96" i="5"/>
  <c r="L96" i="5"/>
  <c r="K96" i="5"/>
  <c r="X95" i="5"/>
  <c r="V95" i="5"/>
  <c r="U95" i="5"/>
  <c r="T95" i="5"/>
  <c r="N95" i="5"/>
  <c r="M95" i="5"/>
  <c r="L95" i="5"/>
  <c r="K95" i="5"/>
  <c r="X94" i="5"/>
  <c r="V94" i="5"/>
  <c r="U94" i="5"/>
  <c r="T94" i="5"/>
  <c r="N94" i="5"/>
  <c r="M94" i="5"/>
  <c r="L94" i="5"/>
  <c r="K94" i="5"/>
  <c r="X93" i="5"/>
  <c r="V93" i="5"/>
  <c r="U93" i="5"/>
  <c r="T93" i="5"/>
  <c r="N93" i="5"/>
  <c r="M93" i="5"/>
  <c r="L93" i="5"/>
  <c r="K93" i="5"/>
  <c r="X92" i="5"/>
  <c r="V92" i="5"/>
  <c r="U92" i="5"/>
  <c r="T92" i="5"/>
  <c r="N92" i="5"/>
  <c r="M92" i="5"/>
  <c r="L92" i="5"/>
  <c r="K92" i="5"/>
  <c r="X91" i="5"/>
  <c r="V91" i="5"/>
  <c r="U91" i="5"/>
  <c r="T91" i="5"/>
  <c r="N91" i="5"/>
  <c r="M91" i="5"/>
  <c r="L91" i="5"/>
  <c r="K91" i="5"/>
  <c r="X90" i="5"/>
  <c r="V90" i="5"/>
  <c r="U90" i="5"/>
  <c r="T90" i="5"/>
  <c r="N90" i="5"/>
  <c r="M90" i="5"/>
  <c r="L90" i="5"/>
  <c r="K90" i="5"/>
  <c r="X89" i="5"/>
  <c r="V89" i="5"/>
  <c r="U89" i="5"/>
  <c r="T89" i="5"/>
  <c r="N89" i="5"/>
  <c r="M89" i="5"/>
  <c r="L89" i="5"/>
  <c r="K89" i="5"/>
  <c r="X88" i="5"/>
  <c r="V88" i="5"/>
  <c r="U88" i="5"/>
  <c r="T88" i="5"/>
  <c r="N88" i="5"/>
  <c r="M88" i="5"/>
  <c r="L88" i="5"/>
  <c r="K88" i="5"/>
  <c r="X87" i="5"/>
  <c r="V87" i="5"/>
  <c r="U87" i="5"/>
  <c r="T87" i="5"/>
  <c r="N87" i="5"/>
  <c r="M87" i="5"/>
  <c r="L87" i="5"/>
  <c r="K87" i="5"/>
  <c r="X86" i="5"/>
  <c r="V86" i="5"/>
  <c r="U86" i="5"/>
  <c r="T86" i="5"/>
  <c r="N86" i="5"/>
  <c r="M86" i="5"/>
  <c r="L86" i="5"/>
  <c r="K86" i="5"/>
  <c r="X85" i="5"/>
  <c r="V85" i="5"/>
  <c r="U85" i="5"/>
  <c r="T85" i="5"/>
  <c r="N85" i="5"/>
  <c r="M85" i="5"/>
  <c r="L85" i="5"/>
  <c r="K85" i="5"/>
  <c r="X84" i="5"/>
  <c r="V84" i="5"/>
  <c r="U84" i="5"/>
  <c r="T84" i="5"/>
  <c r="N84" i="5"/>
  <c r="M84" i="5"/>
  <c r="L84" i="5"/>
  <c r="K84" i="5"/>
  <c r="X83" i="5"/>
  <c r="V83" i="5"/>
  <c r="U83" i="5"/>
  <c r="T83" i="5"/>
  <c r="N83" i="5"/>
  <c r="M83" i="5"/>
  <c r="L83" i="5"/>
  <c r="K83" i="5"/>
  <c r="X82" i="5"/>
  <c r="V82" i="5"/>
  <c r="U82" i="5"/>
  <c r="T82" i="5"/>
  <c r="N82" i="5"/>
  <c r="M82" i="5"/>
  <c r="L82" i="5"/>
  <c r="K82" i="5"/>
  <c r="X81" i="5"/>
  <c r="V81" i="5"/>
  <c r="U81" i="5"/>
  <c r="T81" i="5"/>
  <c r="N81" i="5"/>
  <c r="M81" i="5"/>
  <c r="L81" i="5"/>
  <c r="K81" i="5"/>
  <c r="X80" i="5"/>
  <c r="V80" i="5"/>
  <c r="U80" i="5"/>
  <c r="T80" i="5"/>
  <c r="N80" i="5"/>
  <c r="M80" i="5"/>
  <c r="L80" i="5"/>
  <c r="K80" i="5"/>
  <c r="X79" i="5"/>
  <c r="V79" i="5"/>
  <c r="U79" i="5"/>
  <c r="T79" i="5"/>
  <c r="N79" i="5"/>
  <c r="M79" i="5"/>
  <c r="L79" i="5"/>
  <c r="K79" i="5"/>
  <c r="X78" i="5"/>
  <c r="V78" i="5"/>
  <c r="U78" i="5"/>
  <c r="T78" i="5"/>
  <c r="N78" i="5"/>
  <c r="M78" i="5"/>
  <c r="L78" i="5"/>
  <c r="K78" i="5"/>
  <c r="X77" i="5"/>
  <c r="V77" i="5"/>
  <c r="U77" i="5"/>
  <c r="T77" i="5"/>
  <c r="N77" i="5"/>
  <c r="M77" i="5"/>
  <c r="L77" i="5"/>
  <c r="K77" i="5"/>
  <c r="X76" i="5"/>
  <c r="V76" i="5"/>
  <c r="U76" i="5"/>
  <c r="T76" i="5"/>
  <c r="N76" i="5"/>
  <c r="M76" i="5"/>
  <c r="L76" i="5"/>
  <c r="K76" i="5"/>
  <c r="X75" i="5"/>
  <c r="V75" i="5"/>
  <c r="U75" i="5"/>
  <c r="T75" i="5"/>
  <c r="N75" i="5"/>
  <c r="M75" i="5"/>
  <c r="L75" i="5"/>
  <c r="K75" i="5"/>
  <c r="X74" i="5"/>
  <c r="V74" i="5"/>
  <c r="U74" i="5"/>
  <c r="T74" i="5"/>
  <c r="N74" i="5"/>
  <c r="M74" i="5"/>
  <c r="L74" i="5"/>
  <c r="K74" i="5"/>
  <c r="X73" i="5"/>
  <c r="V73" i="5"/>
  <c r="U73" i="5"/>
  <c r="T73" i="5"/>
  <c r="N73" i="5"/>
  <c r="M73" i="5"/>
  <c r="L73" i="5"/>
  <c r="K73" i="5"/>
  <c r="X72" i="5"/>
  <c r="V72" i="5"/>
  <c r="U72" i="5"/>
  <c r="T72" i="5"/>
  <c r="N72" i="5"/>
  <c r="M72" i="5"/>
  <c r="L72" i="5"/>
  <c r="K72" i="5"/>
  <c r="X71" i="5"/>
  <c r="V71" i="5"/>
  <c r="U71" i="5"/>
  <c r="T71" i="5"/>
  <c r="N71" i="5"/>
  <c r="M71" i="5"/>
  <c r="L71" i="5"/>
  <c r="K71" i="5"/>
  <c r="X70" i="5"/>
  <c r="V70" i="5"/>
  <c r="U70" i="5"/>
  <c r="T70" i="5"/>
  <c r="N70" i="5"/>
  <c r="M70" i="5"/>
  <c r="L70" i="5"/>
  <c r="K70" i="5"/>
  <c r="X69" i="5"/>
  <c r="V69" i="5"/>
  <c r="U69" i="5"/>
  <c r="T69" i="5"/>
  <c r="N69" i="5"/>
  <c r="M69" i="5"/>
  <c r="L69" i="5"/>
  <c r="K69" i="5"/>
  <c r="X68" i="5"/>
  <c r="V68" i="5"/>
  <c r="U68" i="5"/>
  <c r="T68" i="5"/>
  <c r="N68" i="5"/>
  <c r="M68" i="5"/>
  <c r="L68" i="5"/>
  <c r="K68" i="5"/>
  <c r="X67" i="5"/>
  <c r="V67" i="5"/>
  <c r="U67" i="5"/>
  <c r="T67" i="5"/>
  <c r="N67" i="5"/>
  <c r="M67" i="5"/>
  <c r="L67" i="5"/>
  <c r="K67" i="5"/>
  <c r="X66" i="5"/>
  <c r="V66" i="5"/>
  <c r="U66" i="5"/>
  <c r="T66" i="5"/>
  <c r="N66" i="5"/>
  <c r="M66" i="5"/>
  <c r="L66" i="5"/>
  <c r="K66" i="5"/>
  <c r="X65" i="5"/>
  <c r="V65" i="5"/>
  <c r="U65" i="5"/>
  <c r="T65" i="5"/>
  <c r="N65" i="5"/>
  <c r="M65" i="5"/>
  <c r="L65" i="5"/>
  <c r="K65" i="5"/>
  <c r="X64" i="5"/>
  <c r="V64" i="5"/>
  <c r="U64" i="5"/>
  <c r="T64" i="5"/>
  <c r="N64" i="5"/>
  <c r="M64" i="5"/>
  <c r="L64" i="5"/>
  <c r="K64" i="5"/>
  <c r="X63" i="5"/>
  <c r="V63" i="5"/>
  <c r="U63" i="5"/>
  <c r="T63" i="5"/>
  <c r="N63" i="5"/>
  <c r="M63" i="5"/>
  <c r="L63" i="5"/>
  <c r="K63" i="5"/>
  <c r="X62" i="5"/>
  <c r="W62" i="5"/>
  <c r="V62" i="5"/>
  <c r="U62" i="5"/>
  <c r="T62" i="5"/>
  <c r="S62" i="5"/>
  <c r="N62" i="5"/>
  <c r="M62" i="5"/>
  <c r="L62" i="5"/>
  <c r="K62" i="5"/>
  <c r="X61" i="5"/>
  <c r="V61" i="5"/>
  <c r="U61" i="5"/>
  <c r="T61" i="5"/>
  <c r="N61" i="5"/>
  <c r="M61" i="5"/>
  <c r="L61" i="5"/>
  <c r="K61" i="5"/>
  <c r="X60" i="5"/>
  <c r="V60" i="5"/>
  <c r="U60" i="5"/>
  <c r="T60" i="5"/>
  <c r="N60" i="5"/>
  <c r="M60" i="5"/>
  <c r="L60" i="5"/>
  <c r="K60" i="5"/>
  <c r="X59" i="5"/>
  <c r="W59" i="5"/>
  <c r="V59" i="5"/>
  <c r="U59" i="5"/>
  <c r="T59" i="5"/>
  <c r="S59" i="5"/>
  <c r="N59" i="5"/>
  <c r="M59" i="5"/>
  <c r="L59" i="5"/>
  <c r="K59" i="5"/>
  <c r="X58" i="5"/>
  <c r="V58" i="5"/>
  <c r="U58" i="5"/>
  <c r="T58" i="5"/>
  <c r="N58" i="5"/>
  <c r="M58" i="5"/>
  <c r="L58" i="5"/>
  <c r="K58" i="5"/>
  <c r="X57" i="5"/>
  <c r="V57" i="5"/>
  <c r="U57" i="5"/>
  <c r="T57" i="5"/>
  <c r="N57" i="5"/>
  <c r="M57" i="5"/>
  <c r="L57" i="5"/>
  <c r="K57" i="5"/>
  <c r="X56" i="5"/>
  <c r="V56" i="5"/>
  <c r="U56" i="5"/>
  <c r="T56" i="5"/>
  <c r="N56" i="5"/>
  <c r="M56" i="5"/>
  <c r="L56" i="5"/>
  <c r="K56" i="5"/>
  <c r="X55" i="5"/>
  <c r="W55" i="5"/>
  <c r="V55" i="5"/>
  <c r="U55" i="5"/>
  <c r="T55" i="5"/>
  <c r="S55" i="5"/>
  <c r="N55" i="5"/>
  <c r="M55" i="5"/>
  <c r="L55" i="5"/>
  <c r="K55" i="5"/>
  <c r="X54" i="5"/>
  <c r="V54" i="5"/>
  <c r="U54" i="5"/>
  <c r="T54" i="5"/>
  <c r="N54" i="5"/>
  <c r="M54" i="5"/>
  <c r="L54" i="5"/>
  <c r="K54" i="5"/>
  <c r="X53" i="5"/>
  <c r="V53" i="5"/>
  <c r="U53" i="5"/>
  <c r="T53" i="5"/>
  <c r="N53" i="5"/>
  <c r="M53" i="5"/>
  <c r="L53" i="5"/>
  <c r="K53" i="5"/>
  <c r="X52" i="5"/>
  <c r="V52" i="5"/>
  <c r="U52" i="5"/>
  <c r="T52" i="5"/>
  <c r="N52" i="5"/>
  <c r="M52" i="5"/>
  <c r="L52" i="5"/>
  <c r="K52" i="5"/>
  <c r="X51" i="5"/>
  <c r="V51" i="5"/>
  <c r="U51" i="5"/>
  <c r="T51" i="5"/>
  <c r="N51" i="5"/>
  <c r="M51" i="5"/>
  <c r="L51" i="5"/>
  <c r="K51" i="5"/>
  <c r="X50" i="5"/>
  <c r="V50" i="5"/>
  <c r="U50" i="5"/>
  <c r="T50" i="5"/>
  <c r="N50" i="5"/>
  <c r="M50" i="5"/>
  <c r="L50" i="5"/>
  <c r="K50" i="5"/>
  <c r="X49" i="5"/>
  <c r="V49" i="5"/>
  <c r="U49" i="5"/>
  <c r="T49" i="5"/>
  <c r="N49" i="5"/>
  <c r="M49" i="5"/>
  <c r="L49" i="5"/>
  <c r="K49" i="5"/>
  <c r="X48" i="5"/>
  <c r="V48" i="5"/>
  <c r="U48" i="5"/>
  <c r="T48" i="5"/>
  <c r="N48" i="5"/>
  <c r="M48" i="5"/>
  <c r="L48" i="5"/>
  <c r="K48" i="5"/>
  <c r="X47" i="5"/>
  <c r="V47" i="5"/>
  <c r="U47" i="5"/>
  <c r="T47" i="5"/>
  <c r="N47" i="5"/>
  <c r="M47" i="5"/>
  <c r="L47" i="5"/>
  <c r="K47" i="5"/>
  <c r="X46" i="5"/>
  <c r="V46" i="5"/>
  <c r="U46" i="5"/>
  <c r="T46" i="5"/>
  <c r="N46" i="5"/>
  <c r="M46" i="5"/>
  <c r="L46" i="5"/>
  <c r="K46" i="5"/>
  <c r="X45" i="5"/>
  <c r="V45" i="5"/>
  <c r="U45" i="5"/>
  <c r="T45" i="5"/>
  <c r="N45" i="5"/>
  <c r="M45" i="5"/>
  <c r="L45" i="5"/>
  <c r="K45" i="5"/>
  <c r="X44" i="5"/>
  <c r="W44" i="5"/>
  <c r="V44" i="5"/>
  <c r="U44" i="5"/>
  <c r="T44" i="5"/>
  <c r="S44" i="5"/>
  <c r="N44" i="5"/>
  <c r="M44" i="5"/>
  <c r="L44" i="5"/>
  <c r="K44" i="5"/>
  <c r="X43" i="5"/>
  <c r="V43" i="5"/>
  <c r="U43" i="5"/>
  <c r="T43" i="5"/>
  <c r="N43" i="5"/>
  <c r="M43" i="5"/>
  <c r="L43" i="5"/>
  <c r="K43" i="5"/>
  <c r="X42" i="5"/>
  <c r="V42" i="5"/>
  <c r="U42" i="5"/>
  <c r="T42" i="5"/>
  <c r="N42" i="5"/>
  <c r="M42" i="5"/>
  <c r="L42" i="5"/>
  <c r="K42" i="5"/>
  <c r="X41" i="5"/>
  <c r="V41" i="5"/>
  <c r="U41" i="5"/>
  <c r="T41" i="5"/>
  <c r="N41" i="5"/>
  <c r="M41" i="5"/>
  <c r="L41" i="5"/>
  <c r="K41" i="5"/>
  <c r="X40" i="5"/>
  <c r="V40" i="5"/>
  <c r="U40" i="5"/>
  <c r="T40" i="5"/>
  <c r="N40" i="5"/>
  <c r="M40" i="5"/>
  <c r="L40" i="5"/>
  <c r="K40" i="5"/>
  <c r="X39" i="5"/>
  <c r="V39" i="5"/>
  <c r="U39" i="5"/>
  <c r="T39" i="5"/>
  <c r="N39" i="5"/>
  <c r="M39" i="5"/>
  <c r="L39" i="5"/>
  <c r="K39" i="5"/>
  <c r="X38" i="5"/>
  <c r="V38" i="5"/>
  <c r="U38" i="5"/>
  <c r="T38" i="5"/>
  <c r="N38" i="5"/>
  <c r="M38" i="5"/>
  <c r="L38" i="5"/>
  <c r="K38" i="5"/>
  <c r="X37" i="5"/>
  <c r="V37" i="5"/>
  <c r="U37" i="5"/>
  <c r="T37" i="5"/>
  <c r="N37" i="5"/>
  <c r="M37" i="5"/>
  <c r="L37" i="5"/>
  <c r="K37" i="5"/>
  <c r="X36" i="5"/>
  <c r="V36" i="5"/>
  <c r="U36" i="5"/>
  <c r="T36" i="5"/>
  <c r="N36" i="5"/>
  <c r="M36" i="5"/>
  <c r="L36" i="5"/>
  <c r="K36" i="5"/>
  <c r="X35" i="5"/>
  <c r="W35" i="5"/>
  <c r="V35" i="5"/>
  <c r="U35" i="5"/>
  <c r="T35" i="5"/>
  <c r="S35" i="5"/>
  <c r="N35" i="5"/>
  <c r="M35" i="5"/>
  <c r="L35" i="5"/>
  <c r="K35" i="5"/>
  <c r="X34" i="5"/>
  <c r="W34" i="5"/>
  <c r="V34" i="5"/>
  <c r="U34" i="5"/>
  <c r="T34" i="5"/>
  <c r="S34" i="5"/>
  <c r="N34" i="5"/>
  <c r="M34" i="5"/>
  <c r="L34" i="5"/>
  <c r="K34" i="5"/>
  <c r="X33" i="5"/>
  <c r="V33" i="5"/>
  <c r="U33" i="5"/>
  <c r="T33" i="5"/>
  <c r="N33" i="5"/>
  <c r="M33" i="5"/>
  <c r="L33" i="5"/>
  <c r="K33" i="5"/>
  <c r="X32" i="5"/>
  <c r="V32" i="5"/>
  <c r="U32" i="5"/>
  <c r="T32" i="5"/>
  <c r="N32" i="5"/>
  <c r="M32" i="5"/>
  <c r="L32" i="5"/>
  <c r="K32" i="5"/>
  <c r="X31" i="5"/>
  <c r="V31" i="5"/>
  <c r="U31" i="5"/>
  <c r="T31" i="5"/>
  <c r="N31" i="5"/>
  <c r="M31" i="5"/>
  <c r="L31" i="5"/>
  <c r="K31" i="5"/>
  <c r="X30" i="5"/>
  <c r="V30" i="5"/>
  <c r="U30" i="5"/>
  <c r="T30" i="5"/>
  <c r="N30" i="5"/>
  <c r="M30" i="5"/>
  <c r="L30" i="5"/>
  <c r="K30" i="5"/>
  <c r="X29" i="5"/>
  <c r="V29" i="5"/>
  <c r="U29" i="5"/>
  <c r="T29" i="5"/>
  <c r="N29" i="5"/>
  <c r="M29" i="5"/>
  <c r="L29" i="5"/>
  <c r="K29" i="5"/>
  <c r="X28" i="5"/>
  <c r="V28" i="5"/>
  <c r="U28" i="5"/>
  <c r="T28" i="5"/>
  <c r="N28" i="5"/>
  <c r="M28" i="5"/>
  <c r="L28" i="5"/>
  <c r="K28" i="5"/>
  <c r="X27" i="5"/>
  <c r="V27" i="5"/>
  <c r="U27" i="5"/>
  <c r="T27" i="5"/>
  <c r="N27" i="5"/>
  <c r="M27" i="5"/>
  <c r="L27" i="5"/>
  <c r="K27" i="5"/>
  <c r="X26" i="5"/>
  <c r="V26" i="5"/>
  <c r="U26" i="5"/>
  <c r="T26" i="5"/>
  <c r="N26" i="5"/>
  <c r="M26" i="5"/>
  <c r="L26" i="5"/>
  <c r="K26" i="5"/>
  <c r="X25" i="5"/>
  <c r="V25" i="5"/>
  <c r="U25" i="5"/>
  <c r="T25" i="5"/>
  <c r="N25" i="5"/>
  <c r="M25" i="5"/>
  <c r="L25" i="5"/>
  <c r="K25" i="5"/>
  <c r="X24" i="5"/>
  <c r="V24" i="5"/>
  <c r="U24" i="5"/>
  <c r="T24" i="5"/>
  <c r="N24" i="5"/>
  <c r="M24" i="5"/>
  <c r="L24" i="5"/>
  <c r="K24" i="5"/>
  <c r="X23" i="5"/>
  <c r="V23" i="5"/>
  <c r="U23" i="5"/>
  <c r="T23" i="5"/>
  <c r="N23" i="5"/>
  <c r="M23" i="5"/>
  <c r="L23" i="5"/>
  <c r="K23" i="5"/>
  <c r="X22" i="5"/>
  <c r="V22" i="5"/>
  <c r="U22" i="5"/>
  <c r="T22" i="5"/>
  <c r="N22" i="5"/>
  <c r="M22" i="5"/>
  <c r="L22" i="5"/>
  <c r="K22" i="5"/>
  <c r="X21" i="5"/>
  <c r="V21" i="5"/>
  <c r="U21" i="5"/>
  <c r="T21" i="5"/>
  <c r="N21" i="5"/>
  <c r="M21" i="5"/>
  <c r="L21" i="5"/>
  <c r="K21" i="5"/>
  <c r="X20" i="5"/>
  <c r="V20" i="5"/>
  <c r="U20" i="5"/>
  <c r="T20" i="5"/>
  <c r="N20" i="5"/>
  <c r="M20" i="5"/>
  <c r="L20" i="5"/>
  <c r="K20" i="5"/>
  <c r="X19" i="5"/>
  <c r="V19" i="5"/>
  <c r="U19" i="5"/>
  <c r="T19" i="5"/>
  <c r="N19" i="5"/>
  <c r="M19" i="5"/>
  <c r="L19" i="5"/>
  <c r="K19" i="5"/>
  <c r="X18" i="5"/>
  <c r="V18" i="5"/>
  <c r="U18" i="5"/>
  <c r="T18" i="5"/>
  <c r="N18" i="5"/>
  <c r="M18" i="5"/>
  <c r="L18" i="5"/>
  <c r="K18" i="5"/>
  <c r="X17" i="5"/>
  <c r="V17" i="5"/>
  <c r="U17" i="5"/>
  <c r="T17" i="5"/>
  <c r="N17" i="5"/>
  <c r="M17" i="5"/>
  <c r="L17" i="5"/>
  <c r="K17" i="5"/>
  <c r="X16" i="5"/>
  <c r="V16" i="5"/>
  <c r="U16" i="5"/>
  <c r="T16" i="5"/>
  <c r="N16" i="5"/>
  <c r="M16" i="5"/>
  <c r="L16" i="5"/>
  <c r="K16" i="5"/>
  <c r="X15" i="5"/>
  <c r="V15" i="5"/>
  <c r="U15" i="5"/>
  <c r="T15" i="5"/>
  <c r="N15" i="5"/>
  <c r="M15" i="5"/>
  <c r="L15" i="5"/>
  <c r="K15" i="5"/>
  <c r="X14" i="5"/>
  <c r="V14" i="5"/>
  <c r="U14" i="5"/>
  <c r="T14" i="5"/>
  <c r="N14" i="5"/>
  <c r="M14" i="5"/>
  <c r="L14" i="5"/>
  <c r="K14" i="5"/>
  <c r="X13" i="5"/>
  <c r="V13" i="5"/>
  <c r="U13" i="5"/>
  <c r="T13" i="5"/>
  <c r="N13" i="5"/>
  <c r="M13" i="5"/>
  <c r="L13" i="5"/>
  <c r="K13" i="5"/>
  <c r="X12" i="5"/>
  <c r="V12" i="5"/>
  <c r="U12" i="5"/>
  <c r="T12" i="5"/>
  <c r="N12" i="5"/>
  <c r="M12" i="5"/>
  <c r="L12" i="5"/>
  <c r="K12" i="5"/>
  <c r="X11" i="5"/>
  <c r="V11" i="5"/>
  <c r="U11" i="5"/>
  <c r="T11" i="5"/>
  <c r="N11" i="5"/>
  <c r="M11" i="5"/>
  <c r="L11" i="5"/>
  <c r="K11" i="5"/>
  <c r="X10" i="5"/>
  <c r="V10" i="5"/>
  <c r="U10" i="5"/>
  <c r="T10" i="5"/>
  <c r="N10" i="5"/>
  <c r="M10" i="5"/>
  <c r="L10" i="5"/>
  <c r="K10" i="5"/>
  <c r="X9" i="5"/>
  <c r="V9" i="5"/>
  <c r="U9" i="5"/>
  <c r="T9" i="5"/>
  <c r="N9" i="5"/>
  <c r="M9" i="5"/>
  <c r="L9" i="5"/>
  <c r="K9" i="5"/>
  <c r="X8" i="5"/>
  <c r="V8" i="5"/>
  <c r="U8" i="5"/>
  <c r="T8" i="5"/>
  <c r="N8" i="5"/>
  <c r="M8" i="5"/>
  <c r="L8" i="5"/>
  <c r="K8" i="5"/>
  <c r="X7" i="5"/>
  <c r="V7" i="5"/>
  <c r="U7" i="5"/>
  <c r="T7" i="5"/>
  <c r="N7" i="5"/>
  <c r="M7" i="5"/>
  <c r="L7" i="5"/>
  <c r="K7" i="5"/>
  <c r="X6" i="5"/>
  <c r="V6" i="5"/>
  <c r="U6" i="5"/>
  <c r="T6" i="5"/>
  <c r="N6" i="5"/>
  <c r="M6" i="5"/>
  <c r="L6" i="5"/>
  <c r="K6" i="5"/>
  <c r="X5" i="5"/>
  <c r="V5" i="5"/>
  <c r="U5" i="5"/>
  <c r="T5" i="5"/>
  <c r="N5" i="5"/>
  <c r="M5" i="5"/>
  <c r="L5" i="5"/>
  <c r="K5" i="5"/>
  <c r="X4" i="5"/>
  <c r="V4" i="5"/>
  <c r="U4" i="5"/>
  <c r="T4" i="5"/>
  <c r="N4" i="5"/>
  <c r="M4" i="5"/>
  <c r="L4" i="5"/>
  <c r="K4" i="5"/>
  <c r="X3" i="5"/>
  <c r="V3" i="5"/>
  <c r="U3" i="5"/>
  <c r="T3" i="5"/>
  <c r="N3" i="5"/>
  <c r="M3" i="5"/>
  <c r="L3" i="5"/>
  <c r="K3" i="5"/>
  <c r="X2" i="5"/>
  <c r="V2" i="5"/>
  <c r="U2" i="5"/>
  <c r="T2" i="5"/>
  <c r="N2" i="5"/>
  <c r="M2" i="5"/>
  <c r="L2" i="5"/>
  <c r="K2" i="5"/>
  <c r="L101" i="3"/>
  <c r="K101" i="3"/>
  <c r="M101" i="3" s="1"/>
  <c r="J101" i="3"/>
  <c r="H101" i="3"/>
  <c r="L100" i="3"/>
  <c r="K100" i="3"/>
  <c r="M100" i="3" s="1"/>
  <c r="J100" i="3"/>
  <c r="H100" i="3"/>
  <c r="L99" i="3"/>
  <c r="K99" i="3"/>
  <c r="M99" i="3" s="1"/>
  <c r="J99" i="3"/>
  <c r="H99" i="3"/>
  <c r="L98" i="3"/>
  <c r="K98" i="3"/>
  <c r="M98" i="3" s="1"/>
  <c r="J98" i="3"/>
  <c r="H98" i="3"/>
  <c r="L97" i="3"/>
  <c r="K97" i="3"/>
  <c r="M97" i="3" s="1"/>
  <c r="J97" i="3"/>
  <c r="H97" i="3"/>
  <c r="L96" i="3"/>
  <c r="K96" i="3"/>
  <c r="M96" i="3" s="1"/>
  <c r="J96" i="3"/>
  <c r="H96" i="3"/>
  <c r="L95" i="3"/>
  <c r="K95" i="3"/>
  <c r="M95" i="3" s="1"/>
  <c r="J95" i="3"/>
  <c r="H95" i="3"/>
  <c r="L94" i="3"/>
  <c r="K94" i="3"/>
  <c r="M94" i="3" s="1"/>
  <c r="J94" i="3"/>
  <c r="H94" i="3"/>
  <c r="L93" i="3"/>
  <c r="K93" i="3"/>
  <c r="M93" i="3" s="1"/>
  <c r="J93" i="3"/>
  <c r="H93" i="3"/>
  <c r="L92" i="3"/>
  <c r="K92" i="3"/>
  <c r="M92" i="3" s="1"/>
  <c r="J92" i="3"/>
  <c r="H92" i="3"/>
  <c r="L91" i="3"/>
  <c r="K91" i="3"/>
  <c r="M91" i="3" s="1"/>
  <c r="J91" i="3"/>
  <c r="H91" i="3"/>
  <c r="L90" i="3"/>
  <c r="K90" i="3"/>
  <c r="M90" i="3" s="1"/>
  <c r="J90" i="3"/>
  <c r="H90" i="3"/>
  <c r="L89" i="3"/>
  <c r="K89" i="3"/>
  <c r="M89" i="3" s="1"/>
  <c r="J89" i="3"/>
  <c r="H89" i="3"/>
  <c r="L88" i="3"/>
  <c r="K88" i="3"/>
  <c r="M88" i="3" s="1"/>
  <c r="J88" i="3"/>
  <c r="H88" i="3"/>
  <c r="L87" i="3"/>
  <c r="K87" i="3"/>
  <c r="M87" i="3" s="1"/>
  <c r="J87" i="3"/>
  <c r="H87" i="3"/>
  <c r="L86" i="3"/>
  <c r="K86" i="3"/>
  <c r="M86" i="3" s="1"/>
  <c r="J86" i="3"/>
  <c r="H86" i="3"/>
  <c r="L85" i="3"/>
  <c r="K85" i="3"/>
  <c r="M85" i="3" s="1"/>
  <c r="J85" i="3"/>
  <c r="H85" i="3"/>
  <c r="L84" i="3"/>
  <c r="K84" i="3"/>
  <c r="M84" i="3" s="1"/>
  <c r="J84" i="3"/>
  <c r="H84" i="3"/>
  <c r="L83" i="3"/>
  <c r="K83" i="3"/>
  <c r="M83" i="3" s="1"/>
  <c r="J83" i="3"/>
  <c r="H83" i="3"/>
  <c r="L82" i="3"/>
  <c r="K82" i="3"/>
  <c r="M82" i="3" s="1"/>
  <c r="J82" i="3"/>
  <c r="H82" i="3"/>
  <c r="L81" i="3"/>
  <c r="K81" i="3"/>
  <c r="M81" i="3" s="1"/>
  <c r="J81" i="3"/>
  <c r="H81" i="3"/>
  <c r="L80" i="3"/>
  <c r="K80" i="3"/>
  <c r="M80" i="3" s="1"/>
  <c r="J80" i="3"/>
  <c r="H80" i="3"/>
  <c r="L79" i="3"/>
  <c r="K79" i="3"/>
  <c r="M79" i="3" s="1"/>
  <c r="J79" i="3"/>
  <c r="H79" i="3"/>
  <c r="L78" i="3"/>
  <c r="K78" i="3"/>
  <c r="M78" i="3" s="1"/>
  <c r="J78" i="3"/>
  <c r="H78" i="3"/>
  <c r="L77" i="3"/>
  <c r="K77" i="3"/>
  <c r="M77" i="3" s="1"/>
  <c r="J77" i="3"/>
  <c r="H77" i="3"/>
  <c r="L76" i="3"/>
  <c r="K76" i="3"/>
  <c r="M76" i="3" s="1"/>
  <c r="J76" i="3"/>
  <c r="H76" i="3"/>
  <c r="L75" i="3"/>
  <c r="K75" i="3"/>
  <c r="M75" i="3" s="1"/>
  <c r="J75" i="3"/>
  <c r="H75" i="3"/>
  <c r="L74" i="3"/>
  <c r="K74" i="3"/>
  <c r="M74" i="3" s="1"/>
  <c r="J74" i="3"/>
  <c r="H74" i="3"/>
  <c r="L73" i="3"/>
  <c r="K73" i="3"/>
  <c r="M73" i="3" s="1"/>
  <c r="J73" i="3"/>
  <c r="H73" i="3"/>
  <c r="L72" i="3"/>
  <c r="K72" i="3"/>
  <c r="M72" i="3" s="1"/>
  <c r="J72" i="3"/>
  <c r="H72" i="3"/>
  <c r="L71" i="3"/>
  <c r="K71" i="3"/>
  <c r="M71" i="3" s="1"/>
  <c r="J71" i="3"/>
  <c r="H71" i="3"/>
  <c r="L70" i="3"/>
  <c r="K70" i="3"/>
  <c r="M70" i="3" s="1"/>
  <c r="J70" i="3"/>
  <c r="H70" i="3"/>
  <c r="L69" i="3"/>
  <c r="K69" i="3"/>
  <c r="M69" i="3" s="1"/>
  <c r="J69" i="3"/>
  <c r="H69" i="3"/>
  <c r="L68" i="3"/>
  <c r="K68" i="3"/>
  <c r="M68" i="3" s="1"/>
  <c r="J68" i="3"/>
  <c r="H68" i="3"/>
  <c r="L67" i="3"/>
  <c r="K67" i="3"/>
  <c r="M67" i="3" s="1"/>
  <c r="J67" i="3"/>
  <c r="H67" i="3"/>
  <c r="L66" i="3"/>
  <c r="K66" i="3"/>
  <c r="M66" i="3" s="1"/>
  <c r="J66" i="3"/>
  <c r="H66" i="3"/>
  <c r="L65" i="3"/>
  <c r="K65" i="3"/>
  <c r="M65" i="3" s="1"/>
  <c r="J65" i="3"/>
  <c r="H65" i="3"/>
  <c r="L64" i="3"/>
  <c r="K64" i="3"/>
  <c r="M64" i="3" s="1"/>
  <c r="J64" i="3"/>
  <c r="H64" i="3"/>
  <c r="L63" i="3"/>
  <c r="K63" i="3"/>
  <c r="M63" i="3" s="1"/>
  <c r="J63" i="3"/>
  <c r="H63" i="3"/>
  <c r="L62" i="3"/>
  <c r="K62" i="3"/>
  <c r="M62" i="3" s="1"/>
  <c r="J62" i="3"/>
  <c r="H62" i="3"/>
  <c r="L61" i="3"/>
  <c r="K61" i="3"/>
  <c r="M61" i="3" s="1"/>
  <c r="J61" i="3"/>
  <c r="H61" i="3"/>
  <c r="L60" i="3"/>
  <c r="K60" i="3"/>
  <c r="M60" i="3" s="1"/>
  <c r="J60" i="3"/>
  <c r="H60" i="3"/>
  <c r="L59" i="3"/>
  <c r="K59" i="3"/>
  <c r="M59" i="3" s="1"/>
  <c r="J59" i="3"/>
  <c r="H59" i="3"/>
  <c r="L58" i="3"/>
  <c r="K58" i="3"/>
  <c r="M58" i="3" s="1"/>
  <c r="J58" i="3"/>
  <c r="H58" i="3"/>
  <c r="L57" i="3"/>
  <c r="K57" i="3"/>
  <c r="M57" i="3" s="1"/>
  <c r="J57" i="3"/>
  <c r="H57" i="3"/>
  <c r="L56" i="3"/>
  <c r="K56" i="3"/>
  <c r="M56" i="3" s="1"/>
  <c r="J56" i="3"/>
  <c r="H56" i="3"/>
  <c r="L55" i="3"/>
  <c r="K55" i="3"/>
  <c r="M55" i="3" s="1"/>
  <c r="J55" i="3"/>
  <c r="H55" i="3"/>
  <c r="L54" i="3"/>
  <c r="K54" i="3"/>
  <c r="M54" i="3" s="1"/>
  <c r="J54" i="3"/>
  <c r="H54" i="3"/>
  <c r="L53" i="3"/>
  <c r="K53" i="3"/>
  <c r="M53" i="3" s="1"/>
  <c r="J53" i="3"/>
  <c r="H53" i="3"/>
  <c r="L52" i="3"/>
  <c r="K52" i="3"/>
  <c r="M52" i="3" s="1"/>
  <c r="J52" i="3"/>
  <c r="H52" i="3"/>
  <c r="L51" i="3"/>
  <c r="K51" i="3"/>
  <c r="M51" i="3" s="1"/>
  <c r="J51" i="3"/>
  <c r="H51" i="3"/>
  <c r="L50" i="3"/>
  <c r="K50" i="3"/>
  <c r="M50" i="3" s="1"/>
  <c r="J50" i="3"/>
  <c r="H50" i="3"/>
  <c r="L49" i="3"/>
  <c r="K49" i="3"/>
  <c r="M49" i="3" s="1"/>
  <c r="J49" i="3"/>
  <c r="H49" i="3"/>
  <c r="L48" i="3"/>
  <c r="K48" i="3"/>
  <c r="M48" i="3" s="1"/>
  <c r="J48" i="3"/>
  <c r="H48" i="3"/>
  <c r="L47" i="3"/>
  <c r="K47" i="3"/>
  <c r="M47" i="3" s="1"/>
  <c r="J47" i="3"/>
  <c r="H47" i="3"/>
  <c r="L46" i="3"/>
  <c r="K46" i="3"/>
  <c r="M46" i="3" s="1"/>
  <c r="J46" i="3"/>
  <c r="H46" i="3"/>
  <c r="L45" i="3"/>
  <c r="K45" i="3"/>
  <c r="M45" i="3" s="1"/>
  <c r="J45" i="3"/>
  <c r="H45" i="3"/>
  <c r="L44" i="3"/>
  <c r="K44" i="3"/>
  <c r="M44" i="3" s="1"/>
  <c r="J44" i="3"/>
  <c r="H44" i="3"/>
  <c r="L43" i="3"/>
  <c r="K43" i="3"/>
  <c r="M43" i="3" s="1"/>
  <c r="J43" i="3"/>
  <c r="H43" i="3"/>
  <c r="L42" i="3"/>
  <c r="K42" i="3"/>
  <c r="M42" i="3" s="1"/>
  <c r="J42" i="3"/>
  <c r="H42" i="3"/>
  <c r="L41" i="3"/>
  <c r="K41" i="3"/>
  <c r="M41" i="3" s="1"/>
  <c r="J41" i="3"/>
  <c r="H41" i="3"/>
  <c r="L40" i="3"/>
  <c r="K40" i="3"/>
  <c r="M40" i="3" s="1"/>
  <c r="J40" i="3"/>
  <c r="H40" i="3"/>
  <c r="L39" i="3"/>
  <c r="K39" i="3"/>
  <c r="M39" i="3" s="1"/>
  <c r="J39" i="3"/>
  <c r="H39" i="3"/>
  <c r="L38" i="3"/>
  <c r="K38" i="3"/>
  <c r="M38" i="3" s="1"/>
  <c r="J38" i="3"/>
  <c r="H38" i="3"/>
  <c r="L37" i="3"/>
  <c r="K37" i="3"/>
  <c r="M37" i="3" s="1"/>
  <c r="J37" i="3"/>
  <c r="H37" i="3"/>
  <c r="L36" i="3"/>
  <c r="K36" i="3"/>
  <c r="M36" i="3" s="1"/>
  <c r="J36" i="3"/>
  <c r="H36" i="3"/>
  <c r="L35" i="3"/>
  <c r="K35" i="3"/>
  <c r="M35" i="3" s="1"/>
  <c r="J35" i="3"/>
  <c r="H35" i="3"/>
  <c r="L34" i="3"/>
  <c r="K34" i="3"/>
  <c r="M34" i="3" s="1"/>
  <c r="J34" i="3"/>
  <c r="H34" i="3"/>
  <c r="L33" i="3"/>
  <c r="K33" i="3"/>
  <c r="M33" i="3" s="1"/>
  <c r="J33" i="3"/>
  <c r="H33" i="3"/>
  <c r="L32" i="3"/>
  <c r="K32" i="3"/>
  <c r="M32" i="3" s="1"/>
  <c r="J32" i="3"/>
  <c r="H32" i="3"/>
  <c r="L31" i="3"/>
  <c r="K31" i="3"/>
  <c r="M31" i="3" s="1"/>
  <c r="J31" i="3"/>
  <c r="H31" i="3"/>
  <c r="L30" i="3"/>
  <c r="K30" i="3"/>
  <c r="M30" i="3" s="1"/>
  <c r="J30" i="3"/>
  <c r="H30" i="3"/>
  <c r="L29" i="3"/>
  <c r="K29" i="3"/>
  <c r="M29" i="3" s="1"/>
  <c r="J29" i="3"/>
  <c r="H29" i="3"/>
  <c r="L28" i="3"/>
  <c r="K28" i="3"/>
  <c r="M28" i="3" s="1"/>
  <c r="J28" i="3"/>
  <c r="H28" i="3"/>
  <c r="L27" i="3"/>
  <c r="K27" i="3"/>
  <c r="M27" i="3" s="1"/>
  <c r="J27" i="3"/>
  <c r="H27" i="3"/>
  <c r="L26" i="3"/>
  <c r="K26" i="3"/>
  <c r="M26" i="3" s="1"/>
  <c r="J26" i="3"/>
  <c r="H26" i="3"/>
  <c r="L25" i="3"/>
  <c r="K25" i="3"/>
  <c r="M25" i="3" s="1"/>
  <c r="J25" i="3"/>
  <c r="H25" i="3"/>
  <c r="L24" i="3"/>
  <c r="K24" i="3"/>
  <c r="M24" i="3" s="1"/>
  <c r="J24" i="3"/>
  <c r="H24" i="3"/>
  <c r="L23" i="3"/>
  <c r="K23" i="3"/>
  <c r="M23" i="3" s="1"/>
  <c r="J23" i="3"/>
  <c r="H23" i="3"/>
  <c r="L22" i="3"/>
  <c r="K22" i="3"/>
  <c r="M22" i="3" s="1"/>
  <c r="J22" i="3"/>
  <c r="H22" i="3"/>
  <c r="L21" i="3"/>
  <c r="K21" i="3"/>
  <c r="M21" i="3" s="1"/>
  <c r="J21" i="3"/>
  <c r="H21" i="3"/>
  <c r="L20" i="3"/>
  <c r="K20" i="3"/>
  <c r="M20" i="3" s="1"/>
  <c r="J20" i="3"/>
  <c r="H20" i="3"/>
  <c r="L19" i="3"/>
  <c r="K19" i="3"/>
  <c r="M19" i="3" s="1"/>
  <c r="J19" i="3"/>
  <c r="H19" i="3"/>
  <c r="L18" i="3"/>
  <c r="K18" i="3"/>
  <c r="M18" i="3" s="1"/>
  <c r="J18" i="3"/>
  <c r="H18" i="3"/>
  <c r="L17" i="3"/>
  <c r="K17" i="3"/>
  <c r="M17" i="3" s="1"/>
  <c r="J17" i="3"/>
  <c r="H17" i="3"/>
  <c r="L16" i="3"/>
  <c r="K16" i="3"/>
  <c r="M16" i="3" s="1"/>
  <c r="J16" i="3"/>
  <c r="H16" i="3"/>
  <c r="L15" i="3"/>
  <c r="K15" i="3"/>
  <c r="M15" i="3" s="1"/>
  <c r="J15" i="3"/>
  <c r="H15" i="3"/>
  <c r="L14" i="3"/>
  <c r="K14" i="3"/>
  <c r="M14" i="3" s="1"/>
  <c r="J14" i="3"/>
  <c r="H14" i="3"/>
  <c r="L13" i="3"/>
  <c r="K13" i="3"/>
  <c r="M13" i="3" s="1"/>
  <c r="J13" i="3"/>
  <c r="H13" i="3"/>
  <c r="L12" i="3"/>
  <c r="K12" i="3"/>
  <c r="M12" i="3" s="1"/>
  <c r="J12" i="3"/>
  <c r="H12" i="3"/>
  <c r="L11" i="3"/>
  <c r="K11" i="3"/>
  <c r="M11" i="3" s="1"/>
  <c r="J11" i="3"/>
  <c r="H11" i="3"/>
  <c r="L10" i="3"/>
  <c r="K10" i="3"/>
  <c r="M10" i="3" s="1"/>
  <c r="J10" i="3"/>
  <c r="H10" i="3"/>
  <c r="L9" i="3"/>
  <c r="K9" i="3"/>
  <c r="M9" i="3" s="1"/>
  <c r="J9" i="3"/>
  <c r="H9" i="3"/>
  <c r="L8" i="3"/>
  <c r="K8" i="3"/>
  <c r="M8" i="3" s="1"/>
  <c r="J8" i="3"/>
  <c r="H8" i="3"/>
  <c r="L7" i="3"/>
  <c r="K7" i="3"/>
  <c r="M7" i="3" s="1"/>
  <c r="J7" i="3"/>
  <c r="H7" i="3"/>
  <c r="L6" i="3"/>
  <c r="K6" i="3"/>
  <c r="M6" i="3" s="1"/>
  <c r="J6" i="3"/>
  <c r="H6" i="3"/>
  <c r="L5" i="3"/>
  <c r="K5" i="3"/>
  <c r="M5" i="3" s="1"/>
  <c r="J5" i="3"/>
  <c r="H5" i="3"/>
  <c r="L4" i="3"/>
  <c r="K4" i="3"/>
  <c r="M4" i="3" s="1"/>
  <c r="J4" i="3"/>
  <c r="H4" i="3"/>
  <c r="L3" i="3"/>
  <c r="K3" i="3"/>
  <c r="M3" i="3" s="1"/>
  <c r="J3" i="3"/>
  <c r="H3" i="3"/>
  <c r="L2" i="3"/>
  <c r="K2" i="3"/>
  <c r="M2" i="3" s="1"/>
  <c r="J2" i="3"/>
  <c r="H2" i="3"/>
  <c r="N501" i="2"/>
  <c r="M501" i="2"/>
  <c r="L501" i="2"/>
  <c r="K501" i="2"/>
  <c r="J501" i="2"/>
  <c r="I501" i="2"/>
  <c r="N500" i="2"/>
  <c r="M500" i="2"/>
  <c r="W282" i="5" s="1"/>
  <c r="L500" i="2"/>
  <c r="K500" i="2"/>
  <c r="J500" i="2"/>
  <c r="I500" i="2"/>
  <c r="S282" i="5" s="1"/>
  <c r="N499" i="2"/>
  <c r="M499" i="2"/>
  <c r="L499" i="2"/>
  <c r="K499" i="2"/>
  <c r="J499" i="2"/>
  <c r="I499" i="2"/>
  <c r="N498" i="2"/>
  <c r="M498" i="2"/>
  <c r="L498" i="2"/>
  <c r="K498" i="2"/>
  <c r="J498" i="2"/>
  <c r="I498" i="2"/>
  <c r="N497" i="2"/>
  <c r="M497" i="2"/>
  <c r="W1141" i="5" s="1"/>
  <c r="L497" i="2"/>
  <c r="K497" i="2"/>
  <c r="J497" i="2"/>
  <c r="I497" i="2"/>
  <c r="S1141" i="5" s="1"/>
  <c r="N496" i="2"/>
  <c r="M496" i="2"/>
  <c r="L496" i="2"/>
  <c r="K496" i="2"/>
  <c r="J496" i="2"/>
  <c r="I496" i="2"/>
  <c r="N495" i="2"/>
  <c r="M495" i="2"/>
  <c r="L495" i="2"/>
  <c r="K495" i="2"/>
  <c r="J495" i="2"/>
  <c r="I495" i="2"/>
  <c r="N494" i="2"/>
  <c r="M494" i="2"/>
  <c r="L494" i="2"/>
  <c r="K494" i="2"/>
  <c r="J494" i="2"/>
  <c r="I494" i="2"/>
  <c r="N493" i="2"/>
  <c r="M493" i="2"/>
  <c r="L493" i="2"/>
  <c r="K493" i="2"/>
  <c r="J493" i="2"/>
  <c r="I493" i="2"/>
  <c r="N492" i="2"/>
  <c r="M492" i="2"/>
  <c r="L492" i="2"/>
  <c r="K492" i="2"/>
  <c r="J492" i="2"/>
  <c r="I492" i="2"/>
  <c r="N491" i="2"/>
  <c r="M491" i="2"/>
  <c r="L491" i="2"/>
  <c r="K491" i="2"/>
  <c r="J491" i="2"/>
  <c r="I491" i="2"/>
  <c r="N490" i="2"/>
  <c r="M490" i="2"/>
  <c r="L490" i="2"/>
  <c r="K490" i="2"/>
  <c r="J490" i="2"/>
  <c r="I490" i="2"/>
  <c r="N489" i="2"/>
  <c r="M489" i="2"/>
  <c r="L489" i="2"/>
  <c r="K489" i="2"/>
  <c r="J489" i="2"/>
  <c r="I489" i="2"/>
  <c r="N488" i="2"/>
  <c r="M488" i="2"/>
  <c r="L488" i="2"/>
  <c r="K488" i="2"/>
  <c r="J488" i="2"/>
  <c r="I488" i="2"/>
  <c r="N487" i="2"/>
  <c r="M487" i="2"/>
  <c r="L487" i="2"/>
  <c r="K487" i="2"/>
  <c r="J487" i="2"/>
  <c r="I487" i="2"/>
  <c r="N486" i="2"/>
  <c r="M486" i="2"/>
  <c r="L486" i="2"/>
  <c r="K486" i="2"/>
  <c r="J486" i="2"/>
  <c r="I486" i="2"/>
  <c r="N485" i="2"/>
  <c r="M485" i="2"/>
  <c r="L485" i="2"/>
  <c r="K485" i="2"/>
  <c r="J485" i="2"/>
  <c r="I485" i="2"/>
  <c r="N484" i="2"/>
  <c r="M484" i="2"/>
  <c r="L484" i="2"/>
  <c r="K484" i="2"/>
  <c r="J484" i="2"/>
  <c r="I484" i="2"/>
  <c r="N483" i="2"/>
  <c r="M483" i="2"/>
  <c r="L483" i="2"/>
  <c r="K483" i="2"/>
  <c r="J483" i="2"/>
  <c r="I483" i="2"/>
  <c r="N482" i="2"/>
  <c r="M482" i="2"/>
  <c r="W174" i="5" s="1"/>
  <c r="L482" i="2"/>
  <c r="K482" i="2"/>
  <c r="J482" i="2"/>
  <c r="I482" i="2"/>
  <c r="S174" i="5" s="1"/>
  <c r="N481" i="2"/>
  <c r="M481" i="2"/>
  <c r="L481" i="2"/>
  <c r="K481" i="2"/>
  <c r="J481" i="2"/>
  <c r="I481" i="2"/>
  <c r="N480" i="2"/>
  <c r="M480" i="2"/>
  <c r="L480" i="2"/>
  <c r="K480" i="2"/>
  <c r="J480" i="2"/>
  <c r="I480" i="2"/>
  <c r="N479" i="2"/>
  <c r="M479" i="2"/>
  <c r="L479" i="2"/>
  <c r="K479" i="2"/>
  <c r="J479" i="2"/>
  <c r="I479" i="2"/>
  <c r="N478" i="2"/>
  <c r="M478" i="2"/>
  <c r="L478" i="2"/>
  <c r="K478" i="2"/>
  <c r="J478" i="2"/>
  <c r="I478" i="2"/>
  <c r="N477" i="2"/>
  <c r="M477" i="2"/>
  <c r="W444" i="5" s="1"/>
  <c r="L477" i="2"/>
  <c r="K477" i="2"/>
  <c r="J477" i="2"/>
  <c r="I477" i="2"/>
  <c r="S444" i="5" s="1"/>
  <c r="N476" i="2"/>
  <c r="M476" i="2"/>
  <c r="W531" i="5" s="1"/>
  <c r="L476" i="2"/>
  <c r="K476" i="2"/>
  <c r="J476" i="2"/>
  <c r="I476" i="2"/>
  <c r="S531" i="5" s="1"/>
  <c r="N475" i="2"/>
  <c r="M475" i="2"/>
  <c r="L475" i="2"/>
  <c r="K475" i="2"/>
  <c r="J475" i="2"/>
  <c r="I475" i="2"/>
  <c r="N474" i="2"/>
  <c r="M474" i="2"/>
  <c r="L474" i="2"/>
  <c r="K474" i="2"/>
  <c r="J474" i="2"/>
  <c r="I474" i="2"/>
  <c r="N473" i="2"/>
  <c r="M473" i="2"/>
  <c r="L473" i="2"/>
  <c r="K473" i="2"/>
  <c r="J473" i="2"/>
  <c r="I473" i="2"/>
  <c r="N472" i="2"/>
  <c r="M472" i="2"/>
  <c r="L472" i="2"/>
  <c r="K472" i="2"/>
  <c r="J472" i="2"/>
  <c r="I472" i="2"/>
  <c r="N471" i="2"/>
  <c r="M471" i="2"/>
  <c r="L471" i="2"/>
  <c r="K471" i="2"/>
  <c r="J471" i="2"/>
  <c r="I471" i="2"/>
  <c r="N470" i="2"/>
  <c r="M470" i="2"/>
  <c r="L470" i="2"/>
  <c r="K470" i="2"/>
  <c r="J470" i="2"/>
  <c r="I470" i="2"/>
  <c r="N469" i="2"/>
  <c r="M469" i="2"/>
  <c r="L469" i="2"/>
  <c r="K469" i="2"/>
  <c r="J469" i="2"/>
  <c r="I469" i="2"/>
  <c r="N468" i="2"/>
  <c r="M468" i="2"/>
  <c r="L468" i="2"/>
  <c r="K468" i="2"/>
  <c r="J468" i="2"/>
  <c r="I468" i="2"/>
  <c r="N467" i="2"/>
  <c r="M467" i="2"/>
  <c r="L467" i="2"/>
  <c r="K467" i="2"/>
  <c r="J467" i="2"/>
  <c r="I467" i="2"/>
  <c r="N466" i="2"/>
  <c r="M466" i="2"/>
  <c r="L466" i="2"/>
  <c r="K466" i="2"/>
  <c r="J466" i="2"/>
  <c r="I466" i="2"/>
  <c r="N465" i="2"/>
  <c r="M465" i="2"/>
  <c r="L465" i="2"/>
  <c r="K465" i="2"/>
  <c r="J465" i="2"/>
  <c r="I465" i="2"/>
  <c r="N464" i="2"/>
  <c r="M464" i="2"/>
  <c r="L464" i="2"/>
  <c r="K464" i="2"/>
  <c r="J464" i="2"/>
  <c r="I464" i="2"/>
  <c r="N463" i="2"/>
  <c r="M463" i="2"/>
  <c r="L463" i="2"/>
  <c r="K463" i="2"/>
  <c r="J463" i="2"/>
  <c r="I463" i="2"/>
  <c r="N462" i="2"/>
  <c r="M462" i="2"/>
  <c r="W733" i="5" s="1"/>
  <c r="L462" i="2"/>
  <c r="K462" i="2"/>
  <c r="J462" i="2"/>
  <c r="I462" i="2"/>
  <c r="S733" i="5" s="1"/>
  <c r="N461" i="2"/>
  <c r="M461" i="2"/>
  <c r="L461" i="2"/>
  <c r="K461" i="2"/>
  <c r="J461" i="2"/>
  <c r="I461" i="2"/>
  <c r="N460" i="2"/>
  <c r="M460" i="2"/>
  <c r="L460" i="2"/>
  <c r="K460" i="2"/>
  <c r="J460" i="2"/>
  <c r="I460" i="2"/>
  <c r="N459" i="2"/>
  <c r="M459" i="2"/>
  <c r="L459" i="2"/>
  <c r="K459" i="2"/>
  <c r="J459" i="2"/>
  <c r="I459" i="2"/>
  <c r="N458" i="2"/>
  <c r="M458" i="2"/>
  <c r="L458" i="2"/>
  <c r="K458" i="2"/>
  <c r="J458" i="2"/>
  <c r="I458" i="2"/>
  <c r="N457" i="2"/>
  <c r="M457" i="2"/>
  <c r="L457" i="2"/>
  <c r="K457" i="2"/>
  <c r="J457" i="2"/>
  <c r="I457" i="2"/>
  <c r="N456" i="2"/>
  <c r="M456" i="2"/>
  <c r="W1098" i="5" s="1"/>
  <c r="L456" i="2"/>
  <c r="K456" i="2"/>
  <c r="J456" i="2"/>
  <c r="I456" i="2"/>
  <c r="S1098" i="5" s="1"/>
  <c r="N455" i="2"/>
  <c r="M455" i="2"/>
  <c r="L455" i="2"/>
  <c r="K455" i="2"/>
  <c r="J455" i="2"/>
  <c r="I455" i="2"/>
  <c r="N454" i="2"/>
  <c r="M454" i="2"/>
  <c r="L454" i="2"/>
  <c r="K454" i="2"/>
  <c r="J454" i="2"/>
  <c r="I454" i="2"/>
  <c r="N453" i="2"/>
  <c r="M453" i="2"/>
  <c r="L453" i="2"/>
  <c r="K453" i="2"/>
  <c r="J453" i="2"/>
  <c r="I453" i="2"/>
  <c r="N452" i="2"/>
  <c r="M452" i="2"/>
  <c r="L452" i="2"/>
  <c r="K452" i="2"/>
  <c r="J452" i="2"/>
  <c r="I452" i="2"/>
  <c r="N451" i="2"/>
  <c r="M451" i="2"/>
  <c r="L451" i="2"/>
  <c r="K451" i="2"/>
  <c r="J451" i="2"/>
  <c r="I451" i="2"/>
  <c r="N450" i="2"/>
  <c r="M450" i="2"/>
  <c r="L450" i="2"/>
  <c r="K450" i="2"/>
  <c r="J450" i="2"/>
  <c r="I450" i="2"/>
  <c r="N449" i="2"/>
  <c r="M449" i="2"/>
  <c r="W484" i="5" s="1"/>
  <c r="L449" i="2"/>
  <c r="K449" i="2"/>
  <c r="J449" i="2"/>
  <c r="I449" i="2"/>
  <c r="S484" i="5" s="1"/>
  <c r="N448" i="2"/>
  <c r="M448" i="2"/>
  <c r="L448" i="2"/>
  <c r="K448" i="2"/>
  <c r="J448" i="2"/>
  <c r="I448" i="2"/>
  <c r="N447" i="2"/>
  <c r="M447" i="2"/>
  <c r="L447" i="2"/>
  <c r="K447" i="2"/>
  <c r="J447" i="2"/>
  <c r="I447" i="2"/>
  <c r="N446" i="2"/>
  <c r="M446" i="2"/>
  <c r="L446" i="2"/>
  <c r="K446" i="2"/>
  <c r="J446" i="2"/>
  <c r="I446" i="2"/>
  <c r="N445" i="2"/>
  <c r="M445" i="2"/>
  <c r="L445" i="2"/>
  <c r="K445" i="2"/>
  <c r="J445" i="2"/>
  <c r="I445" i="2"/>
  <c r="N444" i="2"/>
  <c r="M444" i="2"/>
  <c r="L444" i="2"/>
  <c r="K444" i="2"/>
  <c r="J444" i="2"/>
  <c r="I444" i="2"/>
  <c r="N443" i="2"/>
  <c r="M443" i="2"/>
  <c r="L443" i="2"/>
  <c r="K443" i="2"/>
  <c r="J443" i="2"/>
  <c r="I443" i="2"/>
  <c r="N442" i="2"/>
  <c r="M442" i="2"/>
  <c r="L442" i="2"/>
  <c r="K442" i="2"/>
  <c r="J442" i="2"/>
  <c r="I442" i="2"/>
  <c r="N441" i="2"/>
  <c r="M441" i="2"/>
  <c r="W383" i="5" s="1"/>
  <c r="L441" i="2"/>
  <c r="K441" i="2"/>
  <c r="J441" i="2"/>
  <c r="I441" i="2"/>
  <c r="S383" i="5" s="1"/>
  <c r="N440" i="2"/>
  <c r="M440" i="2"/>
  <c r="L440" i="2"/>
  <c r="K440" i="2"/>
  <c r="J440" i="2"/>
  <c r="I440" i="2"/>
  <c r="N439" i="2"/>
  <c r="M439" i="2"/>
  <c r="L439" i="2"/>
  <c r="K439" i="2"/>
  <c r="J439" i="2"/>
  <c r="I439" i="2"/>
  <c r="N438" i="2"/>
  <c r="M438" i="2"/>
  <c r="L438" i="2"/>
  <c r="K438" i="2"/>
  <c r="J438" i="2"/>
  <c r="I438" i="2"/>
  <c r="N437" i="2"/>
  <c r="M437" i="2"/>
  <c r="L437" i="2"/>
  <c r="K437" i="2"/>
  <c r="J437" i="2"/>
  <c r="I437" i="2"/>
  <c r="N436" i="2"/>
  <c r="M436" i="2"/>
  <c r="L436" i="2"/>
  <c r="K436" i="2"/>
  <c r="J436" i="2"/>
  <c r="I436" i="2"/>
  <c r="N435" i="2"/>
  <c r="M435" i="2"/>
  <c r="L435" i="2"/>
  <c r="K435" i="2"/>
  <c r="J435" i="2"/>
  <c r="I435" i="2"/>
  <c r="N434" i="2"/>
  <c r="M434" i="2"/>
  <c r="L434" i="2"/>
  <c r="K434" i="2"/>
  <c r="J434" i="2"/>
  <c r="I434" i="2"/>
  <c r="N433" i="2"/>
  <c r="M433" i="2"/>
  <c r="L433" i="2"/>
  <c r="K433" i="2"/>
  <c r="J433" i="2"/>
  <c r="I433" i="2"/>
  <c r="N432" i="2"/>
  <c r="M432" i="2"/>
  <c r="W1567" i="5" s="1"/>
  <c r="L432" i="2"/>
  <c r="K432" i="2"/>
  <c r="J432" i="2"/>
  <c r="I432" i="2"/>
  <c r="S1567" i="5" s="1"/>
  <c r="N431" i="2"/>
  <c r="M431" i="2"/>
  <c r="L431" i="2"/>
  <c r="K431" i="2"/>
  <c r="J431" i="2"/>
  <c r="I431" i="2"/>
  <c r="N430" i="2"/>
  <c r="M430" i="2"/>
  <c r="L430" i="2"/>
  <c r="K430" i="2"/>
  <c r="J430" i="2"/>
  <c r="I430" i="2"/>
  <c r="N429" i="2"/>
  <c r="M429" i="2"/>
  <c r="L429" i="2"/>
  <c r="K429" i="2"/>
  <c r="J429" i="2"/>
  <c r="I429" i="2"/>
  <c r="N428" i="2"/>
  <c r="M428" i="2"/>
  <c r="L428" i="2"/>
  <c r="K428" i="2"/>
  <c r="J428" i="2"/>
  <c r="I428" i="2"/>
  <c r="N427" i="2"/>
  <c r="M427" i="2"/>
  <c r="L427" i="2"/>
  <c r="K427" i="2"/>
  <c r="J427" i="2"/>
  <c r="I427" i="2"/>
  <c r="N426" i="2"/>
  <c r="M426" i="2"/>
  <c r="L426" i="2"/>
  <c r="K426" i="2"/>
  <c r="J426" i="2"/>
  <c r="I426" i="2"/>
  <c r="N425" i="2"/>
  <c r="M425" i="2"/>
  <c r="W1658" i="5" s="1"/>
  <c r="L425" i="2"/>
  <c r="K425" i="2"/>
  <c r="J425" i="2"/>
  <c r="I425" i="2"/>
  <c r="S1658" i="5" s="1"/>
  <c r="N424" i="2"/>
  <c r="M424" i="2"/>
  <c r="L424" i="2"/>
  <c r="K424" i="2"/>
  <c r="J424" i="2"/>
  <c r="I424" i="2"/>
  <c r="N423" i="2"/>
  <c r="M423" i="2"/>
  <c r="L423" i="2"/>
  <c r="K423" i="2"/>
  <c r="J423" i="2"/>
  <c r="I423" i="2"/>
  <c r="N422" i="2"/>
  <c r="M422" i="2"/>
  <c r="L422" i="2"/>
  <c r="K422" i="2"/>
  <c r="J422" i="2"/>
  <c r="I422" i="2"/>
  <c r="N421" i="2"/>
  <c r="M421" i="2"/>
  <c r="L421" i="2"/>
  <c r="K421" i="2"/>
  <c r="J421" i="2"/>
  <c r="I421" i="2"/>
  <c r="N420" i="2"/>
  <c r="M420" i="2"/>
  <c r="L420" i="2"/>
  <c r="K420" i="2"/>
  <c r="J420" i="2"/>
  <c r="I420" i="2"/>
  <c r="N419" i="2"/>
  <c r="M419" i="2"/>
  <c r="L419" i="2"/>
  <c r="K419" i="2"/>
  <c r="J419" i="2"/>
  <c r="I419" i="2"/>
  <c r="N418" i="2"/>
  <c r="M418" i="2"/>
  <c r="L418" i="2"/>
  <c r="K418" i="2"/>
  <c r="J418" i="2"/>
  <c r="I418" i="2"/>
  <c r="N417" i="2"/>
  <c r="M417" i="2"/>
  <c r="W748" i="5" s="1"/>
  <c r="L417" i="2"/>
  <c r="K417" i="2"/>
  <c r="J417" i="2"/>
  <c r="I417" i="2"/>
  <c r="S748" i="5" s="1"/>
  <c r="N416" i="2"/>
  <c r="M416" i="2"/>
  <c r="W91" i="5" s="1"/>
  <c r="L416" i="2"/>
  <c r="K416" i="2"/>
  <c r="J416" i="2"/>
  <c r="I416" i="2"/>
  <c r="S91" i="5" s="1"/>
  <c r="N415" i="2"/>
  <c r="M415" i="2"/>
  <c r="W1345" i="5" s="1"/>
  <c r="L415" i="2"/>
  <c r="K415" i="2"/>
  <c r="J415" i="2"/>
  <c r="I415" i="2"/>
  <c r="S1345" i="5" s="1"/>
  <c r="N414" i="2"/>
  <c r="M414" i="2"/>
  <c r="L414" i="2"/>
  <c r="K414" i="2"/>
  <c r="J414" i="2"/>
  <c r="I414" i="2"/>
  <c r="N413" i="2"/>
  <c r="M413" i="2"/>
  <c r="W1598" i="5" s="1"/>
  <c r="L413" i="2"/>
  <c r="K413" i="2"/>
  <c r="J413" i="2"/>
  <c r="I413" i="2"/>
  <c r="S1598" i="5" s="1"/>
  <c r="N412" i="2"/>
  <c r="M412" i="2"/>
  <c r="L412" i="2"/>
  <c r="K412" i="2"/>
  <c r="J412" i="2"/>
  <c r="I412" i="2"/>
  <c r="N411" i="2"/>
  <c r="M411" i="2"/>
  <c r="L411" i="2"/>
  <c r="K411" i="2"/>
  <c r="J411" i="2"/>
  <c r="I411" i="2"/>
  <c r="N410" i="2"/>
  <c r="M410" i="2"/>
  <c r="L410" i="2"/>
  <c r="K410" i="2"/>
  <c r="J410" i="2"/>
  <c r="I410" i="2"/>
  <c r="N409" i="2"/>
  <c r="M409" i="2"/>
  <c r="W2000" i="5" s="1"/>
  <c r="L409" i="2"/>
  <c r="K409" i="2"/>
  <c r="J409" i="2"/>
  <c r="I409" i="2"/>
  <c r="S2000" i="5" s="1"/>
  <c r="N408" i="2"/>
  <c r="M408" i="2"/>
  <c r="L408" i="2"/>
  <c r="K408" i="2"/>
  <c r="J408" i="2"/>
  <c r="I408" i="2"/>
  <c r="N407" i="2"/>
  <c r="M407" i="2"/>
  <c r="L407" i="2"/>
  <c r="K407" i="2"/>
  <c r="J407" i="2"/>
  <c r="I407" i="2"/>
  <c r="N406" i="2"/>
  <c r="M406" i="2"/>
  <c r="L406" i="2"/>
  <c r="K406" i="2"/>
  <c r="J406" i="2"/>
  <c r="I406" i="2"/>
  <c r="N405" i="2"/>
  <c r="M405" i="2"/>
  <c r="L405" i="2"/>
  <c r="K405" i="2"/>
  <c r="J405" i="2"/>
  <c r="I405" i="2"/>
  <c r="N404" i="2"/>
  <c r="M404" i="2"/>
  <c r="L404" i="2"/>
  <c r="K404" i="2"/>
  <c r="J404" i="2"/>
  <c r="I404" i="2"/>
  <c r="N403" i="2"/>
  <c r="M403" i="2"/>
  <c r="L403" i="2"/>
  <c r="K403" i="2"/>
  <c r="J403" i="2"/>
  <c r="I403" i="2"/>
  <c r="N402" i="2"/>
  <c r="M402" i="2"/>
  <c r="L402" i="2"/>
  <c r="K402" i="2"/>
  <c r="J402" i="2"/>
  <c r="I402" i="2"/>
  <c r="N401" i="2"/>
  <c r="M401" i="2"/>
  <c r="L401" i="2"/>
  <c r="K401" i="2"/>
  <c r="J401" i="2"/>
  <c r="I401" i="2"/>
  <c r="N400" i="2"/>
  <c r="M400" i="2"/>
  <c r="L400" i="2"/>
  <c r="K400" i="2"/>
  <c r="J400" i="2"/>
  <c r="I400" i="2"/>
  <c r="N399" i="2"/>
  <c r="M399" i="2"/>
  <c r="L399" i="2"/>
  <c r="K399" i="2"/>
  <c r="J399" i="2"/>
  <c r="I399" i="2"/>
  <c r="N398" i="2"/>
  <c r="M398" i="2"/>
  <c r="L398" i="2"/>
  <c r="K398" i="2"/>
  <c r="J398" i="2"/>
  <c r="I398" i="2"/>
  <c r="N397" i="2"/>
  <c r="M397" i="2"/>
  <c r="L397" i="2"/>
  <c r="K397" i="2"/>
  <c r="J397" i="2"/>
  <c r="I397" i="2"/>
  <c r="N396" i="2"/>
  <c r="M396" i="2"/>
  <c r="L396" i="2"/>
  <c r="K396" i="2"/>
  <c r="J396" i="2"/>
  <c r="I396" i="2"/>
  <c r="N395" i="2"/>
  <c r="M395" i="2"/>
  <c r="W773" i="5" s="1"/>
  <c r="L395" i="2"/>
  <c r="K395" i="2"/>
  <c r="J395" i="2"/>
  <c r="I395" i="2"/>
  <c r="S773" i="5" s="1"/>
  <c r="N394" i="2"/>
  <c r="M394" i="2"/>
  <c r="W809" i="5" s="1"/>
  <c r="L394" i="2"/>
  <c r="K394" i="2"/>
  <c r="J394" i="2"/>
  <c r="I394" i="2"/>
  <c r="S809" i="5" s="1"/>
  <c r="N393" i="2"/>
  <c r="M393" i="2"/>
  <c r="L393" i="2"/>
  <c r="K393" i="2"/>
  <c r="J393" i="2"/>
  <c r="I393" i="2"/>
  <c r="N392" i="2"/>
  <c r="M392" i="2"/>
  <c r="L392" i="2"/>
  <c r="K392" i="2"/>
  <c r="J392" i="2"/>
  <c r="I392" i="2"/>
  <c r="N391" i="2"/>
  <c r="M391" i="2"/>
  <c r="L391" i="2"/>
  <c r="K391" i="2"/>
  <c r="J391" i="2"/>
  <c r="I391" i="2"/>
  <c r="N390" i="2"/>
  <c r="M390" i="2"/>
  <c r="L390" i="2"/>
  <c r="K390" i="2"/>
  <c r="J390" i="2"/>
  <c r="I390" i="2"/>
  <c r="N389" i="2"/>
  <c r="M389" i="2"/>
  <c r="L389" i="2"/>
  <c r="K389" i="2"/>
  <c r="J389" i="2"/>
  <c r="I389" i="2"/>
  <c r="N388" i="2"/>
  <c r="M388" i="2"/>
  <c r="L388" i="2"/>
  <c r="K388" i="2"/>
  <c r="J388" i="2"/>
  <c r="I388" i="2"/>
  <c r="N387" i="2"/>
  <c r="M387" i="2"/>
  <c r="L387" i="2"/>
  <c r="K387" i="2"/>
  <c r="J387" i="2"/>
  <c r="I387" i="2"/>
  <c r="N386" i="2"/>
  <c r="M386" i="2"/>
  <c r="L386" i="2"/>
  <c r="K386" i="2"/>
  <c r="J386" i="2"/>
  <c r="I386" i="2"/>
  <c r="N385" i="2"/>
  <c r="M385" i="2"/>
  <c r="L385" i="2"/>
  <c r="K385" i="2"/>
  <c r="J385" i="2"/>
  <c r="I385" i="2"/>
  <c r="N384" i="2"/>
  <c r="M384" i="2"/>
  <c r="L384" i="2"/>
  <c r="K384" i="2"/>
  <c r="J384" i="2"/>
  <c r="I384" i="2"/>
  <c r="N383" i="2"/>
  <c r="M383" i="2"/>
  <c r="L383" i="2"/>
  <c r="K383" i="2"/>
  <c r="J383" i="2"/>
  <c r="I383" i="2"/>
  <c r="N382" i="2"/>
  <c r="M382" i="2"/>
  <c r="L382" i="2"/>
  <c r="K382" i="2"/>
  <c r="J382" i="2"/>
  <c r="I382" i="2"/>
  <c r="N381" i="2"/>
  <c r="M381" i="2"/>
  <c r="L381" i="2"/>
  <c r="K381" i="2"/>
  <c r="J381" i="2"/>
  <c r="I381" i="2"/>
  <c r="N380" i="2"/>
  <c r="M380" i="2"/>
  <c r="L380" i="2"/>
  <c r="K380" i="2"/>
  <c r="J380" i="2"/>
  <c r="I380" i="2"/>
  <c r="N379" i="2"/>
  <c r="M379" i="2"/>
  <c r="L379" i="2"/>
  <c r="K379" i="2"/>
  <c r="J379" i="2"/>
  <c r="I379" i="2"/>
  <c r="N378" i="2"/>
  <c r="M378" i="2"/>
  <c r="L378" i="2"/>
  <c r="K378" i="2"/>
  <c r="J378" i="2"/>
  <c r="I378" i="2"/>
  <c r="N377" i="2"/>
  <c r="M377" i="2"/>
  <c r="L377" i="2"/>
  <c r="K377" i="2"/>
  <c r="J377" i="2"/>
  <c r="I377" i="2"/>
  <c r="N376" i="2"/>
  <c r="M376" i="2"/>
  <c r="L376" i="2"/>
  <c r="K376" i="2"/>
  <c r="J376" i="2"/>
  <c r="I376" i="2"/>
  <c r="N375" i="2"/>
  <c r="M375" i="2"/>
  <c r="L375" i="2"/>
  <c r="K375" i="2"/>
  <c r="J375" i="2"/>
  <c r="I375" i="2"/>
  <c r="N374" i="2"/>
  <c r="M374" i="2"/>
  <c r="L374" i="2"/>
  <c r="K374" i="2"/>
  <c r="J374" i="2"/>
  <c r="I374" i="2"/>
  <c r="N373" i="2"/>
  <c r="M373" i="2"/>
  <c r="L373" i="2"/>
  <c r="K373" i="2"/>
  <c r="J373" i="2"/>
  <c r="I373" i="2"/>
  <c r="N372" i="2"/>
  <c r="M372" i="2"/>
  <c r="L372" i="2"/>
  <c r="K372" i="2"/>
  <c r="J372" i="2"/>
  <c r="I372" i="2"/>
  <c r="N371" i="2"/>
  <c r="M371" i="2"/>
  <c r="L371" i="2"/>
  <c r="K371" i="2"/>
  <c r="J371" i="2"/>
  <c r="I371" i="2"/>
  <c r="N370" i="2"/>
  <c r="M370" i="2"/>
  <c r="L370" i="2"/>
  <c r="K370" i="2"/>
  <c r="J370" i="2"/>
  <c r="I370" i="2"/>
  <c r="N369" i="2"/>
  <c r="M369" i="2"/>
  <c r="L369" i="2"/>
  <c r="K369" i="2"/>
  <c r="J369" i="2"/>
  <c r="I369" i="2"/>
  <c r="N368" i="2"/>
  <c r="M368" i="2"/>
  <c r="L368" i="2"/>
  <c r="K368" i="2"/>
  <c r="J368" i="2"/>
  <c r="I368" i="2"/>
  <c r="N367" i="2"/>
  <c r="M367" i="2"/>
  <c r="L367" i="2"/>
  <c r="K367" i="2"/>
  <c r="J367" i="2"/>
  <c r="I367" i="2"/>
  <c r="N366" i="2"/>
  <c r="M366" i="2"/>
  <c r="L366" i="2"/>
  <c r="K366" i="2"/>
  <c r="J366" i="2"/>
  <c r="I366" i="2"/>
  <c r="N365" i="2"/>
  <c r="M365" i="2"/>
  <c r="L365" i="2"/>
  <c r="K365" i="2"/>
  <c r="J365" i="2"/>
  <c r="I365" i="2"/>
  <c r="N364" i="2"/>
  <c r="M364" i="2"/>
  <c r="L364" i="2"/>
  <c r="K364" i="2"/>
  <c r="J364" i="2"/>
  <c r="I364" i="2"/>
  <c r="N363" i="2"/>
  <c r="M363" i="2"/>
  <c r="L363" i="2"/>
  <c r="K363" i="2"/>
  <c r="J363" i="2"/>
  <c r="I363" i="2"/>
  <c r="N362" i="2"/>
  <c r="M362" i="2"/>
  <c r="L362" i="2"/>
  <c r="K362" i="2"/>
  <c r="J362" i="2"/>
  <c r="I362" i="2"/>
  <c r="N361" i="2"/>
  <c r="M361" i="2"/>
  <c r="L361" i="2"/>
  <c r="K361" i="2"/>
  <c r="J361" i="2"/>
  <c r="I361" i="2"/>
  <c r="N360" i="2"/>
  <c r="M360" i="2"/>
  <c r="W1247" i="5" s="1"/>
  <c r="L360" i="2"/>
  <c r="K360" i="2"/>
  <c r="J360" i="2"/>
  <c r="I360" i="2"/>
  <c r="S1247" i="5" s="1"/>
  <c r="N359" i="2"/>
  <c r="M359" i="2"/>
  <c r="L359" i="2"/>
  <c r="K359" i="2"/>
  <c r="J359" i="2"/>
  <c r="I359" i="2"/>
  <c r="N358" i="2"/>
  <c r="M358" i="2"/>
  <c r="L358" i="2"/>
  <c r="K358" i="2"/>
  <c r="J358" i="2"/>
  <c r="I358" i="2"/>
  <c r="N357" i="2"/>
  <c r="M357" i="2"/>
  <c r="L357" i="2"/>
  <c r="K357" i="2"/>
  <c r="J357" i="2"/>
  <c r="I357" i="2"/>
  <c r="N356" i="2"/>
  <c r="M356" i="2"/>
  <c r="L356" i="2"/>
  <c r="K356" i="2"/>
  <c r="J356" i="2"/>
  <c r="I356" i="2"/>
  <c r="N355" i="2"/>
  <c r="M355" i="2"/>
  <c r="L355" i="2"/>
  <c r="K355" i="2"/>
  <c r="J355" i="2"/>
  <c r="I355" i="2"/>
  <c r="N354" i="2"/>
  <c r="M354" i="2"/>
  <c r="L354" i="2"/>
  <c r="K354" i="2"/>
  <c r="J354" i="2"/>
  <c r="I354" i="2"/>
  <c r="N353" i="2"/>
  <c r="M353" i="2"/>
  <c r="L353" i="2"/>
  <c r="K353" i="2"/>
  <c r="J353" i="2"/>
  <c r="I353" i="2"/>
  <c r="N352" i="2"/>
  <c r="M352" i="2"/>
  <c r="L352" i="2"/>
  <c r="K352" i="2"/>
  <c r="J352" i="2"/>
  <c r="I352" i="2"/>
  <c r="N351" i="2"/>
  <c r="M351" i="2"/>
  <c r="L351" i="2"/>
  <c r="K351" i="2"/>
  <c r="J351" i="2"/>
  <c r="I351" i="2"/>
  <c r="N350" i="2"/>
  <c r="M350" i="2"/>
  <c r="L350" i="2"/>
  <c r="K350" i="2"/>
  <c r="J350" i="2"/>
  <c r="I350" i="2"/>
  <c r="N349" i="2"/>
  <c r="M349" i="2"/>
  <c r="L349" i="2"/>
  <c r="K349" i="2"/>
  <c r="J349" i="2"/>
  <c r="I349" i="2"/>
  <c r="N348" i="2"/>
  <c r="M348" i="2"/>
  <c r="L348" i="2"/>
  <c r="K348" i="2"/>
  <c r="J348" i="2"/>
  <c r="I348" i="2"/>
  <c r="N347" i="2"/>
  <c r="M347" i="2"/>
  <c r="L347" i="2"/>
  <c r="K347" i="2"/>
  <c r="J347" i="2"/>
  <c r="I347" i="2"/>
  <c r="N346" i="2"/>
  <c r="M346" i="2"/>
  <c r="L346" i="2"/>
  <c r="K346" i="2"/>
  <c r="J346" i="2"/>
  <c r="I346" i="2"/>
  <c r="N345" i="2"/>
  <c r="M345" i="2"/>
  <c r="L345" i="2"/>
  <c r="K345" i="2"/>
  <c r="J345" i="2"/>
  <c r="I345" i="2"/>
  <c r="N344" i="2"/>
  <c r="M344" i="2"/>
  <c r="L344" i="2"/>
  <c r="K344" i="2"/>
  <c r="J344" i="2"/>
  <c r="I344" i="2"/>
  <c r="N343" i="2"/>
  <c r="M343" i="2"/>
  <c r="L343" i="2"/>
  <c r="K343" i="2"/>
  <c r="J343" i="2"/>
  <c r="I343" i="2"/>
  <c r="N342" i="2"/>
  <c r="M342" i="2"/>
  <c r="W177" i="5" s="1"/>
  <c r="L342" i="2"/>
  <c r="K342" i="2"/>
  <c r="J342" i="2"/>
  <c r="I342" i="2"/>
  <c r="S177" i="5" s="1"/>
  <c r="N341" i="2"/>
  <c r="M341" i="2"/>
  <c r="W1557" i="5" s="1"/>
  <c r="L341" i="2"/>
  <c r="K341" i="2"/>
  <c r="J341" i="2"/>
  <c r="I341" i="2"/>
  <c r="S1557" i="5" s="1"/>
  <c r="N340" i="2"/>
  <c r="M340" i="2"/>
  <c r="L340" i="2"/>
  <c r="K340" i="2"/>
  <c r="J340" i="2"/>
  <c r="I340" i="2"/>
  <c r="N339" i="2"/>
  <c r="M339" i="2"/>
  <c r="L339" i="2"/>
  <c r="K339" i="2"/>
  <c r="J339" i="2"/>
  <c r="I339" i="2"/>
  <c r="N338" i="2"/>
  <c r="M338" i="2"/>
  <c r="L338" i="2"/>
  <c r="K338" i="2"/>
  <c r="J338" i="2"/>
  <c r="I338" i="2"/>
  <c r="N337" i="2"/>
  <c r="M337" i="2"/>
  <c r="L337" i="2"/>
  <c r="K337" i="2"/>
  <c r="J337" i="2"/>
  <c r="I337" i="2"/>
  <c r="N336" i="2"/>
  <c r="M336" i="2"/>
  <c r="L336" i="2"/>
  <c r="K336" i="2"/>
  <c r="J336" i="2"/>
  <c r="I336" i="2"/>
  <c r="N335" i="2"/>
  <c r="M335" i="2"/>
  <c r="W1496" i="5" s="1"/>
  <c r="L335" i="2"/>
  <c r="K335" i="2"/>
  <c r="J335" i="2"/>
  <c r="I335" i="2"/>
  <c r="S1496" i="5" s="1"/>
  <c r="N334" i="2"/>
  <c r="M334" i="2"/>
  <c r="L334" i="2"/>
  <c r="K334" i="2"/>
  <c r="J334" i="2"/>
  <c r="I334" i="2"/>
  <c r="N333" i="2"/>
  <c r="M333" i="2"/>
  <c r="W555" i="5" s="1"/>
  <c r="L333" i="2"/>
  <c r="K333" i="2"/>
  <c r="J333" i="2"/>
  <c r="I333" i="2"/>
  <c r="S555" i="5" s="1"/>
  <c r="N332" i="2"/>
  <c r="M332" i="2"/>
  <c r="L332" i="2"/>
  <c r="K332" i="2"/>
  <c r="J332" i="2"/>
  <c r="I332" i="2"/>
  <c r="N331" i="2"/>
  <c r="M331" i="2"/>
  <c r="L331" i="2"/>
  <c r="K331" i="2"/>
  <c r="J331" i="2"/>
  <c r="I331" i="2"/>
  <c r="N330" i="2"/>
  <c r="M330" i="2"/>
  <c r="L330" i="2"/>
  <c r="K330" i="2"/>
  <c r="J330" i="2"/>
  <c r="I330" i="2"/>
  <c r="N329" i="2"/>
  <c r="M329" i="2"/>
  <c r="L329" i="2"/>
  <c r="K329" i="2"/>
  <c r="J329" i="2"/>
  <c r="I329" i="2"/>
  <c r="N328" i="2"/>
  <c r="M328" i="2"/>
  <c r="L328" i="2"/>
  <c r="K328" i="2"/>
  <c r="J328" i="2"/>
  <c r="I328" i="2"/>
  <c r="N327" i="2"/>
  <c r="M327" i="2"/>
  <c r="L327" i="2"/>
  <c r="K327" i="2"/>
  <c r="J327" i="2"/>
  <c r="I327" i="2"/>
  <c r="N326" i="2"/>
  <c r="M326" i="2"/>
  <c r="L326" i="2"/>
  <c r="K326" i="2"/>
  <c r="J326" i="2"/>
  <c r="I326" i="2"/>
  <c r="N325" i="2"/>
  <c r="M325" i="2"/>
  <c r="L325" i="2"/>
  <c r="K325" i="2"/>
  <c r="J325" i="2"/>
  <c r="I325" i="2"/>
  <c r="N324" i="2"/>
  <c r="M324" i="2"/>
  <c r="L324" i="2"/>
  <c r="K324" i="2"/>
  <c r="J324" i="2"/>
  <c r="I324" i="2"/>
  <c r="N323" i="2"/>
  <c r="M323" i="2"/>
  <c r="L323" i="2"/>
  <c r="K323" i="2"/>
  <c r="J323" i="2"/>
  <c r="I323" i="2"/>
  <c r="N322" i="2"/>
  <c r="M322" i="2"/>
  <c r="W115" i="5" s="1"/>
  <c r="L322" i="2"/>
  <c r="K322" i="2"/>
  <c r="J322" i="2"/>
  <c r="I322" i="2"/>
  <c r="S115" i="5" s="1"/>
  <c r="N321" i="2"/>
  <c r="M321" i="2"/>
  <c r="L321" i="2"/>
  <c r="K321" i="2"/>
  <c r="J321" i="2"/>
  <c r="I321" i="2"/>
  <c r="N320" i="2"/>
  <c r="M320" i="2"/>
  <c r="W653" i="5" s="1"/>
  <c r="L320" i="2"/>
  <c r="K320" i="2"/>
  <c r="J320" i="2"/>
  <c r="I320" i="2"/>
  <c r="S653" i="5" s="1"/>
  <c r="N319" i="2"/>
  <c r="M319" i="2"/>
  <c r="L319" i="2"/>
  <c r="K319" i="2"/>
  <c r="J319" i="2"/>
  <c r="I319" i="2"/>
  <c r="N318" i="2"/>
  <c r="M318" i="2"/>
  <c r="L318" i="2"/>
  <c r="K318" i="2"/>
  <c r="J318" i="2"/>
  <c r="I318" i="2"/>
  <c r="N317" i="2"/>
  <c r="M317" i="2"/>
  <c r="W326" i="5" s="1"/>
  <c r="L317" i="2"/>
  <c r="K317" i="2"/>
  <c r="J317" i="2"/>
  <c r="I317" i="2"/>
  <c r="S326" i="5" s="1"/>
  <c r="N316" i="2"/>
  <c r="M316" i="2"/>
  <c r="L316" i="2"/>
  <c r="K316" i="2"/>
  <c r="J316" i="2"/>
  <c r="I316" i="2"/>
  <c r="N315" i="2"/>
  <c r="M315" i="2"/>
  <c r="W250" i="5" s="1"/>
  <c r="L315" i="2"/>
  <c r="K315" i="2"/>
  <c r="J315" i="2"/>
  <c r="I315" i="2"/>
  <c r="S250" i="5" s="1"/>
  <c r="N314" i="2"/>
  <c r="M314" i="2"/>
  <c r="L314" i="2"/>
  <c r="K314" i="2"/>
  <c r="J314" i="2"/>
  <c r="I314" i="2"/>
  <c r="N313" i="2"/>
  <c r="M313" i="2"/>
  <c r="W1458" i="5" s="1"/>
  <c r="L313" i="2"/>
  <c r="K313" i="2"/>
  <c r="J313" i="2"/>
  <c r="I313" i="2"/>
  <c r="S1458" i="5" s="1"/>
  <c r="N312" i="2"/>
  <c r="M312" i="2"/>
  <c r="L312" i="2"/>
  <c r="K312" i="2"/>
  <c r="J312" i="2"/>
  <c r="I312" i="2"/>
  <c r="N311" i="2"/>
  <c r="M311" i="2"/>
  <c r="L311" i="2"/>
  <c r="K311" i="2"/>
  <c r="J311" i="2"/>
  <c r="I311" i="2"/>
  <c r="N310" i="2"/>
  <c r="M310" i="2"/>
  <c r="L310" i="2"/>
  <c r="K310" i="2"/>
  <c r="J310" i="2"/>
  <c r="I310" i="2"/>
  <c r="N309" i="2"/>
  <c r="M309" i="2"/>
  <c r="L309" i="2"/>
  <c r="K309" i="2"/>
  <c r="J309" i="2"/>
  <c r="I309" i="2"/>
  <c r="N308" i="2"/>
  <c r="M308" i="2"/>
  <c r="W475" i="5" s="1"/>
  <c r="L308" i="2"/>
  <c r="K308" i="2"/>
  <c r="J308" i="2"/>
  <c r="I308" i="2"/>
  <c r="S475" i="5" s="1"/>
  <c r="N307" i="2"/>
  <c r="M307" i="2"/>
  <c r="L307" i="2"/>
  <c r="K307" i="2"/>
  <c r="J307" i="2"/>
  <c r="I307" i="2"/>
  <c r="N306" i="2"/>
  <c r="M306" i="2"/>
  <c r="L306" i="2"/>
  <c r="K306" i="2"/>
  <c r="J306" i="2"/>
  <c r="I306" i="2"/>
  <c r="N305" i="2"/>
  <c r="M305" i="2"/>
  <c r="L305" i="2"/>
  <c r="K305" i="2"/>
  <c r="J305" i="2"/>
  <c r="I305" i="2"/>
  <c r="N304" i="2"/>
  <c r="M304" i="2"/>
  <c r="W1348" i="5" s="1"/>
  <c r="L304" i="2"/>
  <c r="K304" i="2"/>
  <c r="J304" i="2"/>
  <c r="I304" i="2"/>
  <c r="S1348" i="5" s="1"/>
  <c r="N303" i="2"/>
  <c r="M303" i="2"/>
  <c r="L303" i="2"/>
  <c r="K303" i="2"/>
  <c r="J303" i="2"/>
  <c r="I303" i="2"/>
  <c r="N302" i="2"/>
  <c r="M302" i="2"/>
  <c r="L302" i="2"/>
  <c r="K302" i="2"/>
  <c r="J302" i="2"/>
  <c r="I302" i="2"/>
  <c r="N301" i="2"/>
  <c r="M301" i="2"/>
  <c r="L301" i="2"/>
  <c r="K301" i="2"/>
  <c r="J301" i="2"/>
  <c r="I301" i="2"/>
  <c r="N300" i="2"/>
  <c r="M300" i="2"/>
  <c r="L300" i="2"/>
  <c r="K300" i="2"/>
  <c r="J300" i="2"/>
  <c r="I300" i="2"/>
  <c r="N299" i="2"/>
  <c r="M299" i="2"/>
  <c r="W1250" i="5" s="1"/>
  <c r="L299" i="2"/>
  <c r="K299" i="2"/>
  <c r="J299" i="2"/>
  <c r="I299" i="2"/>
  <c r="S1250" i="5" s="1"/>
  <c r="N298" i="2"/>
  <c r="M298" i="2"/>
  <c r="L298" i="2"/>
  <c r="K298" i="2"/>
  <c r="J298" i="2"/>
  <c r="I298" i="2"/>
  <c r="N297" i="2"/>
  <c r="M297" i="2"/>
  <c r="W737" i="5" s="1"/>
  <c r="L297" i="2"/>
  <c r="K297" i="2"/>
  <c r="J297" i="2"/>
  <c r="I297" i="2"/>
  <c r="S737" i="5" s="1"/>
  <c r="N296" i="2"/>
  <c r="M296" i="2"/>
  <c r="L296" i="2"/>
  <c r="K296" i="2"/>
  <c r="J296" i="2"/>
  <c r="I296" i="2"/>
  <c r="N295" i="2"/>
  <c r="M295" i="2"/>
  <c r="L295" i="2"/>
  <c r="K295" i="2"/>
  <c r="J295" i="2"/>
  <c r="I295" i="2"/>
  <c r="N294" i="2"/>
  <c r="M294" i="2"/>
  <c r="L294" i="2"/>
  <c r="K294" i="2"/>
  <c r="J294" i="2"/>
  <c r="I294" i="2"/>
  <c r="N293" i="2"/>
  <c r="M293" i="2"/>
  <c r="L293" i="2"/>
  <c r="K293" i="2"/>
  <c r="J293" i="2"/>
  <c r="I293" i="2"/>
  <c r="N292" i="2"/>
  <c r="M292" i="2"/>
  <c r="L292" i="2"/>
  <c r="K292" i="2"/>
  <c r="J292" i="2"/>
  <c r="I292" i="2"/>
  <c r="N291" i="2"/>
  <c r="M291" i="2"/>
  <c r="W806" i="5" s="1"/>
  <c r="L291" i="2"/>
  <c r="K291" i="2"/>
  <c r="J291" i="2"/>
  <c r="I291" i="2"/>
  <c r="S806" i="5" s="1"/>
  <c r="N290" i="2"/>
  <c r="M290" i="2"/>
  <c r="L290" i="2"/>
  <c r="K290" i="2"/>
  <c r="J290" i="2"/>
  <c r="I290" i="2"/>
  <c r="N289" i="2"/>
  <c r="M289" i="2"/>
  <c r="L289" i="2"/>
  <c r="K289" i="2"/>
  <c r="J289" i="2"/>
  <c r="I289" i="2"/>
  <c r="N288" i="2"/>
  <c r="M288" i="2"/>
  <c r="W1474" i="5" s="1"/>
  <c r="L288" i="2"/>
  <c r="K288" i="2"/>
  <c r="J288" i="2"/>
  <c r="I288" i="2"/>
  <c r="S1474" i="5" s="1"/>
  <c r="N287" i="2"/>
  <c r="M287" i="2"/>
  <c r="L287" i="2"/>
  <c r="K287" i="2"/>
  <c r="J287" i="2"/>
  <c r="I287" i="2"/>
  <c r="N286" i="2"/>
  <c r="M286" i="2"/>
  <c r="W1527" i="5" s="1"/>
  <c r="L286" i="2"/>
  <c r="K286" i="2"/>
  <c r="J286" i="2"/>
  <c r="I286" i="2"/>
  <c r="S1527" i="5" s="1"/>
  <c r="N285" i="2"/>
  <c r="M285" i="2"/>
  <c r="L285" i="2"/>
  <c r="K285" i="2"/>
  <c r="J285" i="2"/>
  <c r="I285" i="2"/>
  <c r="N284" i="2"/>
  <c r="M284" i="2"/>
  <c r="W263" i="5" s="1"/>
  <c r="L284" i="2"/>
  <c r="K284" i="2"/>
  <c r="J284" i="2"/>
  <c r="I284" i="2"/>
  <c r="S263" i="5" s="1"/>
  <c r="N283" i="2"/>
  <c r="M283" i="2"/>
  <c r="L283" i="2"/>
  <c r="K283" i="2"/>
  <c r="J283" i="2"/>
  <c r="I283" i="2"/>
  <c r="N282" i="2"/>
  <c r="M282" i="2"/>
  <c r="L282" i="2"/>
  <c r="K282" i="2"/>
  <c r="J282" i="2"/>
  <c r="I282" i="2"/>
  <c r="N281" i="2"/>
  <c r="M281" i="2"/>
  <c r="W308" i="5" s="1"/>
  <c r="L281" i="2"/>
  <c r="K281" i="2"/>
  <c r="J281" i="2"/>
  <c r="I281" i="2"/>
  <c r="S308" i="5" s="1"/>
  <c r="N280" i="2"/>
  <c r="M280" i="2"/>
  <c r="L280" i="2"/>
  <c r="K280" i="2"/>
  <c r="J280" i="2"/>
  <c r="I280" i="2"/>
  <c r="N279" i="2"/>
  <c r="M279" i="2"/>
  <c r="L279" i="2"/>
  <c r="K279" i="2"/>
  <c r="J279" i="2"/>
  <c r="I279" i="2"/>
  <c r="N278" i="2"/>
  <c r="M278" i="2"/>
  <c r="L278" i="2"/>
  <c r="K278" i="2"/>
  <c r="J278" i="2"/>
  <c r="I278" i="2"/>
  <c r="N277" i="2"/>
  <c r="M277" i="2"/>
  <c r="L277" i="2"/>
  <c r="K277" i="2"/>
  <c r="J277" i="2"/>
  <c r="I277" i="2"/>
  <c r="N276" i="2"/>
  <c r="M276" i="2"/>
  <c r="L276" i="2"/>
  <c r="K276" i="2"/>
  <c r="J276" i="2"/>
  <c r="I276" i="2"/>
  <c r="N275" i="2"/>
  <c r="M275" i="2"/>
  <c r="L275" i="2"/>
  <c r="K275" i="2"/>
  <c r="J275" i="2"/>
  <c r="I275" i="2"/>
  <c r="N274" i="2"/>
  <c r="M274" i="2"/>
  <c r="L274" i="2"/>
  <c r="K274" i="2"/>
  <c r="J274" i="2"/>
  <c r="I274" i="2"/>
  <c r="N273" i="2"/>
  <c r="M273" i="2"/>
  <c r="L273" i="2"/>
  <c r="K273" i="2"/>
  <c r="J273" i="2"/>
  <c r="I273" i="2"/>
  <c r="N272" i="2"/>
  <c r="M272" i="2"/>
  <c r="L272" i="2"/>
  <c r="K272" i="2"/>
  <c r="J272" i="2"/>
  <c r="I272" i="2"/>
  <c r="N271" i="2"/>
  <c r="M271" i="2"/>
  <c r="L271" i="2"/>
  <c r="K271" i="2"/>
  <c r="J271" i="2"/>
  <c r="I271" i="2"/>
  <c r="N270" i="2"/>
  <c r="M270" i="2"/>
  <c r="L270" i="2"/>
  <c r="K270" i="2"/>
  <c r="J270" i="2"/>
  <c r="I270" i="2"/>
  <c r="N269" i="2"/>
  <c r="M269" i="2"/>
  <c r="L269" i="2"/>
  <c r="K269" i="2"/>
  <c r="J269" i="2"/>
  <c r="I269" i="2"/>
  <c r="N268" i="2"/>
  <c r="M268" i="2"/>
  <c r="L268" i="2"/>
  <c r="K268" i="2"/>
  <c r="J268" i="2"/>
  <c r="I268" i="2"/>
  <c r="N267" i="2"/>
  <c r="M267" i="2"/>
  <c r="L267" i="2"/>
  <c r="K267" i="2"/>
  <c r="J267" i="2"/>
  <c r="I267" i="2"/>
  <c r="N266" i="2"/>
  <c r="M266" i="2"/>
  <c r="L266" i="2"/>
  <c r="K266" i="2"/>
  <c r="J266" i="2"/>
  <c r="I266" i="2"/>
  <c r="N265" i="2"/>
  <c r="M265" i="2"/>
  <c r="L265" i="2"/>
  <c r="K265" i="2"/>
  <c r="J265" i="2"/>
  <c r="I265" i="2"/>
  <c r="N264" i="2"/>
  <c r="M264" i="2"/>
  <c r="L264" i="2"/>
  <c r="K264" i="2"/>
  <c r="J264" i="2"/>
  <c r="I264" i="2"/>
  <c r="N263" i="2"/>
  <c r="M263" i="2"/>
  <c r="L263" i="2"/>
  <c r="K263" i="2"/>
  <c r="J263" i="2"/>
  <c r="I263" i="2"/>
  <c r="N262" i="2"/>
  <c r="M262" i="2"/>
  <c r="L262" i="2"/>
  <c r="K262" i="2"/>
  <c r="J262" i="2"/>
  <c r="I262" i="2"/>
  <c r="N261" i="2"/>
  <c r="M261" i="2"/>
  <c r="L261" i="2"/>
  <c r="K261" i="2"/>
  <c r="J261" i="2"/>
  <c r="I261" i="2"/>
  <c r="N260" i="2"/>
  <c r="M260" i="2"/>
  <c r="L260" i="2"/>
  <c r="K260" i="2"/>
  <c r="J260" i="2"/>
  <c r="I260" i="2"/>
  <c r="N259" i="2"/>
  <c r="M259" i="2"/>
  <c r="L259" i="2"/>
  <c r="K259" i="2"/>
  <c r="J259" i="2"/>
  <c r="I259" i="2"/>
  <c r="N258" i="2"/>
  <c r="M258" i="2"/>
  <c r="L258" i="2"/>
  <c r="K258" i="2"/>
  <c r="J258" i="2"/>
  <c r="I258" i="2"/>
  <c r="N257" i="2"/>
  <c r="M257" i="2"/>
  <c r="L257" i="2"/>
  <c r="K257" i="2"/>
  <c r="J257" i="2"/>
  <c r="I257" i="2"/>
  <c r="N256" i="2"/>
  <c r="M256" i="2"/>
  <c r="L256" i="2"/>
  <c r="K256" i="2"/>
  <c r="J256" i="2"/>
  <c r="I256" i="2"/>
  <c r="N255" i="2"/>
  <c r="M255" i="2"/>
  <c r="L255" i="2"/>
  <c r="K255" i="2"/>
  <c r="J255" i="2"/>
  <c r="I255" i="2"/>
  <c r="N254" i="2"/>
  <c r="M254" i="2"/>
  <c r="L254" i="2"/>
  <c r="K254" i="2"/>
  <c r="J254" i="2"/>
  <c r="I254" i="2"/>
  <c r="N253" i="2"/>
  <c r="M253" i="2"/>
  <c r="L253" i="2"/>
  <c r="K253" i="2"/>
  <c r="J253" i="2"/>
  <c r="I253" i="2"/>
  <c r="N252" i="2"/>
  <c r="M252" i="2"/>
  <c r="L252" i="2"/>
  <c r="K252" i="2"/>
  <c r="J252" i="2"/>
  <c r="I252" i="2"/>
  <c r="N251" i="2"/>
  <c r="M251" i="2"/>
  <c r="L251" i="2"/>
  <c r="K251" i="2"/>
  <c r="J251" i="2"/>
  <c r="I251" i="2"/>
  <c r="N250" i="2"/>
  <c r="M250" i="2"/>
  <c r="L250" i="2"/>
  <c r="K250" i="2"/>
  <c r="J250" i="2"/>
  <c r="I250" i="2"/>
  <c r="N249" i="2"/>
  <c r="M249" i="2"/>
  <c r="L249" i="2"/>
  <c r="K249" i="2"/>
  <c r="J249" i="2"/>
  <c r="I249" i="2"/>
  <c r="N248" i="2"/>
  <c r="M248" i="2"/>
  <c r="L248" i="2"/>
  <c r="K248" i="2"/>
  <c r="J248" i="2"/>
  <c r="I248" i="2"/>
  <c r="N247" i="2"/>
  <c r="M247" i="2"/>
  <c r="L247" i="2"/>
  <c r="K247" i="2"/>
  <c r="J247" i="2"/>
  <c r="I247" i="2"/>
  <c r="N246" i="2"/>
  <c r="M246" i="2"/>
  <c r="L246" i="2"/>
  <c r="K246" i="2"/>
  <c r="J246" i="2"/>
  <c r="I246" i="2"/>
  <c r="N245" i="2"/>
  <c r="M245" i="2"/>
  <c r="L245" i="2"/>
  <c r="K245" i="2"/>
  <c r="J245" i="2"/>
  <c r="I245" i="2"/>
  <c r="N244" i="2"/>
  <c r="M244" i="2"/>
  <c r="L244" i="2"/>
  <c r="K244" i="2"/>
  <c r="J244" i="2"/>
  <c r="I244" i="2"/>
  <c r="N243" i="2"/>
  <c r="M243" i="2"/>
  <c r="L243" i="2"/>
  <c r="K243" i="2"/>
  <c r="J243" i="2"/>
  <c r="I243" i="2"/>
  <c r="N242" i="2"/>
  <c r="M242" i="2"/>
  <c r="L242" i="2"/>
  <c r="K242" i="2"/>
  <c r="J242" i="2"/>
  <c r="I242" i="2"/>
  <c r="N241" i="2"/>
  <c r="M241" i="2"/>
  <c r="L241" i="2"/>
  <c r="K241" i="2"/>
  <c r="J241" i="2"/>
  <c r="I241" i="2"/>
  <c r="N240" i="2"/>
  <c r="M240" i="2"/>
  <c r="W512" i="5" s="1"/>
  <c r="L240" i="2"/>
  <c r="K240" i="2"/>
  <c r="J240" i="2"/>
  <c r="I240" i="2"/>
  <c r="S512" i="5" s="1"/>
  <c r="N239" i="2"/>
  <c r="M239" i="2"/>
  <c r="L239" i="2"/>
  <c r="K239" i="2"/>
  <c r="J239" i="2"/>
  <c r="I239" i="2"/>
  <c r="N238" i="2"/>
  <c r="M238" i="2"/>
  <c r="L238" i="2"/>
  <c r="K238" i="2"/>
  <c r="J238" i="2"/>
  <c r="I238" i="2"/>
  <c r="N237" i="2"/>
  <c r="M237" i="2"/>
  <c r="L237" i="2"/>
  <c r="K237" i="2"/>
  <c r="J237" i="2"/>
  <c r="I237" i="2"/>
  <c r="N236" i="2"/>
  <c r="M236" i="2"/>
  <c r="L236" i="2"/>
  <c r="K236" i="2"/>
  <c r="J236" i="2"/>
  <c r="I236" i="2"/>
  <c r="N235" i="2"/>
  <c r="M235" i="2"/>
  <c r="L235" i="2"/>
  <c r="K235" i="2"/>
  <c r="J235" i="2"/>
  <c r="I235" i="2"/>
  <c r="N234" i="2"/>
  <c r="M234" i="2"/>
  <c r="L234" i="2"/>
  <c r="K234" i="2"/>
  <c r="J234" i="2"/>
  <c r="I234" i="2"/>
  <c r="N233" i="2"/>
  <c r="M233" i="2"/>
  <c r="L233" i="2"/>
  <c r="K233" i="2"/>
  <c r="J233" i="2"/>
  <c r="I233" i="2"/>
  <c r="N232" i="2"/>
  <c r="M232" i="2"/>
  <c r="L232" i="2"/>
  <c r="K232" i="2"/>
  <c r="J232" i="2"/>
  <c r="I232" i="2"/>
  <c r="N231" i="2"/>
  <c r="M231" i="2"/>
  <c r="L231" i="2"/>
  <c r="K231" i="2"/>
  <c r="J231" i="2"/>
  <c r="I231" i="2"/>
  <c r="N230" i="2"/>
  <c r="M230" i="2"/>
  <c r="L230" i="2"/>
  <c r="K230" i="2"/>
  <c r="J230" i="2"/>
  <c r="I230" i="2"/>
  <c r="N229" i="2"/>
  <c r="M229" i="2"/>
  <c r="W432" i="5" s="1"/>
  <c r="L229" i="2"/>
  <c r="K229" i="2"/>
  <c r="J229" i="2"/>
  <c r="I229" i="2"/>
  <c r="S432" i="5" s="1"/>
  <c r="N228" i="2"/>
  <c r="M228" i="2"/>
  <c r="L228" i="2"/>
  <c r="K228" i="2"/>
  <c r="J228" i="2"/>
  <c r="I228" i="2"/>
  <c r="N227" i="2"/>
  <c r="M227" i="2"/>
  <c r="L227" i="2"/>
  <c r="K227" i="2"/>
  <c r="J227" i="2"/>
  <c r="I227" i="2"/>
  <c r="N226" i="2"/>
  <c r="M226" i="2"/>
  <c r="L226" i="2"/>
  <c r="K226" i="2"/>
  <c r="J226" i="2"/>
  <c r="I226" i="2"/>
  <c r="N225" i="2"/>
  <c r="M225" i="2"/>
  <c r="L225" i="2"/>
  <c r="K225" i="2"/>
  <c r="J225" i="2"/>
  <c r="I225" i="2"/>
  <c r="N224" i="2"/>
  <c r="M224" i="2"/>
  <c r="L224" i="2"/>
  <c r="K224" i="2"/>
  <c r="J224" i="2"/>
  <c r="I224" i="2"/>
  <c r="N223" i="2"/>
  <c r="M223" i="2"/>
  <c r="L223" i="2"/>
  <c r="K223" i="2"/>
  <c r="J223" i="2"/>
  <c r="I223" i="2"/>
  <c r="N222" i="2"/>
  <c r="M222" i="2"/>
  <c r="L222" i="2"/>
  <c r="K222" i="2"/>
  <c r="J222" i="2"/>
  <c r="I222" i="2"/>
  <c r="N221" i="2"/>
  <c r="M221" i="2"/>
  <c r="L221" i="2"/>
  <c r="K221" i="2"/>
  <c r="J221" i="2"/>
  <c r="I221" i="2"/>
  <c r="N220" i="2"/>
  <c r="M220" i="2"/>
  <c r="L220" i="2"/>
  <c r="K220" i="2"/>
  <c r="J220" i="2"/>
  <c r="I220" i="2"/>
  <c r="N219" i="2"/>
  <c r="M219" i="2"/>
  <c r="L219" i="2"/>
  <c r="K219" i="2"/>
  <c r="J219" i="2"/>
  <c r="I219" i="2"/>
  <c r="N218" i="2"/>
  <c r="M218" i="2"/>
  <c r="L218" i="2"/>
  <c r="K218" i="2"/>
  <c r="J218" i="2"/>
  <c r="I218" i="2"/>
  <c r="N217" i="2"/>
  <c r="M217" i="2"/>
  <c r="W1399" i="5" s="1"/>
  <c r="L217" i="2"/>
  <c r="K217" i="2"/>
  <c r="J217" i="2"/>
  <c r="I217" i="2"/>
  <c r="S1399" i="5" s="1"/>
  <c r="N216" i="2"/>
  <c r="M216" i="2"/>
  <c r="L216" i="2"/>
  <c r="K216" i="2"/>
  <c r="J216" i="2"/>
  <c r="I216" i="2"/>
  <c r="N215" i="2"/>
  <c r="M215" i="2"/>
  <c r="L215" i="2"/>
  <c r="K215" i="2"/>
  <c r="J215" i="2"/>
  <c r="I215" i="2"/>
  <c r="N214" i="2"/>
  <c r="M214" i="2"/>
  <c r="L214" i="2"/>
  <c r="K214" i="2"/>
  <c r="J214" i="2"/>
  <c r="I214" i="2"/>
  <c r="N213" i="2"/>
  <c r="M213" i="2"/>
  <c r="L213" i="2"/>
  <c r="K213" i="2"/>
  <c r="J213" i="2"/>
  <c r="I213" i="2"/>
  <c r="N212" i="2"/>
  <c r="M212" i="2"/>
  <c r="L212" i="2"/>
  <c r="K212" i="2"/>
  <c r="J212" i="2"/>
  <c r="I212" i="2"/>
  <c r="N211" i="2"/>
  <c r="M211" i="2"/>
  <c r="L211" i="2"/>
  <c r="K211" i="2"/>
  <c r="J211" i="2"/>
  <c r="I211" i="2"/>
  <c r="N210" i="2"/>
  <c r="M210" i="2"/>
  <c r="L210" i="2"/>
  <c r="K210" i="2"/>
  <c r="J210" i="2"/>
  <c r="I210" i="2"/>
  <c r="N209" i="2"/>
  <c r="M209" i="2"/>
  <c r="L209" i="2"/>
  <c r="K209" i="2"/>
  <c r="J209" i="2"/>
  <c r="I209" i="2"/>
  <c r="N208" i="2"/>
  <c r="M208" i="2"/>
  <c r="L208" i="2"/>
  <c r="K208" i="2"/>
  <c r="J208" i="2"/>
  <c r="I208" i="2"/>
  <c r="N207" i="2"/>
  <c r="M207" i="2"/>
  <c r="L207" i="2"/>
  <c r="K207" i="2"/>
  <c r="J207" i="2"/>
  <c r="I207" i="2"/>
  <c r="N206" i="2"/>
  <c r="M206" i="2"/>
  <c r="L206" i="2"/>
  <c r="K206" i="2"/>
  <c r="J206" i="2"/>
  <c r="I206" i="2"/>
  <c r="N205" i="2"/>
  <c r="M205" i="2"/>
  <c r="L205" i="2"/>
  <c r="K205" i="2"/>
  <c r="J205" i="2"/>
  <c r="I205" i="2"/>
  <c r="N204" i="2"/>
  <c r="M204" i="2"/>
  <c r="L204" i="2"/>
  <c r="K204" i="2"/>
  <c r="J204" i="2"/>
  <c r="I204" i="2"/>
  <c r="N203" i="2"/>
  <c r="M203" i="2"/>
  <c r="L203" i="2"/>
  <c r="K203" i="2"/>
  <c r="J203" i="2"/>
  <c r="I203" i="2"/>
  <c r="N202" i="2"/>
  <c r="M202" i="2"/>
  <c r="L202" i="2"/>
  <c r="K202" i="2"/>
  <c r="J202" i="2"/>
  <c r="I202" i="2"/>
  <c r="N201" i="2"/>
  <c r="M201" i="2"/>
  <c r="L201" i="2"/>
  <c r="K201" i="2"/>
  <c r="J201" i="2"/>
  <c r="I201" i="2"/>
  <c r="N200" i="2"/>
  <c r="M200" i="2"/>
  <c r="L200" i="2"/>
  <c r="K200" i="2"/>
  <c r="J200" i="2"/>
  <c r="I200" i="2"/>
  <c r="N199" i="2"/>
  <c r="M199" i="2"/>
  <c r="L199" i="2"/>
  <c r="K199" i="2"/>
  <c r="J199" i="2"/>
  <c r="I199" i="2"/>
  <c r="N198" i="2"/>
  <c r="M198" i="2"/>
  <c r="L198" i="2"/>
  <c r="K198" i="2"/>
  <c r="J198" i="2"/>
  <c r="I198" i="2"/>
  <c r="N197" i="2"/>
  <c r="M197" i="2"/>
  <c r="L197" i="2"/>
  <c r="K197" i="2"/>
  <c r="J197" i="2"/>
  <c r="I197" i="2"/>
  <c r="N196" i="2"/>
  <c r="M196" i="2"/>
  <c r="L196" i="2"/>
  <c r="K196" i="2"/>
  <c r="J196" i="2"/>
  <c r="I196" i="2"/>
  <c r="N195" i="2"/>
  <c r="M195" i="2"/>
  <c r="L195" i="2"/>
  <c r="K195" i="2"/>
  <c r="J195" i="2"/>
  <c r="I195" i="2"/>
  <c r="N194" i="2"/>
  <c r="M194" i="2"/>
  <c r="L194" i="2"/>
  <c r="K194" i="2"/>
  <c r="J194" i="2"/>
  <c r="I194" i="2"/>
  <c r="N193" i="2"/>
  <c r="M193" i="2"/>
  <c r="L193" i="2"/>
  <c r="K193" i="2"/>
  <c r="J193" i="2"/>
  <c r="I193" i="2"/>
  <c r="N192" i="2"/>
  <c r="M192" i="2"/>
  <c r="L192" i="2"/>
  <c r="K192" i="2"/>
  <c r="J192" i="2"/>
  <c r="I192" i="2"/>
  <c r="N191" i="2"/>
  <c r="M191" i="2"/>
  <c r="W1314" i="5" s="1"/>
  <c r="L191" i="2"/>
  <c r="K191" i="2"/>
  <c r="J191" i="2"/>
  <c r="I191" i="2"/>
  <c r="S1314" i="5" s="1"/>
  <c r="N190" i="2"/>
  <c r="M190" i="2"/>
  <c r="L190" i="2"/>
  <c r="K190" i="2"/>
  <c r="J190" i="2"/>
  <c r="I190" i="2"/>
  <c r="N189" i="2"/>
  <c r="M189" i="2"/>
  <c r="L189" i="2"/>
  <c r="K189" i="2"/>
  <c r="J189" i="2"/>
  <c r="I189" i="2"/>
  <c r="N188" i="2"/>
  <c r="M188" i="2"/>
  <c r="L188" i="2"/>
  <c r="K188" i="2"/>
  <c r="J188" i="2"/>
  <c r="I188" i="2"/>
  <c r="N187" i="2"/>
  <c r="M187" i="2"/>
  <c r="L187" i="2"/>
  <c r="K187" i="2"/>
  <c r="J187" i="2"/>
  <c r="I187" i="2"/>
  <c r="N186" i="2"/>
  <c r="M186" i="2"/>
  <c r="W1124" i="5" s="1"/>
  <c r="L186" i="2"/>
  <c r="K186" i="2"/>
  <c r="J186" i="2"/>
  <c r="I186" i="2"/>
  <c r="S1124" i="5" s="1"/>
  <c r="N185" i="2"/>
  <c r="M185" i="2"/>
  <c r="L185" i="2"/>
  <c r="K185" i="2"/>
  <c r="J185" i="2"/>
  <c r="I185" i="2"/>
  <c r="N184" i="2"/>
  <c r="M184" i="2"/>
  <c r="L184" i="2"/>
  <c r="K184" i="2"/>
  <c r="J184" i="2"/>
  <c r="I184" i="2"/>
  <c r="N183" i="2"/>
  <c r="M183" i="2"/>
  <c r="L183" i="2"/>
  <c r="K183" i="2"/>
  <c r="J183" i="2"/>
  <c r="I183" i="2"/>
  <c r="N182" i="2"/>
  <c r="M182" i="2"/>
  <c r="W1626" i="5" s="1"/>
  <c r="L182" i="2"/>
  <c r="K182" i="2"/>
  <c r="J182" i="2"/>
  <c r="I182" i="2"/>
  <c r="S1626" i="5" s="1"/>
  <c r="N181" i="2"/>
  <c r="M181" i="2"/>
  <c r="L181" i="2"/>
  <c r="K181" i="2"/>
  <c r="J181" i="2"/>
  <c r="I181" i="2"/>
  <c r="N180" i="2"/>
  <c r="M180" i="2"/>
  <c r="L180" i="2"/>
  <c r="K180" i="2"/>
  <c r="J180" i="2"/>
  <c r="I180" i="2"/>
  <c r="N179" i="2"/>
  <c r="M179" i="2"/>
  <c r="L179" i="2"/>
  <c r="K179" i="2"/>
  <c r="J179" i="2"/>
  <c r="I179" i="2"/>
  <c r="N178" i="2"/>
  <c r="M178" i="2"/>
  <c r="L178" i="2"/>
  <c r="K178" i="2"/>
  <c r="J178" i="2"/>
  <c r="I178" i="2"/>
  <c r="N177" i="2"/>
  <c r="M177" i="2"/>
  <c r="L177" i="2"/>
  <c r="K177" i="2"/>
  <c r="J177" i="2"/>
  <c r="I177" i="2"/>
  <c r="N176" i="2"/>
  <c r="M176" i="2"/>
  <c r="W489" i="5" s="1"/>
  <c r="L176" i="2"/>
  <c r="K176" i="2"/>
  <c r="J176" i="2"/>
  <c r="I176" i="2"/>
  <c r="S489" i="5" s="1"/>
  <c r="N175" i="2"/>
  <c r="M175" i="2"/>
  <c r="L175" i="2"/>
  <c r="K175" i="2"/>
  <c r="J175" i="2"/>
  <c r="I175" i="2"/>
  <c r="N174" i="2"/>
  <c r="M174" i="2"/>
  <c r="L174" i="2"/>
  <c r="K174" i="2"/>
  <c r="J174" i="2"/>
  <c r="I174" i="2"/>
  <c r="N173" i="2"/>
  <c r="M173" i="2"/>
  <c r="L173" i="2"/>
  <c r="K173" i="2"/>
  <c r="J173" i="2"/>
  <c r="I173" i="2"/>
  <c r="N172" i="2"/>
  <c r="M172" i="2"/>
  <c r="L172" i="2"/>
  <c r="K172" i="2"/>
  <c r="J172" i="2"/>
  <c r="I172" i="2"/>
  <c r="N171" i="2"/>
  <c r="M171" i="2"/>
  <c r="L171" i="2"/>
  <c r="K171" i="2"/>
  <c r="J171" i="2"/>
  <c r="I171" i="2"/>
  <c r="N170" i="2"/>
  <c r="M170" i="2"/>
  <c r="L170" i="2"/>
  <c r="K170" i="2"/>
  <c r="J170" i="2"/>
  <c r="I170" i="2"/>
  <c r="N169" i="2"/>
  <c r="M169" i="2"/>
  <c r="L169" i="2"/>
  <c r="K169" i="2"/>
  <c r="J169" i="2"/>
  <c r="I169" i="2"/>
  <c r="N168" i="2"/>
  <c r="M168" i="2"/>
  <c r="L168" i="2"/>
  <c r="K168" i="2"/>
  <c r="J168" i="2"/>
  <c r="I168" i="2"/>
  <c r="N167" i="2"/>
  <c r="M167" i="2"/>
  <c r="L167" i="2"/>
  <c r="K167" i="2"/>
  <c r="J167" i="2"/>
  <c r="I167" i="2"/>
  <c r="N166" i="2"/>
  <c r="M166" i="2"/>
  <c r="L166" i="2"/>
  <c r="K166" i="2"/>
  <c r="J166" i="2"/>
  <c r="I166" i="2"/>
  <c r="N165" i="2"/>
  <c r="M165" i="2"/>
  <c r="L165" i="2"/>
  <c r="K165" i="2"/>
  <c r="J165" i="2"/>
  <c r="I165" i="2"/>
  <c r="N164" i="2"/>
  <c r="M164" i="2"/>
  <c r="L164" i="2"/>
  <c r="K164" i="2"/>
  <c r="J164" i="2"/>
  <c r="I164" i="2"/>
  <c r="N163" i="2"/>
  <c r="M163" i="2"/>
  <c r="L163" i="2"/>
  <c r="K163" i="2"/>
  <c r="J163" i="2"/>
  <c r="I163" i="2"/>
  <c r="N162" i="2"/>
  <c r="M162" i="2"/>
  <c r="L162" i="2"/>
  <c r="K162" i="2"/>
  <c r="J162" i="2"/>
  <c r="I162" i="2"/>
  <c r="N161" i="2"/>
  <c r="M161" i="2"/>
  <c r="L161" i="2"/>
  <c r="K161" i="2"/>
  <c r="J161" i="2"/>
  <c r="I161" i="2"/>
  <c r="N160" i="2"/>
  <c r="M160" i="2"/>
  <c r="W215" i="5" s="1"/>
  <c r="L160" i="2"/>
  <c r="K160" i="2"/>
  <c r="J160" i="2"/>
  <c r="I160" i="2"/>
  <c r="S215" i="5" s="1"/>
  <c r="N159" i="2"/>
  <c r="M159" i="2"/>
  <c r="L159" i="2"/>
  <c r="K159" i="2"/>
  <c r="J159" i="2"/>
  <c r="I159" i="2"/>
  <c r="N158" i="2"/>
  <c r="M158" i="2"/>
  <c r="L158" i="2"/>
  <c r="K158" i="2"/>
  <c r="J158" i="2"/>
  <c r="I158" i="2"/>
  <c r="N157" i="2"/>
  <c r="M157" i="2"/>
  <c r="L157" i="2"/>
  <c r="K157" i="2"/>
  <c r="J157" i="2"/>
  <c r="I157" i="2"/>
  <c r="N156" i="2"/>
  <c r="M156" i="2"/>
  <c r="L156" i="2"/>
  <c r="K156" i="2"/>
  <c r="J156" i="2"/>
  <c r="I156" i="2"/>
  <c r="N155" i="2"/>
  <c r="M155" i="2"/>
  <c r="L155" i="2"/>
  <c r="K155" i="2"/>
  <c r="J155" i="2"/>
  <c r="I155" i="2"/>
  <c r="N154" i="2"/>
  <c r="M154" i="2"/>
  <c r="L154" i="2"/>
  <c r="K154" i="2"/>
  <c r="J154" i="2"/>
  <c r="I154" i="2"/>
  <c r="N153" i="2"/>
  <c r="M153" i="2"/>
  <c r="L153" i="2"/>
  <c r="K153" i="2"/>
  <c r="J153" i="2"/>
  <c r="I153" i="2"/>
  <c r="N152" i="2"/>
  <c r="M152" i="2"/>
  <c r="W1272" i="5" s="1"/>
  <c r="L152" i="2"/>
  <c r="K152" i="2"/>
  <c r="J152" i="2"/>
  <c r="I152" i="2"/>
  <c r="S1272" i="5" s="1"/>
  <c r="N151" i="2"/>
  <c r="M151" i="2"/>
  <c r="L151" i="2"/>
  <c r="K151" i="2"/>
  <c r="J151" i="2"/>
  <c r="I151" i="2"/>
  <c r="N150" i="2"/>
  <c r="M150" i="2"/>
  <c r="L150" i="2"/>
  <c r="K150" i="2"/>
  <c r="J150" i="2"/>
  <c r="I150" i="2"/>
  <c r="N149" i="2"/>
  <c r="M149" i="2"/>
  <c r="L149" i="2"/>
  <c r="K149" i="2"/>
  <c r="J149" i="2"/>
  <c r="I149" i="2"/>
  <c r="N148" i="2"/>
  <c r="M148" i="2"/>
  <c r="L148" i="2"/>
  <c r="K148" i="2"/>
  <c r="J148" i="2"/>
  <c r="I148" i="2"/>
  <c r="N147" i="2"/>
  <c r="M147" i="2"/>
  <c r="L147" i="2"/>
  <c r="K147" i="2"/>
  <c r="J147" i="2"/>
  <c r="I147" i="2"/>
  <c r="N146" i="2"/>
  <c r="M146" i="2"/>
  <c r="L146" i="2"/>
  <c r="K146" i="2"/>
  <c r="J146" i="2"/>
  <c r="I146" i="2"/>
  <c r="N145" i="2"/>
  <c r="M145" i="2"/>
  <c r="L145" i="2"/>
  <c r="K145" i="2"/>
  <c r="J145" i="2"/>
  <c r="I145" i="2"/>
  <c r="N144" i="2"/>
  <c r="M144" i="2"/>
  <c r="L144" i="2"/>
  <c r="K144" i="2"/>
  <c r="J144" i="2"/>
  <c r="I144" i="2"/>
  <c r="N143" i="2"/>
  <c r="M143" i="2"/>
  <c r="L143" i="2"/>
  <c r="K143" i="2"/>
  <c r="J143" i="2"/>
  <c r="I143" i="2"/>
  <c r="N142" i="2"/>
  <c r="M142" i="2"/>
  <c r="L142" i="2"/>
  <c r="K142" i="2"/>
  <c r="J142" i="2"/>
  <c r="I142" i="2"/>
  <c r="N141" i="2"/>
  <c r="M141" i="2"/>
  <c r="L141" i="2"/>
  <c r="K141" i="2"/>
  <c r="J141" i="2"/>
  <c r="I141" i="2"/>
  <c r="N140" i="2"/>
  <c r="M140" i="2"/>
  <c r="L140" i="2"/>
  <c r="K140" i="2"/>
  <c r="J140" i="2"/>
  <c r="I140" i="2"/>
  <c r="N139" i="2"/>
  <c r="M139" i="2"/>
  <c r="W1071" i="5" s="1"/>
  <c r="L139" i="2"/>
  <c r="K139" i="2"/>
  <c r="J139" i="2"/>
  <c r="I139" i="2"/>
  <c r="S1071" i="5" s="1"/>
  <c r="N138" i="2"/>
  <c r="M138" i="2"/>
  <c r="L138" i="2"/>
  <c r="K138" i="2"/>
  <c r="J138" i="2"/>
  <c r="I138" i="2"/>
  <c r="N137" i="2"/>
  <c r="M137" i="2"/>
  <c r="L137" i="2"/>
  <c r="K137" i="2"/>
  <c r="J137" i="2"/>
  <c r="I137" i="2"/>
  <c r="N136" i="2"/>
  <c r="M136" i="2"/>
  <c r="L136" i="2"/>
  <c r="K136" i="2"/>
  <c r="J136" i="2"/>
  <c r="I136" i="2"/>
  <c r="N135" i="2"/>
  <c r="M135" i="2"/>
  <c r="L135" i="2"/>
  <c r="K135" i="2"/>
  <c r="J135" i="2"/>
  <c r="I135" i="2"/>
  <c r="N134" i="2"/>
  <c r="M134" i="2"/>
  <c r="W723" i="5" s="1"/>
  <c r="L134" i="2"/>
  <c r="K134" i="2"/>
  <c r="J134" i="2"/>
  <c r="I134" i="2"/>
  <c r="S723" i="5" s="1"/>
  <c r="N133" i="2"/>
  <c r="M133" i="2"/>
  <c r="L133" i="2"/>
  <c r="K133" i="2"/>
  <c r="J133" i="2"/>
  <c r="I133" i="2"/>
  <c r="N132" i="2"/>
  <c r="M132" i="2"/>
  <c r="W1699" i="5" s="1"/>
  <c r="L132" i="2"/>
  <c r="K132" i="2"/>
  <c r="J132" i="2"/>
  <c r="I132" i="2"/>
  <c r="S1699" i="5" s="1"/>
  <c r="N131" i="2"/>
  <c r="M131" i="2"/>
  <c r="L131" i="2"/>
  <c r="K131" i="2"/>
  <c r="J131" i="2"/>
  <c r="I131" i="2"/>
  <c r="N130" i="2"/>
  <c r="M130" i="2"/>
  <c r="L130" i="2"/>
  <c r="K130" i="2"/>
  <c r="J130" i="2"/>
  <c r="I130" i="2"/>
  <c r="N129" i="2"/>
  <c r="M129" i="2"/>
  <c r="W1396" i="5" s="1"/>
  <c r="L129" i="2"/>
  <c r="K129" i="2"/>
  <c r="J129" i="2"/>
  <c r="I129" i="2"/>
  <c r="S1396" i="5" s="1"/>
  <c r="N128" i="2"/>
  <c r="M128" i="2"/>
  <c r="L128" i="2"/>
  <c r="K128" i="2"/>
  <c r="J128" i="2"/>
  <c r="I128" i="2"/>
  <c r="N127" i="2"/>
  <c r="M127" i="2"/>
  <c r="W1312" i="5" s="1"/>
  <c r="L127" i="2"/>
  <c r="K127" i="2"/>
  <c r="J127" i="2"/>
  <c r="I127" i="2"/>
  <c r="S1312" i="5" s="1"/>
  <c r="N126" i="2"/>
  <c r="M126" i="2"/>
  <c r="L126" i="2"/>
  <c r="K126" i="2"/>
  <c r="J126" i="2"/>
  <c r="I126" i="2"/>
  <c r="N125" i="2"/>
  <c r="M125" i="2"/>
  <c r="L125" i="2"/>
  <c r="K125" i="2"/>
  <c r="J125" i="2"/>
  <c r="I125" i="2"/>
  <c r="N124" i="2"/>
  <c r="M124" i="2"/>
  <c r="L124" i="2"/>
  <c r="K124" i="2"/>
  <c r="J124" i="2"/>
  <c r="I124" i="2"/>
  <c r="N123" i="2"/>
  <c r="M123" i="2"/>
  <c r="L123" i="2"/>
  <c r="K123" i="2"/>
  <c r="J123" i="2"/>
  <c r="I123" i="2"/>
  <c r="N122" i="2"/>
  <c r="M122" i="2"/>
  <c r="L122" i="2"/>
  <c r="K122" i="2"/>
  <c r="J122" i="2"/>
  <c r="I122" i="2"/>
  <c r="N121" i="2"/>
  <c r="M121" i="2"/>
  <c r="L121" i="2"/>
  <c r="K121" i="2"/>
  <c r="J121" i="2"/>
  <c r="I121" i="2"/>
  <c r="N120" i="2"/>
  <c r="M120" i="2"/>
  <c r="L120" i="2"/>
  <c r="K120" i="2"/>
  <c r="J120" i="2"/>
  <c r="I120" i="2"/>
  <c r="N119" i="2"/>
  <c r="M119" i="2"/>
  <c r="L119" i="2"/>
  <c r="K119" i="2"/>
  <c r="J119" i="2"/>
  <c r="I119" i="2"/>
  <c r="N118" i="2"/>
  <c r="M118" i="2"/>
  <c r="L118" i="2"/>
  <c r="K118" i="2"/>
  <c r="J118" i="2"/>
  <c r="I118" i="2"/>
  <c r="N117" i="2"/>
  <c r="M117" i="2"/>
  <c r="L117" i="2"/>
  <c r="K117" i="2"/>
  <c r="J117" i="2"/>
  <c r="I117" i="2"/>
  <c r="N116" i="2"/>
  <c r="M116" i="2"/>
  <c r="L116" i="2"/>
  <c r="K116" i="2"/>
  <c r="J116" i="2"/>
  <c r="I116" i="2"/>
  <c r="N115" i="2"/>
  <c r="M115" i="2"/>
  <c r="L115" i="2"/>
  <c r="K115" i="2"/>
  <c r="J115" i="2"/>
  <c r="I115" i="2"/>
  <c r="N114" i="2"/>
  <c r="M114" i="2"/>
  <c r="L114" i="2"/>
  <c r="K114" i="2"/>
  <c r="J114" i="2"/>
  <c r="I114" i="2"/>
  <c r="N113" i="2"/>
  <c r="M113" i="2"/>
  <c r="L113" i="2"/>
  <c r="K113" i="2"/>
  <c r="J113" i="2"/>
  <c r="I113" i="2"/>
  <c r="N112" i="2"/>
  <c r="M112" i="2"/>
  <c r="L112" i="2"/>
  <c r="K112" i="2"/>
  <c r="J112" i="2"/>
  <c r="I112" i="2"/>
  <c r="N111" i="2"/>
  <c r="M111" i="2"/>
  <c r="L111" i="2"/>
  <c r="K111" i="2"/>
  <c r="J111" i="2"/>
  <c r="I111" i="2"/>
  <c r="N110" i="2"/>
  <c r="M110" i="2"/>
  <c r="L110" i="2"/>
  <c r="K110" i="2"/>
  <c r="J110" i="2"/>
  <c r="I110" i="2"/>
  <c r="N109" i="2"/>
  <c r="M109" i="2"/>
  <c r="L109" i="2"/>
  <c r="K109" i="2"/>
  <c r="J109" i="2"/>
  <c r="I109" i="2"/>
  <c r="N108" i="2"/>
  <c r="M108" i="2"/>
  <c r="L108" i="2"/>
  <c r="K108" i="2"/>
  <c r="J108" i="2"/>
  <c r="I108" i="2"/>
  <c r="N107" i="2"/>
  <c r="M107" i="2"/>
  <c r="L107" i="2"/>
  <c r="K107" i="2"/>
  <c r="J107" i="2"/>
  <c r="I107" i="2"/>
  <c r="N106" i="2"/>
  <c r="M106" i="2"/>
  <c r="L106" i="2"/>
  <c r="K106" i="2"/>
  <c r="J106" i="2"/>
  <c r="I106" i="2"/>
  <c r="N105" i="2"/>
  <c r="M105" i="2"/>
  <c r="L105" i="2"/>
  <c r="K105" i="2"/>
  <c r="J105" i="2"/>
  <c r="I105" i="2"/>
  <c r="N104" i="2"/>
  <c r="M104" i="2"/>
  <c r="L104" i="2"/>
  <c r="K104" i="2"/>
  <c r="J104" i="2"/>
  <c r="I104" i="2"/>
  <c r="N103" i="2"/>
  <c r="M103" i="2"/>
  <c r="L103" i="2"/>
  <c r="K103" i="2"/>
  <c r="J103" i="2"/>
  <c r="I103" i="2"/>
  <c r="N102" i="2"/>
  <c r="M102" i="2"/>
  <c r="L102" i="2"/>
  <c r="K102" i="2"/>
  <c r="J102" i="2"/>
  <c r="I102" i="2"/>
  <c r="N101" i="2"/>
  <c r="M101" i="2"/>
  <c r="L101" i="2"/>
  <c r="K101" i="2"/>
  <c r="J101" i="2"/>
  <c r="I101" i="2"/>
  <c r="N100" i="2"/>
  <c r="M100" i="2"/>
  <c r="L100" i="2"/>
  <c r="K100" i="2"/>
  <c r="J100" i="2"/>
  <c r="I100" i="2"/>
  <c r="N99" i="2"/>
  <c r="M99" i="2"/>
  <c r="L99" i="2"/>
  <c r="K99" i="2"/>
  <c r="J99" i="2"/>
  <c r="I99" i="2"/>
  <c r="N98" i="2"/>
  <c r="M98" i="2"/>
  <c r="L98" i="2"/>
  <c r="K98" i="2"/>
  <c r="J98" i="2"/>
  <c r="I98" i="2"/>
  <c r="N97" i="2"/>
  <c r="M97" i="2"/>
  <c r="L97" i="2"/>
  <c r="K97" i="2"/>
  <c r="J97" i="2"/>
  <c r="I97" i="2"/>
  <c r="N96" i="2"/>
  <c r="M96" i="2"/>
  <c r="L96" i="2"/>
  <c r="K96" i="2"/>
  <c r="J96" i="2"/>
  <c r="I96" i="2"/>
  <c r="N95" i="2"/>
  <c r="M95" i="2"/>
  <c r="L95" i="2"/>
  <c r="K95" i="2"/>
  <c r="J95" i="2"/>
  <c r="I95" i="2"/>
  <c r="N94" i="2"/>
  <c r="M94" i="2"/>
  <c r="L94" i="2"/>
  <c r="K94" i="2"/>
  <c r="J94" i="2"/>
  <c r="I94" i="2"/>
  <c r="N93" i="2"/>
  <c r="M93" i="2"/>
  <c r="L93" i="2"/>
  <c r="K93" i="2"/>
  <c r="J93" i="2"/>
  <c r="I93" i="2"/>
  <c r="N92" i="2"/>
  <c r="M92" i="2"/>
  <c r="W427" i="5" s="1"/>
  <c r="L92" i="2"/>
  <c r="K92" i="2"/>
  <c r="J92" i="2"/>
  <c r="I92" i="2"/>
  <c r="S427" i="5" s="1"/>
  <c r="N91" i="2"/>
  <c r="M91" i="2"/>
  <c r="L91" i="2"/>
  <c r="K91" i="2"/>
  <c r="J91" i="2"/>
  <c r="I91" i="2"/>
  <c r="N90" i="2"/>
  <c r="M90" i="2"/>
  <c r="L90" i="2"/>
  <c r="K90" i="2"/>
  <c r="J90" i="2"/>
  <c r="I90" i="2"/>
  <c r="N89" i="2"/>
  <c r="M89" i="2"/>
  <c r="L89" i="2"/>
  <c r="K89" i="2"/>
  <c r="J89" i="2"/>
  <c r="I89" i="2"/>
  <c r="N88" i="2"/>
  <c r="M88" i="2"/>
  <c r="W1292" i="5" s="1"/>
  <c r="L88" i="2"/>
  <c r="K88" i="2"/>
  <c r="J88" i="2"/>
  <c r="I88" i="2"/>
  <c r="S1292" i="5" s="1"/>
  <c r="N87" i="2"/>
  <c r="M87" i="2"/>
  <c r="L87" i="2"/>
  <c r="K87" i="2"/>
  <c r="J87" i="2"/>
  <c r="I87" i="2"/>
  <c r="N86" i="2"/>
  <c r="M86" i="2"/>
  <c r="L86" i="2"/>
  <c r="K86" i="2"/>
  <c r="J86" i="2"/>
  <c r="I86" i="2"/>
  <c r="N85" i="2"/>
  <c r="M85" i="2"/>
  <c r="L85" i="2"/>
  <c r="K85" i="2"/>
  <c r="J85" i="2"/>
  <c r="I85" i="2"/>
  <c r="N84" i="2"/>
  <c r="M84" i="2"/>
  <c r="L84" i="2"/>
  <c r="K84" i="2"/>
  <c r="J84" i="2"/>
  <c r="I84" i="2"/>
  <c r="N83" i="2"/>
  <c r="M83" i="2"/>
  <c r="L83" i="2"/>
  <c r="K83" i="2"/>
  <c r="J83" i="2"/>
  <c r="I83" i="2"/>
  <c r="N82" i="2"/>
  <c r="M82" i="2"/>
  <c r="L82" i="2"/>
  <c r="K82" i="2"/>
  <c r="J82" i="2"/>
  <c r="I82" i="2"/>
  <c r="N81" i="2"/>
  <c r="M81" i="2"/>
  <c r="W781" i="5" s="1"/>
  <c r="L81" i="2"/>
  <c r="K81" i="2"/>
  <c r="J81" i="2"/>
  <c r="I81" i="2"/>
  <c r="S781" i="5" s="1"/>
  <c r="N80" i="2"/>
  <c r="M80" i="2"/>
  <c r="W259" i="5" s="1"/>
  <c r="L80" i="2"/>
  <c r="K80" i="2"/>
  <c r="J80" i="2"/>
  <c r="I80" i="2"/>
  <c r="S259" i="5" s="1"/>
  <c r="N79" i="2"/>
  <c r="M79" i="2"/>
  <c r="L79" i="2"/>
  <c r="K79" i="2"/>
  <c r="J79" i="2"/>
  <c r="I79" i="2"/>
  <c r="N78" i="2"/>
  <c r="M78" i="2"/>
  <c r="L78" i="2"/>
  <c r="K78" i="2"/>
  <c r="J78" i="2"/>
  <c r="I78" i="2"/>
  <c r="N77" i="2"/>
  <c r="M77" i="2"/>
  <c r="L77" i="2"/>
  <c r="K77" i="2"/>
  <c r="J77" i="2"/>
  <c r="I77" i="2"/>
  <c r="N76" i="2"/>
  <c r="M76" i="2"/>
  <c r="W692" i="5" s="1"/>
  <c r="L76" i="2"/>
  <c r="K76" i="2"/>
  <c r="J76" i="2"/>
  <c r="I76" i="2"/>
  <c r="S692" i="5" s="1"/>
  <c r="N75" i="2"/>
  <c r="M75" i="2"/>
  <c r="W726" i="5" s="1"/>
  <c r="L75" i="2"/>
  <c r="K75" i="2"/>
  <c r="J75" i="2"/>
  <c r="I75" i="2"/>
  <c r="S726" i="5" s="1"/>
  <c r="N74" i="2"/>
  <c r="M74" i="2"/>
  <c r="L74" i="2"/>
  <c r="K74" i="2"/>
  <c r="J74" i="2"/>
  <c r="I74" i="2"/>
  <c r="N73" i="2"/>
  <c r="M73" i="2"/>
  <c r="L73" i="2"/>
  <c r="K73" i="2"/>
  <c r="J73" i="2"/>
  <c r="I73" i="2"/>
  <c r="N72" i="2"/>
  <c r="M72" i="2"/>
  <c r="L72" i="2"/>
  <c r="K72" i="2"/>
  <c r="J72" i="2"/>
  <c r="I72" i="2"/>
  <c r="N71" i="2"/>
  <c r="M71" i="2"/>
  <c r="L71" i="2"/>
  <c r="K71" i="2"/>
  <c r="J71" i="2"/>
  <c r="I71" i="2"/>
  <c r="N70" i="2"/>
  <c r="M70" i="2"/>
  <c r="L70" i="2"/>
  <c r="K70" i="2"/>
  <c r="J70" i="2"/>
  <c r="I70" i="2"/>
  <c r="N69" i="2"/>
  <c r="M69" i="2"/>
  <c r="L69" i="2"/>
  <c r="K69" i="2"/>
  <c r="J69" i="2"/>
  <c r="I69" i="2"/>
  <c r="N68" i="2"/>
  <c r="M68" i="2"/>
  <c r="L68" i="2"/>
  <c r="K68" i="2"/>
  <c r="J68" i="2"/>
  <c r="I68" i="2"/>
  <c r="N67" i="2"/>
  <c r="M67" i="2"/>
  <c r="L67" i="2"/>
  <c r="K67" i="2"/>
  <c r="J67" i="2"/>
  <c r="I67" i="2"/>
  <c r="N66" i="2"/>
  <c r="M66" i="2"/>
  <c r="L66" i="2"/>
  <c r="K66" i="2"/>
  <c r="J66" i="2"/>
  <c r="I66" i="2"/>
  <c r="N65" i="2"/>
  <c r="M65" i="2"/>
  <c r="L65" i="2"/>
  <c r="K65" i="2"/>
  <c r="J65" i="2"/>
  <c r="I65" i="2"/>
  <c r="N64" i="2"/>
  <c r="M64" i="2"/>
  <c r="L64" i="2"/>
  <c r="K64" i="2"/>
  <c r="J64" i="2"/>
  <c r="I64" i="2"/>
  <c r="N63" i="2"/>
  <c r="M63" i="2"/>
  <c r="L63" i="2"/>
  <c r="K63" i="2"/>
  <c r="J63" i="2"/>
  <c r="I63" i="2"/>
  <c r="N62" i="2"/>
  <c r="M62" i="2"/>
  <c r="L62" i="2"/>
  <c r="K62" i="2"/>
  <c r="J62" i="2"/>
  <c r="I62" i="2"/>
  <c r="N61" i="2"/>
  <c r="M61" i="2"/>
  <c r="L61" i="2"/>
  <c r="K61" i="2"/>
  <c r="J61" i="2"/>
  <c r="I61" i="2"/>
  <c r="N60" i="2"/>
  <c r="M60" i="2"/>
  <c r="L60" i="2"/>
  <c r="K60" i="2"/>
  <c r="J60" i="2"/>
  <c r="I60" i="2"/>
  <c r="N59" i="2"/>
  <c r="M59" i="2"/>
  <c r="L59" i="2"/>
  <c r="K59" i="2"/>
  <c r="J59" i="2"/>
  <c r="I59" i="2"/>
  <c r="N58" i="2"/>
  <c r="M58" i="2"/>
  <c r="L58" i="2"/>
  <c r="K58" i="2"/>
  <c r="J58" i="2"/>
  <c r="I58" i="2"/>
  <c r="N57" i="2"/>
  <c r="M57" i="2"/>
  <c r="L57" i="2"/>
  <c r="K57" i="2"/>
  <c r="J57" i="2"/>
  <c r="I57" i="2"/>
  <c r="N56" i="2"/>
  <c r="M56" i="2"/>
  <c r="L56" i="2"/>
  <c r="K56" i="2"/>
  <c r="J56" i="2"/>
  <c r="I56" i="2"/>
  <c r="N55" i="2"/>
  <c r="M55" i="2"/>
  <c r="L55" i="2"/>
  <c r="K55" i="2"/>
  <c r="J55" i="2"/>
  <c r="I55" i="2"/>
  <c r="N54" i="2"/>
  <c r="M54" i="2"/>
  <c r="L54" i="2"/>
  <c r="K54" i="2"/>
  <c r="J54" i="2"/>
  <c r="I54" i="2"/>
  <c r="N53" i="2"/>
  <c r="M53" i="2"/>
  <c r="L53" i="2"/>
  <c r="K53" i="2"/>
  <c r="J53" i="2"/>
  <c r="I53" i="2"/>
  <c r="N52" i="2"/>
  <c r="M52" i="2"/>
  <c r="L52" i="2"/>
  <c r="K52" i="2"/>
  <c r="J52" i="2"/>
  <c r="I52" i="2"/>
  <c r="N51" i="2"/>
  <c r="M51" i="2"/>
  <c r="L51" i="2"/>
  <c r="K51" i="2"/>
  <c r="J51" i="2"/>
  <c r="I51" i="2"/>
  <c r="N50" i="2"/>
  <c r="M50" i="2"/>
  <c r="L50" i="2"/>
  <c r="K50" i="2"/>
  <c r="J50" i="2"/>
  <c r="I50" i="2"/>
  <c r="N49" i="2"/>
  <c r="M49" i="2"/>
  <c r="L49" i="2"/>
  <c r="K49" i="2"/>
  <c r="J49" i="2"/>
  <c r="I49" i="2"/>
  <c r="N48" i="2"/>
  <c r="M48" i="2"/>
  <c r="L48" i="2"/>
  <c r="K48" i="2"/>
  <c r="J48" i="2"/>
  <c r="I48" i="2"/>
  <c r="N47" i="2"/>
  <c r="M47" i="2"/>
  <c r="L47" i="2"/>
  <c r="K47" i="2"/>
  <c r="J47" i="2"/>
  <c r="I47" i="2"/>
  <c r="N46" i="2"/>
  <c r="M46" i="2"/>
  <c r="L46" i="2"/>
  <c r="K46" i="2"/>
  <c r="J46" i="2"/>
  <c r="I46" i="2"/>
  <c r="N45" i="2"/>
  <c r="M45" i="2"/>
  <c r="L45" i="2"/>
  <c r="K45" i="2"/>
  <c r="J45" i="2"/>
  <c r="I45" i="2"/>
  <c r="N44" i="2"/>
  <c r="M44" i="2"/>
  <c r="L44" i="2"/>
  <c r="K44" i="2"/>
  <c r="J44" i="2"/>
  <c r="I44" i="2"/>
  <c r="N43" i="2"/>
  <c r="M43" i="2"/>
  <c r="L43" i="2"/>
  <c r="K43" i="2"/>
  <c r="J43" i="2"/>
  <c r="I43" i="2"/>
  <c r="N42" i="2"/>
  <c r="M42" i="2"/>
  <c r="L42" i="2"/>
  <c r="K42" i="2"/>
  <c r="J42" i="2"/>
  <c r="I42" i="2"/>
  <c r="N41" i="2"/>
  <c r="M41" i="2"/>
  <c r="L41" i="2"/>
  <c r="K41" i="2"/>
  <c r="J41" i="2"/>
  <c r="I41" i="2"/>
  <c r="N40" i="2"/>
  <c r="M40" i="2"/>
  <c r="W1103" i="5" s="1"/>
  <c r="L40" i="2"/>
  <c r="K40" i="2"/>
  <c r="J40" i="2"/>
  <c r="I40" i="2"/>
  <c r="S1103" i="5" s="1"/>
  <c r="N39" i="2"/>
  <c r="M39" i="2"/>
  <c r="L39" i="2"/>
  <c r="K39" i="2"/>
  <c r="J39" i="2"/>
  <c r="I39" i="2"/>
  <c r="N38" i="2"/>
  <c r="M38" i="2"/>
  <c r="L38" i="2"/>
  <c r="K38" i="2"/>
  <c r="J38" i="2"/>
  <c r="I38" i="2"/>
  <c r="N37" i="2"/>
  <c r="M37" i="2"/>
  <c r="L37" i="2"/>
  <c r="K37" i="2"/>
  <c r="J37" i="2"/>
  <c r="I37" i="2"/>
  <c r="N36" i="2"/>
  <c r="M36" i="2"/>
  <c r="L36" i="2"/>
  <c r="K36" i="2"/>
  <c r="J36" i="2"/>
  <c r="I36" i="2"/>
  <c r="N35" i="2"/>
  <c r="M35" i="2"/>
  <c r="L35" i="2"/>
  <c r="K35" i="2"/>
  <c r="J35" i="2"/>
  <c r="I35" i="2"/>
  <c r="N34" i="2"/>
  <c r="M34" i="2"/>
  <c r="L34" i="2"/>
  <c r="K34" i="2"/>
  <c r="J34" i="2"/>
  <c r="I34" i="2"/>
  <c r="N33" i="2"/>
  <c r="M33" i="2"/>
  <c r="L33" i="2"/>
  <c r="K33" i="2"/>
  <c r="J33" i="2"/>
  <c r="I33" i="2"/>
  <c r="N32" i="2"/>
  <c r="M32" i="2"/>
  <c r="L32" i="2"/>
  <c r="K32" i="2"/>
  <c r="J32" i="2"/>
  <c r="I32" i="2"/>
  <c r="N31" i="2"/>
  <c r="M31" i="2"/>
  <c r="L31" i="2"/>
  <c r="K31" i="2"/>
  <c r="J31" i="2"/>
  <c r="I31" i="2"/>
  <c r="N30" i="2"/>
  <c r="M30" i="2"/>
  <c r="L30" i="2"/>
  <c r="K30" i="2"/>
  <c r="J30" i="2"/>
  <c r="I30" i="2"/>
  <c r="N29" i="2"/>
  <c r="M29" i="2"/>
  <c r="L29" i="2"/>
  <c r="K29" i="2"/>
  <c r="J29" i="2"/>
  <c r="I29" i="2"/>
  <c r="N28" i="2"/>
  <c r="M28" i="2"/>
  <c r="L28" i="2"/>
  <c r="K28" i="2"/>
  <c r="J28" i="2"/>
  <c r="I28" i="2"/>
  <c r="N27" i="2"/>
  <c r="M27" i="2"/>
  <c r="W661" i="5" s="1"/>
  <c r="L27" i="2"/>
  <c r="K27" i="2"/>
  <c r="J27" i="2"/>
  <c r="I27" i="2"/>
  <c r="S661" i="5" s="1"/>
  <c r="N26" i="2"/>
  <c r="M26" i="2"/>
  <c r="L26" i="2"/>
  <c r="K26" i="2"/>
  <c r="J26" i="2"/>
  <c r="I26" i="2"/>
  <c r="N25" i="2"/>
  <c r="M25" i="2"/>
  <c r="L25" i="2"/>
  <c r="K25" i="2"/>
  <c r="J25" i="2"/>
  <c r="I25" i="2"/>
  <c r="N24" i="2"/>
  <c r="M24" i="2"/>
  <c r="L24" i="2"/>
  <c r="K24" i="2"/>
  <c r="J24" i="2"/>
  <c r="I24" i="2"/>
  <c r="N23" i="2"/>
  <c r="M23" i="2"/>
  <c r="L23" i="2"/>
  <c r="K23" i="2"/>
  <c r="J23" i="2"/>
  <c r="I23" i="2"/>
  <c r="N22" i="2"/>
  <c r="M22" i="2"/>
  <c r="L22" i="2"/>
  <c r="K22" i="2"/>
  <c r="J22" i="2"/>
  <c r="I22" i="2"/>
  <c r="N21" i="2"/>
  <c r="M21" i="2"/>
  <c r="L21" i="2"/>
  <c r="K21" i="2"/>
  <c r="J21" i="2"/>
  <c r="I21" i="2"/>
  <c r="N20" i="2"/>
  <c r="M20" i="2"/>
  <c r="L20" i="2"/>
  <c r="K20" i="2"/>
  <c r="J20" i="2"/>
  <c r="I20" i="2"/>
  <c r="N19" i="2"/>
  <c r="M19" i="2"/>
  <c r="L19" i="2"/>
  <c r="K19" i="2"/>
  <c r="J19" i="2"/>
  <c r="I19" i="2"/>
  <c r="N18" i="2"/>
  <c r="M18" i="2"/>
  <c r="L18" i="2"/>
  <c r="K18" i="2"/>
  <c r="J18" i="2"/>
  <c r="I18" i="2"/>
  <c r="N17" i="2"/>
  <c r="M17" i="2"/>
  <c r="L17" i="2"/>
  <c r="K17" i="2"/>
  <c r="J17" i="2"/>
  <c r="I17" i="2"/>
  <c r="N16" i="2"/>
  <c r="M16" i="2"/>
  <c r="L16" i="2"/>
  <c r="K16" i="2"/>
  <c r="J16" i="2"/>
  <c r="I16" i="2"/>
  <c r="N15" i="2"/>
  <c r="M15" i="2"/>
  <c r="L15" i="2"/>
  <c r="K15" i="2"/>
  <c r="J15" i="2"/>
  <c r="I15" i="2"/>
  <c r="N14" i="2"/>
  <c r="M14" i="2"/>
  <c r="L14" i="2"/>
  <c r="K14" i="2"/>
  <c r="J14" i="2"/>
  <c r="I14" i="2"/>
  <c r="N13" i="2"/>
  <c r="M13" i="2"/>
  <c r="L13" i="2"/>
  <c r="K13" i="2"/>
  <c r="J13" i="2"/>
  <c r="I13" i="2"/>
  <c r="N12" i="2"/>
  <c r="M12" i="2"/>
  <c r="L12" i="2"/>
  <c r="K12" i="2"/>
  <c r="J12" i="2"/>
  <c r="I12" i="2"/>
  <c r="N11" i="2"/>
  <c r="M11" i="2"/>
  <c r="L11" i="2"/>
  <c r="K11" i="2"/>
  <c r="J11" i="2"/>
  <c r="I11" i="2"/>
  <c r="N10" i="2"/>
  <c r="M10" i="2"/>
  <c r="L10" i="2"/>
  <c r="K10" i="2"/>
  <c r="J10" i="2"/>
  <c r="I10" i="2"/>
  <c r="N9" i="2"/>
  <c r="M9" i="2"/>
  <c r="L9" i="2"/>
  <c r="K9" i="2"/>
  <c r="J9" i="2"/>
  <c r="I9" i="2"/>
  <c r="N8" i="2"/>
  <c r="M8" i="2"/>
  <c r="L8" i="2"/>
  <c r="K8" i="2"/>
  <c r="J8" i="2"/>
  <c r="I8" i="2"/>
  <c r="Q7" i="2"/>
  <c r="N7" i="2"/>
  <c r="M7" i="2"/>
  <c r="L7" i="2"/>
  <c r="K7" i="2"/>
  <c r="J7" i="2"/>
  <c r="I7" i="2"/>
  <c r="Q6" i="2"/>
  <c r="N6" i="2"/>
  <c r="M6" i="2"/>
  <c r="L6" i="2"/>
  <c r="K6" i="2"/>
  <c r="J6" i="2"/>
  <c r="I6" i="2"/>
  <c r="Q5" i="2"/>
  <c r="N5" i="2"/>
  <c r="M5" i="2"/>
  <c r="L5" i="2"/>
  <c r="K5" i="2"/>
  <c r="J5" i="2"/>
  <c r="I5" i="2"/>
  <c r="Q4" i="2"/>
  <c r="N4" i="2"/>
  <c r="M4" i="2"/>
  <c r="L4" i="2"/>
  <c r="K4" i="2"/>
  <c r="J4" i="2"/>
  <c r="I4" i="2"/>
  <c r="N3" i="2"/>
  <c r="M3" i="2"/>
  <c r="L3" i="2"/>
  <c r="K3" i="2"/>
  <c r="J3" i="2"/>
  <c r="I3" i="2"/>
  <c r="N2" i="2"/>
  <c r="M2" i="2"/>
  <c r="L2" i="2"/>
  <c r="K2" i="2"/>
  <c r="J2" i="2"/>
  <c r="I2" i="2"/>
  <c r="P2001" i="5" l="1"/>
  <c r="O2001" i="5"/>
  <c r="R2001" i="5" s="1"/>
  <c r="P2000" i="5"/>
  <c r="O2000" i="5"/>
  <c r="R2000" i="5" s="1"/>
  <c r="P1999" i="5"/>
  <c r="O1999" i="5"/>
  <c r="R1999" i="5" s="1"/>
  <c r="P1998" i="5"/>
  <c r="O1998" i="5"/>
  <c r="R1998" i="5" s="1"/>
  <c r="P1997" i="5"/>
  <c r="O1997" i="5"/>
  <c r="R1997" i="5" s="1"/>
  <c r="O1996" i="5"/>
  <c r="R1996" i="5" s="1"/>
  <c r="P1996" i="5"/>
  <c r="Q1996" i="5" s="1"/>
  <c r="O1995" i="5"/>
  <c r="R1995" i="5" s="1"/>
  <c r="P1995" i="5"/>
  <c r="Q1995" i="5" s="1"/>
  <c r="P1994" i="5"/>
  <c r="O1994" i="5"/>
  <c r="R1994" i="5" s="1"/>
  <c r="P1993" i="5"/>
  <c r="O1993" i="5"/>
  <c r="R1993" i="5" s="1"/>
  <c r="P1992" i="5"/>
  <c r="O1992" i="5"/>
  <c r="R1992" i="5" s="1"/>
  <c r="P1991" i="5"/>
  <c r="O1991" i="5"/>
  <c r="R1991" i="5" s="1"/>
  <c r="P1990" i="5"/>
  <c r="O1990" i="5"/>
  <c r="R1990" i="5" s="1"/>
  <c r="P1989" i="5"/>
  <c r="O1989" i="5"/>
  <c r="R1989" i="5" s="1"/>
  <c r="O1988" i="5"/>
  <c r="R1988" i="5" s="1"/>
  <c r="P1988" i="5"/>
  <c r="Q1988" i="5" s="1"/>
  <c r="O1987" i="5"/>
  <c r="R1987" i="5" s="1"/>
  <c r="P1987" i="5"/>
  <c r="Q1987" i="5" s="1"/>
  <c r="O1986" i="5"/>
  <c r="R1986" i="5" s="1"/>
  <c r="P1986" i="5"/>
  <c r="Q1986" i="5" s="1"/>
  <c r="P1985" i="5"/>
  <c r="O1985" i="5"/>
  <c r="R1985" i="5" s="1"/>
  <c r="P1984" i="5"/>
  <c r="O1984" i="5"/>
  <c r="R1984" i="5" s="1"/>
  <c r="P1983" i="5"/>
  <c r="O1983" i="5"/>
  <c r="R1983" i="5" s="1"/>
  <c r="O1982" i="5"/>
  <c r="R1982" i="5" s="1"/>
  <c r="P1982" i="5"/>
  <c r="Q1982" i="5" s="1"/>
  <c r="O1981" i="5"/>
  <c r="R1981" i="5" s="1"/>
  <c r="P1981" i="5"/>
  <c r="Q1981" i="5" s="1"/>
  <c r="P1980" i="5"/>
  <c r="O1980" i="5"/>
  <c r="R1980" i="5" s="1"/>
  <c r="P1979" i="5"/>
  <c r="O1979" i="5"/>
  <c r="R1979" i="5" s="1"/>
  <c r="O1978" i="5"/>
  <c r="R1978" i="5" s="1"/>
  <c r="P1978" i="5"/>
  <c r="Q1978" i="5" s="1"/>
  <c r="O1977" i="5"/>
  <c r="R1977" i="5" s="1"/>
  <c r="P1977" i="5"/>
  <c r="Q1977" i="5" s="1"/>
  <c r="O1976" i="5"/>
  <c r="R1976" i="5" s="1"/>
  <c r="P1976" i="5"/>
  <c r="Q1976" i="5" s="1"/>
  <c r="O1975" i="5"/>
  <c r="R1975" i="5" s="1"/>
  <c r="P1975" i="5"/>
  <c r="Q1975" i="5" s="1"/>
  <c r="O1974" i="5"/>
  <c r="R1974" i="5" s="1"/>
  <c r="P1974" i="5"/>
  <c r="Q1974" i="5" s="1"/>
  <c r="P1973" i="5"/>
  <c r="O1973" i="5"/>
  <c r="R1973" i="5" s="1"/>
  <c r="P1972" i="5"/>
  <c r="O1972" i="5"/>
  <c r="R1972" i="5" s="1"/>
  <c r="O1971" i="5"/>
  <c r="R1971" i="5" s="1"/>
  <c r="P1971" i="5"/>
  <c r="Q1971" i="5" s="1"/>
  <c r="O1970" i="5"/>
  <c r="R1970" i="5" s="1"/>
  <c r="P1970" i="5"/>
  <c r="Q1970" i="5" s="1"/>
  <c r="O1969" i="5"/>
  <c r="R1969" i="5" s="1"/>
  <c r="P1969" i="5"/>
  <c r="Q1969" i="5" s="1"/>
  <c r="O1968" i="5"/>
  <c r="R1968" i="5" s="1"/>
  <c r="P1968" i="5"/>
  <c r="Q1968" i="5" s="1"/>
  <c r="O1967" i="5"/>
  <c r="R1967" i="5" s="1"/>
  <c r="P1967" i="5"/>
  <c r="Q1967" i="5" s="1"/>
  <c r="O1966" i="5"/>
  <c r="R1966" i="5" s="1"/>
  <c r="P1966" i="5"/>
  <c r="Q1966" i="5" s="1"/>
  <c r="P1965" i="5"/>
  <c r="O1965" i="5"/>
  <c r="R1965" i="5" s="1"/>
  <c r="O1964" i="5"/>
  <c r="R1964" i="5" s="1"/>
  <c r="P1964" i="5"/>
  <c r="Q1964" i="5" s="1"/>
  <c r="P1963" i="5"/>
  <c r="O1963" i="5"/>
  <c r="R1963" i="5" s="1"/>
  <c r="P1962" i="5"/>
  <c r="O1962" i="5"/>
  <c r="R1962" i="5" s="1"/>
  <c r="P1961" i="5"/>
  <c r="O1961" i="5"/>
  <c r="R1961" i="5" s="1"/>
  <c r="P1960" i="5"/>
  <c r="O1960" i="5"/>
  <c r="R1960" i="5" s="1"/>
  <c r="P1959" i="5"/>
  <c r="O1959" i="5"/>
  <c r="R1959" i="5" s="1"/>
  <c r="O1958" i="5"/>
  <c r="R1958" i="5" s="1"/>
  <c r="P1958" i="5"/>
  <c r="Q1958" i="5" s="1"/>
  <c r="P1957" i="5"/>
  <c r="O1957" i="5"/>
  <c r="R1957" i="5" s="1"/>
  <c r="P1956" i="5"/>
  <c r="O1956" i="5"/>
  <c r="R1956" i="5" s="1"/>
  <c r="O1955" i="5"/>
  <c r="R1955" i="5" s="1"/>
  <c r="P1955" i="5"/>
  <c r="Q1955" i="5" s="1"/>
  <c r="P1954" i="5"/>
  <c r="O1954" i="5"/>
  <c r="R1954" i="5" s="1"/>
  <c r="P1953" i="5"/>
  <c r="O1953" i="5"/>
  <c r="R1953" i="5" s="1"/>
  <c r="O1952" i="5"/>
  <c r="R1952" i="5" s="1"/>
  <c r="P1952" i="5"/>
  <c r="Q1952" i="5" s="1"/>
  <c r="O1951" i="5"/>
  <c r="R1951" i="5" s="1"/>
  <c r="P1951" i="5"/>
  <c r="Q1951" i="5" s="1"/>
  <c r="P1950" i="5"/>
  <c r="O1950" i="5"/>
  <c r="R1950" i="5" s="1"/>
  <c r="O1949" i="5"/>
  <c r="R1949" i="5" s="1"/>
  <c r="P1949" i="5"/>
  <c r="Q1949" i="5" s="1"/>
  <c r="O1948" i="5"/>
  <c r="R1948" i="5" s="1"/>
  <c r="P1948" i="5"/>
  <c r="Q1948" i="5" s="1"/>
  <c r="O1947" i="5"/>
  <c r="R1947" i="5" s="1"/>
  <c r="P1947" i="5"/>
  <c r="Q1947" i="5" s="1"/>
  <c r="O1946" i="5"/>
  <c r="R1946" i="5" s="1"/>
  <c r="P1946" i="5"/>
  <c r="Q1946" i="5" s="1"/>
  <c r="P1945" i="5"/>
  <c r="O1945" i="5"/>
  <c r="R1945" i="5" s="1"/>
  <c r="O1944" i="5"/>
  <c r="R1944" i="5" s="1"/>
  <c r="P1944" i="5"/>
  <c r="Q1944" i="5" s="1"/>
  <c r="O1943" i="5"/>
  <c r="R1943" i="5" s="1"/>
  <c r="P1943" i="5"/>
  <c r="Q1943" i="5" s="1"/>
  <c r="O1942" i="5"/>
  <c r="R1942" i="5" s="1"/>
  <c r="P1942" i="5"/>
  <c r="Q1942" i="5" s="1"/>
  <c r="P1941" i="5"/>
  <c r="O1941" i="5"/>
  <c r="R1941" i="5" s="1"/>
  <c r="O1940" i="5"/>
  <c r="R1940" i="5" s="1"/>
  <c r="P1940" i="5"/>
  <c r="Q1940" i="5" s="1"/>
  <c r="O1939" i="5"/>
  <c r="R1939" i="5" s="1"/>
  <c r="P1939" i="5"/>
  <c r="Q1939" i="5" s="1"/>
  <c r="O1938" i="5"/>
  <c r="R1938" i="5" s="1"/>
  <c r="P1938" i="5"/>
  <c r="Q1938" i="5" s="1"/>
  <c r="O1937" i="5"/>
  <c r="R1937" i="5" s="1"/>
  <c r="P1937" i="5"/>
  <c r="Q1937" i="5" s="1"/>
  <c r="P1936" i="5"/>
  <c r="O1936" i="5"/>
  <c r="R1936" i="5" s="1"/>
  <c r="O1935" i="5"/>
  <c r="R1935" i="5" s="1"/>
  <c r="P1935" i="5"/>
  <c r="Q1935" i="5" s="1"/>
  <c r="P1934" i="5"/>
  <c r="O1934" i="5"/>
  <c r="R1934" i="5" s="1"/>
  <c r="O1933" i="5"/>
  <c r="R1933" i="5" s="1"/>
  <c r="P1933" i="5"/>
  <c r="Q1933" i="5" s="1"/>
  <c r="P1932" i="5"/>
  <c r="O1932" i="5"/>
  <c r="R1932" i="5" s="1"/>
  <c r="P1931" i="5"/>
  <c r="O1931" i="5"/>
  <c r="R1931" i="5" s="1"/>
  <c r="P1930" i="5"/>
  <c r="O1930" i="5"/>
  <c r="R1930" i="5" s="1"/>
  <c r="P1929" i="5"/>
  <c r="O1929" i="5"/>
  <c r="R1929" i="5" s="1"/>
  <c r="O1928" i="5"/>
  <c r="R1928" i="5" s="1"/>
  <c r="P1928" i="5"/>
  <c r="Q1928" i="5" s="1"/>
  <c r="P1927" i="5"/>
  <c r="O1927" i="5"/>
  <c r="R1927" i="5" s="1"/>
  <c r="O1926" i="5"/>
  <c r="R1926" i="5" s="1"/>
  <c r="P1926" i="5"/>
  <c r="Q1926" i="5" s="1"/>
  <c r="P1925" i="5"/>
  <c r="O1925" i="5"/>
  <c r="R1925" i="5" s="1"/>
  <c r="O1924" i="5"/>
  <c r="R1924" i="5" s="1"/>
  <c r="P1924" i="5"/>
  <c r="Q1924" i="5" s="1"/>
  <c r="P1923" i="5"/>
  <c r="O1923" i="5"/>
  <c r="R1923" i="5" s="1"/>
  <c r="O1922" i="5"/>
  <c r="R1922" i="5" s="1"/>
  <c r="P1922" i="5"/>
  <c r="Q1922" i="5" s="1"/>
  <c r="P1921" i="5"/>
  <c r="O1921" i="5"/>
  <c r="R1921" i="5" s="1"/>
  <c r="O1920" i="5"/>
  <c r="R1920" i="5" s="1"/>
  <c r="P1920" i="5"/>
  <c r="Q1920" i="5" s="1"/>
  <c r="P1919" i="5"/>
  <c r="O1919" i="5"/>
  <c r="R1919" i="5" s="1"/>
  <c r="O1918" i="5"/>
  <c r="R1918" i="5" s="1"/>
  <c r="P1918" i="5"/>
  <c r="Q1918" i="5" s="1"/>
  <c r="P1917" i="5"/>
  <c r="O1917" i="5"/>
  <c r="R1917" i="5" s="1"/>
  <c r="O1916" i="5"/>
  <c r="R1916" i="5" s="1"/>
  <c r="P1916" i="5"/>
  <c r="Q1916" i="5" s="1"/>
  <c r="O1915" i="5"/>
  <c r="R1915" i="5" s="1"/>
  <c r="P1915" i="5"/>
  <c r="Q1915" i="5" s="1"/>
  <c r="O1914" i="5"/>
  <c r="R1914" i="5" s="1"/>
  <c r="P1914" i="5"/>
  <c r="Q1914" i="5" s="1"/>
  <c r="O1913" i="5"/>
  <c r="R1913" i="5" s="1"/>
  <c r="P1913" i="5"/>
  <c r="Q1913" i="5" s="1"/>
  <c r="P1912" i="5"/>
  <c r="O1912" i="5"/>
  <c r="R1912" i="5" s="1"/>
  <c r="O1911" i="5"/>
  <c r="R1911" i="5" s="1"/>
  <c r="P1911" i="5"/>
  <c r="Q1911" i="5" s="1"/>
  <c r="O1910" i="5"/>
  <c r="R1910" i="5" s="1"/>
  <c r="P1910" i="5"/>
  <c r="Q1910" i="5" s="1"/>
  <c r="O1909" i="5"/>
  <c r="R1909" i="5" s="1"/>
  <c r="P1909" i="5"/>
  <c r="Q1909" i="5" s="1"/>
  <c r="O1908" i="5"/>
  <c r="R1908" i="5" s="1"/>
  <c r="P1908" i="5"/>
  <c r="Q1908" i="5" s="1"/>
  <c r="P1907" i="5"/>
  <c r="O1907" i="5"/>
  <c r="R1907" i="5" s="1"/>
  <c r="P1906" i="5"/>
  <c r="O1906" i="5"/>
  <c r="R1906" i="5" s="1"/>
  <c r="O1905" i="5"/>
  <c r="R1905" i="5" s="1"/>
  <c r="P1905" i="5"/>
  <c r="Q1905" i="5" s="1"/>
  <c r="O1904" i="5"/>
  <c r="R1904" i="5" s="1"/>
  <c r="P1904" i="5"/>
  <c r="Q1904" i="5" s="1"/>
  <c r="P1903" i="5"/>
  <c r="O1903" i="5"/>
  <c r="R1903" i="5" s="1"/>
  <c r="O1902" i="5"/>
  <c r="R1902" i="5" s="1"/>
  <c r="P1902" i="5"/>
  <c r="Q1902" i="5" s="1"/>
  <c r="P1901" i="5"/>
  <c r="O1901" i="5"/>
  <c r="R1901" i="5" s="1"/>
  <c r="O1900" i="5"/>
  <c r="R1900" i="5" s="1"/>
  <c r="P1900" i="5"/>
  <c r="Q1900" i="5" s="1"/>
  <c r="O1899" i="5"/>
  <c r="R1899" i="5" s="1"/>
  <c r="P1899" i="5"/>
  <c r="Q1899" i="5" s="1"/>
  <c r="P1898" i="5"/>
  <c r="O1898" i="5"/>
  <c r="R1898" i="5" s="1"/>
  <c r="P1897" i="5"/>
  <c r="O1897" i="5"/>
  <c r="R1897" i="5" s="1"/>
  <c r="O1896" i="5"/>
  <c r="R1896" i="5" s="1"/>
  <c r="P1896" i="5"/>
  <c r="Q1896" i="5" s="1"/>
  <c r="P1895" i="5"/>
  <c r="O1895" i="5"/>
  <c r="R1895" i="5" s="1"/>
  <c r="P1894" i="5"/>
  <c r="O1894" i="5"/>
  <c r="R1894" i="5" s="1"/>
  <c r="P1893" i="5"/>
  <c r="O1893" i="5"/>
  <c r="R1893" i="5" s="1"/>
  <c r="O1892" i="5"/>
  <c r="R1892" i="5" s="1"/>
  <c r="P1892" i="5"/>
  <c r="Q1892" i="5" s="1"/>
  <c r="P1891" i="5"/>
  <c r="O1891" i="5"/>
  <c r="R1891" i="5" s="1"/>
  <c r="P1890" i="5"/>
  <c r="O1890" i="5"/>
  <c r="R1890" i="5" s="1"/>
  <c r="P1889" i="5"/>
  <c r="O1889" i="5"/>
  <c r="R1889" i="5" s="1"/>
  <c r="O1888" i="5"/>
  <c r="R1888" i="5" s="1"/>
  <c r="P1888" i="5"/>
  <c r="Q1888" i="5" s="1"/>
  <c r="P1887" i="5"/>
  <c r="O1887" i="5"/>
  <c r="R1887" i="5" s="1"/>
  <c r="P1886" i="5"/>
  <c r="O1886" i="5"/>
  <c r="R1886" i="5" s="1"/>
  <c r="P1885" i="5"/>
  <c r="O1885" i="5"/>
  <c r="R1885" i="5" s="1"/>
  <c r="O1884" i="5"/>
  <c r="R1884" i="5" s="1"/>
  <c r="P1884" i="5"/>
  <c r="Q1884" i="5" s="1"/>
  <c r="P1883" i="5"/>
  <c r="O1883" i="5"/>
  <c r="R1883" i="5" s="1"/>
  <c r="O1882" i="5"/>
  <c r="R1882" i="5" s="1"/>
  <c r="P1882" i="5"/>
  <c r="Q1882" i="5" s="1"/>
  <c r="O1881" i="5"/>
  <c r="R1881" i="5" s="1"/>
  <c r="P1881" i="5"/>
  <c r="Q1881" i="5" s="1"/>
  <c r="P1880" i="5"/>
  <c r="O1880" i="5"/>
  <c r="R1880" i="5" s="1"/>
  <c r="O1879" i="5"/>
  <c r="R1879" i="5" s="1"/>
  <c r="P1879" i="5"/>
  <c r="Q1879" i="5" s="1"/>
  <c r="P1878" i="5"/>
  <c r="O1878" i="5"/>
  <c r="R1878" i="5" s="1"/>
  <c r="P1877" i="5"/>
  <c r="O1877" i="5"/>
  <c r="R1877" i="5" s="1"/>
  <c r="O1876" i="5"/>
  <c r="R1876" i="5" s="1"/>
  <c r="P1876" i="5"/>
  <c r="Q1876" i="5" s="1"/>
  <c r="O1875" i="5"/>
  <c r="R1875" i="5" s="1"/>
  <c r="P1875" i="5"/>
  <c r="Q1875" i="5" s="1"/>
  <c r="O1874" i="5"/>
  <c r="R1874" i="5" s="1"/>
  <c r="P1874" i="5"/>
  <c r="Q1874" i="5" s="1"/>
  <c r="P1873" i="5"/>
  <c r="O1873" i="5"/>
  <c r="R1873" i="5" s="1"/>
  <c r="O1872" i="5"/>
  <c r="R1872" i="5" s="1"/>
  <c r="P1872" i="5"/>
  <c r="Q1872" i="5" s="1"/>
  <c r="P1871" i="5"/>
  <c r="O1871" i="5"/>
  <c r="R1871" i="5" s="1"/>
  <c r="P1870" i="5"/>
  <c r="O1870" i="5"/>
  <c r="R1870" i="5" s="1"/>
  <c r="O1869" i="5"/>
  <c r="R1869" i="5" s="1"/>
  <c r="P1869" i="5"/>
  <c r="Q1869" i="5" s="1"/>
  <c r="O1868" i="5"/>
  <c r="R1868" i="5" s="1"/>
  <c r="P1868" i="5"/>
  <c r="Q1868" i="5" s="1"/>
  <c r="P1867" i="5"/>
  <c r="O1867" i="5"/>
  <c r="R1867" i="5" s="1"/>
  <c r="P1866" i="5"/>
  <c r="O1866" i="5"/>
  <c r="R1866" i="5" s="1"/>
  <c r="O1865" i="5"/>
  <c r="R1865" i="5" s="1"/>
  <c r="P1865" i="5"/>
  <c r="Q1865" i="5" s="1"/>
  <c r="P1864" i="5"/>
  <c r="O1864" i="5"/>
  <c r="R1864" i="5" s="1"/>
  <c r="P1863" i="5"/>
  <c r="O1863" i="5"/>
  <c r="R1863" i="5" s="1"/>
  <c r="O1862" i="5"/>
  <c r="R1862" i="5" s="1"/>
  <c r="P1862" i="5"/>
  <c r="Q1862" i="5" s="1"/>
  <c r="O1861" i="5"/>
  <c r="R1861" i="5" s="1"/>
  <c r="P1861" i="5"/>
  <c r="Q1861" i="5" s="1"/>
  <c r="O1860" i="5"/>
  <c r="R1860" i="5" s="1"/>
  <c r="P1860" i="5"/>
  <c r="Q1860" i="5" s="1"/>
  <c r="P1859" i="5"/>
  <c r="O1859" i="5"/>
  <c r="R1859" i="5" s="1"/>
  <c r="O1858" i="5"/>
  <c r="R1858" i="5" s="1"/>
  <c r="P1858" i="5"/>
  <c r="Q1858" i="5" s="1"/>
  <c r="O1857" i="5"/>
  <c r="R1857" i="5" s="1"/>
  <c r="P1857" i="5"/>
  <c r="Q1857" i="5" s="1"/>
  <c r="P1856" i="5"/>
  <c r="O1856" i="5"/>
  <c r="R1856" i="5" s="1"/>
  <c r="P1855" i="5"/>
  <c r="O1855" i="5"/>
  <c r="R1855" i="5" s="1"/>
  <c r="O1854" i="5"/>
  <c r="R1854" i="5" s="1"/>
  <c r="P1854" i="5"/>
  <c r="Q1854" i="5" s="1"/>
  <c r="P1853" i="5"/>
  <c r="O1853" i="5"/>
  <c r="R1853" i="5" s="1"/>
  <c r="O1852" i="5"/>
  <c r="R1852" i="5" s="1"/>
  <c r="P1852" i="5"/>
  <c r="Q1852" i="5" s="1"/>
  <c r="P1851" i="5"/>
  <c r="O1851" i="5"/>
  <c r="R1851" i="5" s="1"/>
  <c r="O1850" i="5"/>
  <c r="R1850" i="5" s="1"/>
  <c r="P1850" i="5"/>
  <c r="Q1850" i="5" s="1"/>
  <c r="O1849" i="5"/>
  <c r="R1849" i="5" s="1"/>
  <c r="P1849" i="5"/>
  <c r="Q1849" i="5" s="1"/>
  <c r="O1848" i="5"/>
  <c r="R1848" i="5" s="1"/>
  <c r="P1848" i="5"/>
  <c r="Q1848" i="5" s="1"/>
  <c r="O1847" i="5"/>
  <c r="R1847" i="5" s="1"/>
  <c r="P1847" i="5"/>
  <c r="Q1847" i="5" s="1"/>
  <c r="O1846" i="5"/>
  <c r="R1846" i="5" s="1"/>
  <c r="P1846" i="5"/>
  <c r="Q1846" i="5" s="1"/>
  <c r="O1845" i="5"/>
  <c r="R1845" i="5" s="1"/>
  <c r="P1845" i="5"/>
  <c r="Q1845" i="5" s="1"/>
  <c r="O1844" i="5"/>
  <c r="R1844" i="5" s="1"/>
  <c r="P1844" i="5"/>
  <c r="Q1844" i="5" s="1"/>
  <c r="P1843" i="5"/>
  <c r="O1843" i="5"/>
  <c r="R1843" i="5" s="1"/>
  <c r="P1842" i="5"/>
  <c r="O1842" i="5"/>
  <c r="R1842" i="5" s="1"/>
  <c r="P1841" i="5"/>
  <c r="O1841" i="5"/>
  <c r="R1841" i="5" s="1"/>
  <c r="O1840" i="5"/>
  <c r="R1840" i="5" s="1"/>
  <c r="P1840" i="5"/>
  <c r="Q1840" i="5" s="1"/>
  <c r="O1839" i="5"/>
  <c r="R1839" i="5" s="1"/>
  <c r="P1839" i="5"/>
  <c r="Q1839" i="5" s="1"/>
  <c r="O1838" i="5"/>
  <c r="R1838" i="5" s="1"/>
  <c r="P1838" i="5"/>
  <c r="Q1838" i="5" s="1"/>
  <c r="O1837" i="5"/>
  <c r="R1837" i="5" s="1"/>
  <c r="P1837" i="5"/>
  <c r="Q1837" i="5" s="1"/>
  <c r="P1836" i="5"/>
  <c r="O1836" i="5"/>
  <c r="R1836" i="5" s="1"/>
  <c r="P1835" i="5"/>
  <c r="O1835" i="5"/>
  <c r="R1835" i="5" s="1"/>
  <c r="O1834" i="5"/>
  <c r="R1834" i="5" s="1"/>
  <c r="P1834" i="5"/>
  <c r="Q1834" i="5" s="1"/>
  <c r="P1833" i="5"/>
  <c r="O1833" i="5"/>
  <c r="R1833" i="5" s="1"/>
  <c r="O1832" i="5"/>
  <c r="R1832" i="5" s="1"/>
  <c r="P1832" i="5"/>
  <c r="Q1832" i="5" s="1"/>
  <c r="P1831" i="5"/>
  <c r="O1831" i="5"/>
  <c r="R1831" i="5" s="1"/>
  <c r="P1830" i="5"/>
  <c r="O1830" i="5"/>
  <c r="R1830" i="5" s="1"/>
  <c r="P1829" i="5"/>
  <c r="O1829" i="5"/>
  <c r="R1829" i="5" s="1"/>
  <c r="O1828" i="5"/>
  <c r="R1828" i="5" s="1"/>
  <c r="P1828" i="5"/>
  <c r="Q1828" i="5" s="1"/>
  <c r="O1827" i="5"/>
  <c r="R1827" i="5" s="1"/>
  <c r="P1827" i="5"/>
  <c r="Q1827" i="5" s="1"/>
  <c r="O1826" i="5"/>
  <c r="R1826" i="5" s="1"/>
  <c r="P1826" i="5"/>
  <c r="Q1826" i="5" s="1"/>
  <c r="O1825" i="5"/>
  <c r="R1825" i="5" s="1"/>
  <c r="P1825" i="5"/>
  <c r="Q1825" i="5" s="1"/>
  <c r="O1824" i="5"/>
  <c r="R1824" i="5" s="1"/>
  <c r="P1824" i="5"/>
  <c r="Q1824" i="5" s="1"/>
  <c r="O1823" i="5"/>
  <c r="R1823" i="5" s="1"/>
  <c r="P1823" i="5"/>
  <c r="Q1823" i="5" s="1"/>
  <c r="P1822" i="5"/>
  <c r="O1822" i="5"/>
  <c r="R1822" i="5" s="1"/>
  <c r="P1821" i="5"/>
  <c r="O1821" i="5"/>
  <c r="R1821" i="5" s="1"/>
  <c r="P1820" i="5"/>
  <c r="O1820" i="5"/>
  <c r="R1820" i="5" s="1"/>
  <c r="O1819" i="5"/>
  <c r="R1819" i="5" s="1"/>
  <c r="P1819" i="5"/>
  <c r="Q1819" i="5" s="1"/>
  <c r="O1818" i="5"/>
  <c r="R1818" i="5" s="1"/>
  <c r="P1818" i="5"/>
  <c r="Q1818" i="5" s="1"/>
  <c r="P1817" i="5"/>
  <c r="O1817" i="5"/>
  <c r="R1817" i="5" s="1"/>
  <c r="P1816" i="5"/>
  <c r="O1816" i="5"/>
  <c r="R1816" i="5" s="1"/>
  <c r="O1815" i="5"/>
  <c r="R1815" i="5" s="1"/>
  <c r="P1815" i="5"/>
  <c r="Q1815" i="5" s="1"/>
  <c r="O1814" i="5"/>
  <c r="R1814" i="5" s="1"/>
  <c r="P1814" i="5"/>
  <c r="Q1814" i="5" s="1"/>
  <c r="O1813" i="5"/>
  <c r="R1813" i="5" s="1"/>
  <c r="P1813" i="5"/>
  <c r="Q1813" i="5" s="1"/>
  <c r="O1812" i="5"/>
  <c r="R1812" i="5" s="1"/>
  <c r="P1812" i="5"/>
  <c r="Q1812" i="5" s="1"/>
  <c r="P1811" i="5"/>
  <c r="O1811" i="5"/>
  <c r="R1811" i="5" s="1"/>
  <c r="O1810" i="5"/>
  <c r="R1810" i="5" s="1"/>
  <c r="P1810" i="5"/>
  <c r="Q1810" i="5" s="1"/>
  <c r="P1809" i="5"/>
  <c r="O1809" i="5"/>
  <c r="R1809" i="5" s="1"/>
  <c r="O1808" i="5"/>
  <c r="R1808" i="5" s="1"/>
  <c r="P1808" i="5"/>
  <c r="Q1808" i="5" s="1"/>
  <c r="O1807" i="5"/>
  <c r="R1807" i="5" s="1"/>
  <c r="P1807" i="5"/>
  <c r="Q1807" i="5" s="1"/>
  <c r="O1806" i="5"/>
  <c r="R1806" i="5" s="1"/>
  <c r="P1806" i="5"/>
  <c r="Q1806" i="5" s="1"/>
  <c r="P1805" i="5"/>
  <c r="O1805" i="5"/>
  <c r="R1805" i="5" s="1"/>
  <c r="P1804" i="5"/>
  <c r="O1804" i="5"/>
  <c r="R1804" i="5" s="1"/>
  <c r="P1803" i="5"/>
  <c r="O1803" i="5"/>
  <c r="R1803" i="5" s="1"/>
  <c r="P1802" i="5"/>
  <c r="O1802" i="5"/>
  <c r="R1802" i="5" s="1"/>
  <c r="P1801" i="5"/>
  <c r="O1801" i="5"/>
  <c r="R1801" i="5" s="1"/>
  <c r="P1800" i="5"/>
  <c r="O1800" i="5"/>
  <c r="R1800" i="5" s="1"/>
  <c r="O1799" i="5"/>
  <c r="R1799" i="5" s="1"/>
  <c r="P1799" i="5"/>
  <c r="Q1799" i="5" s="1"/>
  <c r="O1798" i="5"/>
  <c r="R1798" i="5" s="1"/>
  <c r="P1798" i="5"/>
  <c r="Q1798" i="5" s="1"/>
  <c r="P1797" i="5"/>
  <c r="O1797" i="5"/>
  <c r="R1797" i="5" s="1"/>
  <c r="P1796" i="5"/>
  <c r="O1796" i="5"/>
  <c r="R1796" i="5" s="1"/>
  <c r="P1795" i="5"/>
  <c r="O1795" i="5"/>
  <c r="R1795" i="5" s="1"/>
  <c r="P1794" i="5"/>
  <c r="O1794" i="5"/>
  <c r="R1794" i="5" s="1"/>
  <c r="O1793" i="5"/>
  <c r="R1793" i="5" s="1"/>
  <c r="P1793" i="5"/>
  <c r="Q1793" i="5" s="1"/>
  <c r="O1792" i="5"/>
  <c r="R1792" i="5" s="1"/>
  <c r="P1792" i="5"/>
  <c r="Q1792" i="5" s="1"/>
  <c r="P1791" i="5"/>
  <c r="O1791" i="5"/>
  <c r="R1791" i="5" s="1"/>
  <c r="P1790" i="5"/>
  <c r="O1790" i="5"/>
  <c r="R1790" i="5" s="1"/>
  <c r="P1789" i="5"/>
  <c r="O1789" i="5"/>
  <c r="R1789" i="5" s="1"/>
  <c r="P1788" i="5"/>
  <c r="O1788" i="5"/>
  <c r="R1788" i="5" s="1"/>
  <c r="P1787" i="5"/>
  <c r="O1787" i="5"/>
  <c r="R1787" i="5" s="1"/>
  <c r="P1786" i="5"/>
  <c r="O1786" i="5"/>
  <c r="R1786" i="5" s="1"/>
  <c r="P1785" i="5"/>
  <c r="O1785" i="5"/>
  <c r="R1785" i="5" s="1"/>
  <c r="O1784" i="5"/>
  <c r="R1784" i="5" s="1"/>
  <c r="P1784" i="5"/>
  <c r="Q1784" i="5" s="1"/>
  <c r="O1783" i="5"/>
  <c r="R1783" i="5" s="1"/>
  <c r="P1783" i="5"/>
  <c r="Q1783" i="5" s="1"/>
  <c r="O1782" i="5"/>
  <c r="R1782" i="5" s="1"/>
  <c r="P1782" i="5"/>
  <c r="Q1782" i="5" s="1"/>
  <c r="O1781" i="5"/>
  <c r="R1781" i="5" s="1"/>
  <c r="P1781" i="5"/>
  <c r="Q1781" i="5" s="1"/>
  <c r="P1780" i="5"/>
  <c r="O1780" i="5"/>
  <c r="R1780" i="5" s="1"/>
  <c r="P1779" i="5"/>
  <c r="O1779" i="5"/>
  <c r="R1779" i="5" s="1"/>
  <c r="O1778" i="5"/>
  <c r="R1778" i="5" s="1"/>
  <c r="P1778" i="5"/>
  <c r="Q1778" i="5" s="1"/>
  <c r="O1777" i="5"/>
  <c r="R1777" i="5" s="1"/>
  <c r="P1777" i="5"/>
  <c r="Q1777" i="5" s="1"/>
  <c r="O1776" i="5"/>
  <c r="R1776" i="5" s="1"/>
  <c r="P1776" i="5"/>
  <c r="Q1776" i="5" s="1"/>
  <c r="P1775" i="5"/>
  <c r="O1775" i="5"/>
  <c r="R1775" i="5" s="1"/>
  <c r="P1774" i="5"/>
  <c r="O1774" i="5"/>
  <c r="R1774" i="5" s="1"/>
  <c r="P1773" i="5"/>
  <c r="O1773" i="5"/>
  <c r="R1773" i="5" s="1"/>
  <c r="O1772" i="5"/>
  <c r="R1772" i="5" s="1"/>
  <c r="P1772" i="5"/>
  <c r="Q1772" i="5" s="1"/>
  <c r="O1771" i="5"/>
  <c r="R1771" i="5" s="1"/>
  <c r="P1771" i="5"/>
  <c r="Q1771" i="5" s="1"/>
  <c r="O1770" i="5"/>
  <c r="R1770" i="5" s="1"/>
  <c r="P1770" i="5"/>
  <c r="Q1770" i="5" s="1"/>
  <c r="O1769" i="5"/>
  <c r="R1769" i="5" s="1"/>
  <c r="P1769" i="5"/>
  <c r="Q1769" i="5" s="1"/>
  <c r="O1768" i="5"/>
  <c r="R1768" i="5" s="1"/>
  <c r="P1768" i="5"/>
  <c r="Q1768" i="5" s="1"/>
  <c r="O1767" i="5"/>
  <c r="R1767" i="5" s="1"/>
  <c r="P1767" i="5"/>
  <c r="Q1767" i="5" s="1"/>
  <c r="P1766" i="5"/>
  <c r="O1766" i="5"/>
  <c r="R1766" i="5" s="1"/>
  <c r="P1765" i="5"/>
  <c r="O1765" i="5"/>
  <c r="R1765" i="5" s="1"/>
  <c r="O1764" i="5"/>
  <c r="R1764" i="5" s="1"/>
  <c r="P1764" i="5"/>
  <c r="Q1764" i="5" s="1"/>
  <c r="O1763" i="5"/>
  <c r="R1763" i="5" s="1"/>
  <c r="P1763" i="5"/>
  <c r="Q1763" i="5" s="1"/>
  <c r="P1762" i="5"/>
  <c r="O1762" i="5"/>
  <c r="R1762" i="5" s="1"/>
  <c r="P1761" i="5"/>
  <c r="O1761" i="5"/>
  <c r="R1761" i="5" s="1"/>
  <c r="O1760" i="5"/>
  <c r="R1760" i="5" s="1"/>
  <c r="P1760" i="5"/>
  <c r="Q1760" i="5" s="1"/>
  <c r="P1759" i="5"/>
  <c r="O1759" i="5"/>
  <c r="R1759" i="5" s="1"/>
  <c r="O1758" i="5"/>
  <c r="R1758" i="5" s="1"/>
  <c r="P1758" i="5"/>
  <c r="Q1758" i="5" s="1"/>
  <c r="P1757" i="5"/>
  <c r="O1757" i="5"/>
  <c r="R1757" i="5" s="1"/>
  <c r="O1756" i="5"/>
  <c r="R1756" i="5" s="1"/>
  <c r="P1756" i="5"/>
  <c r="Q1756" i="5" s="1"/>
  <c r="O1755" i="5"/>
  <c r="R1755" i="5" s="1"/>
  <c r="P1755" i="5"/>
  <c r="Q1755" i="5" s="1"/>
  <c r="O1754" i="5"/>
  <c r="R1754" i="5" s="1"/>
  <c r="P1754" i="5"/>
  <c r="Q1754" i="5" s="1"/>
  <c r="O1753" i="5"/>
  <c r="R1753" i="5" s="1"/>
  <c r="P1753" i="5"/>
  <c r="Q1753" i="5" s="1"/>
  <c r="O1752" i="5"/>
  <c r="R1752" i="5" s="1"/>
  <c r="P1752" i="5"/>
  <c r="Q1752" i="5" s="1"/>
  <c r="P1751" i="5"/>
  <c r="O1751" i="5"/>
  <c r="R1751" i="5" s="1"/>
  <c r="O1750" i="5"/>
  <c r="R1750" i="5" s="1"/>
  <c r="P1750" i="5"/>
  <c r="Q1750" i="5" s="1"/>
  <c r="P1749" i="5"/>
  <c r="O1749" i="5"/>
  <c r="R1749" i="5" s="1"/>
  <c r="P1748" i="5"/>
  <c r="O1748" i="5"/>
  <c r="R1748" i="5" s="1"/>
  <c r="O1747" i="5"/>
  <c r="R1747" i="5" s="1"/>
  <c r="P1747" i="5"/>
  <c r="Q1747" i="5" s="1"/>
  <c r="P1746" i="5"/>
  <c r="O1746" i="5"/>
  <c r="R1746" i="5" s="1"/>
  <c r="O1745" i="5"/>
  <c r="R1745" i="5" s="1"/>
  <c r="P1745" i="5"/>
  <c r="Q1745" i="5" s="1"/>
  <c r="O1744" i="5"/>
  <c r="R1744" i="5" s="1"/>
  <c r="P1744" i="5"/>
  <c r="Q1744" i="5" s="1"/>
  <c r="P1743" i="5"/>
  <c r="O1743" i="5"/>
  <c r="R1743" i="5" s="1"/>
  <c r="O1742" i="5"/>
  <c r="R1742" i="5" s="1"/>
  <c r="P1742" i="5"/>
  <c r="Q1742" i="5" s="1"/>
  <c r="P1741" i="5"/>
  <c r="O1741" i="5"/>
  <c r="R1741" i="5" s="1"/>
  <c r="O1740" i="5"/>
  <c r="R1740" i="5" s="1"/>
  <c r="P1740" i="5"/>
  <c r="Q1740" i="5" s="1"/>
  <c r="P1739" i="5"/>
  <c r="O1739" i="5"/>
  <c r="R1739" i="5" s="1"/>
  <c r="P1738" i="5"/>
  <c r="O1738" i="5"/>
  <c r="R1738" i="5" s="1"/>
  <c r="O1737" i="5"/>
  <c r="R1737" i="5" s="1"/>
  <c r="P1737" i="5"/>
  <c r="Q1737" i="5" s="1"/>
  <c r="P1736" i="5"/>
  <c r="O1736" i="5"/>
  <c r="R1736" i="5" s="1"/>
  <c r="O1735" i="5"/>
  <c r="R1735" i="5" s="1"/>
  <c r="P1735" i="5"/>
  <c r="Q1735" i="5" s="1"/>
  <c r="P1734" i="5"/>
  <c r="O1734" i="5"/>
  <c r="R1734" i="5" s="1"/>
  <c r="P1733" i="5"/>
  <c r="O1733" i="5"/>
  <c r="R1733" i="5" s="1"/>
  <c r="O1732" i="5"/>
  <c r="R1732" i="5" s="1"/>
  <c r="P1732" i="5"/>
  <c r="Q1732" i="5" s="1"/>
  <c r="O1731" i="5"/>
  <c r="R1731" i="5" s="1"/>
  <c r="P1731" i="5"/>
  <c r="Q1731" i="5" s="1"/>
  <c r="P1730" i="5"/>
  <c r="O1730" i="5"/>
  <c r="R1730" i="5" s="1"/>
  <c r="O1729" i="5"/>
  <c r="R1729" i="5" s="1"/>
  <c r="P1729" i="5"/>
  <c r="Q1729" i="5" s="1"/>
  <c r="P1728" i="5"/>
  <c r="O1728" i="5"/>
  <c r="R1728" i="5" s="1"/>
  <c r="O1727" i="5"/>
  <c r="R1727" i="5" s="1"/>
  <c r="P1727" i="5"/>
  <c r="Q1727" i="5" s="1"/>
  <c r="P1726" i="5"/>
  <c r="O1726" i="5"/>
  <c r="R1726" i="5" s="1"/>
  <c r="P1725" i="5"/>
  <c r="O1725" i="5"/>
  <c r="R1725" i="5" s="1"/>
  <c r="O1724" i="5"/>
  <c r="R1724" i="5" s="1"/>
  <c r="P1724" i="5"/>
  <c r="Q1724" i="5" s="1"/>
  <c r="P1723" i="5"/>
  <c r="O1723" i="5"/>
  <c r="R1723" i="5" s="1"/>
  <c r="P1722" i="5"/>
  <c r="O1722" i="5"/>
  <c r="R1722" i="5" s="1"/>
  <c r="P1721" i="5"/>
  <c r="O1721" i="5"/>
  <c r="R1721" i="5" s="1"/>
  <c r="O1720" i="5"/>
  <c r="R1720" i="5" s="1"/>
  <c r="P1720" i="5"/>
  <c r="Q1720" i="5" s="1"/>
  <c r="P1719" i="5"/>
  <c r="O1719" i="5"/>
  <c r="R1719" i="5" s="1"/>
  <c r="P1718" i="5"/>
  <c r="O1718" i="5"/>
  <c r="R1718" i="5" s="1"/>
  <c r="P1717" i="5"/>
  <c r="O1717" i="5"/>
  <c r="R1717" i="5" s="1"/>
  <c r="P1716" i="5"/>
  <c r="O1716" i="5"/>
  <c r="R1716" i="5" s="1"/>
  <c r="O1715" i="5"/>
  <c r="R1715" i="5" s="1"/>
  <c r="P1715" i="5"/>
  <c r="Q1715" i="5" s="1"/>
  <c r="O1714" i="5"/>
  <c r="R1714" i="5" s="1"/>
  <c r="P1714" i="5"/>
  <c r="Q1714" i="5" s="1"/>
  <c r="O1713" i="5"/>
  <c r="R1713" i="5" s="1"/>
  <c r="P1713" i="5"/>
  <c r="Q1713" i="5" s="1"/>
  <c r="P1712" i="5"/>
  <c r="O1712" i="5"/>
  <c r="R1712" i="5" s="1"/>
  <c r="P1711" i="5"/>
  <c r="O1711" i="5"/>
  <c r="R1711" i="5" s="1"/>
  <c r="O1710" i="5"/>
  <c r="R1710" i="5" s="1"/>
  <c r="P1710" i="5"/>
  <c r="Q1710" i="5" s="1"/>
  <c r="P1709" i="5"/>
  <c r="O1709" i="5"/>
  <c r="R1709" i="5" s="1"/>
  <c r="O1708" i="5"/>
  <c r="R1708" i="5" s="1"/>
  <c r="P1708" i="5"/>
  <c r="Q1708" i="5" s="1"/>
  <c r="O1707" i="5"/>
  <c r="R1707" i="5" s="1"/>
  <c r="P1707" i="5"/>
  <c r="Q1707" i="5" s="1"/>
  <c r="P1706" i="5"/>
  <c r="O1706" i="5"/>
  <c r="R1706" i="5" s="1"/>
  <c r="O1705" i="5"/>
  <c r="R1705" i="5" s="1"/>
  <c r="P1705" i="5"/>
  <c r="Q1705" i="5" s="1"/>
  <c r="P1704" i="5"/>
  <c r="O1704" i="5"/>
  <c r="R1704" i="5" s="1"/>
  <c r="O1703" i="5"/>
  <c r="R1703" i="5" s="1"/>
  <c r="P1703" i="5"/>
  <c r="Q1703" i="5" s="1"/>
  <c r="O1702" i="5"/>
  <c r="R1702" i="5" s="1"/>
  <c r="P1702" i="5"/>
  <c r="Q1702" i="5" s="1"/>
  <c r="O1701" i="5"/>
  <c r="R1701" i="5" s="1"/>
  <c r="P1701" i="5"/>
  <c r="Q1701" i="5" s="1"/>
  <c r="P1700" i="5"/>
  <c r="O1700" i="5"/>
  <c r="R1700" i="5" s="1"/>
  <c r="O1699" i="5"/>
  <c r="R1699" i="5" s="1"/>
  <c r="P1699" i="5"/>
  <c r="Q1699" i="5" s="1"/>
  <c r="P1698" i="5"/>
  <c r="O1698" i="5"/>
  <c r="R1698" i="5" s="1"/>
  <c r="O1697" i="5"/>
  <c r="R1697" i="5" s="1"/>
  <c r="P1697" i="5"/>
  <c r="Q1697" i="5" s="1"/>
  <c r="O1696" i="5"/>
  <c r="R1696" i="5" s="1"/>
  <c r="P1696" i="5"/>
  <c r="Q1696" i="5" s="1"/>
  <c r="O1695" i="5"/>
  <c r="R1695" i="5" s="1"/>
  <c r="P1695" i="5"/>
  <c r="Q1695" i="5" s="1"/>
  <c r="P1694" i="5"/>
  <c r="O1694" i="5"/>
  <c r="R1694" i="5" s="1"/>
  <c r="O1693" i="5"/>
  <c r="R1693" i="5" s="1"/>
  <c r="P1693" i="5"/>
  <c r="Q1693" i="5" s="1"/>
  <c r="P1692" i="5"/>
  <c r="O1692" i="5"/>
  <c r="R1692" i="5" s="1"/>
  <c r="P1691" i="5"/>
  <c r="O1691" i="5"/>
  <c r="R1691" i="5" s="1"/>
  <c r="P1690" i="5"/>
  <c r="O1690" i="5"/>
  <c r="R1690" i="5" s="1"/>
  <c r="P1689" i="5"/>
  <c r="O1689" i="5"/>
  <c r="R1689" i="5" s="1"/>
  <c r="P1688" i="5"/>
  <c r="O1688" i="5"/>
  <c r="R1688" i="5" s="1"/>
  <c r="P1687" i="5"/>
  <c r="O1687" i="5"/>
  <c r="R1687" i="5" s="1"/>
  <c r="P1686" i="5"/>
  <c r="O1686" i="5"/>
  <c r="R1686" i="5" s="1"/>
  <c r="O1685" i="5"/>
  <c r="R1685" i="5" s="1"/>
  <c r="P1685" i="5"/>
  <c r="Q1685" i="5" s="1"/>
  <c r="O1684" i="5"/>
  <c r="R1684" i="5" s="1"/>
  <c r="P1684" i="5"/>
  <c r="Q1684" i="5" s="1"/>
  <c r="P1683" i="5"/>
  <c r="O1683" i="5"/>
  <c r="R1683" i="5" s="1"/>
  <c r="O1682" i="5"/>
  <c r="R1682" i="5" s="1"/>
  <c r="P1682" i="5"/>
  <c r="Q1682" i="5" s="1"/>
  <c r="O1681" i="5"/>
  <c r="R1681" i="5" s="1"/>
  <c r="P1681" i="5"/>
  <c r="Q1681" i="5" s="1"/>
  <c r="O1680" i="5"/>
  <c r="R1680" i="5" s="1"/>
  <c r="P1680" i="5"/>
  <c r="Q1680" i="5" s="1"/>
  <c r="O1679" i="5"/>
  <c r="R1679" i="5" s="1"/>
  <c r="P1679" i="5"/>
  <c r="Q1679" i="5" s="1"/>
  <c r="O1678" i="5"/>
  <c r="R1678" i="5" s="1"/>
  <c r="P1678" i="5"/>
  <c r="Q1678" i="5" s="1"/>
  <c r="O1677" i="5"/>
  <c r="R1677" i="5" s="1"/>
  <c r="P1677" i="5"/>
  <c r="Q1677" i="5" s="1"/>
  <c r="P1676" i="5"/>
  <c r="O1676" i="5"/>
  <c r="R1676" i="5" s="1"/>
  <c r="P1675" i="5"/>
  <c r="O1675" i="5"/>
  <c r="R1675" i="5" s="1"/>
  <c r="P1674" i="5"/>
  <c r="O1674" i="5"/>
  <c r="R1674" i="5" s="1"/>
  <c r="O1673" i="5"/>
  <c r="R1673" i="5" s="1"/>
  <c r="P1673" i="5"/>
  <c r="Q1673" i="5" s="1"/>
  <c r="P1672" i="5"/>
  <c r="O1672" i="5"/>
  <c r="R1672" i="5" s="1"/>
  <c r="P1671" i="5"/>
  <c r="O1671" i="5"/>
  <c r="R1671" i="5" s="1"/>
  <c r="O1670" i="5"/>
  <c r="R1670" i="5" s="1"/>
  <c r="P1670" i="5"/>
  <c r="Q1670" i="5" s="1"/>
  <c r="P1669" i="5"/>
  <c r="O1669" i="5"/>
  <c r="R1669" i="5" s="1"/>
  <c r="O1668" i="5"/>
  <c r="R1668" i="5" s="1"/>
  <c r="P1668" i="5"/>
  <c r="Q1668" i="5" s="1"/>
  <c r="O1667" i="5"/>
  <c r="R1667" i="5" s="1"/>
  <c r="P1667" i="5"/>
  <c r="Q1667" i="5" s="1"/>
  <c r="O1666" i="5"/>
  <c r="R1666" i="5" s="1"/>
  <c r="P1666" i="5"/>
  <c r="Q1666" i="5" s="1"/>
  <c r="P1665" i="5"/>
  <c r="O1665" i="5"/>
  <c r="R1665" i="5" s="1"/>
  <c r="O1664" i="5"/>
  <c r="R1664" i="5" s="1"/>
  <c r="P1664" i="5"/>
  <c r="Q1664" i="5" s="1"/>
  <c r="P1663" i="5"/>
  <c r="O1663" i="5"/>
  <c r="R1663" i="5" s="1"/>
  <c r="O1662" i="5"/>
  <c r="R1662" i="5" s="1"/>
  <c r="P1662" i="5"/>
  <c r="Q1662" i="5" s="1"/>
  <c r="O1661" i="5"/>
  <c r="R1661" i="5" s="1"/>
  <c r="P1661" i="5"/>
  <c r="Q1661" i="5" s="1"/>
  <c r="O1660" i="5"/>
  <c r="R1660" i="5" s="1"/>
  <c r="P1660" i="5"/>
  <c r="Q1660" i="5" s="1"/>
  <c r="P1659" i="5"/>
  <c r="O1659" i="5"/>
  <c r="R1659" i="5" s="1"/>
  <c r="O1658" i="5"/>
  <c r="R1658" i="5" s="1"/>
  <c r="P1658" i="5"/>
  <c r="Q1658" i="5" s="1"/>
  <c r="O1657" i="5"/>
  <c r="R1657" i="5" s="1"/>
  <c r="P1657" i="5"/>
  <c r="Q1657" i="5" s="1"/>
  <c r="O1656" i="5"/>
  <c r="R1656" i="5" s="1"/>
  <c r="P1656" i="5"/>
  <c r="Q1656" i="5" s="1"/>
  <c r="O1655" i="5"/>
  <c r="R1655" i="5" s="1"/>
  <c r="P1655" i="5"/>
  <c r="Q1655" i="5" s="1"/>
  <c r="P1654" i="5"/>
  <c r="O1654" i="5"/>
  <c r="R1654" i="5" s="1"/>
  <c r="P1653" i="5"/>
  <c r="O1653" i="5"/>
  <c r="R1653" i="5" s="1"/>
  <c r="P1652" i="5"/>
  <c r="O1652" i="5"/>
  <c r="R1652" i="5" s="1"/>
  <c r="P1651" i="5"/>
  <c r="O1651" i="5"/>
  <c r="R1651" i="5" s="1"/>
  <c r="P1650" i="5"/>
  <c r="O1650" i="5"/>
  <c r="R1650" i="5" s="1"/>
  <c r="P1649" i="5"/>
  <c r="O1649" i="5"/>
  <c r="R1649" i="5" s="1"/>
  <c r="O1648" i="5"/>
  <c r="R1648" i="5" s="1"/>
  <c r="P1648" i="5"/>
  <c r="Q1648" i="5" s="1"/>
  <c r="P1647" i="5"/>
  <c r="O1647" i="5"/>
  <c r="R1647" i="5" s="1"/>
  <c r="P1646" i="5"/>
  <c r="O1646" i="5"/>
  <c r="R1646" i="5" s="1"/>
  <c r="P1645" i="5"/>
  <c r="O1645" i="5"/>
  <c r="R1645" i="5" s="1"/>
  <c r="O1644" i="5"/>
  <c r="R1644" i="5" s="1"/>
  <c r="P1644" i="5"/>
  <c r="Q1644" i="5" s="1"/>
  <c r="P1643" i="5"/>
  <c r="O1643" i="5"/>
  <c r="R1643" i="5" s="1"/>
  <c r="P1642" i="5"/>
  <c r="O1642" i="5"/>
  <c r="R1642" i="5" s="1"/>
  <c r="O1641" i="5"/>
  <c r="R1641" i="5" s="1"/>
  <c r="P1641" i="5"/>
  <c r="Q1641" i="5" s="1"/>
  <c r="P1640" i="5"/>
  <c r="O1640" i="5"/>
  <c r="R1640" i="5" s="1"/>
  <c r="P1639" i="5"/>
  <c r="O1639" i="5"/>
  <c r="R1639" i="5" s="1"/>
  <c r="P1638" i="5"/>
  <c r="O1638" i="5"/>
  <c r="R1638" i="5" s="1"/>
  <c r="P1637" i="5"/>
  <c r="O1637" i="5"/>
  <c r="R1637" i="5" s="1"/>
  <c r="P1636" i="5"/>
  <c r="O1636" i="5"/>
  <c r="R1636" i="5" s="1"/>
  <c r="P1635" i="5"/>
  <c r="O1635" i="5"/>
  <c r="R1635" i="5" s="1"/>
  <c r="P1634" i="5"/>
  <c r="O1634" i="5"/>
  <c r="R1634" i="5" s="1"/>
  <c r="P1633" i="5"/>
  <c r="O1633" i="5"/>
  <c r="R1633" i="5" s="1"/>
  <c r="O1632" i="5"/>
  <c r="R1632" i="5" s="1"/>
  <c r="P1632" i="5"/>
  <c r="Q1632" i="5" s="1"/>
  <c r="O1631" i="5"/>
  <c r="R1631" i="5" s="1"/>
  <c r="P1631" i="5"/>
  <c r="Q1631" i="5" s="1"/>
  <c r="O1630" i="5"/>
  <c r="R1630" i="5" s="1"/>
  <c r="P1630" i="5"/>
  <c r="Q1630" i="5" s="1"/>
  <c r="P1629" i="5"/>
  <c r="O1629" i="5"/>
  <c r="R1629" i="5" s="1"/>
  <c r="O1628" i="5"/>
  <c r="R1628" i="5" s="1"/>
  <c r="P1628" i="5"/>
  <c r="Q1628" i="5" s="1"/>
  <c r="P1627" i="5"/>
  <c r="O1627" i="5"/>
  <c r="R1627" i="5" s="1"/>
  <c r="O1626" i="5"/>
  <c r="R1626" i="5" s="1"/>
  <c r="P1626" i="5"/>
  <c r="Q1626" i="5" s="1"/>
  <c r="P1625" i="5"/>
  <c r="O1625" i="5"/>
  <c r="R1625" i="5" s="1"/>
  <c r="P1624" i="5"/>
  <c r="O1624" i="5"/>
  <c r="R1624" i="5" s="1"/>
  <c r="P1623" i="5"/>
  <c r="O1623" i="5"/>
  <c r="R1623" i="5" s="1"/>
  <c r="P1622" i="5"/>
  <c r="O1622" i="5"/>
  <c r="R1622" i="5" s="1"/>
  <c r="P1621" i="5"/>
  <c r="O1621" i="5"/>
  <c r="R1621" i="5" s="1"/>
  <c r="P1620" i="5"/>
  <c r="O1620" i="5"/>
  <c r="R1620" i="5" s="1"/>
  <c r="O1619" i="5"/>
  <c r="R1619" i="5" s="1"/>
  <c r="P1619" i="5"/>
  <c r="Q1619" i="5" s="1"/>
  <c r="O1618" i="5"/>
  <c r="R1618" i="5" s="1"/>
  <c r="P1618" i="5"/>
  <c r="Q1618" i="5" s="1"/>
  <c r="P1617" i="5"/>
  <c r="O1617" i="5"/>
  <c r="R1617" i="5" s="1"/>
  <c r="P1616" i="5"/>
  <c r="O1616" i="5"/>
  <c r="R1616" i="5" s="1"/>
  <c r="P1615" i="5"/>
  <c r="O1615" i="5"/>
  <c r="R1615" i="5" s="1"/>
  <c r="P1614" i="5"/>
  <c r="O1614" i="5"/>
  <c r="R1614" i="5" s="1"/>
  <c r="P1613" i="5"/>
  <c r="O1613" i="5"/>
  <c r="R1613" i="5" s="1"/>
  <c r="P1612" i="5"/>
  <c r="O1612" i="5"/>
  <c r="R1612" i="5" s="1"/>
  <c r="P1611" i="5"/>
  <c r="O1611" i="5"/>
  <c r="R1611" i="5" s="1"/>
  <c r="P1610" i="5"/>
  <c r="O1610" i="5"/>
  <c r="R1610" i="5" s="1"/>
  <c r="P1609" i="5"/>
  <c r="O1609" i="5"/>
  <c r="R1609" i="5" s="1"/>
  <c r="P1608" i="5"/>
  <c r="O1608" i="5"/>
  <c r="R1608" i="5" s="1"/>
  <c r="O1607" i="5"/>
  <c r="R1607" i="5" s="1"/>
  <c r="P1607" i="5"/>
  <c r="Q1607" i="5" s="1"/>
  <c r="O1606" i="5"/>
  <c r="R1606" i="5" s="1"/>
  <c r="P1606" i="5"/>
  <c r="Q1606" i="5" s="1"/>
  <c r="P1605" i="5"/>
  <c r="O1605" i="5"/>
  <c r="R1605" i="5" s="1"/>
  <c r="O1604" i="5"/>
  <c r="R1604" i="5" s="1"/>
  <c r="P1604" i="5"/>
  <c r="Q1604" i="5" s="1"/>
  <c r="P1603" i="5"/>
  <c r="O1603" i="5"/>
  <c r="R1603" i="5" s="1"/>
  <c r="P1602" i="5"/>
  <c r="O1602" i="5"/>
  <c r="R1602" i="5" s="1"/>
  <c r="O1601" i="5"/>
  <c r="R1601" i="5" s="1"/>
  <c r="P1601" i="5"/>
  <c r="Q1601" i="5" s="1"/>
  <c r="P1600" i="5"/>
  <c r="O1600" i="5"/>
  <c r="R1600" i="5" s="1"/>
  <c r="O1599" i="5"/>
  <c r="R1599" i="5" s="1"/>
  <c r="P1599" i="5"/>
  <c r="Q1599" i="5" s="1"/>
  <c r="P1598" i="5"/>
  <c r="O1598" i="5"/>
  <c r="R1598" i="5" s="1"/>
  <c r="P1597" i="5"/>
  <c r="O1597" i="5"/>
  <c r="R1597" i="5" s="1"/>
  <c r="P1596" i="5"/>
  <c r="O1596" i="5"/>
  <c r="R1596" i="5" s="1"/>
  <c r="P1595" i="5"/>
  <c r="O1595" i="5"/>
  <c r="R1595" i="5" s="1"/>
  <c r="P1594" i="5"/>
  <c r="O1594" i="5"/>
  <c r="R1594" i="5" s="1"/>
  <c r="O1593" i="5"/>
  <c r="R1593" i="5" s="1"/>
  <c r="P1593" i="5"/>
  <c r="Q1593" i="5" s="1"/>
  <c r="O1592" i="5"/>
  <c r="R1592" i="5" s="1"/>
  <c r="P1592" i="5"/>
  <c r="Q1592" i="5" s="1"/>
  <c r="O1591" i="5"/>
  <c r="R1591" i="5" s="1"/>
  <c r="P1591" i="5"/>
  <c r="Q1591" i="5" s="1"/>
  <c r="O1590" i="5"/>
  <c r="R1590" i="5" s="1"/>
  <c r="P1590" i="5"/>
  <c r="Q1590" i="5" s="1"/>
  <c r="P1589" i="5"/>
  <c r="O1589" i="5"/>
  <c r="R1589" i="5" s="1"/>
  <c r="P1588" i="5"/>
  <c r="O1588" i="5"/>
  <c r="R1588" i="5" s="1"/>
  <c r="O1587" i="5"/>
  <c r="R1587" i="5" s="1"/>
  <c r="P1587" i="5"/>
  <c r="Q1587" i="5" s="1"/>
  <c r="P1586" i="5"/>
  <c r="O1586" i="5"/>
  <c r="R1586" i="5" s="1"/>
  <c r="P1585" i="5"/>
  <c r="O1585" i="5"/>
  <c r="R1585" i="5" s="1"/>
  <c r="O1584" i="5"/>
  <c r="R1584" i="5" s="1"/>
  <c r="P1584" i="5"/>
  <c r="Q1584" i="5" s="1"/>
  <c r="O1583" i="5"/>
  <c r="R1583" i="5" s="1"/>
  <c r="P1583" i="5"/>
  <c r="Q1583" i="5" s="1"/>
  <c r="P1582" i="5"/>
  <c r="O1582" i="5"/>
  <c r="R1582" i="5" s="1"/>
  <c r="O1581" i="5"/>
  <c r="R1581" i="5" s="1"/>
  <c r="P1581" i="5"/>
  <c r="Q1581" i="5" s="1"/>
  <c r="P1580" i="5"/>
  <c r="O1580" i="5"/>
  <c r="R1580" i="5" s="1"/>
  <c r="P1579" i="5"/>
  <c r="O1579" i="5"/>
  <c r="R1579" i="5" s="1"/>
  <c r="P1578" i="5"/>
  <c r="O1578" i="5"/>
  <c r="R1578" i="5" s="1"/>
  <c r="O1577" i="5"/>
  <c r="R1577" i="5" s="1"/>
  <c r="P1577" i="5"/>
  <c r="Q1577" i="5" s="1"/>
  <c r="P1576" i="5"/>
  <c r="O1576" i="5"/>
  <c r="R1576" i="5" s="1"/>
  <c r="O1575" i="5"/>
  <c r="R1575" i="5" s="1"/>
  <c r="P1575" i="5"/>
  <c r="Q1575" i="5" s="1"/>
  <c r="P1574" i="5"/>
  <c r="O1574" i="5"/>
  <c r="R1574" i="5" s="1"/>
  <c r="P1573" i="5"/>
  <c r="O1573" i="5"/>
  <c r="R1573" i="5" s="1"/>
  <c r="P1572" i="5"/>
  <c r="O1572" i="5"/>
  <c r="R1572" i="5" s="1"/>
  <c r="O1571" i="5"/>
  <c r="R1571" i="5" s="1"/>
  <c r="P1571" i="5"/>
  <c r="Q1571" i="5" s="1"/>
  <c r="P1570" i="5"/>
  <c r="O1570" i="5"/>
  <c r="R1570" i="5" s="1"/>
  <c r="O1569" i="5"/>
  <c r="R1569" i="5" s="1"/>
  <c r="P1569" i="5"/>
  <c r="Q1569" i="5" s="1"/>
  <c r="O1568" i="5"/>
  <c r="R1568" i="5" s="1"/>
  <c r="P1568" i="5"/>
  <c r="Q1568" i="5" s="1"/>
  <c r="O1567" i="5"/>
  <c r="R1567" i="5" s="1"/>
  <c r="P1567" i="5"/>
  <c r="Q1567" i="5" s="1"/>
  <c r="O1566" i="5"/>
  <c r="R1566" i="5" s="1"/>
  <c r="P1566" i="5"/>
  <c r="Q1566" i="5" s="1"/>
  <c r="O1565" i="5"/>
  <c r="R1565" i="5" s="1"/>
  <c r="P1565" i="5"/>
  <c r="Q1565" i="5" s="1"/>
  <c r="O1564" i="5"/>
  <c r="R1564" i="5" s="1"/>
  <c r="P1564" i="5"/>
  <c r="Q1564" i="5" s="1"/>
  <c r="O1563" i="5"/>
  <c r="R1563" i="5" s="1"/>
  <c r="P1563" i="5"/>
  <c r="Q1563" i="5" s="1"/>
  <c r="P1562" i="5"/>
  <c r="O1562" i="5"/>
  <c r="R1562" i="5" s="1"/>
  <c r="O1561" i="5"/>
  <c r="R1561" i="5" s="1"/>
  <c r="P1561" i="5"/>
  <c r="Q1561" i="5" s="1"/>
  <c r="O1560" i="5"/>
  <c r="R1560" i="5" s="1"/>
  <c r="P1560" i="5"/>
  <c r="Q1560" i="5" s="1"/>
  <c r="P1559" i="5"/>
  <c r="O1559" i="5"/>
  <c r="R1559" i="5" s="1"/>
  <c r="P1558" i="5"/>
  <c r="O1558" i="5"/>
  <c r="R1558" i="5" s="1"/>
  <c r="O1557" i="5"/>
  <c r="R1557" i="5" s="1"/>
  <c r="P1557" i="5"/>
  <c r="Q1557" i="5" s="1"/>
  <c r="O1556" i="5"/>
  <c r="R1556" i="5" s="1"/>
  <c r="P1556" i="5"/>
  <c r="Q1556" i="5" s="1"/>
  <c r="O1555" i="5"/>
  <c r="R1555" i="5" s="1"/>
  <c r="P1555" i="5"/>
  <c r="Q1555" i="5" s="1"/>
  <c r="O1554" i="5"/>
  <c r="R1554" i="5" s="1"/>
  <c r="P1554" i="5"/>
  <c r="Q1554" i="5" s="1"/>
  <c r="O1553" i="5"/>
  <c r="R1553" i="5" s="1"/>
  <c r="P1553" i="5"/>
  <c r="Q1553" i="5" s="1"/>
  <c r="P1552" i="5"/>
  <c r="O1552" i="5"/>
  <c r="R1552" i="5" s="1"/>
  <c r="P1551" i="5"/>
  <c r="O1551" i="5"/>
  <c r="R1551" i="5" s="1"/>
  <c r="P1550" i="5"/>
  <c r="O1550" i="5"/>
  <c r="R1550" i="5" s="1"/>
  <c r="O1549" i="5"/>
  <c r="R1549" i="5" s="1"/>
  <c r="P1549" i="5"/>
  <c r="Q1549" i="5" s="1"/>
  <c r="P1548" i="5"/>
  <c r="O1548" i="5"/>
  <c r="R1548" i="5" s="1"/>
  <c r="P1547" i="5"/>
  <c r="O1547" i="5"/>
  <c r="R1547" i="5" s="1"/>
  <c r="O1546" i="5"/>
  <c r="R1546" i="5" s="1"/>
  <c r="P1546" i="5"/>
  <c r="Q1546" i="5" s="1"/>
  <c r="P1545" i="5"/>
  <c r="O1545" i="5"/>
  <c r="R1545" i="5" s="1"/>
  <c r="P1544" i="5"/>
  <c r="O1544" i="5"/>
  <c r="R1544" i="5" s="1"/>
  <c r="O1543" i="5"/>
  <c r="R1543" i="5" s="1"/>
  <c r="P1543" i="5"/>
  <c r="Q1543" i="5" s="1"/>
  <c r="O1542" i="5"/>
  <c r="R1542" i="5" s="1"/>
  <c r="P1542" i="5"/>
  <c r="Q1542" i="5" s="1"/>
  <c r="P1541" i="5"/>
  <c r="O1541" i="5"/>
  <c r="R1541" i="5" s="1"/>
  <c r="P1540" i="5"/>
  <c r="O1540" i="5"/>
  <c r="R1540" i="5" s="1"/>
  <c r="P1539" i="5"/>
  <c r="O1539" i="5"/>
  <c r="R1539" i="5" s="1"/>
  <c r="O1538" i="5"/>
  <c r="R1538" i="5" s="1"/>
  <c r="P1538" i="5"/>
  <c r="Q1538" i="5" s="1"/>
  <c r="O1537" i="5"/>
  <c r="R1537" i="5" s="1"/>
  <c r="P1537" i="5"/>
  <c r="Q1537" i="5" s="1"/>
  <c r="P1536" i="5"/>
  <c r="O1536" i="5"/>
  <c r="R1536" i="5" s="1"/>
  <c r="O1535" i="5"/>
  <c r="R1535" i="5" s="1"/>
  <c r="P1535" i="5"/>
  <c r="Q1535" i="5" s="1"/>
  <c r="P1534" i="5"/>
  <c r="O1534" i="5"/>
  <c r="R1534" i="5" s="1"/>
  <c r="O1533" i="5"/>
  <c r="R1533" i="5" s="1"/>
  <c r="P1533" i="5"/>
  <c r="Q1533" i="5" s="1"/>
  <c r="P1532" i="5"/>
  <c r="O1532" i="5"/>
  <c r="R1532" i="5" s="1"/>
  <c r="P1531" i="5"/>
  <c r="O1531" i="5"/>
  <c r="R1531" i="5" s="1"/>
  <c r="O1530" i="5"/>
  <c r="R1530" i="5" s="1"/>
  <c r="P1530" i="5"/>
  <c r="Q1530" i="5" s="1"/>
  <c r="P1529" i="5"/>
  <c r="O1529" i="5"/>
  <c r="R1529" i="5" s="1"/>
  <c r="O1528" i="5"/>
  <c r="R1528" i="5" s="1"/>
  <c r="P1528" i="5"/>
  <c r="Q1528" i="5" s="1"/>
  <c r="O1527" i="5"/>
  <c r="R1527" i="5" s="1"/>
  <c r="P1527" i="5"/>
  <c r="Q1527" i="5" s="1"/>
  <c r="P1526" i="5"/>
  <c r="O1526" i="5"/>
  <c r="R1526" i="5" s="1"/>
  <c r="O1525" i="5"/>
  <c r="R1525" i="5" s="1"/>
  <c r="P1525" i="5"/>
  <c r="Q1525" i="5" s="1"/>
  <c r="P1524" i="5"/>
  <c r="O1524" i="5"/>
  <c r="R1524" i="5" s="1"/>
  <c r="O1523" i="5"/>
  <c r="R1523" i="5" s="1"/>
  <c r="P1523" i="5"/>
  <c r="Q1523" i="5" s="1"/>
  <c r="P1522" i="5"/>
  <c r="O1522" i="5"/>
  <c r="R1522" i="5" s="1"/>
  <c r="P1521" i="5"/>
  <c r="O1521" i="5"/>
  <c r="R1521" i="5" s="1"/>
  <c r="P1520" i="5"/>
  <c r="O1520" i="5"/>
  <c r="R1520" i="5" s="1"/>
  <c r="O1519" i="5"/>
  <c r="R1519" i="5" s="1"/>
  <c r="P1519" i="5"/>
  <c r="Q1519" i="5" s="1"/>
  <c r="P1518" i="5"/>
  <c r="O1518" i="5"/>
  <c r="R1518" i="5" s="1"/>
  <c r="P1517" i="5"/>
  <c r="O1517" i="5"/>
  <c r="R1517" i="5" s="1"/>
  <c r="O1516" i="5"/>
  <c r="R1516" i="5" s="1"/>
  <c r="P1516" i="5"/>
  <c r="Q1516" i="5" s="1"/>
  <c r="O1515" i="5"/>
  <c r="R1515" i="5" s="1"/>
  <c r="P1515" i="5"/>
  <c r="Q1515" i="5" s="1"/>
  <c r="O1514" i="5"/>
  <c r="R1514" i="5" s="1"/>
  <c r="P1514" i="5"/>
  <c r="Q1514" i="5" s="1"/>
  <c r="P1513" i="5"/>
  <c r="O1513" i="5"/>
  <c r="R1513" i="5" s="1"/>
  <c r="P1512" i="5"/>
  <c r="O1512" i="5"/>
  <c r="R1512" i="5" s="1"/>
  <c r="O1511" i="5"/>
  <c r="R1511" i="5" s="1"/>
  <c r="P1511" i="5"/>
  <c r="Q1511" i="5" s="1"/>
  <c r="O1510" i="5"/>
  <c r="R1510" i="5" s="1"/>
  <c r="P1510" i="5"/>
  <c r="Q1510" i="5" s="1"/>
  <c r="O1509" i="5"/>
  <c r="R1509" i="5" s="1"/>
  <c r="P1509" i="5"/>
  <c r="Q1509" i="5" s="1"/>
  <c r="P1508" i="5"/>
  <c r="O1508" i="5"/>
  <c r="R1508" i="5" s="1"/>
  <c r="O1507" i="5"/>
  <c r="R1507" i="5" s="1"/>
  <c r="P1507" i="5"/>
  <c r="Q1507" i="5" s="1"/>
  <c r="O1506" i="5"/>
  <c r="R1506" i="5" s="1"/>
  <c r="P1506" i="5"/>
  <c r="Q1506" i="5" s="1"/>
  <c r="O1505" i="5"/>
  <c r="R1505" i="5" s="1"/>
  <c r="P1505" i="5"/>
  <c r="Q1505" i="5" s="1"/>
  <c r="P1504" i="5"/>
  <c r="O1504" i="5"/>
  <c r="R1504" i="5" s="1"/>
  <c r="O1503" i="5"/>
  <c r="R1503" i="5" s="1"/>
  <c r="P1503" i="5"/>
  <c r="Q1503" i="5" s="1"/>
  <c r="P1502" i="5"/>
  <c r="O1502" i="5"/>
  <c r="R1502" i="5" s="1"/>
  <c r="O1501" i="5"/>
  <c r="R1501" i="5" s="1"/>
  <c r="P1501" i="5"/>
  <c r="Q1501" i="5" s="1"/>
  <c r="P1500" i="5"/>
  <c r="O1500" i="5"/>
  <c r="R1500" i="5" s="1"/>
  <c r="O1499" i="5"/>
  <c r="R1499" i="5" s="1"/>
  <c r="P1499" i="5"/>
  <c r="Q1499" i="5" s="1"/>
  <c r="P1498" i="5"/>
  <c r="O1498" i="5"/>
  <c r="R1498" i="5" s="1"/>
  <c r="P1497" i="5"/>
  <c r="O1497" i="5"/>
  <c r="R1497" i="5" s="1"/>
  <c r="P1496" i="5"/>
  <c r="O1496" i="5"/>
  <c r="R1496" i="5" s="1"/>
  <c r="O1495" i="5"/>
  <c r="R1495" i="5" s="1"/>
  <c r="P1495" i="5"/>
  <c r="Q1495" i="5" s="1"/>
  <c r="O1494" i="5"/>
  <c r="R1494" i="5" s="1"/>
  <c r="P1494" i="5"/>
  <c r="Q1494" i="5" s="1"/>
  <c r="O1493" i="5"/>
  <c r="R1493" i="5" s="1"/>
  <c r="P1493" i="5"/>
  <c r="Q1493" i="5" s="1"/>
  <c r="O1492" i="5"/>
  <c r="R1492" i="5" s="1"/>
  <c r="P1492" i="5"/>
  <c r="Q1492" i="5" s="1"/>
  <c r="P1491" i="5"/>
  <c r="O1491" i="5"/>
  <c r="R1491" i="5" s="1"/>
  <c r="O1490" i="5"/>
  <c r="R1490" i="5" s="1"/>
  <c r="P1490" i="5"/>
  <c r="Q1490" i="5" s="1"/>
  <c r="O1489" i="5"/>
  <c r="R1489" i="5" s="1"/>
  <c r="P1489" i="5"/>
  <c r="Q1489" i="5" s="1"/>
  <c r="P1488" i="5"/>
  <c r="O1488" i="5"/>
  <c r="R1488" i="5" s="1"/>
  <c r="P1487" i="5"/>
  <c r="O1487" i="5"/>
  <c r="R1487" i="5" s="1"/>
  <c r="P1486" i="5"/>
  <c r="O1486" i="5"/>
  <c r="R1486" i="5" s="1"/>
  <c r="P1485" i="5"/>
  <c r="O1485" i="5"/>
  <c r="R1485" i="5" s="1"/>
  <c r="P1484" i="5"/>
  <c r="O1484" i="5"/>
  <c r="R1484" i="5" s="1"/>
  <c r="P1483" i="5"/>
  <c r="O1483" i="5"/>
  <c r="R1483" i="5" s="1"/>
  <c r="O1482" i="5"/>
  <c r="R1482" i="5" s="1"/>
  <c r="P1482" i="5"/>
  <c r="Q1482" i="5" s="1"/>
  <c r="O1481" i="5"/>
  <c r="R1481" i="5" s="1"/>
  <c r="P1481" i="5"/>
  <c r="Q1481" i="5" s="1"/>
  <c r="P1480" i="5"/>
  <c r="O1480" i="5"/>
  <c r="R1480" i="5" s="1"/>
  <c r="O1479" i="5"/>
  <c r="R1479" i="5" s="1"/>
  <c r="P1479" i="5"/>
  <c r="Q1479" i="5" s="1"/>
  <c r="O1478" i="5"/>
  <c r="R1478" i="5" s="1"/>
  <c r="P1478" i="5"/>
  <c r="Q1478" i="5" s="1"/>
  <c r="O1477" i="5"/>
  <c r="R1477" i="5" s="1"/>
  <c r="P1477" i="5"/>
  <c r="Q1477" i="5" s="1"/>
  <c r="O1476" i="5"/>
  <c r="R1476" i="5" s="1"/>
  <c r="P1476" i="5"/>
  <c r="Q1476" i="5" s="1"/>
  <c r="P1475" i="5"/>
  <c r="O1475" i="5"/>
  <c r="R1475" i="5" s="1"/>
  <c r="O1474" i="5"/>
  <c r="R1474" i="5" s="1"/>
  <c r="P1474" i="5"/>
  <c r="Q1474" i="5" s="1"/>
  <c r="P1473" i="5"/>
  <c r="O1473" i="5"/>
  <c r="R1473" i="5" s="1"/>
  <c r="O1472" i="5"/>
  <c r="R1472" i="5" s="1"/>
  <c r="P1472" i="5"/>
  <c r="Q1472" i="5" s="1"/>
  <c r="P1471" i="5"/>
  <c r="O1471" i="5"/>
  <c r="R1471" i="5" s="1"/>
  <c r="P1470" i="5"/>
  <c r="O1470" i="5"/>
  <c r="R1470" i="5" s="1"/>
  <c r="P1469" i="5"/>
  <c r="O1469" i="5"/>
  <c r="R1469" i="5" s="1"/>
  <c r="P1468" i="5"/>
  <c r="O1468" i="5"/>
  <c r="R1468" i="5" s="1"/>
  <c r="P1467" i="5"/>
  <c r="O1467" i="5"/>
  <c r="R1467" i="5" s="1"/>
  <c r="P1466" i="5"/>
  <c r="O1466" i="5"/>
  <c r="R1466" i="5" s="1"/>
  <c r="P1465" i="5"/>
  <c r="O1465" i="5"/>
  <c r="R1465" i="5" s="1"/>
  <c r="P1464" i="5"/>
  <c r="O1464" i="5"/>
  <c r="R1464" i="5" s="1"/>
  <c r="O1463" i="5"/>
  <c r="R1463" i="5" s="1"/>
  <c r="P1463" i="5"/>
  <c r="Q1463" i="5" s="1"/>
  <c r="P1462" i="5"/>
  <c r="O1462" i="5"/>
  <c r="R1462" i="5" s="1"/>
  <c r="O1461" i="5"/>
  <c r="R1461" i="5" s="1"/>
  <c r="P1461" i="5"/>
  <c r="Q1461" i="5" s="1"/>
  <c r="P1460" i="5"/>
  <c r="O1460" i="5"/>
  <c r="R1460" i="5" s="1"/>
  <c r="O1459" i="5"/>
  <c r="R1459" i="5" s="1"/>
  <c r="P1459" i="5"/>
  <c r="Q1459" i="5" s="1"/>
  <c r="O1458" i="5"/>
  <c r="R1458" i="5" s="1"/>
  <c r="P1458" i="5"/>
  <c r="Q1458" i="5" s="1"/>
  <c r="O1457" i="5"/>
  <c r="R1457" i="5" s="1"/>
  <c r="P1457" i="5"/>
  <c r="Q1457" i="5" s="1"/>
  <c r="P1456" i="5"/>
  <c r="O1456" i="5"/>
  <c r="R1456" i="5" s="1"/>
  <c r="P1455" i="5"/>
  <c r="O1455" i="5"/>
  <c r="R1455" i="5" s="1"/>
  <c r="O1454" i="5"/>
  <c r="R1454" i="5" s="1"/>
  <c r="P1454" i="5"/>
  <c r="Q1454" i="5" s="1"/>
  <c r="O1453" i="5"/>
  <c r="R1453" i="5" s="1"/>
  <c r="P1453" i="5"/>
  <c r="Q1453" i="5" s="1"/>
  <c r="O1452" i="5"/>
  <c r="R1452" i="5" s="1"/>
  <c r="P1452" i="5"/>
  <c r="Q1452" i="5" s="1"/>
  <c r="O1451" i="5"/>
  <c r="R1451" i="5" s="1"/>
  <c r="P1451" i="5"/>
  <c r="Q1451" i="5" s="1"/>
  <c r="P1450" i="5"/>
  <c r="O1450" i="5"/>
  <c r="R1450" i="5" s="1"/>
  <c r="O1449" i="5"/>
  <c r="R1449" i="5" s="1"/>
  <c r="P1449" i="5"/>
  <c r="Q1449" i="5" s="1"/>
  <c r="O1448" i="5"/>
  <c r="R1448" i="5" s="1"/>
  <c r="P1448" i="5"/>
  <c r="Q1448" i="5" s="1"/>
  <c r="P1447" i="5"/>
  <c r="O1447" i="5"/>
  <c r="R1447" i="5" s="1"/>
  <c r="O1446" i="5"/>
  <c r="R1446" i="5" s="1"/>
  <c r="P1446" i="5"/>
  <c r="Q1446" i="5" s="1"/>
  <c r="O1445" i="5"/>
  <c r="R1445" i="5" s="1"/>
  <c r="P1445" i="5"/>
  <c r="Q1445" i="5" s="1"/>
  <c r="P1444" i="5"/>
  <c r="O1444" i="5"/>
  <c r="R1444" i="5" s="1"/>
  <c r="P1443" i="5"/>
  <c r="O1443" i="5"/>
  <c r="R1443" i="5" s="1"/>
  <c r="P1442" i="5"/>
  <c r="O1442" i="5"/>
  <c r="R1442" i="5" s="1"/>
  <c r="P1441" i="5"/>
  <c r="O1441" i="5"/>
  <c r="R1441" i="5" s="1"/>
  <c r="O1440" i="5"/>
  <c r="R1440" i="5" s="1"/>
  <c r="P1440" i="5"/>
  <c r="Q1440" i="5" s="1"/>
  <c r="O1439" i="5"/>
  <c r="R1439" i="5" s="1"/>
  <c r="P1439" i="5"/>
  <c r="Q1439" i="5" s="1"/>
  <c r="P1438" i="5"/>
  <c r="O1438" i="5"/>
  <c r="R1438" i="5" s="1"/>
  <c r="O1437" i="5"/>
  <c r="R1437" i="5" s="1"/>
  <c r="P1437" i="5"/>
  <c r="Q1437" i="5" s="1"/>
  <c r="P1436" i="5"/>
  <c r="O1436" i="5"/>
  <c r="R1436" i="5" s="1"/>
  <c r="O1435" i="5"/>
  <c r="R1435" i="5" s="1"/>
  <c r="P1435" i="5"/>
  <c r="Q1435" i="5" s="1"/>
  <c r="O1434" i="5"/>
  <c r="R1434" i="5" s="1"/>
  <c r="P1434" i="5"/>
  <c r="Q1434" i="5" s="1"/>
  <c r="P1433" i="5"/>
  <c r="O1433" i="5"/>
  <c r="R1433" i="5" s="1"/>
  <c r="P1432" i="5"/>
  <c r="O1432" i="5"/>
  <c r="R1432" i="5" s="1"/>
  <c r="P1431" i="5"/>
  <c r="O1431" i="5"/>
  <c r="R1431" i="5" s="1"/>
  <c r="P1430" i="5"/>
  <c r="O1430" i="5"/>
  <c r="R1430" i="5" s="1"/>
  <c r="P1429" i="5"/>
  <c r="O1429" i="5"/>
  <c r="R1429" i="5" s="1"/>
  <c r="P1428" i="5"/>
  <c r="O1428" i="5"/>
  <c r="R1428" i="5" s="1"/>
  <c r="O1427" i="5"/>
  <c r="R1427" i="5" s="1"/>
  <c r="P1427" i="5"/>
  <c r="Q1427" i="5" s="1"/>
  <c r="P1426" i="5"/>
  <c r="O1426" i="5"/>
  <c r="R1426" i="5" s="1"/>
  <c r="P1425" i="5"/>
  <c r="O1425" i="5"/>
  <c r="R1425" i="5" s="1"/>
  <c r="O1424" i="5"/>
  <c r="R1424" i="5" s="1"/>
  <c r="P1424" i="5"/>
  <c r="Q1424" i="5" s="1"/>
  <c r="P1423" i="5"/>
  <c r="O1423" i="5"/>
  <c r="R1423" i="5" s="1"/>
  <c r="O1422" i="5"/>
  <c r="R1422" i="5" s="1"/>
  <c r="P1422" i="5"/>
  <c r="Q1422" i="5" s="1"/>
  <c r="P1421" i="5"/>
  <c r="O1421" i="5"/>
  <c r="R1421" i="5" s="1"/>
  <c r="P1420" i="5"/>
  <c r="O1420" i="5"/>
  <c r="R1420" i="5" s="1"/>
  <c r="P1419" i="5"/>
  <c r="O1419" i="5"/>
  <c r="R1419" i="5" s="1"/>
  <c r="P1418" i="5"/>
  <c r="O1418" i="5"/>
  <c r="R1418" i="5" s="1"/>
  <c r="O1417" i="5"/>
  <c r="R1417" i="5" s="1"/>
  <c r="P1417" i="5"/>
  <c r="Q1417" i="5" s="1"/>
  <c r="O1416" i="5"/>
  <c r="R1416" i="5" s="1"/>
  <c r="P1416" i="5"/>
  <c r="Q1416" i="5" s="1"/>
  <c r="P1415" i="5"/>
  <c r="O1415" i="5"/>
  <c r="R1415" i="5" s="1"/>
  <c r="P1414" i="5"/>
  <c r="O1414" i="5"/>
  <c r="R1414" i="5" s="1"/>
  <c r="P1413" i="5"/>
  <c r="O1413" i="5"/>
  <c r="R1413" i="5" s="1"/>
  <c r="P1412" i="5"/>
  <c r="O1412" i="5"/>
  <c r="R1412" i="5" s="1"/>
  <c r="P1411" i="5"/>
  <c r="O1411" i="5"/>
  <c r="R1411" i="5" s="1"/>
  <c r="P1410" i="5"/>
  <c r="O1410" i="5"/>
  <c r="R1410" i="5" s="1"/>
  <c r="O1409" i="5"/>
  <c r="R1409" i="5" s="1"/>
  <c r="P1409" i="5"/>
  <c r="Q1409" i="5" s="1"/>
  <c r="P1408" i="5"/>
  <c r="O1408" i="5"/>
  <c r="R1408" i="5" s="1"/>
  <c r="O1407" i="5"/>
  <c r="R1407" i="5" s="1"/>
  <c r="P1407" i="5"/>
  <c r="Q1407" i="5" s="1"/>
  <c r="O1406" i="5"/>
  <c r="R1406" i="5" s="1"/>
  <c r="P1406" i="5"/>
  <c r="Q1406" i="5" s="1"/>
  <c r="P1405" i="5"/>
  <c r="O1405" i="5"/>
  <c r="R1405" i="5" s="1"/>
  <c r="O1404" i="5"/>
  <c r="R1404" i="5" s="1"/>
  <c r="P1404" i="5"/>
  <c r="Q1404" i="5" s="1"/>
  <c r="P1403" i="5"/>
  <c r="O1403" i="5"/>
  <c r="R1403" i="5" s="1"/>
  <c r="P1402" i="5"/>
  <c r="O1402" i="5"/>
  <c r="R1402" i="5" s="1"/>
  <c r="O1401" i="5"/>
  <c r="R1401" i="5" s="1"/>
  <c r="P1401" i="5"/>
  <c r="Q1401" i="5" s="1"/>
  <c r="O1400" i="5"/>
  <c r="R1400" i="5" s="1"/>
  <c r="P1400" i="5"/>
  <c r="Q1400" i="5" s="1"/>
  <c r="P1399" i="5"/>
  <c r="O1399" i="5"/>
  <c r="R1399" i="5" s="1"/>
  <c r="P1398" i="5"/>
  <c r="O1398" i="5"/>
  <c r="R1398" i="5" s="1"/>
  <c r="P1397" i="5"/>
  <c r="O1397" i="5"/>
  <c r="R1397" i="5" s="1"/>
  <c r="P1396" i="5"/>
  <c r="O1396" i="5"/>
  <c r="R1396" i="5" s="1"/>
  <c r="P1395" i="5"/>
  <c r="O1395" i="5"/>
  <c r="R1395" i="5" s="1"/>
  <c r="P1394" i="5"/>
  <c r="O1394" i="5"/>
  <c r="R1394" i="5" s="1"/>
  <c r="P1393" i="5"/>
  <c r="O1393" i="5"/>
  <c r="R1393" i="5" s="1"/>
  <c r="O1392" i="5"/>
  <c r="R1392" i="5" s="1"/>
  <c r="P1392" i="5"/>
  <c r="Q1392" i="5" s="1"/>
  <c r="O1391" i="5"/>
  <c r="R1391" i="5" s="1"/>
  <c r="P1391" i="5"/>
  <c r="Q1391" i="5" s="1"/>
  <c r="O1390" i="5"/>
  <c r="R1390" i="5" s="1"/>
  <c r="P1390" i="5"/>
  <c r="Q1390" i="5" s="1"/>
  <c r="P1389" i="5"/>
  <c r="O1389" i="5"/>
  <c r="R1389" i="5" s="1"/>
  <c r="O1388" i="5"/>
  <c r="R1388" i="5" s="1"/>
  <c r="P1388" i="5"/>
  <c r="Q1388" i="5" s="1"/>
  <c r="P1387" i="5"/>
  <c r="O1387" i="5"/>
  <c r="R1387" i="5" s="1"/>
  <c r="O1386" i="5"/>
  <c r="R1386" i="5" s="1"/>
  <c r="P1386" i="5"/>
  <c r="Q1386" i="5" s="1"/>
  <c r="O1385" i="5"/>
  <c r="R1385" i="5" s="1"/>
  <c r="P1385" i="5"/>
  <c r="Q1385" i="5" s="1"/>
  <c r="P1384" i="5"/>
  <c r="O1384" i="5"/>
  <c r="R1384" i="5" s="1"/>
  <c r="P1383" i="5"/>
  <c r="O1383" i="5"/>
  <c r="R1383" i="5" s="1"/>
  <c r="O1382" i="5"/>
  <c r="R1382" i="5" s="1"/>
  <c r="P1382" i="5"/>
  <c r="Q1382" i="5" s="1"/>
  <c r="O1381" i="5"/>
  <c r="R1381" i="5" s="1"/>
  <c r="P1381" i="5"/>
  <c r="Q1381" i="5" s="1"/>
  <c r="P1380" i="5"/>
  <c r="O1380" i="5"/>
  <c r="R1380" i="5" s="1"/>
  <c r="O1379" i="5"/>
  <c r="R1379" i="5" s="1"/>
  <c r="P1379" i="5"/>
  <c r="Q1379" i="5" s="1"/>
  <c r="O1378" i="5"/>
  <c r="R1378" i="5" s="1"/>
  <c r="P1378" i="5"/>
  <c r="Q1378" i="5" s="1"/>
  <c r="O1377" i="5"/>
  <c r="R1377" i="5" s="1"/>
  <c r="P1377" i="5"/>
  <c r="Q1377" i="5" s="1"/>
  <c r="O1376" i="5"/>
  <c r="R1376" i="5" s="1"/>
  <c r="P1376" i="5"/>
  <c r="Q1376" i="5" s="1"/>
  <c r="O1375" i="5"/>
  <c r="R1375" i="5" s="1"/>
  <c r="P1375" i="5"/>
  <c r="Q1375" i="5" s="1"/>
  <c r="P1374" i="5"/>
  <c r="O1374" i="5"/>
  <c r="R1374" i="5" s="1"/>
  <c r="O1373" i="5"/>
  <c r="R1373" i="5" s="1"/>
  <c r="P1373" i="5"/>
  <c r="Q1373" i="5" s="1"/>
  <c r="P1372" i="5"/>
  <c r="O1372" i="5"/>
  <c r="R1372" i="5" s="1"/>
  <c r="P1371" i="5"/>
  <c r="O1371" i="5"/>
  <c r="R1371" i="5" s="1"/>
  <c r="P1370" i="5"/>
  <c r="O1370" i="5"/>
  <c r="R1370" i="5" s="1"/>
  <c r="O1369" i="5"/>
  <c r="R1369" i="5" s="1"/>
  <c r="P1369" i="5"/>
  <c r="Q1369" i="5" s="1"/>
  <c r="P1368" i="5"/>
  <c r="O1368" i="5"/>
  <c r="R1368" i="5" s="1"/>
  <c r="O1367" i="5"/>
  <c r="R1367" i="5" s="1"/>
  <c r="P1367" i="5"/>
  <c r="Q1367" i="5" s="1"/>
  <c r="O1366" i="5"/>
  <c r="R1366" i="5" s="1"/>
  <c r="P1366" i="5"/>
  <c r="Q1366" i="5" s="1"/>
  <c r="O1365" i="5"/>
  <c r="R1365" i="5" s="1"/>
  <c r="P1365" i="5"/>
  <c r="Q1365" i="5" s="1"/>
  <c r="O1364" i="5"/>
  <c r="R1364" i="5" s="1"/>
  <c r="P1364" i="5"/>
  <c r="Q1364" i="5" s="1"/>
  <c r="O1363" i="5"/>
  <c r="R1363" i="5" s="1"/>
  <c r="P1363" i="5"/>
  <c r="Q1363" i="5" s="1"/>
  <c r="O1362" i="5"/>
  <c r="R1362" i="5" s="1"/>
  <c r="P1362" i="5"/>
  <c r="Q1362" i="5" s="1"/>
  <c r="P1361" i="5"/>
  <c r="O1361" i="5"/>
  <c r="R1361" i="5" s="1"/>
  <c r="P1360" i="5"/>
  <c r="O1360" i="5"/>
  <c r="R1360" i="5" s="1"/>
  <c r="P1359" i="5"/>
  <c r="O1359" i="5"/>
  <c r="R1359" i="5" s="1"/>
  <c r="O1358" i="5"/>
  <c r="R1358" i="5" s="1"/>
  <c r="P1358" i="5"/>
  <c r="Q1358" i="5" s="1"/>
  <c r="O1357" i="5"/>
  <c r="R1357" i="5" s="1"/>
  <c r="P1357" i="5"/>
  <c r="Q1357" i="5" s="1"/>
  <c r="P1356" i="5"/>
  <c r="O1356" i="5"/>
  <c r="R1356" i="5" s="1"/>
  <c r="O1355" i="5"/>
  <c r="R1355" i="5" s="1"/>
  <c r="P1355" i="5"/>
  <c r="Q1355" i="5" s="1"/>
  <c r="O1354" i="5"/>
  <c r="R1354" i="5" s="1"/>
  <c r="P1354" i="5"/>
  <c r="Q1354" i="5" s="1"/>
  <c r="P1353" i="5"/>
  <c r="O1353" i="5"/>
  <c r="R1353" i="5" s="1"/>
  <c r="P1352" i="5"/>
  <c r="O1352" i="5"/>
  <c r="R1352" i="5" s="1"/>
  <c r="O1351" i="5"/>
  <c r="R1351" i="5" s="1"/>
  <c r="P1351" i="5"/>
  <c r="Q1351" i="5" s="1"/>
  <c r="O1350" i="5"/>
  <c r="R1350" i="5" s="1"/>
  <c r="P1350" i="5"/>
  <c r="Q1350" i="5" s="1"/>
  <c r="O1349" i="5"/>
  <c r="R1349" i="5" s="1"/>
  <c r="P1349" i="5"/>
  <c r="Q1349" i="5" s="1"/>
  <c r="P1348" i="5"/>
  <c r="O1348" i="5"/>
  <c r="R1348" i="5" s="1"/>
  <c r="P1347" i="5"/>
  <c r="O1347" i="5"/>
  <c r="R1347" i="5" s="1"/>
  <c r="P1346" i="5"/>
  <c r="O1346" i="5"/>
  <c r="R1346" i="5" s="1"/>
  <c r="O1345" i="5"/>
  <c r="R1345" i="5" s="1"/>
  <c r="P1345" i="5"/>
  <c r="Q1345" i="5" s="1"/>
  <c r="O1344" i="5"/>
  <c r="R1344" i="5" s="1"/>
  <c r="P1344" i="5"/>
  <c r="Q1344" i="5" s="1"/>
  <c r="P1343" i="5"/>
  <c r="O1343" i="5"/>
  <c r="R1343" i="5" s="1"/>
  <c r="P1342" i="5"/>
  <c r="O1342" i="5"/>
  <c r="R1342" i="5" s="1"/>
  <c r="O1341" i="5"/>
  <c r="R1341" i="5" s="1"/>
  <c r="P1341" i="5"/>
  <c r="Q1341" i="5" s="1"/>
  <c r="O1340" i="5"/>
  <c r="R1340" i="5" s="1"/>
  <c r="P1340" i="5"/>
  <c r="Q1340" i="5" s="1"/>
  <c r="P1339" i="5"/>
  <c r="O1339" i="5"/>
  <c r="R1339" i="5" s="1"/>
  <c r="P1338" i="5"/>
  <c r="O1338" i="5"/>
  <c r="R1338" i="5" s="1"/>
  <c r="P1337" i="5"/>
  <c r="O1337" i="5"/>
  <c r="R1337" i="5" s="1"/>
  <c r="P1336" i="5"/>
  <c r="O1336" i="5"/>
  <c r="R1336" i="5" s="1"/>
  <c r="P1335" i="5"/>
  <c r="O1335" i="5"/>
  <c r="R1335" i="5" s="1"/>
  <c r="O1334" i="5"/>
  <c r="R1334" i="5" s="1"/>
  <c r="P1334" i="5"/>
  <c r="Q1334" i="5" s="1"/>
  <c r="P1333" i="5"/>
  <c r="O1333" i="5"/>
  <c r="R1333" i="5" s="1"/>
  <c r="O1332" i="5"/>
  <c r="R1332" i="5" s="1"/>
  <c r="P1332" i="5"/>
  <c r="Q1332" i="5" s="1"/>
  <c r="O1331" i="5"/>
  <c r="R1331" i="5" s="1"/>
  <c r="P1331" i="5"/>
  <c r="Q1331" i="5" s="1"/>
  <c r="P1330" i="5"/>
  <c r="O1330" i="5"/>
  <c r="R1330" i="5" s="1"/>
  <c r="P1329" i="5"/>
  <c r="O1329" i="5"/>
  <c r="R1329" i="5" s="1"/>
  <c r="P1328" i="5"/>
  <c r="O1328" i="5"/>
  <c r="R1328" i="5" s="1"/>
  <c r="P1327" i="5"/>
  <c r="O1327" i="5"/>
  <c r="R1327" i="5" s="1"/>
  <c r="P1326" i="5"/>
  <c r="O1326" i="5"/>
  <c r="R1326" i="5" s="1"/>
  <c r="P1325" i="5"/>
  <c r="O1325" i="5"/>
  <c r="R1325" i="5" s="1"/>
  <c r="P1324" i="5"/>
  <c r="O1324" i="5"/>
  <c r="R1324" i="5" s="1"/>
  <c r="P1323" i="5"/>
  <c r="O1323" i="5"/>
  <c r="R1323" i="5" s="1"/>
  <c r="O1322" i="5"/>
  <c r="R1322" i="5" s="1"/>
  <c r="P1322" i="5"/>
  <c r="Q1322" i="5" s="1"/>
  <c r="P1321" i="5"/>
  <c r="O1321" i="5"/>
  <c r="R1321" i="5" s="1"/>
  <c r="O1320" i="5"/>
  <c r="R1320" i="5" s="1"/>
  <c r="P1320" i="5"/>
  <c r="Q1320" i="5" s="1"/>
  <c r="P1319" i="5"/>
  <c r="O1319" i="5"/>
  <c r="R1319" i="5" s="1"/>
  <c r="P1318" i="5"/>
  <c r="O1318" i="5"/>
  <c r="R1318" i="5" s="1"/>
  <c r="P1317" i="5"/>
  <c r="O1317" i="5"/>
  <c r="R1317" i="5" s="1"/>
  <c r="O1316" i="5"/>
  <c r="R1316" i="5" s="1"/>
  <c r="P1316" i="5"/>
  <c r="Q1316" i="5" s="1"/>
  <c r="P1315" i="5"/>
  <c r="O1315" i="5"/>
  <c r="R1315" i="5" s="1"/>
  <c r="O1314" i="5"/>
  <c r="R1314" i="5" s="1"/>
  <c r="P1314" i="5"/>
  <c r="Q1314" i="5" s="1"/>
  <c r="P1313" i="5"/>
  <c r="O1313" i="5"/>
  <c r="R1313" i="5" s="1"/>
  <c r="P1312" i="5"/>
  <c r="O1312" i="5"/>
  <c r="R1312" i="5" s="1"/>
  <c r="P1311" i="5"/>
  <c r="O1311" i="5"/>
  <c r="R1311" i="5" s="1"/>
  <c r="O1310" i="5"/>
  <c r="R1310" i="5" s="1"/>
  <c r="P1310" i="5"/>
  <c r="Q1310" i="5" s="1"/>
  <c r="P1309" i="5"/>
  <c r="O1309" i="5"/>
  <c r="R1309" i="5" s="1"/>
  <c r="P1308" i="5"/>
  <c r="O1308" i="5"/>
  <c r="R1308" i="5" s="1"/>
  <c r="P1307" i="5"/>
  <c r="O1307" i="5"/>
  <c r="R1307" i="5" s="1"/>
  <c r="P1306" i="5"/>
  <c r="O1306" i="5"/>
  <c r="R1306" i="5" s="1"/>
  <c r="O1305" i="5"/>
  <c r="R1305" i="5" s="1"/>
  <c r="P1305" i="5"/>
  <c r="Q1305" i="5" s="1"/>
  <c r="P1304" i="5"/>
  <c r="O1304" i="5"/>
  <c r="R1304" i="5" s="1"/>
  <c r="O1303" i="5"/>
  <c r="R1303" i="5" s="1"/>
  <c r="P1303" i="5"/>
  <c r="Q1303" i="5" s="1"/>
  <c r="P1302" i="5"/>
  <c r="O1302" i="5"/>
  <c r="R1302" i="5" s="1"/>
  <c r="O1301" i="5"/>
  <c r="R1301" i="5" s="1"/>
  <c r="P1301" i="5"/>
  <c r="Q1301" i="5" s="1"/>
  <c r="P1300" i="5"/>
  <c r="O1300" i="5"/>
  <c r="R1300" i="5" s="1"/>
  <c r="O1299" i="5"/>
  <c r="R1299" i="5" s="1"/>
  <c r="P1299" i="5"/>
  <c r="P1298" i="5"/>
  <c r="O1298" i="5"/>
  <c r="R1298" i="5" s="1"/>
  <c r="P1297" i="5"/>
  <c r="O1297" i="5"/>
  <c r="R1297" i="5" s="1"/>
  <c r="P1296" i="5"/>
  <c r="O1296" i="5"/>
  <c r="R1296" i="5" s="1"/>
  <c r="P1295" i="5"/>
  <c r="O1295" i="5"/>
  <c r="R1295" i="5" s="1"/>
  <c r="P1294" i="5"/>
  <c r="O1294" i="5"/>
  <c r="R1294" i="5" s="1"/>
  <c r="P1293" i="5"/>
  <c r="O1293" i="5"/>
  <c r="R1293" i="5" s="1"/>
  <c r="O1292" i="5"/>
  <c r="R1292" i="5" s="1"/>
  <c r="P1292" i="5"/>
  <c r="Q1292" i="5" s="1"/>
  <c r="P1291" i="5"/>
  <c r="O1291" i="5"/>
  <c r="R1291" i="5" s="1"/>
  <c r="O1290" i="5"/>
  <c r="R1290" i="5" s="1"/>
  <c r="P1290" i="5"/>
  <c r="Q1290" i="5" s="1"/>
  <c r="P1289" i="5"/>
  <c r="O1289" i="5"/>
  <c r="R1289" i="5" s="1"/>
  <c r="P1288" i="5"/>
  <c r="O1288" i="5"/>
  <c r="R1288" i="5" s="1"/>
  <c r="P1287" i="5"/>
  <c r="O1287" i="5"/>
  <c r="R1287" i="5" s="1"/>
  <c r="O1286" i="5"/>
  <c r="R1286" i="5" s="1"/>
  <c r="P1286" i="5"/>
  <c r="Q1286" i="5" s="1"/>
  <c r="P1285" i="5"/>
  <c r="O1285" i="5"/>
  <c r="R1285" i="5" s="1"/>
  <c r="P1284" i="5"/>
  <c r="O1284" i="5"/>
  <c r="R1284" i="5" s="1"/>
  <c r="P1283" i="5"/>
  <c r="O1283" i="5"/>
  <c r="R1283" i="5" s="1"/>
  <c r="O1282" i="5"/>
  <c r="R1282" i="5" s="1"/>
  <c r="P1282" i="5"/>
  <c r="Q1282" i="5" s="1"/>
  <c r="P1281" i="5"/>
  <c r="O1281" i="5"/>
  <c r="R1281" i="5" s="1"/>
  <c r="P1280" i="5"/>
  <c r="O1280" i="5"/>
  <c r="R1280" i="5" s="1"/>
  <c r="P1279" i="5"/>
  <c r="O1279" i="5"/>
  <c r="R1279" i="5" s="1"/>
  <c r="P1278" i="5"/>
  <c r="O1278" i="5"/>
  <c r="R1278" i="5" s="1"/>
  <c r="P1277" i="5"/>
  <c r="O1277" i="5"/>
  <c r="R1277" i="5" s="1"/>
  <c r="P1276" i="5"/>
  <c r="O1276" i="5"/>
  <c r="R1276" i="5" s="1"/>
  <c r="P1275" i="5"/>
  <c r="O1275" i="5"/>
  <c r="R1275" i="5" s="1"/>
  <c r="P1274" i="5"/>
  <c r="O1274" i="5"/>
  <c r="R1274" i="5" s="1"/>
  <c r="P1273" i="5"/>
  <c r="O1273" i="5"/>
  <c r="R1273" i="5" s="1"/>
  <c r="P1272" i="5"/>
  <c r="O1272" i="5"/>
  <c r="R1272" i="5" s="1"/>
  <c r="P1271" i="5"/>
  <c r="O1271" i="5"/>
  <c r="R1271" i="5" s="1"/>
  <c r="P1270" i="5"/>
  <c r="O1270" i="5"/>
  <c r="R1270" i="5" s="1"/>
  <c r="P1269" i="5"/>
  <c r="O1269" i="5"/>
  <c r="R1269" i="5" s="1"/>
  <c r="P1268" i="5"/>
  <c r="O1268" i="5"/>
  <c r="R1268" i="5" s="1"/>
  <c r="P1267" i="5"/>
  <c r="O1267" i="5"/>
  <c r="R1267" i="5" s="1"/>
  <c r="P1266" i="5"/>
  <c r="O1266" i="5"/>
  <c r="R1266" i="5" s="1"/>
  <c r="P1265" i="5"/>
  <c r="O1265" i="5"/>
  <c r="R1265" i="5" s="1"/>
  <c r="P1264" i="5"/>
  <c r="O1264" i="5"/>
  <c r="R1264" i="5" s="1"/>
  <c r="P1263" i="5"/>
  <c r="O1263" i="5"/>
  <c r="R1263" i="5" s="1"/>
  <c r="P1262" i="5"/>
  <c r="O1262" i="5"/>
  <c r="R1262" i="5" s="1"/>
  <c r="P1261" i="5"/>
  <c r="O1261" i="5"/>
  <c r="R1261" i="5" s="1"/>
  <c r="P1260" i="5"/>
  <c r="O1260" i="5"/>
  <c r="R1260" i="5" s="1"/>
  <c r="P1259" i="5"/>
  <c r="O1259" i="5"/>
  <c r="R1259" i="5" s="1"/>
  <c r="P1258" i="5"/>
  <c r="O1258" i="5"/>
  <c r="R1258" i="5" s="1"/>
  <c r="P1257" i="5"/>
  <c r="O1257" i="5"/>
  <c r="R1257" i="5" s="1"/>
  <c r="P1256" i="5"/>
  <c r="O1256" i="5"/>
  <c r="R1256" i="5" s="1"/>
  <c r="P1255" i="5"/>
  <c r="O1255" i="5"/>
  <c r="R1255" i="5" s="1"/>
  <c r="P1254" i="5"/>
  <c r="O1254" i="5"/>
  <c r="R1254" i="5" s="1"/>
  <c r="P1253" i="5"/>
  <c r="O1253" i="5"/>
  <c r="R1253" i="5" s="1"/>
  <c r="P1252" i="5"/>
  <c r="O1252" i="5"/>
  <c r="R1252" i="5" s="1"/>
  <c r="P1251" i="5"/>
  <c r="O1251" i="5"/>
  <c r="R1251" i="5" s="1"/>
  <c r="P1250" i="5"/>
  <c r="O1250" i="5"/>
  <c r="R1250" i="5" s="1"/>
  <c r="O1249" i="5"/>
  <c r="R1249" i="5" s="1"/>
  <c r="P1249" i="5"/>
  <c r="Q1249" i="5" s="1"/>
  <c r="P1248" i="5"/>
  <c r="O1248" i="5"/>
  <c r="R1248" i="5" s="1"/>
  <c r="P1247" i="5"/>
  <c r="O1247" i="5"/>
  <c r="R1247" i="5" s="1"/>
  <c r="P1246" i="5"/>
  <c r="O1246" i="5"/>
  <c r="R1246" i="5" s="1"/>
  <c r="P1245" i="5"/>
  <c r="O1245" i="5"/>
  <c r="R1245" i="5" s="1"/>
  <c r="O1244" i="5"/>
  <c r="R1244" i="5" s="1"/>
  <c r="P1244" i="5"/>
  <c r="Q1244" i="5" s="1"/>
  <c r="P1243" i="5"/>
  <c r="O1243" i="5"/>
  <c r="R1243" i="5" s="1"/>
  <c r="P1242" i="5"/>
  <c r="O1242" i="5"/>
  <c r="R1242" i="5" s="1"/>
  <c r="P1241" i="5"/>
  <c r="O1241" i="5"/>
  <c r="R1241" i="5" s="1"/>
  <c r="O1240" i="5"/>
  <c r="R1240" i="5" s="1"/>
  <c r="P1240" i="5"/>
  <c r="Q1240" i="5" s="1"/>
  <c r="P1239" i="5"/>
  <c r="O1239" i="5"/>
  <c r="R1239" i="5" s="1"/>
  <c r="P1238" i="5"/>
  <c r="O1238" i="5"/>
  <c r="R1238" i="5" s="1"/>
  <c r="O1237" i="5"/>
  <c r="R1237" i="5" s="1"/>
  <c r="P1237" i="5"/>
  <c r="Q1237" i="5" s="1"/>
  <c r="O1236" i="5"/>
  <c r="R1236" i="5" s="1"/>
  <c r="P1236" i="5"/>
  <c r="Q1236" i="5" s="1"/>
  <c r="P1235" i="5"/>
  <c r="O1235" i="5"/>
  <c r="R1235" i="5" s="1"/>
  <c r="P1234" i="5"/>
  <c r="O1234" i="5"/>
  <c r="R1234" i="5" s="1"/>
  <c r="O1233" i="5"/>
  <c r="R1233" i="5" s="1"/>
  <c r="P1233" i="5"/>
  <c r="Q1233" i="5" s="1"/>
  <c r="O1232" i="5"/>
  <c r="R1232" i="5" s="1"/>
  <c r="P1232" i="5"/>
  <c r="Q1232" i="5" s="1"/>
  <c r="P1231" i="5"/>
  <c r="O1231" i="5"/>
  <c r="R1231" i="5" s="1"/>
  <c r="P1230" i="5"/>
  <c r="O1230" i="5"/>
  <c r="R1230" i="5" s="1"/>
  <c r="P1229" i="5"/>
  <c r="O1229" i="5"/>
  <c r="R1229" i="5" s="1"/>
  <c r="O1228" i="5"/>
  <c r="R1228" i="5" s="1"/>
  <c r="P1228" i="5"/>
  <c r="Q1228" i="5" s="1"/>
  <c r="P1227" i="5"/>
  <c r="O1227" i="5"/>
  <c r="R1227" i="5" s="1"/>
  <c r="O1226" i="5"/>
  <c r="R1226" i="5" s="1"/>
  <c r="P1226" i="5"/>
  <c r="Q1226" i="5" s="1"/>
  <c r="O1225" i="5"/>
  <c r="R1225" i="5" s="1"/>
  <c r="P1225" i="5"/>
  <c r="Q1225" i="5" s="1"/>
  <c r="P1224" i="5"/>
  <c r="O1224" i="5"/>
  <c r="R1224" i="5" s="1"/>
  <c r="P1223" i="5"/>
  <c r="O1223" i="5"/>
  <c r="R1223" i="5" s="1"/>
  <c r="O1222" i="5"/>
  <c r="R1222" i="5" s="1"/>
  <c r="P1222" i="5"/>
  <c r="Q1222" i="5" s="1"/>
  <c r="O1221" i="5"/>
  <c r="R1221" i="5" s="1"/>
  <c r="P1221" i="5"/>
  <c r="Q1221" i="5" s="1"/>
  <c r="P1220" i="5"/>
  <c r="O1220" i="5"/>
  <c r="R1220" i="5" s="1"/>
  <c r="O1219" i="5"/>
  <c r="R1219" i="5" s="1"/>
  <c r="P1219" i="5"/>
  <c r="Q1219" i="5" s="1"/>
  <c r="O1218" i="5"/>
  <c r="R1218" i="5" s="1"/>
  <c r="P1218" i="5"/>
  <c r="Q1218" i="5" s="1"/>
  <c r="P1217" i="5"/>
  <c r="O1217" i="5"/>
  <c r="R1217" i="5" s="1"/>
  <c r="P1216" i="5"/>
  <c r="O1216" i="5"/>
  <c r="R1216" i="5" s="1"/>
  <c r="O1215" i="5"/>
  <c r="R1215" i="5" s="1"/>
  <c r="P1215" i="5"/>
  <c r="Q1215" i="5" s="1"/>
  <c r="O1214" i="5"/>
  <c r="R1214" i="5" s="1"/>
  <c r="P1214" i="5"/>
  <c r="Q1214" i="5" s="1"/>
  <c r="O1213" i="5"/>
  <c r="R1213" i="5" s="1"/>
  <c r="P1213" i="5"/>
  <c r="Q1213" i="5" s="1"/>
  <c r="P1212" i="5"/>
  <c r="O1212" i="5"/>
  <c r="R1212" i="5" s="1"/>
  <c r="O1211" i="5"/>
  <c r="R1211" i="5" s="1"/>
  <c r="P1211" i="5"/>
  <c r="Q1211" i="5" s="1"/>
  <c r="O1210" i="5"/>
  <c r="R1210" i="5" s="1"/>
  <c r="P1210" i="5"/>
  <c r="Q1210" i="5" s="1"/>
  <c r="O1209" i="5"/>
  <c r="R1209" i="5" s="1"/>
  <c r="P1209" i="5"/>
  <c r="Q1209" i="5" s="1"/>
  <c r="O1208" i="5"/>
  <c r="R1208" i="5" s="1"/>
  <c r="P1208" i="5"/>
  <c r="Q1208" i="5" s="1"/>
  <c r="O1207" i="5"/>
  <c r="R1207" i="5" s="1"/>
  <c r="P1207" i="5"/>
  <c r="Q1207" i="5" s="1"/>
  <c r="P1206" i="5"/>
  <c r="O1206" i="5"/>
  <c r="R1206" i="5" s="1"/>
  <c r="P1205" i="5"/>
  <c r="O1205" i="5"/>
  <c r="R1205" i="5" s="1"/>
  <c r="P1204" i="5"/>
  <c r="O1204" i="5"/>
  <c r="R1204" i="5" s="1"/>
  <c r="P1203" i="5"/>
  <c r="O1203" i="5"/>
  <c r="R1203" i="5" s="1"/>
  <c r="O1202" i="5"/>
  <c r="R1202" i="5" s="1"/>
  <c r="P1202" i="5"/>
  <c r="Q1202" i="5" s="1"/>
  <c r="P1201" i="5"/>
  <c r="O1201" i="5"/>
  <c r="R1201" i="5" s="1"/>
  <c r="P1200" i="5"/>
  <c r="O1200" i="5"/>
  <c r="R1200" i="5" s="1"/>
  <c r="P1199" i="5"/>
  <c r="O1199" i="5"/>
  <c r="R1199" i="5" s="1"/>
  <c r="O1198" i="5"/>
  <c r="R1198" i="5" s="1"/>
  <c r="P1198" i="5"/>
  <c r="Q1198" i="5" s="1"/>
  <c r="P1197" i="5"/>
  <c r="O1197" i="5"/>
  <c r="R1197" i="5" s="1"/>
  <c r="O1195" i="5"/>
  <c r="R1195" i="5" s="1"/>
  <c r="P1195" i="5"/>
  <c r="Q1195" i="5" s="1"/>
  <c r="P1194" i="5"/>
  <c r="O1194" i="5"/>
  <c r="R1194" i="5" s="1"/>
  <c r="O1193" i="5"/>
  <c r="R1193" i="5" s="1"/>
  <c r="P1193" i="5"/>
  <c r="Q1193" i="5" s="1"/>
  <c r="P1192" i="5"/>
  <c r="O1192" i="5"/>
  <c r="R1192" i="5" s="1"/>
  <c r="O1191" i="5"/>
  <c r="R1191" i="5" s="1"/>
  <c r="P1191" i="5"/>
  <c r="Q1191" i="5" s="1"/>
  <c r="O1190" i="5"/>
  <c r="R1190" i="5" s="1"/>
  <c r="P1190" i="5"/>
  <c r="Q1190" i="5" s="1"/>
  <c r="P1189" i="5"/>
  <c r="O1189" i="5"/>
  <c r="R1189" i="5" s="1"/>
  <c r="P1188" i="5"/>
  <c r="O1188" i="5"/>
  <c r="R1188" i="5" s="1"/>
  <c r="P1187" i="5"/>
  <c r="O1187" i="5"/>
  <c r="R1187" i="5" s="1"/>
  <c r="O1186" i="5"/>
  <c r="R1186" i="5" s="1"/>
  <c r="P1186" i="5"/>
  <c r="Q1186" i="5" s="1"/>
  <c r="P1185" i="5"/>
  <c r="O1185" i="5"/>
  <c r="R1185" i="5" s="1"/>
  <c r="P1184" i="5"/>
  <c r="O1184" i="5"/>
  <c r="R1184" i="5" s="1"/>
  <c r="P1183" i="5"/>
  <c r="O1183" i="5"/>
  <c r="R1183" i="5" s="1"/>
  <c r="P1182" i="5"/>
  <c r="O1182" i="5"/>
  <c r="R1182" i="5" s="1"/>
  <c r="P1181" i="5"/>
  <c r="O1181" i="5"/>
  <c r="R1181" i="5" s="1"/>
  <c r="P1180" i="5"/>
  <c r="O1180" i="5"/>
  <c r="R1180" i="5" s="1"/>
  <c r="P1179" i="5"/>
  <c r="O1179" i="5"/>
  <c r="R1179" i="5" s="1"/>
  <c r="O1178" i="5"/>
  <c r="R1178" i="5" s="1"/>
  <c r="P1178" i="5"/>
  <c r="Q1178" i="5" s="1"/>
  <c r="P1177" i="5"/>
  <c r="O1177" i="5"/>
  <c r="R1177" i="5" s="1"/>
  <c r="P1176" i="5"/>
  <c r="O1176" i="5"/>
  <c r="R1176" i="5" s="1"/>
  <c r="P1175" i="5"/>
  <c r="O1175" i="5"/>
  <c r="R1175" i="5" s="1"/>
  <c r="P1174" i="5"/>
  <c r="O1174" i="5"/>
  <c r="R1174" i="5" s="1"/>
  <c r="P1173" i="5"/>
  <c r="O1173" i="5"/>
  <c r="R1173" i="5" s="1"/>
  <c r="P1172" i="5"/>
  <c r="O1172" i="5"/>
  <c r="R1172" i="5" s="1"/>
  <c r="P1171" i="5"/>
  <c r="O1171" i="5"/>
  <c r="R1171" i="5" s="1"/>
  <c r="O1170" i="5"/>
  <c r="R1170" i="5" s="1"/>
  <c r="P1170" i="5"/>
  <c r="Q1170" i="5" s="1"/>
  <c r="O1169" i="5"/>
  <c r="R1169" i="5" s="1"/>
  <c r="P1169" i="5"/>
  <c r="Q1169" i="5" s="1"/>
  <c r="O1168" i="5"/>
  <c r="R1168" i="5" s="1"/>
  <c r="P1168" i="5"/>
  <c r="Q1168" i="5" s="1"/>
  <c r="O1167" i="5"/>
  <c r="R1167" i="5" s="1"/>
  <c r="P1167" i="5"/>
  <c r="Q1167" i="5" s="1"/>
  <c r="O1166" i="5"/>
  <c r="R1166" i="5" s="1"/>
  <c r="P1166" i="5"/>
  <c r="Q1166" i="5" s="1"/>
  <c r="P1164" i="5"/>
  <c r="O1164" i="5"/>
  <c r="R1164" i="5" s="1"/>
  <c r="P1163" i="5"/>
  <c r="O1163" i="5"/>
  <c r="R1163" i="5" s="1"/>
  <c r="P1162" i="5"/>
  <c r="O1162" i="5"/>
  <c r="R1162" i="5" s="1"/>
  <c r="P1161" i="5"/>
  <c r="O1161" i="5"/>
  <c r="R1161" i="5" s="1"/>
  <c r="O1160" i="5"/>
  <c r="R1160" i="5" s="1"/>
  <c r="P1160" i="5"/>
  <c r="Q1160" i="5" s="1"/>
  <c r="P1159" i="5"/>
  <c r="O1159" i="5"/>
  <c r="R1159" i="5" s="1"/>
  <c r="O1158" i="5"/>
  <c r="R1158" i="5" s="1"/>
  <c r="P1158" i="5"/>
  <c r="Q1158" i="5" s="1"/>
  <c r="O1157" i="5"/>
  <c r="R1157" i="5" s="1"/>
  <c r="P1157" i="5"/>
  <c r="Q1157" i="5" s="1"/>
  <c r="O1156" i="5"/>
  <c r="R1156" i="5" s="1"/>
  <c r="P1156" i="5"/>
  <c r="Q1156" i="5" s="1"/>
  <c r="P1155" i="5"/>
  <c r="O1155" i="5"/>
  <c r="R1155" i="5" s="1"/>
  <c r="O1154" i="5"/>
  <c r="R1154" i="5" s="1"/>
  <c r="P1154" i="5"/>
  <c r="Q1154" i="5" s="1"/>
  <c r="P1153" i="5"/>
  <c r="O1153" i="5"/>
  <c r="R1153" i="5" s="1"/>
  <c r="O1152" i="5"/>
  <c r="R1152" i="5" s="1"/>
  <c r="P1152" i="5"/>
  <c r="Q1152" i="5" s="1"/>
  <c r="O1151" i="5"/>
  <c r="R1151" i="5" s="1"/>
  <c r="P1151" i="5"/>
  <c r="Q1151" i="5" s="1"/>
  <c r="O1150" i="5"/>
  <c r="R1150" i="5" s="1"/>
  <c r="P1150" i="5"/>
  <c r="Q1150" i="5" s="1"/>
  <c r="P1149" i="5"/>
  <c r="O1149" i="5"/>
  <c r="R1149" i="5" s="1"/>
  <c r="P1148" i="5"/>
  <c r="O1148" i="5"/>
  <c r="R1148" i="5" s="1"/>
  <c r="P1147" i="5"/>
  <c r="O1147" i="5"/>
  <c r="R1147" i="5" s="1"/>
  <c r="P1146" i="5"/>
  <c r="O1146" i="5"/>
  <c r="R1146" i="5" s="1"/>
  <c r="P1145" i="5"/>
  <c r="O1145" i="5"/>
  <c r="R1145" i="5" s="1"/>
  <c r="O1144" i="5"/>
  <c r="R1144" i="5" s="1"/>
  <c r="P1144" i="5"/>
  <c r="Q1144" i="5" s="1"/>
  <c r="P1143" i="5"/>
  <c r="O1143" i="5"/>
  <c r="R1143" i="5" s="1"/>
  <c r="O1142" i="5"/>
  <c r="R1142" i="5" s="1"/>
  <c r="P1142" i="5"/>
  <c r="Q1142" i="5" s="1"/>
  <c r="P1141" i="5"/>
  <c r="O1141" i="5"/>
  <c r="R1141" i="5" s="1"/>
  <c r="O1140" i="5"/>
  <c r="R1140" i="5" s="1"/>
  <c r="P1140" i="5"/>
  <c r="Q1140" i="5" s="1"/>
  <c r="O1139" i="5"/>
  <c r="R1139" i="5" s="1"/>
  <c r="P1139" i="5"/>
  <c r="Q1139" i="5" s="1"/>
  <c r="O1138" i="5"/>
  <c r="R1138" i="5" s="1"/>
  <c r="P1138" i="5"/>
  <c r="Q1138" i="5" s="1"/>
  <c r="P1137" i="5"/>
  <c r="O1137" i="5"/>
  <c r="R1137" i="5" s="1"/>
  <c r="O1136" i="5"/>
  <c r="R1136" i="5" s="1"/>
  <c r="P1136" i="5"/>
  <c r="Q1136" i="5" s="1"/>
  <c r="P1135" i="5"/>
  <c r="O1135" i="5"/>
  <c r="R1135" i="5" s="1"/>
  <c r="O1134" i="5"/>
  <c r="R1134" i="5" s="1"/>
  <c r="P1134" i="5"/>
  <c r="Q1134" i="5" s="1"/>
  <c r="O1133" i="5"/>
  <c r="R1133" i="5" s="1"/>
  <c r="P1133" i="5"/>
  <c r="Q1133" i="5" s="1"/>
  <c r="P1132" i="5"/>
  <c r="O1132" i="5"/>
  <c r="R1132" i="5" s="1"/>
  <c r="P1131" i="5"/>
  <c r="O1131" i="5"/>
  <c r="R1131" i="5" s="1"/>
  <c r="P1130" i="5"/>
  <c r="O1130" i="5"/>
  <c r="R1130" i="5" s="1"/>
  <c r="O1129" i="5"/>
  <c r="R1129" i="5" s="1"/>
  <c r="P1129" i="5"/>
  <c r="Q1129" i="5" s="1"/>
  <c r="O1128" i="5"/>
  <c r="R1128" i="5" s="1"/>
  <c r="P1128" i="5"/>
  <c r="Q1128" i="5" s="1"/>
  <c r="P1127" i="5"/>
  <c r="O1127" i="5"/>
  <c r="R1127" i="5" s="1"/>
  <c r="P1126" i="5"/>
  <c r="O1126" i="5"/>
  <c r="R1126" i="5" s="1"/>
  <c r="P1125" i="5"/>
  <c r="O1125" i="5"/>
  <c r="R1125" i="5" s="1"/>
  <c r="O1124" i="5"/>
  <c r="R1124" i="5" s="1"/>
  <c r="P1124" i="5"/>
  <c r="Q1124" i="5" s="1"/>
  <c r="P1123" i="5"/>
  <c r="O1123" i="5"/>
  <c r="R1123" i="5" s="1"/>
  <c r="P1122" i="5"/>
  <c r="O1122" i="5"/>
  <c r="R1122" i="5" s="1"/>
  <c r="O1121" i="5"/>
  <c r="R1121" i="5" s="1"/>
  <c r="P1121" i="5"/>
  <c r="Q1121" i="5" s="1"/>
  <c r="O1120" i="5"/>
  <c r="R1120" i="5" s="1"/>
  <c r="P1120" i="5"/>
  <c r="Q1120" i="5" s="1"/>
  <c r="O1119" i="5"/>
  <c r="R1119" i="5" s="1"/>
  <c r="P1119" i="5"/>
  <c r="Q1119" i="5" s="1"/>
  <c r="O1118" i="5"/>
  <c r="R1118" i="5" s="1"/>
  <c r="P1118" i="5"/>
  <c r="Q1118" i="5" s="1"/>
  <c r="P1117" i="5"/>
  <c r="O1117" i="5"/>
  <c r="R1117" i="5" s="1"/>
  <c r="P1116" i="5"/>
  <c r="O1116" i="5"/>
  <c r="R1116" i="5" s="1"/>
  <c r="O1115" i="5"/>
  <c r="R1115" i="5" s="1"/>
  <c r="P1115" i="5"/>
  <c r="Q1115" i="5" s="1"/>
  <c r="O1114" i="5"/>
  <c r="R1114" i="5" s="1"/>
  <c r="P1114" i="5"/>
  <c r="Q1114" i="5" s="1"/>
  <c r="P1113" i="5"/>
  <c r="O1113" i="5"/>
  <c r="R1113" i="5" s="1"/>
  <c r="O1112" i="5"/>
  <c r="R1112" i="5" s="1"/>
  <c r="P1112" i="5"/>
  <c r="Q1112" i="5" s="1"/>
  <c r="O1111" i="5"/>
  <c r="R1111" i="5" s="1"/>
  <c r="P1111" i="5"/>
  <c r="Q1111" i="5" s="1"/>
  <c r="O1110" i="5"/>
  <c r="R1110" i="5" s="1"/>
  <c r="P1110" i="5"/>
  <c r="Q1110" i="5" s="1"/>
  <c r="O1109" i="5"/>
  <c r="R1109" i="5" s="1"/>
  <c r="P1109" i="5"/>
  <c r="Q1109" i="5" s="1"/>
  <c r="O1108" i="5"/>
  <c r="R1108" i="5" s="1"/>
  <c r="P1108" i="5"/>
  <c r="Q1108" i="5" s="1"/>
  <c r="P1107" i="5"/>
  <c r="O1107" i="5"/>
  <c r="R1107" i="5" s="1"/>
  <c r="P1106" i="5"/>
  <c r="O1106" i="5"/>
  <c r="R1106" i="5" s="1"/>
  <c r="P1105" i="5"/>
  <c r="O1105" i="5"/>
  <c r="R1105" i="5" s="1"/>
  <c r="P1104" i="5"/>
  <c r="O1104" i="5"/>
  <c r="R1104" i="5" s="1"/>
  <c r="O1103" i="5"/>
  <c r="R1103" i="5" s="1"/>
  <c r="P1103" i="5"/>
  <c r="Q1103" i="5" s="1"/>
  <c r="O1102" i="5"/>
  <c r="R1102" i="5" s="1"/>
  <c r="P1102" i="5"/>
  <c r="Q1102" i="5" s="1"/>
  <c r="O1101" i="5"/>
  <c r="R1101" i="5" s="1"/>
  <c r="P1101" i="5"/>
  <c r="Q1101" i="5" s="1"/>
  <c r="P1100" i="5"/>
  <c r="O1100" i="5"/>
  <c r="R1100" i="5" s="1"/>
  <c r="P1099" i="5"/>
  <c r="O1099" i="5"/>
  <c r="R1099" i="5" s="1"/>
  <c r="P1098" i="5"/>
  <c r="O1098" i="5"/>
  <c r="R1098" i="5" s="1"/>
  <c r="O1097" i="5"/>
  <c r="R1097" i="5" s="1"/>
  <c r="P1097" i="5"/>
  <c r="Q1097" i="5" s="1"/>
  <c r="P1096" i="5"/>
  <c r="O1096" i="5"/>
  <c r="R1096" i="5" s="1"/>
  <c r="P1095" i="5"/>
  <c r="O1095" i="5"/>
  <c r="R1095" i="5" s="1"/>
  <c r="O1094" i="5"/>
  <c r="R1094" i="5" s="1"/>
  <c r="P1094" i="5"/>
  <c r="Q1094" i="5" s="1"/>
  <c r="O1093" i="5"/>
  <c r="R1093" i="5" s="1"/>
  <c r="P1093" i="5"/>
  <c r="Q1093" i="5" s="1"/>
  <c r="O1092" i="5"/>
  <c r="R1092" i="5" s="1"/>
  <c r="P1092" i="5"/>
  <c r="Q1092" i="5" s="1"/>
  <c r="O1091" i="5"/>
  <c r="R1091" i="5" s="1"/>
  <c r="P1091" i="5"/>
  <c r="Q1091" i="5" s="1"/>
  <c r="O1090" i="5"/>
  <c r="R1090" i="5" s="1"/>
  <c r="P1090" i="5"/>
  <c r="Q1090" i="5" s="1"/>
  <c r="O1089" i="5"/>
  <c r="R1089" i="5" s="1"/>
  <c r="P1089" i="5"/>
  <c r="Q1089" i="5" s="1"/>
  <c r="P1088" i="5"/>
  <c r="O1088" i="5"/>
  <c r="R1088" i="5" s="1"/>
  <c r="O1087" i="5"/>
  <c r="R1087" i="5" s="1"/>
  <c r="P1087" i="5"/>
  <c r="Q1087" i="5" s="1"/>
  <c r="O1086" i="5"/>
  <c r="R1086" i="5" s="1"/>
  <c r="P1086" i="5"/>
  <c r="Q1086" i="5" s="1"/>
  <c r="P1085" i="5"/>
  <c r="O1085" i="5"/>
  <c r="R1085" i="5" s="1"/>
  <c r="O1084" i="5"/>
  <c r="R1084" i="5" s="1"/>
  <c r="P1084" i="5"/>
  <c r="Q1084" i="5" s="1"/>
  <c r="P1083" i="5"/>
  <c r="O1083" i="5"/>
  <c r="R1083" i="5" s="1"/>
  <c r="P1082" i="5"/>
  <c r="O1082" i="5"/>
  <c r="R1082" i="5" s="1"/>
  <c r="P1081" i="5"/>
  <c r="O1081" i="5"/>
  <c r="R1081" i="5" s="1"/>
  <c r="O1080" i="5"/>
  <c r="R1080" i="5" s="1"/>
  <c r="P1080" i="5"/>
  <c r="Q1080" i="5" s="1"/>
  <c r="P1079" i="5"/>
  <c r="O1079" i="5"/>
  <c r="R1079" i="5" s="1"/>
  <c r="O1078" i="5"/>
  <c r="R1078" i="5" s="1"/>
  <c r="P1078" i="5"/>
  <c r="Q1078" i="5" s="1"/>
  <c r="P1077" i="5"/>
  <c r="O1077" i="5"/>
  <c r="R1077" i="5" s="1"/>
  <c r="O1076" i="5"/>
  <c r="R1076" i="5" s="1"/>
  <c r="P1076" i="5"/>
  <c r="Q1076" i="5" s="1"/>
  <c r="O1075" i="5"/>
  <c r="R1075" i="5" s="1"/>
  <c r="P1075" i="5"/>
  <c r="Q1075" i="5" s="1"/>
  <c r="P1074" i="5"/>
  <c r="O1074" i="5"/>
  <c r="R1074" i="5" s="1"/>
  <c r="O1073" i="5"/>
  <c r="R1073" i="5" s="1"/>
  <c r="P1073" i="5"/>
  <c r="Q1073" i="5" s="1"/>
  <c r="P1072" i="5"/>
  <c r="O1072" i="5"/>
  <c r="R1072" i="5" s="1"/>
  <c r="P1071" i="5"/>
  <c r="O1071" i="5"/>
  <c r="R1071" i="5" s="1"/>
  <c r="O1070" i="5"/>
  <c r="R1070" i="5" s="1"/>
  <c r="P1070" i="5"/>
  <c r="Q1070" i="5" s="1"/>
  <c r="P1069" i="5"/>
  <c r="O1069" i="5"/>
  <c r="R1069" i="5" s="1"/>
  <c r="O1068" i="5"/>
  <c r="R1068" i="5" s="1"/>
  <c r="P1068" i="5"/>
  <c r="Q1068" i="5" s="1"/>
  <c r="O1067" i="5"/>
  <c r="R1067" i="5" s="1"/>
  <c r="P1067" i="5"/>
  <c r="Q1067" i="5" s="1"/>
  <c r="O1066" i="5"/>
  <c r="R1066" i="5" s="1"/>
  <c r="P1066" i="5"/>
  <c r="Q1066" i="5" s="1"/>
  <c r="O1065" i="5"/>
  <c r="R1065" i="5" s="1"/>
  <c r="P1065" i="5"/>
  <c r="Q1065" i="5" s="1"/>
  <c r="O1064" i="5"/>
  <c r="R1064" i="5" s="1"/>
  <c r="P1064" i="5"/>
  <c r="Q1064" i="5" s="1"/>
  <c r="O1063" i="5"/>
  <c r="R1063" i="5" s="1"/>
  <c r="P1063" i="5"/>
  <c r="Q1063" i="5" s="1"/>
  <c r="P1062" i="5"/>
  <c r="O1062" i="5"/>
  <c r="R1062" i="5" s="1"/>
  <c r="O1061" i="5"/>
  <c r="R1061" i="5" s="1"/>
  <c r="P1061" i="5"/>
  <c r="Q1061" i="5" s="1"/>
  <c r="P1060" i="5"/>
  <c r="O1060" i="5"/>
  <c r="R1060" i="5" s="1"/>
  <c r="P1059" i="5"/>
  <c r="O1059" i="5"/>
  <c r="R1059" i="5" s="1"/>
  <c r="O1058" i="5"/>
  <c r="R1058" i="5" s="1"/>
  <c r="P1058" i="5"/>
  <c r="Q1058" i="5" s="1"/>
  <c r="O1057" i="5"/>
  <c r="R1057" i="5" s="1"/>
  <c r="P1057" i="5"/>
  <c r="Q1057" i="5" s="1"/>
  <c r="O1056" i="5"/>
  <c r="R1056" i="5" s="1"/>
  <c r="P1056" i="5"/>
  <c r="Q1056" i="5" s="1"/>
  <c r="P1055" i="5"/>
  <c r="O1055" i="5"/>
  <c r="R1055" i="5" s="1"/>
  <c r="P1054" i="5"/>
  <c r="O1054" i="5"/>
  <c r="R1054" i="5" s="1"/>
  <c r="O1053" i="5"/>
  <c r="R1053" i="5" s="1"/>
  <c r="P1053" i="5"/>
  <c r="Q1053" i="5" s="1"/>
  <c r="P1052" i="5"/>
  <c r="O1052" i="5"/>
  <c r="R1052" i="5" s="1"/>
  <c r="P1051" i="5"/>
  <c r="O1051" i="5"/>
  <c r="R1051" i="5" s="1"/>
  <c r="O1050" i="5"/>
  <c r="R1050" i="5" s="1"/>
  <c r="P1050" i="5"/>
  <c r="Q1050" i="5" s="1"/>
  <c r="P1049" i="5"/>
  <c r="O1049" i="5"/>
  <c r="R1049" i="5" s="1"/>
  <c r="O1048" i="5"/>
  <c r="R1048" i="5" s="1"/>
  <c r="P1048" i="5"/>
  <c r="Q1048" i="5" s="1"/>
  <c r="O1047" i="5"/>
  <c r="R1047" i="5" s="1"/>
  <c r="P1047" i="5"/>
  <c r="Q1047" i="5" s="1"/>
  <c r="O1046" i="5"/>
  <c r="R1046" i="5" s="1"/>
  <c r="P1046" i="5"/>
  <c r="Q1046" i="5" s="1"/>
  <c r="O1045" i="5"/>
  <c r="R1045" i="5" s="1"/>
  <c r="P1045" i="5"/>
  <c r="Q1045" i="5" s="1"/>
  <c r="P1044" i="5"/>
  <c r="O1044" i="5"/>
  <c r="R1044" i="5" s="1"/>
  <c r="P1043" i="5"/>
  <c r="O1043" i="5"/>
  <c r="R1043" i="5" s="1"/>
  <c r="O1042" i="5"/>
  <c r="R1042" i="5" s="1"/>
  <c r="P1042" i="5"/>
  <c r="Q1042" i="5" s="1"/>
  <c r="P1041" i="5"/>
  <c r="O1041" i="5"/>
  <c r="R1041" i="5" s="1"/>
  <c r="O1040" i="5"/>
  <c r="R1040" i="5" s="1"/>
  <c r="P1040" i="5"/>
  <c r="Q1040" i="5" s="1"/>
  <c r="O1039" i="5"/>
  <c r="R1039" i="5" s="1"/>
  <c r="P1039" i="5"/>
  <c r="Q1039" i="5" s="1"/>
  <c r="O1038" i="5"/>
  <c r="R1038" i="5" s="1"/>
  <c r="P1038" i="5"/>
  <c r="Q1038" i="5" s="1"/>
  <c r="P1037" i="5"/>
  <c r="O1037" i="5"/>
  <c r="R1037" i="5" s="1"/>
  <c r="P1036" i="5"/>
  <c r="O1036" i="5"/>
  <c r="R1036" i="5" s="1"/>
  <c r="P1035" i="5"/>
  <c r="O1035" i="5"/>
  <c r="R1035" i="5" s="1"/>
  <c r="P1034" i="5"/>
  <c r="O1034" i="5"/>
  <c r="R1034" i="5" s="1"/>
  <c r="O1033" i="5"/>
  <c r="R1033" i="5" s="1"/>
  <c r="P1033" i="5"/>
  <c r="Q1033" i="5" s="1"/>
  <c r="O1032" i="5"/>
  <c r="R1032" i="5" s="1"/>
  <c r="P1032" i="5"/>
  <c r="Q1032" i="5" s="1"/>
  <c r="P1031" i="5"/>
  <c r="O1031" i="5"/>
  <c r="R1031" i="5" s="1"/>
  <c r="O1030" i="5"/>
  <c r="R1030" i="5" s="1"/>
  <c r="P1030" i="5"/>
  <c r="Q1030" i="5" s="1"/>
  <c r="O1029" i="5"/>
  <c r="R1029" i="5" s="1"/>
  <c r="P1029" i="5"/>
  <c r="Q1029" i="5" s="1"/>
  <c r="P1028" i="5"/>
  <c r="O1028" i="5"/>
  <c r="R1028" i="5" s="1"/>
  <c r="P1027" i="5"/>
  <c r="O1027" i="5"/>
  <c r="R1027" i="5" s="1"/>
  <c r="O1026" i="5"/>
  <c r="R1026" i="5" s="1"/>
  <c r="P1026" i="5"/>
  <c r="Q1026" i="5" s="1"/>
  <c r="O1025" i="5"/>
  <c r="R1025" i="5" s="1"/>
  <c r="P1025" i="5"/>
  <c r="Q1025" i="5" s="1"/>
  <c r="P1024" i="5"/>
  <c r="O1024" i="5"/>
  <c r="R1024" i="5" s="1"/>
  <c r="P1023" i="5"/>
  <c r="O1023" i="5"/>
  <c r="R1023" i="5" s="1"/>
  <c r="P1022" i="5"/>
  <c r="O1022" i="5"/>
  <c r="R1022" i="5" s="1"/>
  <c r="P1021" i="5"/>
  <c r="O1021" i="5"/>
  <c r="R1021" i="5" s="1"/>
  <c r="P1020" i="5"/>
  <c r="O1020" i="5"/>
  <c r="R1020" i="5" s="1"/>
  <c r="P1019" i="5"/>
  <c r="O1019" i="5"/>
  <c r="R1019" i="5" s="1"/>
  <c r="O1018" i="5"/>
  <c r="R1018" i="5" s="1"/>
  <c r="P1018" i="5"/>
  <c r="Q1018" i="5" s="1"/>
  <c r="O1017" i="5"/>
  <c r="R1017" i="5" s="1"/>
  <c r="P1017" i="5"/>
  <c r="Q1017" i="5" s="1"/>
  <c r="P1016" i="5"/>
  <c r="O1016" i="5"/>
  <c r="R1016" i="5" s="1"/>
  <c r="O1015" i="5"/>
  <c r="R1015" i="5" s="1"/>
  <c r="P1015" i="5"/>
  <c r="Q1015" i="5" s="1"/>
  <c r="O1014" i="5"/>
  <c r="R1014" i="5" s="1"/>
  <c r="P1014" i="5"/>
  <c r="Q1014" i="5" s="1"/>
  <c r="P1013" i="5"/>
  <c r="O1013" i="5"/>
  <c r="R1013" i="5" s="1"/>
  <c r="P1012" i="5"/>
  <c r="O1012" i="5"/>
  <c r="R1012" i="5" s="1"/>
  <c r="P1011" i="5"/>
  <c r="O1011" i="5"/>
  <c r="R1011" i="5" s="1"/>
  <c r="O1010" i="5"/>
  <c r="R1010" i="5" s="1"/>
  <c r="P1010" i="5"/>
  <c r="Q1010" i="5" s="1"/>
  <c r="O1009" i="5"/>
  <c r="R1009" i="5" s="1"/>
  <c r="P1009" i="5"/>
  <c r="Q1009" i="5" s="1"/>
  <c r="O1008" i="5"/>
  <c r="R1008" i="5" s="1"/>
  <c r="P1008" i="5"/>
  <c r="Q1008" i="5" s="1"/>
  <c r="O1007" i="5"/>
  <c r="R1007" i="5" s="1"/>
  <c r="P1007" i="5"/>
  <c r="Q1007" i="5" s="1"/>
  <c r="O1006" i="5"/>
  <c r="R1006" i="5" s="1"/>
  <c r="P1006" i="5"/>
  <c r="Q1006" i="5" s="1"/>
  <c r="P1005" i="5"/>
  <c r="O1005" i="5"/>
  <c r="R1005" i="5" s="1"/>
  <c r="O1004" i="5"/>
  <c r="R1004" i="5" s="1"/>
  <c r="P1004" i="5"/>
  <c r="Q1004" i="5" s="1"/>
  <c r="O1003" i="5"/>
  <c r="R1003" i="5" s="1"/>
  <c r="P1003" i="5"/>
  <c r="Q1003" i="5" s="1"/>
  <c r="O1002" i="5"/>
  <c r="R1002" i="5" s="1"/>
  <c r="P1002" i="5"/>
  <c r="Q1002" i="5" s="1"/>
  <c r="P1001" i="5"/>
  <c r="O1001" i="5"/>
  <c r="R1001" i="5" s="1"/>
  <c r="O1000" i="5"/>
  <c r="R1000" i="5" s="1"/>
  <c r="P1000" i="5"/>
  <c r="Q1000" i="5" s="1"/>
  <c r="P999" i="5"/>
  <c r="O999" i="5"/>
  <c r="R999" i="5" s="1"/>
  <c r="P998" i="5"/>
  <c r="O998" i="5"/>
  <c r="R998" i="5" s="1"/>
  <c r="O997" i="5"/>
  <c r="R997" i="5" s="1"/>
  <c r="P997" i="5"/>
  <c r="Q997" i="5" s="1"/>
  <c r="O996" i="5"/>
  <c r="R996" i="5" s="1"/>
  <c r="P996" i="5"/>
  <c r="Q996" i="5" s="1"/>
  <c r="O995" i="5"/>
  <c r="R995" i="5" s="1"/>
  <c r="P995" i="5"/>
  <c r="Q995" i="5" s="1"/>
  <c r="O994" i="5"/>
  <c r="R994" i="5" s="1"/>
  <c r="P994" i="5"/>
  <c r="Q994" i="5" s="1"/>
  <c r="P993" i="5"/>
  <c r="O993" i="5"/>
  <c r="R993" i="5" s="1"/>
  <c r="P992" i="5"/>
  <c r="O992" i="5"/>
  <c r="R992" i="5" s="1"/>
  <c r="O991" i="5"/>
  <c r="R991" i="5" s="1"/>
  <c r="P991" i="5"/>
  <c r="Q991" i="5" s="1"/>
  <c r="P990" i="5"/>
  <c r="O990" i="5"/>
  <c r="R990" i="5" s="1"/>
  <c r="O989" i="5"/>
  <c r="R989" i="5" s="1"/>
  <c r="P989" i="5"/>
  <c r="Q989" i="5" s="1"/>
  <c r="O988" i="5"/>
  <c r="R988" i="5" s="1"/>
  <c r="P988" i="5"/>
  <c r="Q988" i="5" s="1"/>
  <c r="P987" i="5"/>
  <c r="O987" i="5"/>
  <c r="R987" i="5" s="1"/>
  <c r="P986" i="5"/>
  <c r="O986" i="5"/>
  <c r="R986" i="5" s="1"/>
  <c r="P985" i="5"/>
  <c r="O985" i="5"/>
  <c r="R985" i="5" s="1"/>
  <c r="P984" i="5"/>
  <c r="O984" i="5"/>
  <c r="R984" i="5" s="1"/>
  <c r="O983" i="5"/>
  <c r="R983" i="5" s="1"/>
  <c r="P983" i="5"/>
  <c r="Q983" i="5" s="1"/>
  <c r="P982" i="5"/>
  <c r="O982" i="5"/>
  <c r="R982" i="5" s="1"/>
  <c r="P981" i="5"/>
  <c r="O981" i="5"/>
  <c r="R981" i="5" s="1"/>
  <c r="O980" i="5"/>
  <c r="R980" i="5" s="1"/>
  <c r="P980" i="5"/>
  <c r="Q980" i="5" s="1"/>
  <c r="P979" i="5"/>
  <c r="O979" i="5"/>
  <c r="R979" i="5" s="1"/>
  <c r="O978" i="5"/>
  <c r="R978" i="5" s="1"/>
  <c r="P978" i="5"/>
  <c r="Q978" i="5" s="1"/>
  <c r="O977" i="5"/>
  <c r="R977" i="5" s="1"/>
  <c r="P977" i="5"/>
  <c r="Q977" i="5" s="1"/>
  <c r="O976" i="5"/>
  <c r="R976" i="5" s="1"/>
  <c r="P976" i="5"/>
  <c r="Q976" i="5" s="1"/>
  <c r="P975" i="5"/>
  <c r="O975" i="5"/>
  <c r="R975" i="5" s="1"/>
  <c r="O974" i="5"/>
  <c r="R974" i="5" s="1"/>
  <c r="P974" i="5"/>
  <c r="Q974" i="5" s="1"/>
  <c r="P973" i="5"/>
  <c r="O973" i="5"/>
  <c r="R973" i="5" s="1"/>
  <c r="P972" i="5"/>
  <c r="O972" i="5"/>
  <c r="R972" i="5" s="1"/>
  <c r="O971" i="5"/>
  <c r="R971" i="5" s="1"/>
  <c r="P971" i="5"/>
  <c r="Q971" i="5" s="1"/>
  <c r="O970" i="5"/>
  <c r="R970" i="5" s="1"/>
  <c r="P970" i="5"/>
  <c r="Q970" i="5" s="1"/>
  <c r="O969" i="5"/>
  <c r="R969" i="5" s="1"/>
  <c r="P969" i="5"/>
  <c r="Q969" i="5" s="1"/>
  <c r="P968" i="5"/>
  <c r="O968" i="5"/>
  <c r="R968" i="5" s="1"/>
  <c r="P967" i="5"/>
  <c r="O967" i="5"/>
  <c r="R967" i="5" s="1"/>
  <c r="P966" i="5"/>
  <c r="O966" i="5"/>
  <c r="R966" i="5" s="1"/>
  <c r="O965" i="5"/>
  <c r="R965" i="5" s="1"/>
  <c r="P965" i="5"/>
  <c r="Q965" i="5" s="1"/>
  <c r="O964" i="5"/>
  <c r="R964" i="5" s="1"/>
  <c r="P964" i="5"/>
  <c r="Q964" i="5" s="1"/>
  <c r="P963" i="5"/>
  <c r="O963" i="5"/>
  <c r="R963" i="5" s="1"/>
  <c r="O962" i="5"/>
  <c r="R962" i="5" s="1"/>
  <c r="P962" i="5"/>
  <c r="Q962" i="5" s="1"/>
  <c r="O961" i="5"/>
  <c r="R961" i="5" s="1"/>
  <c r="P961" i="5"/>
  <c r="Q961" i="5" s="1"/>
  <c r="P960" i="5"/>
  <c r="O960" i="5"/>
  <c r="R960" i="5" s="1"/>
  <c r="O959" i="5"/>
  <c r="R959" i="5" s="1"/>
  <c r="P959" i="5"/>
  <c r="Q959" i="5" s="1"/>
  <c r="O958" i="5"/>
  <c r="R958" i="5" s="1"/>
  <c r="P958" i="5"/>
  <c r="Q958" i="5" s="1"/>
  <c r="O957" i="5"/>
  <c r="R957" i="5" s="1"/>
  <c r="P957" i="5"/>
  <c r="Q957" i="5" s="1"/>
  <c r="P956" i="5"/>
  <c r="O956" i="5"/>
  <c r="R956" i="5" s="1"/>
  <c r="O955" i="5"/>
  <c r="R955" i="5" s="1"/>
  <c r="P955" i="5"/>
  <c r="Q955" i="5" s="1"/>
  <c r="O954" i="5"/>
  <c r="R954" i="5" s="1"/>
  <c r="P954" i="5"/>
  <c r="Q954" i="5" s="1"/>
  <c r="P953" i="5"/>
  <c r="O953" i="5"/>
  <c r="R953" i="5" s="1"/>
  <c r="P952" i="5"/>
  <c r="O952" i="5"/>
  <c r="R952" i="5" s="1"/>
  <c r="P951" i="5"/>
  <c r="O951" i="5"/>
  <c r="R951" i="5" s="1"/>
  <c r="O950" i="5"/>
  <c r="R950" i="5" s="1"/>
  <c r="P950" i="5"/>
  <c r="Q950" i="5" s="1"/>
  <c r="O949" i="5"/>
  <c r="R949" i="5" s="1"/>
  <c r="P949" i="5"/>
  <c r="Q949" i="5" s="1"/>
  <c r="P948" i="5"/>
  <c r="O948" i="5"/>
  <c r="R948" i="5" s="1"/>
  <c r="P947" i="5"/>
  <c r="O947" i="5"/>
  <c r="R947" i="5" s="1"/>
  <c r="O946" i="5"/>
  <c r="R946" i="5" s="1"/>
  <c r="P946" i="5"/>
  <c r="O945" i="5"/>
  <c r="R945" i="5" s="1"/>
  <c r="P945" i="5"/>
  <c r="Q945" i="5" s="1"/>
  <c r="O944" i="5"/>
  <c r="R944" i="5" s="1"/>
  <c r="P944" i="5"/>
  <c r="Q944" i="5" s="1"/>
  <c r="O943" i="5"/>
  <c r="R943" i="5" s="1"/>
  <c r="P943" i="5"/>
  <c r="Q943" i="5" s="1"/>
  <c r="O942" i="5"/>
  <c r="R942" i="5" s="1"/>
  <c r="P942" i="5"/>
  <c r="Q942" i="5" s="1"/>
  <c r="P941" i="5"/>
  <c r="O941" i="5"/>
  <c r="R941" i="5" s="1"/>
  <c r="P940" i="5"/>
  <c r="O940" i="5"/>
  <c r="R940" i="5" s="1"/>
  <c r="P939" i="5"/>
  <c r="O939" i="5"/>
  <c r="R939" i="5" s="1"/>
  <c r="P938" i="5"/>
  <c r="O938" i="5"/>
  <c r="R938" i="5" s="1"/>
  <c r="P937" i="5"/>
  <c r="O937" i="5"/>
  <c r="R937" i="5" s="1"/>
  <c r="O936" i="5"/>
  <c r="R936" i="5" s="1"/>
  <c r="P936" i="5"/>
  <c r="Q936" i="5" s="1"/>
  <c r="O935" i="5"/>
  <c r="R935" i="5" s="1"/>
  <c r="P935" i="5"/>
  <c r="Q935" i="5" s="1"/>
  <c r="P934" i="5"/>
  <c r="O934" i="5"/>
  <c r="R934" i="5" s="1"/>
  <c r="P933" i="5"/>
  <c r="O933" i="5"/>
  <c r="R933" i="5" s="1"/>
  <c r="P932" i="5"/>
  <c r="O932" i="5"/>
  <c r="R932" i="5" s="1"/>
  <c r="P931" i="5"/>
  <c r="O931" i="5"/>
  <c r="R931" i="5" s="1"/>
  <c r="O930" i="5"/>
  <c r="R930" i="5" s="1"/>
  <c r="P930" i="5"/>
  <c r="Q930" i="5" s="1"/>
  <c r="O929" i="5"/>
  <c r="R929" i="5" s="1"/>
  <c r="P929" i="5"/>
  <c r="Q929" i="5" s="1"/>
  <c r="P928" i="5"/>
  <c r="O928" i="5"/>
  <c r="R928" i="5" s="1"/>
  <c r="O927" i="5"/>
  <c r="R927" i="5" s="1"/>
  <c r="P927" i="5"/>
  <c r="Q927" i="5" s="1"/>
  <c r="O926" i="5"/>
  <c r="R926" i="5" s="1"/>
  <c r="P926" i="5"/>
  <c r="Q926" i="5" s="1"/>
  <c r="P925" i="5"/>
  <c r="O925" i="5"/>
  <c r="R925" i="5" s="1"/>
  <c r="P924" i="5"/>
  <c r="O924" i="5"/>
  <c r="R924" i="5" s="1"/>
  <c r="P923" i="5"/>
  <c r="O923" i="5"/>
  <c r="R923" i="5" s="1"/>
  <c r="P922" i="5"/>
  <c r="O922" i="5"/>
  <c r="R922" i="5" s="1"/>
  <c r="O921" i="5"/>
  <c r="R921" i="5" s="1"/>
  <c r="P921" i="5"/>
  <c r="Q921" i="5" s="1"/>
  <c r="O920" i="5"/>
  <c r="R920" i="5" s="1"/>
  <c r="P920" i="5"/>
  <c r="Q920" i="5" s="1"/>
  <c r="P919" i="5"/>
  <c r="O919" i="5"/>
  <c r="R919" i="5" s="1"/>
  <c r="P918" i="5"/>
  <c r="O918" i="5"/>
  <c r="R918" i="5" s="1"/>
  <c r="O917" i="5"/>
  <c r="R917" i="5" s="1"/>
  <c r="P917" i="5"/>
  <c r="Q917" i="5" s="1"/>
  <c r="P916" i="5"/>
  <c r="O916" i="5"/>
  <c r="R916" i="5" s="1"/>
  <c r="O915" i="5"/>
  <c r="R915" i="5" s="1"/>
  <c r="P915" i="5"/>
  <c r="Q915" i="5" s="1"/>
  <c r="P914" i="5"/>
  <c r="O914" i="5"/>
  <c r="R914" i="5" s="1"/>
  <c r="O913" i="5"/>
  <c r="R913" i="5" s="1"/>
  <c r="P913" i="5"/>
  <c r="Q913" i="5" s="1"/>
  <c r="P912" i="5"/>
  <c r="O912" i="5"/>
  <c r="R912" i="5" s="1"/>
  <c r="P911" i="5"/>
  <c r="O911" i="5"/>
  <c r="R911" i="5" s="1"/>
  <c r="P910" i="5"/>
  <c r="O910" i="5"/>
  <c r="R910" i="5" s="1"/>
  <c r="P909" i="5"/>
  <c r="O909" i="5"/>
  <c r="R909" i="5" s="1"/>
  <c r="O908" i="5"/>
  <c r="R908" i="5" s="1"/>
  <c r="P908" i="5"/>
  <c r="Q908" i="5" s="1"/>
  <c r="P907" i="5"/>
  <c r="O907" i="5"/>
  <c r="R907" i="5" s="1"/>
  <c r="P906" i="5"/>
  <c r="O906" i="5"/>
  <c r="R906" i="5" s="1"/>
  <c r="O905" i="5"/>
  <c r="R905" i="5" s="1"/>
  <c r="P905" i="5"/>
  <c r="Q905" i="5" s="1"/>
  <c r="O904" i="5"/>
  <c r="R904" i="5" s="1"/>
  <c r="P904" i="5"/>
  <c r="Q904" i="5" s="1"/>
  <c r="O903" i="5"/>
  <c r="R903" i="5" s="1"/>
  <c r="P903" i="5"/>
  <c r="Q903" i="5" s="1"/>
  <c r="O902" i="5"/>
  <c r="R902" i="5" s="1"/>
  <c r="P902" i="5"/>
  <c r="Q902" i="5" s="1"/>
  <c r="O901" i="5"/>
  <c r="R901" i="5" s="1"/>
  <c r="P901" i="5"/>
  <c r="Q901" i="5" s="1"/>
  <c r="O900" i="5"/>
  <c r="R900" i="5" s="1"/>
  <c r="P900" i="5"/>
  <c r="Q900" i="5" s="1"/>
  <c r="O899" i="5"/>
  <c r="R899" i="5" s="1"/>
  <c r="P899" i="5"/>
  <c r="Q899" i="5" s="1"/>
  <c r="P898" i="5"/>
  <c r="O898" i="5"/>
  <c r="R898" i="5" s="1"/>
  <c r="P897" i="5"/>
  <c r="O897" i="5"/>
  <c r="R897" i="5" s="1"/>
  <c r="P896" i="5"/>
  <c r="O896" i="5"/>
  <c r="R896" i="5" s="1"/>
  <c r="O895" i="5"/>
  <c r="R895" i="5" s="1"/>
  <c r="P895" i="5"/>
  <c r="Q895" i="5" s="1"/>
  <c r="P894" i="5"/>
  <c r="O894" i="5"/>
  <c r="R894" i="5" s="1"/>
  <c r="O893" i="5"/>
  <c r="R893" i="5" s="1"/>
  <c r="P893" i="5"/>
  <c r="Q893" i="5" s="1"/>
  <c r="O892" i="5"/>
  <c r="R892" i="5" s="1"/>
  <c r="P892" i="5"/>
  <c r="Q892" i="5" s="1"/>
  <c r="O891" i="5"/>
  <c r="R891" i="5" s="1"/>
  <c r="P891" i="5"/>
  <c r="Q891" i="5" s="1"/>
  <c r="P890" i="5"/>
  <c r="O890" i="5"/>
  <c r="R890" i="5" s="1"/>
  <c r="O889" i="5"/>
  <c r="R889" i="5" s="1"/>
  <c r="P889" i="5"/>
  <c r="Q889" i="5" s="1"/>
  <c r="P888" i="5"/>
  <c r="O888" i="5"/>
  <c r="R888" i="5" s="1"/>
  <c r="O887" i="5"/>
  <c r="R887" i="5" s="1"/>
  <c r="P887" i="5"/>
  <c r="Q887" i="5" s="1"/>
  <c r="O886" i="5"/>
  <c r="R886" i="5" s="1"/>
  <c r="P886" i="5"/>
  <c r="Q886" i="5" s="1"/>
  <c r="P885" i="5"/>
  <c r="O885" i="5"/>
  <c r="R885" i="5" s="1"/>
  <c r="P884" i="5"/>
  <c r="O884" i="5"/>
  <c r="R884" i="5" s="1"/>
  <c r="P883" i="5"/>
  <c r="O883" i="5"/>
  <c r="R883" i="5" s="1"/>
  <c r="P882" i="5"/>
  <c r="O882" i="5"/>
  <c r="R882" i="5" s="1"/>
  <c r="P881" i="5"/>
  <c r="O881" i="5"/>
  <c r="R881" i="5" s="1"/>
  <c r="P880" i="5"/>
  <c r="O880" i="5"/>
  <c r="R880" i="5" s="1"/>
  <c r="P879" i="5"/>
  <c r="O879" i="5"/>
  <c r="R879" i="5" s="1"/>
  <c r="P878" i="5"/>
  <c r="O878" i="5"/>
  <c r="R878" i="5" s="1"/>
  <c r="P877" i="5"/>
  <c r="O877" i="5"/>
  <c r="R877" i="5" s="1"/>
  <c r="P876" i="5"/>
  <c r="O876" i="5"/>
  <c r="R876" i="5" s="1"/>
  <c r="P875" i="5"/>
  <c r="O875" i="5"/>
  <c r="R875" i="5" s="1"/>
  <c r="O874" i="5"/>
  <c r="R874" i="5" s="1"/>
  <c r="P874" i="5"/>
  <c r="Q874" i="5" s="1"/>
  <c r="O873" i="5"/>
  <c r="R873" i="5" s="1"/>
  <c r="P873" i="5"/>
  <c r="Q873" i="5" s="1"/>
  <c r="O872" i="5"/>
  <c r="R872" i="5" s="1"/>
  <c r="P872" i="5"/>
  <c r="Q872" i="5" s="1"/>
  <c r="O871" i="5"/>
  <c r="R871" i="5" s="1"/>
  <c r="P871" i="5"/>
  <c r="Q871" i="5" s="1"/>
  <c r="P870" i="5"/>
  <c r="O870" i="5"/>
  <c r="R870" i="5" s="1"/>
  <c r="P869" i="5"/>
  <c r="O869" i="5"/>
  <c r="R869" i="5" s="1"/>
  <c r="O868" i="5"/>
  <c r="R868" i="5" s="1"/>
  <c r="P868" i="5"/>
  <c r="Q868" i="5" s="1"/>
  <c r="P867" i="5"/>
  <c r="O867" i="5"/>
  <c r="R867" i="5" s="1"/>
  <c r="P866" i="5"/>
  <c r="O866" i="5"/>
  <c r="R866" i="5" s="1"/>
  <c r="O865" i="5"/>
  <c r="R865" i="5" s="1"/>
  <c r="P865" i="5"/>
  <c r="Q865" i="5" s="1"/>
  <c r="O864" i="5"/>
  <c r="R864" i="5" s="1"/>
  <c r="P864" i="5"/>
  <c r="Q864" i="5" s="1"/>
  <c r="P863" i="5"/>
  <c r="O863" i="5"/>
  <c r="R863" i="5" s="1"/>
  <c r="P862" i="5"/>
  <c r="O862" i="5"/>
  <c r="R862" i="5" s="1"/>
  <c r="P861" i="5"/>
  <c r="O861" i="5"/>
  <c r="R861" i="5" s="1"/>
  <c r="P860" i="5"/>
  <c r="O860" i="5"/>
  <c r="R860" i="5" s="1"/>
  <c r="P859" i="5"/>
  <c r="O859" i="5"/>
  <c r="R859" i="5" s="1"/>
  <c r="P858" i="5"/>
  <c r="O858" i="5"/>
  <c r="R858" i="5" s="1"/>
  <c r="O857" i="5"/>
  <c r="R857" i="5" s="1"/>
  <c r="P857" i="5"/>
  <c r="Q857" i="5" s="1"/>
  <c r="P856" i="5"/>
  <c r="O856" i="5"/>
  <c r="R856" i="5" s="1"/>
  <c r="O855" i="5"/>
  <c r="R855" i="5" s="1"/>
  <c r="P855" i="5"/>
  <c r="Q855" i="5" s="1"/>
  <c r="O854" i="5"/>
  <c r="R854" i="5" s="1"/>
  <c r="P854" i="5"/>
  <c r="Q854" i="5" s="1"/>
  <c r="P853" i="5"/>
  <c r="O853" i="5"/>
  <c r="R853" i="5" s="1"/>
  <c r="O852" i="5"/>
  <c r="R852" i="5" s="1"/>
  <c r="P852" i="5"/>
  <c r="Q852" i="5" s="1"/>
  <c r="P851" i="5"/>
  <c r="O851" i="5"/>
  <c r="R851" i="5" s="1"/>
  <c r="P850" i="5"/>
  <c r="O850" i="5"/>
  <c r="R850" i="5" s="1"/>
  <c r="O849" i="5"/>
  <c r="R849" i="5" s="1"/>
  <c r="P849" i="5"/>
  <c r="Q849" i="5" s="1"/>
  <c r="P848" i="5"/>
  <c r="O848" i="5"/>
  <c r="R848" i="5" s="1"/>
  <c r="P847" i="5"/>
  <c r="O847" i="5"/>
  <c r="R847" i="5" s="1"/>
  <c r="O846" i="5"/>
  <c r="R846" i="5" s="1"/>
  <c r="P846" i="5"/>
  <c r="Q846" i="5" s="1"/>
  <c r="O845" i="5"/>
  <c r="R845" i="5" s="1"/>
  <c r="P845" i="5"/>
  <c r="Q845" i="5" s="1"/>
  <c r="P844" i="5"/>
  <c r="O844" i="5"/>
  <c r="R844" i="5" s="1"/>
  <c r="O843" i="5"/>
  <c r="R843" i="5" s="1"/>
  <c r="P843" i="5"/>
  <c r="Q843" i="5" s="1"/>
  <c r="P842" i="5"/>
  <c r="O842" i="5"/>
  <c r="R842" i="5" s="1"/>
  <c r="P841" i="5"/>
  <c r="O841" i="5"/>
  <c r="R841" i="5" s="1"/>
  <c r="O840" i="5"/>
  <c r="R840" i="5" s="1"/>
  <c r="P840" i="5"/>
  <c r="Q840" i="5" s="1"/>
  <c r="O839" i="5"/>
  <c r="R839" i="5" s="1"/>
  <c r="P839" i="5"/>
  <c r="Q839" i="5" s="1"/>
  <c r="O838" i="5"/>
  <c r="R838" i="5" s="1"/>
  <c r="P838" i="5"/>
  <c r="Q838" i="5" s="1"/>
  <c r="O837" i="5"/>
  <c r="R837" i="5" s="1"/>
  <c r="P837" i="5"/>
  <c r="Q837" i="5" s="1"/>
  <c r="O836" i="5"/>
  <c r="R836" i="5" s="1"/>
  <c r="P836" i="5"/>
  <c r="Q836" i="5" s="1"/>
  <c r="P835" i="5"/>
  <c r="O835" i="5"/>
  <c r="R835" i="5" s="1"/>
  <c r="P834" i="5"/>
  <c r="O834" i="5"/>
  <c r="R834" i="5" s="1"/>
  <c r="P833" i="5"/>
  <c r="O833" i="5"/>
  <c r="R833" i="5" s="1"/>
  <c r="O832" i="5"/>
  <c r="R832" i="5" s="1"/>
  <c r="P832" i="5"/>
  <c r="Q832" i="5" s="1"/>
  <c r="O831" i="5"/>
  <c r="R831" i="5" s="1"/>
  <c r="P831" i="5"/>
  <c r="Q831" i="5" s="1"/>
  <c r="P830" i="5"/>
  <c r="O830" i="5"/>
  <c r="R830" i="5" s="1"/>
  <c r="O829" i="5"/>
  <c r="R829" i="5" s="1"/>
  <c r="P829" i="5"/>
  <c r="Q829" i="5" s="1"/>
  <c r="P828" i="5"/>
  <c r="O828" i="5"/>
  <c r="R828" i="5" s="1"/>
  <c r="P827" i="5"/>
  <c r="O827" i="5"/>
  <c r="R827" i="5" s="1"/>
  <c r="P826" i="5"/>
  <c r="O826" i="5"/>
  <c r="R826" i="5" s="1"/>
  <c r="P825" i="5"/>
  <c r="O825" i="5"/>
  <c r="R825" i="5" s="1"/>
  <c r="P824" i="5"/>
  <c r="O824" i="5"/>
  <c r="R824" i="5" s="1"/>
  <c r="O823" i="5"/>
  <c r="R823" i="5" s="1"/>
  <c r="P823" i="5"/>
  <c r="Q823" i="5" s="1"/>
  <c r="P822" i="5"/>
  <c r="O822" i="5"/>
  <c r="R822" i="5" s="1"/>
  <c r="P821" i="5"/>
  <c r="O821" i="5"/>
  <c r="R821" i="5" s="1"/>
  <c r="O820" i="5"/>
  <c r="R820" i="5" s="1"/>
  <c r="P820" i="5"/>
  <c r="Q820" i="5" s="1"/>
  <c r="P819" i="5"/>
  <c r="O819" i="5"/>
  <c r="R819" i="5" s="1"/>
  <c r="O818" i="5"/>
  <c r="R818" i="5" s="1"/>
  <c r="P818" i="5"/>
  <c r="Q818" i="5" s="1"/>
  <c r="O817" i="5"/>
  <c r="R817" i="5" s="1"/>
  <c r="P817" i="5"/>
  <c r="Q817" i="5" s="1"/>
  <c r="P816" i="5"/>
  <c r="O816" i="5"/>
  <c r="R816" i="5" s="1"/>
  <c r="P815" i="5"/>
  <c r="O815" i="5"/>
  <c r="R815" i="5" s="1"/>
  <c r="P814" i="5"/>
  <c r="O814" i="5"/>
  <c r="R814" i="5" s="1"/>
  <c r="O813" i="5"/>
  <c r="R813" i="5" s="1"/>
  <c r="P813" i="5"/>
  <c r="Q813" i="5" s="1"/>
  <c r="P812" i="5"/>
  <c r="O812" i="5"/>
  <c r="R812" i="5" s="1"/>
  <c r="P811" i="5"/>
  <c r="O811" i="5"/>
  <c r="R811" i="5" s="1"/>
  <c r="P810" i="5"/>
  <c r="O810" i="5"/>
  <c r="R810" i="5" s="1"/>
  <c r="O809" i="5"/>
  <c r="R809" i="5" s="1"/>
  <c r="P809" i="5"/>
  <c r="Q809" i="5" s="1"/>
  <c r="O808" i="5"/>
  <c r="R808" i="5" s="1"/>
  <c r="P808" i="5"/>
  <c r="Q808" i="5" s="1"/>
  <c r="P807" i="5"/>
  <c r="O807" i="5"/>
  <c r="R807" i="5" s="1"/>
  <c r="O806" i="5"/>
  <c r="R806" i="5" s="1"/>
  <c r="P806" i="5"/>
  <c r="Q806" i="5" s="1"/>
  <c r="O805" i="5"/>
  <c r="R805" i="5" s="1"/>
  <c r="P805" i="5"/>
  <c r="Q805" i="5" s="1"/>
  <c r="O804" i="5"/>
  <c r="R804" i="5" s="1"/>
  <c r="P804" i="5"/>
  <c r="Q804" i="5" s="1"/>
  <c r="O803" i="5"/>
  <c r="R803" i="5" s="1"/>
  <c r="P803" i="5"/>
  <c r="Q803" i="5" s="1"/>
  <c r="O802" i="5"/>
  <c r="R802" i="5" s="1"/>
  <c r="P802" i="5"/>
  <c r="Q802" i="5" s="1"/>
  <c r="P801" i="5"/>
  <c r="O801" i="5"/>
  <c r="R801" i="5" s="1"/>
  <c r="P800" i="5"/>
  <c r="O800" i="5"/>
  <c r="R800" i="5" s="1"/>
  <c r="P799" i="5"/>
  <c r="O799" i="5"/>
  <c r="R799" i="5" s="1"/>
  <c r="O798" i="5"/>
  <c r="R798" i="5" s="1"/>
  <c r="P798" i="5"/>
  <c r="Q798" i="5" s="1"/>
  <c r="O797" i="5"/>
  <c r="R797" i="5" s="1"/>
  <c r="P797" i="5"/>
  <c r="Q797" i="5" s="1"/>
  <c r="P796" i="5"/>
  <c r="O796" i="5"/>
  <c r="R796" i="5" s="1"/>
  <c r="O795" i="5"/>
  <c r="R795" i="5" s="1"/>
  <c r="P795" i="5"/>
  <c r="Q795" i="5" s="1"/>
  <c r="P794" i="5"/>
  <c r="O794" i="5"/>
  <c r="R794" i="5" s="1"/>
  <c r="P793" i="5"/>
  <c r="O793" i="5"/>
  <c r="R793" i="5" s="1"/>
  <c r="O792" i="5"/>
  <c r="R792" i="5" s="1"/>
  <c r="P792" i="5"/>
  <c r="Q792" i="5" s="1"/>
  <c r="O791" i="5"/>
  <c r="R791" i="5" s="1"/>
  <c r="P791" i="5"/>
  <c r="Q791" i="5" s="1"/>
  <c r="P790" i="5"/>
  <c r="O790" i="5"/>
  <c r="R790" i="5" s="1"/>
  <c r="O789" i="5"/>
  <c r="R789" i="5" s="1"/>
  <c r="P789" i="5"/>
  <c r="Q789" i="5" s="1"/>
  <c r="O788" i="5"/>
  <c r="R788" i="5" s="1"/>
  <c r="P788" i="5"/>
  <c r="Q788" i="5" s="1"/>
  <c r="O787" i="5"/>
  <c r="R787" i="5" s="1"/>
  <c r="P787" i="5"/>
  <c r="Q787" i="5" s="1"/>
  <c r="P786" i="5"/>
  <c r="O786" i="5"/>
  <c r="R786" i="5" s="1"/>
  <c r="P785" i="5"/>
  <c r="O785" i="5"/>
  <c r="R785" i="5" s="1"/>
  <c r="O784" i="5"/>
  <c r="R784" i="5" s="1"/>
  <c r="P784" i="5"/>
  <c r="Q784" i="5" s="1"/>
  <c r="O783" i="5"/>
  <c r="R783" i="5" s="1"/>
  <c r="P783" i="5"/>
  <c r="Q783" i="5" s="1"/>
  <c r="P782" i="5"/>
  <c r="O782" i="5"/>
  <c r="R782" i="5" s="1"/>
  <c r="P781" i="5"/>
  <c r="O781" i="5"/>
  <c r="R781" i="5" s="1"/>
  <c r="O780" i="5"/>
  <c r="R780" i="5" s="1"/>
  <c r="P780" i="5"/>
  <c r="Q780" i="5" s="1"/>
  <c r="O779" i="5"/>
  <c r="R779" i="5" s="1"/>
  <c r="P779" i="5"/>
  <c r="Q779" i="5" s="1"/>
  <c r="O778" i="5"/>
  <c r="R778" i="5" s="1"/>
  <c r="P778" i="5"/>
  <c r="Q778" i="5" s="1"/>
  <c r="P777" i="5"/>
  <c r="O777" i="5"/>
  <c r="R777" i="5" s="1"/>
  <c r="O776" i="5"/>
  <c r="R776" i="5" s="1"/>
  <c r="P776" i="5"/>
  <c r="Q776" i="5" s="1"/>
  <c r="P775" i="5"/>
  <c r="O775" i="5"/>
  <c r="R775" i="5" s="1"/>
  <c r="O774" i="5"/>
  <c r="R774" i="5" s="1"/>
  <c r="P774" i="5"/>
  <c r="Q774" i="5" s="1"/>
  <c r="P773" i="5"/>
  <c r="O773" i="5"/>
  <c r="R773" i="5" s="1"/>
  <c r="P772" i="5"/>
  <c r="O772" i="5"/>
  <c r="R772" i="5" s="1"/>
  <c r="P771" i="5"/>
  <c r="O771" i="5"/>
  <c r="R771" i="5" s="1"/>
  <c r="O770" i="5"/>
  <c r="R770" i="5" s="1"/>
  <c r="P770" i="5"/>
  <c r="Q770" i="5" s="1"/>
  <c r="O769" i="5"/>
  <c r="R769" i="5" s="1"/>
  <c r="P769" i="5"/>
  <c r="Q769" i="5" s="1"/>
  <c r="O768" i="5"/>
  <c r="R768" i="5" s="1"/>
  <c r="P768" i="5"/>
  <c r="Q768" i="5" s="1"/>
  <c r="O767" i="5"/>
  <c r="R767" i="5" s="1"/>
  <c r="P767" i="5"/>
  <c r="Q767" i="5" s="1"/>
  <c r="P766" i="5"/>
  <c r="O766" i="5"/>
  <c r="R766" i="5" s="1"/>
  <c r="P765" i="5"/>
  <c r="O765" i="5"/>
  <c r="R765" i="5" s="1"/>
  <c r="O764" i="5"/>
  <c r="R764" i="5" s="1"/>
  <c r="P764" i="5"/>
  <c r="Q764" i="5" s="1"/>
  <c r="P763" i="5"/>
  <c r="O763" i="5"/>
  <c r="R763" i="5" s="1"/>
  <c r="P762" i="5"/>
  <c r="O762" i="5"/>
  <c r="R762" i="5" s="1"/>
  <c r="P761" i="5"/>
  <c r="O761" i="5"/>
  <c r="R761" i="5" s="1"/>
  <c r="P760" i="5"/>
  <c r="O760" i="5"/>
  <c r="R760" i="5" s="1"/>
  <c r="P759" i="5"/>
  <c r="O759" i="5"/>
  <c r="R759" i="5" s="1"/>
  <c r="P758" i="5"/>
  <c r="O758" i="5"/>
  <c r="R758" i="5" s="1"/>
  <c r="O757" i="5"/>
  <c r="R757" i="5" s="1"/>
  <c r="P757" i="5"/>
  <c r="Q757" i="5" s="1"/>
  <c r="P756" i="5"/>
  <c r="O756" i="5"/>
  <c r="R756" i="5" s="1"/>
  <c r="O755" i="5"/>
  <c r="R755" i="5" s="1"/>
  <c r="P755" i="5"/>
  <c r="Q755" i="5" s="1"/>
  <c r="O754" i="5"/>
  <c r="R754" i="5" s="1"/>
  <c r="P754" i="5"/>
  <c r="Q754" i="5" s="1"/>
  <c r="P753" i="5"/>
  <c r="O753" i="5"/>
  <c r="R753" i="5" s="1"/>
  <c r="P752" i="5"/>
  <c r="O752" i="5"/>
  <c r="R752" i="5" s="1"/>
  <c r="P751" i="5"/>
  <c r="O751" i="5"/>
  <c r="R751" i="5" s="1"/>
  <c r="P750" i="5"/>
  <c r="O750" i="5"/>
  <c r="R750" i="5" s="1"/>
  <c r="O749" i="5"/>
  <c r="R749" i="5" s="1"/>
  <c r="P749" i="5"/>
  <c r="Q749" i="5" s="1"/>
  <c r="O748" i="5"/>
  <c r="R748" i="5" s="1"/>
  <c r="P748" i="5"/>
  <c r="Q748" i="5" s="1"/>
  <c r="O747" i="5"/>
  <c r="R747" i="5" s="1"/>
  <c r="P747" i="5"/>
  <c r="Q747" i="5" s="1"/>
  <c r="O746" i="5"/>
  <c r="R746" i="5" s="1"/>
  <c r="P746" i="5"/>
  <c r="Q746" i="5" s="1"/>
  <c r="P745" i="5"/>
  <c r="O745" i="5"/>
  <c r="R745" i="5" s="1"/>
  <c r="O744" i="5"/>
  <c r="R744" i="5" s="1"/>
  <c r="P744" i="5"/>
  <c r="Q744" i="5" s="1"/>
  <c r="O743" i="5"/>
  <c r="R743" i="5" s="1"/>
  <c r="P743" i="5"/>
  <c r="Q743" i="5" s="1"/>
  <c r="P742" i="5"/>
  <c r="O742" i="5"/>
  <c r="R742" i="5" s="1"/>
  <c r="P741" i="5"/>
  <c r="O741" i="5"/>
  <c r="R741" i="5" s="1"/>
  <c r="O740" i="5"/>
  <c r="R740" i="5" s="1"/>
  <c r="P740" i="5"/>
  <c r="Q740" i="5" s="1"/>
  <c r="O739" i="5"/>
  <c r="R739" i="5" s="1"/>
  <c r="P739" i="5"/>
  <c r="Q739" i="5" s="1"/>
  <c r="O738" i="5"/>
  <c r="R738" i="5" s="1"/>
  <c r="P738" i="5"/>
  <c r="Q738" i="5" s="1"/>
  <c r="P737" i="5"/>
  <c r="O737" i="5"/>
  <c r="R737" i="5" s="1"/>
  <c r="O736" i="5"/>
  <c r="R736" i="5" s="1"/>
  <c r="P736" i="5"/>
  <c r="Q736" i="5" s="1"/>
  <c r="O735" i="5"/>
  <c r="R735" i="5" s="1"/>
  <c r="P735" i="5"/>
  <c r="Q735" i="5" s="1"/>
  <c r="O734" i="5"/>
  <c r="R734" i="5" s="1"/>
  <c r="P734" i="5"/>
  <c r="Q734" i="5" s="1"/>
  <c r="P733" i="5"/>
  <c r="O733" i="5"/>
  <c r="R733" i="5" s="1"/>
  <c r="P732" i="5"/>
  <c r="O732" i="5"/>
  <c r="R732" i="5" s="1"/>
  <c r="P731" i="5"/>
  <c r="O731" i="5"/>
  <c r="R731" i="5" s="1"/>
  <c r="O730" i="5"/>
  <c r="R730" i="5" s="1"/>
  <c r="P730" i="5"/>
  <c r="Q730" i="5" s="1"/>
  <c r="P729" i="5"/>
  <c r="O729" i="5"/>
  <c r="R729" i="5" s="1"/>
  <c r="P728" i="5"/>
  <c r="O728" i="5"/>
  <c r="R728" i="5" s="1"/>
  <c r="O727" i="5"/>
  <c r="R727" i="5" s="1"/>
  <c r="P727" i="5"/>
  <c r="Q727" i="5" s="1"/>
  <c r="P726" i="5"/>
  <c r="O726" i="5"/>
  <c r="R726" i="5" s="1"/>
  <c r="P725" i="5"/>
  <c r="O725" i="5"/>
  <c r="R725" i="5" s="1"/>
  <c r="P724" i="5"/>
  <c r="O724" i="5"/>
  <c r="R724" i="5" s="1"/>
  <c r="O723" i="5"/>
  <c r="R723" i="5" s="1"/>
  <c r="P723" i="5"/>
  <c r="Q723" i="5" s="1"/>
  <c r="P722" i="5"/>
  <c r="O722" i="5"/>
  <c r="R722" i="5" s="1"/>
  <c r="P721" i="5"/>
  <c r="O721" i="5"/>
  <c r="R721" i="5" s="1"/>
  <c r="O720" i="5"/>
  <c r="R720" i="5" s="1"/>
  <c r="P720" i="5"/>
  <c r="Q720" i="5" s="1"/>
  <c r="P719" i="5"/>
  <c r="O719" i="5"/>
  <c r="R719" i="5" s="1"/>
  <c r="O718" i="5"/>
  <c r="R718" i="5" s="1"/>
  <c r="P718" i="5"/>
  <c r="Q718" i="5" s="1"/>
  <c r="P717" i="5"/>
  <c r="O717" i="5"/>
  <c r="R717" i="5" s="1"/>
  <c r="P716" i="5"/>
  <c r="O716" i="5"/>
  <c r="R716" i="5" s="1"/>
  <c r="P715" i="5"/>
  <c r="O715" i="5"/>
  <c r="R715" i="5" s="1"/>
  <c r="O714" i="5"/>
  <c r="R714" i="5" s="1"/>
  <c r="P714" i="5"/>
  <c r="Q714" i="5" s="1"/>
  <c r="O713" i="5"/>
  <c r="R713" i="5" s="1"/>
  <c r="P713" i="5"/>
  <c r="Q713" i="5" s="1"/>
  <c r="P712" i="5"/>
  <c r="O712" i="5"/>
  <c r="R712" i="5" s="1"/>
  <c r="P711" i="5"/>
  <c r="O711" i="5"/>
  <c r="R711" i="5" s="1"/>
  <c r="O710" i="5"/>
  <c r="R710" i="5" s="1"/>
  <c r="P710" i="5"/>
  <c r="Q710" i="5" s="1"/>
  <c r="O709" i="5"/>
  <c r="R709" i="5" s="1"/>
  <c r="P709" i="5"/>
  <c r="Q709" i="5" s="1"/>
  <c r="O708" i="5"/>
  <c r="R708" i="5" s="1"/>
  <c r="P708" i="5"/>
  <c r="Q708" i="5" s="1"/>
  <c r="O707" i="5"/>
  <c r="R707" i="5" s="1"/>
  <c r="P707" i="5"/>
  <c r="Q707" i="5" s="1"/>
  <c r="P706" i="5"/>
  <c r="O706" i="5"/>
  <c r="R706" i="5" s="1"/>
  <c r="P705" i="5"/>
  <c r="O705" i="5"/>
  <c r="R705" i="5" s="1"/>
  <c r="P704" i="5"/>
  <c r="O704" i="5"/>
  <c r="R704" i="5" s="1"/>
  <c r="O703" i="5"/>
  <c r="R703" i="5" s="1"/>
  <c r="P703" i="5"/>
  <c r="Q703" i="5" s="1"/>
  <c r="O702" i="5"/>
  <c r="R702" i="5" s="1"/>
  <c r="P702" i="5"/>
  <c r="Q702" i="5" s="1"/>
  <c r="O701" i="5"/>
  <c r="R701" i="5" s="1"/>
  <c r="P701" i="5"/>
  <c r="Q701" i="5" s="1"/>
  <c r="O700" i="5"/>
  <c r="R700" i="5" s="1"/>
  <c r="P700" i="5"/>
  <c r="Q700" i="5" s="1"/>
  <c r="O699" i="5"/>
  <c r="R699" i="5" s="1"/>
  <c r="P699" i="5"/>
  <c r="Q699" i="5" s="1"/>
  <c r="O698" i="5"/>
  <c r="R698" i="5" s="1"/>
  <c r="P698" i="5"/>
  <c r="Q698" i="5" s="1"/>
  <c r="O697" i="5"/>
  <c r="R697" i="5" s="1"/>
  <c r="P697" i="5"/>
  <c r="Q697" i="5" s="1"/>
  <c r="O696" i="5"/>
  <c r="R696" i="5" s="1"/>
  <c r="P696" i="5"/>
  <c r="Q696" i="5" s="1"/>
  <c r="O695" i="5"/>
  <c r="R695" i="5" s="1"/>
  <c r="P695" i="5"/>
  <c r="Q695" i="5" s="1"/>
  <c r="P694" i="5"/>
  <c r="O694" i="5"/>
  <c r="R694" i="5" s="1"/>
  <c r="P693" i="5"/>
  <c r="O693" i="5"/>
  <c r="R693" i="5" s="1"/>
  <c r="O692" i="5"/>
  <c r="R692" i="5" s="1"/>
  <c r="P692" i="5"/>
  <c r="Q692" i="5" s="1"/>
  <c r="P691" i="5"/>
  <c r="O691" i="5"/>
  <c r="R691" i="5" s="1"/>
  <c r="O690" i="5"/>
  <c r="R690" i="5" s="1"/>
  <c r="P690" i="5"/>
  <c r="Q690" i="5" s="1"/>
  <c r="O689" i="5"/>
  <c r="R689" i="5" s="1"/>
  <c r="P689" i="5"/>
  <c r="Q689" i="5" s="1"/>
  <c r="O688" i="5"/>
  <c r="R688" i="5" s="1"/>
  <c r="P688" i="5"/>
  <c r="Q688" i="5" s="1"/>
  <c r="O687" i="5"/>
  <c r="R687" i="5" s="1"/>
  <c r="P687" i="5"/>
  <c r="Q687" i="5" s="1"/>
  <c r="P686" i="5"/>
  <c r="O686" i="5"/>
  <c r="R686" i="5" s="1"/>
  <c r="P685" i="5"/>
  <c r="O685" i="5"/>
  <c r="R685" i="5" s="1"/>
  <c r="P684" i="5"/>
  <c r="O684" i="5"/>
  <c r="R684" i="5" s="1"/>
  <c r="P683" i="5"/>
  <c r="O683" i="5"/>
  <c r="R683" i="5" s="1"/>
  <c r="O682" i="5"/>
  <c r="R682" i="5" s="1"/>
  <c r="P682" i="5"/>
  <c r="Q682" i="5" s="1"/>
  <c r="O681" i="5"/>
  <c r="R681" i="5" s="1"/>
  <c r="P681" i="5"/>
  <c r="Q681" i="5" s="1"/>
  <c r="O680" i="5"/>
  <c r="R680" i="5" s="1"/>
  <c r="P680" i="5"/>
  <c r="Q680" i="5" s="1"/>
  <c r="O679" i="5"/>
  <c r="R679" i="5" s="1"/>
  <c r="P679" i="5"/>
  <c r="Q679" i="5" s="1"/>
  <c r="O678" i="5"/>
  <c r="R678" i="5" s="1"/>
  <c r="P678" i="5"/>
  <c r="Q678" i="5" s="1"/>
  <c r="O677" i="5"/>
  <c r="R677" i="5" s="1"/>
  <c r="P677" i="5"/>
  <c r="Q677" i="5" s="1"/>
  <c r="P676" i="5"/>
  <c r="O676" i="5"/>
  <c r="R676" i="5" s="1"/>
  <c r="P675" i="5"/>
  <c r="O675" i="5"/>
  <c r="R675" i="5" s="1"/>
  <c r="P674" i="5"/>
  <c r="O674" i="5"/>
  <c r="R674" i="5" s="1"/>
  <c r="P673" i="5"/>
  <c r="O673" i="5"/>
  <c r="R673" i="5" s="1"/>
  <c r="P672" i="5"/>
  <c r="O672" i="5"/>
  <c r="R672" i="5" s="1"/>
  <c r="P671" i="5"/>
  <c r="O671" i="5"/>
  <c r="R671" i="5" s="1"/>
  <c r="O670" i="5"/>
  <c r="R670" i="5" s="1"/>
  <c r="P670" i="5"/>
  <c r="Q670" i="5" s="1"/>
  <c r="O669" i="5"/>
  <c r="R669" i="5" s="1"/>
  <c r="P669" i="5"/>
  <c r="Q669" i="5" s="1"/>
  <c r="P668" i="5"/>
  <c r="O668" i="5"/>
  <c r="R668" i="5" s="1"/>
  <c r="P667" i="5"/>
  <c r="O667" i="5"/>
  <c r="R667" i="5" s="1"/>
  <c r="P666" i="5"/>
  <c r="O666" i="5"/>
  <c r="R666" i="5" s="1"/>
  <c r="O665" i="5"/>
  <c r="R665" i="5" s="1"/>
  <c r="P665" i="5"/>
  <c r="Q665" i="5" s="1"/>
  <c r="P664" i="5"/>
  <c r="O664" i="5"/>
  <c r="R664" i="5" s="1"/>
  <c r="P663" i="5"/>
  <c r="O663" i="5"/>
  <c r="R663" i="5" s="1"/>
  <c r="P662" i="5"/>
  <c r="O662" i="5"/>
  <c r="R662" i="5" s="1"/>
  <c r="O661" i="5"/>
  <c r="R661" i="5" s="1"/>
  <c r="P661" i="5"/>
  <c r="Q661" i="5" s="1"/>
  <c r="O660" i="5"/>
  <c r="R660" i="5" s="1"/>
  <c r="P660" i="5"/>
  <c r="Q660" i="5" s="1"/>
  <c r="O659" i="5"/>
  <c r="R659" i="5" s="1"/>
  <c r="P659" i="5"/>
  <c r="Q659" i="5" s="1"/>
  <c r="P658" i="5"/>
  <c r="O658" i="5"/>
  <c r="R658" i="5" s="1"/>
  <c r="O657" i="5"/>
  <c r="R657" i="5" s="1"/>
  <c r="P657" i="5"/>
  <c r="Q657" i="5" s="1"/>
  <c r="O656" i="5"/>
  <c r="R656" i="5" s="1"/>
  <c r="P656" i="5"/>
  <c r="Q656" i="5" s="1"/>
  <c r="O655" i="5"/>
  <c r="R655" i="5" s="1"/>
  <c r="P655" i="5"/>
  <c r="Q655" i="5" s="1"/>
  <c r="O654" i="5"/>
  <c r="R654" i="5" s="1"/>
  <c r="P654" i="5"/>
  <c r="Q654" i="5" s="1"/>
  <c r="P653" i="5"/>
  <c r="O653" i="5"/>
  <c r="R653" i="5" s="1"/>
  <c r="O652" i="5"/>
  <c r="R652" i="5" s="1"/>
  <c r="P652" i="5"/>
  <c r="Q652" i="5" s="1"/>
  <c r="P651" i="5"/>
  <c r="O651" i="5"/>
  <c r="R651" i="5" s="1"/>
  <c r="O650" i="5"/>
  <c r="R650" i="5" s="1"/>
  <c r="P650" i="5"/>
  <c r="Q650" i="5" s="1"/>
  <c r="P649" i="5"/>
  <c r="O649" i="5"/>
  <c r="R649" i="5" s="1"/>
  <c r="P648" i="5"/>
  <c r="O648" i="5"/>
  <c r="R648" i="5" s="1"/>
  <c r="P647" i="5"/>
  <c r="O647" i="5"/>
  <c r="R647" i="5" s="1"/>
  <c r="P646" i="5"/>
  <c r="O646" i="5"/>
  <c r="R646" i="5" s="1"/>
  <c r="P645" i="5"/>
  <c r="O645" i="5"/>
  <c r="R645" i="5" s="1"/>
  <c r="P644" i="5"/>
  <c r="O644" i="5"/>
  <c r="R644" i="5" s="1"/>
  <c r="P643" i="5"/>
  <c r="O643" i="5"/>
  <c r="R643" i="5" s="1"/>
  <c r="O642" i="5"/>
  <c r="R642" i="5" s="1"/>
  <c r="P642" i="5"/>
  <c r="Q642" i="5" s="1"/>
  <c r="P641" i="5"/>
  <c r="O641" i="5"/>
  <c r="R641" i="5" s="1"/>
  <c r="P640" i="5"/>
  <c r="O640" i="5"/>
  <c r="R640" i="5" s="1"/>
  <c r="P639" i="5"/>
  <c r="O639" i="5"/>
  <c r="R639" i="5" s="1"/>
  <c r="P638" i="5"/>
  <c r="O638" i="5"/>
  <c r="R638" i="5" s="1"/>
  <c r="O637" i="5"/>
  <c r="R637" i="5" s="1"/>
  <c r="P637" i="5"/>
  <c r="Q637" i="5" s="1"/>
  <c r="P636" i="5"/>
  <c r="O636" i="5"/>
  <c r="R636" i="5" s="1"/>
  <c r="P635" i="5"/>
  <c r="O635" i="5"/>
  <c r="R635" i="5" s="1"/>
  <c r="P634" i="5"/>
  <c r="O634" i="5"/>
  <c r="R634" i="5" s="1"/>
  <c r="O633" i="5"/>
  <c r="R633" i="5" s="1"/>
  <c r="P633" i="5"/>
  <c r="Q633" i="5" s="1"/>
  <c r="O632" i="5"/>
  <c r="R632" i="5" s="1"/>
  <c r="P632" i="5"/>
  <c r="Q632" i="5" s="1"/>
  <c r="O631" i="5"/>
  <c r="R631" i="5" s="1"/>
  <c r="P631" i="5"/>
  <c r="Q631" i="5" s="1"/>
  <c r="O630" i="5"/>
  <c r="R630" i="5" s="1"/>
  <c r="P630" i="5"/>
  <c r="Q630" i="5" s="1"/>
  <c r="O629" i="5"/>
  <c r="R629" i="5" s="1"/>
  <c r="P629" i="5"/>
  <c r="Q629" i="5" s="1"/>
  <c r="O628" i="5"/>
  <c r="R628" i="5" s="1"/>
  <c r="P628" i="5"/>
  <c r="Q628" i="5" s="1"/>
  <c r="P627" i="5"/>
  <c r="O627" i="5"/>
  <c r="R627" i="5" s="1"/>
  <c r="O626" i="5"/>
  <c r="R626" i="5" s="1"/>
  <c r="P626" i="5"/>
  <c r="Q626" i="5" s="1"/>
  <c r="O625" i="5"/>
  <c r="R625" i="5" s="1"/>
  <c r="P625" i="5"/>
  <c r="Q625" i="5" s="1"/>
  <c r="P624" i="5"/>
  <c r="O624" i="5"/>
  <c r="R624" i="5" s="1"/>
  <c r="O623" i="5"/>
  <c r="R623" i="5" s="1"/>
  <c r="P623" i="5"/>
  <c r="Q623" i="5" s="1"/>
  <c r="O622" i="5"/>
  <c r="R622" i="5" s="1"/>
  <c r="P622" i="5"/>
  <c r="Q622" i="5" s="1"/>
  <c r="O621" i="5"/>
  <c r="R621" i="5" s="1"/>
  <c r="P621" i="5"/>
  <c r="Q621" i="5" s="1"/>
  <c r="P620" i="5"/>
  <c r="O620" i="5"/>
  <c r="R620" i="5" s="1"/>
  <c r="P619" i="5"/>
  <c r="O619" i="5"/>
  <c r="R619" i="5" s="1"/>
  <c r="O618" i="5"/>
  <c r="R618" i="5" s="1"/>
  <c r="P618" i="5"/>
  <c r="Q618" i="5" s="1"/>
  <c r="O617" i="5"/>
  <c r="R617" i="5" s="1"/>
  <c r="P617" i="5"/>
  <c r="Q617" i="5" s="1"/>
  <c r="O616" i="5"/>
  <c r="R616" i="5" s="1"/>
  <c r="P616" i="5"/>
  <c r="Q616" i="5" s="1"/>
  <c r="P615" i="5"/>
  <c r="Q615" i="5" s="1"/>
  <c r="O615" i="5"/>
  <c r="R615" i="5" s="1"/>
  <c r="O614" i="5"/>
  <c r="R614" i="5" s="1"/>
  <c r="P614" i="5"/>
  <c r="Q614" i="5" s="1"/>
  <c r="O613" i="5"/>
  <c r="R613" i="5" s="1"/>
  <c r="P613" i="5"/>
  <c r="Q613" i="5" s="1"/>
  <c r="O612" i="5"/>
  <c r="R612" i="5" s="1"/>
  <c r="P612" i="5"/>
  <c r="Q612" i="5" s="1"/>
  <c r="O611" i="5"/>
  <c r="R611" i="5" s="1"/>
  <c r="P611" i="5"/>
  <c r="Q611" i="5" s="1"/>
  <c r="O610" i="5"/>
  <c r="R610" i="5" s="1"/>
  <c r="P610" i="5"/>
  <c r="Q610" i="5" s="1"/>
  <c r="P609" i="5"/>
  <c r="O609" i="5"/>
  <c r="R609" i="5" s="1"/>
  <c r="O608" i="5"/>
  <c r="R608" i="5" s="1"/>
  <c r="P608" i="5"/>
  <c r="Q608" i="5" s="1"/>
  <c r="O607" i="5"/>
  <c r="R607" i="5" s="1"/>
  <c r="P607" i="5"/>
  <c r="Q607" i="5" s="1"/>
  <c r="P606" i="5"/>
  <c r="Q606" i="5" s="1"/>
  <c r="O606" i="5"/>
  <c r="R606" i="5" s="1"/>
  <c r="O605" i="5"/>
  <c r="R605" i="5" s="1"/>
  <c r="P605" i="5"/>
  <c r="Q605" i="5" s="1"/>
  <c r="P604" i="5"/>
  <c r="O604" i="5"/>
  <c r="R604" i="5" s="1"/>
  <c r="O603" i="5"/>
  <c r="R603" i="5" s="1"/>
  <c r="P603" i="5"/>
  <c r="Q603" i="5" s="1"/>
  <c r="P602" i="5"/>
  <c r="O602" i="5"/>
  <c r="R602" i="5" s="1"/>
  <c r="P601" i="5"/>
  <c r="O601" i="5"/>
  <c r="R601" i="5" s="1"/>
  <c r="O600" i="5"/>
  <c r="R600" i="5" s="1"/>
  <c r="P600" i="5"/>
  <c r="Q600" i="5" s="1"/>
  <c r="P599" i="5"/>
  <c r="O599" i="5"/>
  <c r="R599" i="5" s="1"/>
  <c r="O598" i="5"/>
  <c r="R598" i="5" s="1"/>
  <c r="P598" i="5"/>
  <c r="Q598" i="5" s="1"/>
  <c r="O597" i="5"/>
  <c r="R597" i="5" s="1"/>
  <c r="P597" i="5"/>
  <c r="Q597" i="5" s="1"/>
  <c r="O596" i="5"/>
  <c r="R596" i="5" s="1"/>
  <c r="P596" i="5"/>
  <c r="P595" i="5"/>
  <c r="O595" i="5"/>
  <c r="R595" i="5" s="1"/>
  <c r="P594" i="5"/>
  <c r="O594" i="5"/>
  <c r="R594" i="5" s="1"/>
  <c r="O593" i="5"/>
  <c r="R593" i="5" s="1"/>
  <c r="P593" i="5"/>
  <c r="Q593" i="5" s="1"/>
  <c r="O592" i="5"/>
  <c r="R592" i="5" s="1"/>
  <c r="P592" i="5"/>
  <c r="O591" i="5"/>
  <c r="R591" i="5" s="1"/>
  <c r="P591" i="5"/>
  <c r="Q591" i="5" s="1"/>
  <c r="O590" i="5"/>
  <c r="R590" i="5" s="1"/>
  <c r="P590" i="5"/>
  <c r="Q590" i="5" s="1"/>
  <c r="P589" i="5"/>
  <c r="O589" i="5"/>
  <c r="R589" i="5" s="1"/>
  <c r="O588" i="5"/>
  <c r="R588" i="5" s="1"/>
  <c r="P588" i="5"/>
  <c r="Q588" i="5" s="1"/>
  <c r="O587" i="5"/>
  <c r="R587" i="5" s="1"/>
  <c r="P587" i="5"/>
  <c r="Q587" i="5" s="1"/>
  <c r="O586" i="5"/>
  <c r="R586" i="5" s="1"/>
  <c r="P586" i="5"/>
  <c r="Q586" i="5" s="1"/>
  <c r="P585" i="5"/>
  <c r="O585" i="5"/>
  <c r="R585" i="5" s="1"/>
  <c r="P584" i="5"/>
  <c r="O584" i="5"/>
  <c r="R584" i="5" s="1"/>
  <c r="O583" i="5"/>
  <c r="R583" i="5" s="1"/>
  <c r="P583" i="5"/>
  <c r="P582" i="5"/>
  <c r="O582" i="5"/>
  <c r="R582" i="5" s="1"/>
  <c r="P581" i="5"/>
  <c r="O581" i="5"/>
  <c r="R581" i="5" s="1"/>
  <c r="O580" i="5"/>
  <c r="R580" i="5" s="1"/>
  <c r="P580" i="5"/>
  <c r="Q580" i="5" s="1"/>
  <c r="O579" i="5"/>
  <c r="R579" i="5" s="1"/>
  <c r="P579" i="5"/>
  <c r="Q579" i="5" s="1"/>
  <c r="P578" i="5"/>
  <c r="O578" i="5"/>
  <c r="R578" i="5" s="1"/>
  <c r="O577" i="5"/>
  <c r="R577" i="5" s="1"/>
  <c r="P577" i="5"/>
  <c r="Q577" i="5" s="1"/>
  <c r="O576" i="5"/>
  <c r="R576" i="5" s="1"/>
  <c r="P576" i="5"/>
  <c r="P575" i="5"/>
  <c r="O575" i="5"/>
  <c r="R575" i="5" s="1"/>
  <c r="O574" i="5"/>
  <c r="R574" i="5" s="1"/>
  <c r="P574" i="5"/>
  <c r="Q574" i="5" s="1"/>
  <c r="O573" i="5"/>
  <c r="R573" i="5" s="1"/>
  <c r="P573" i="5"/>
  <c r="O572" i="5"/>
  <c r="R572" i="5" s="1"/>
  <c r="P572" i="5"/>
  <c r="O571" i="5"/>
  <c r="R571" i="5" s="1"/>
  <c r="P571" i="5"/>
  <c r="Q571" i="5" s="1"/>
  <c r="P570" i="5"/>
  <c r="Q570" i="5" s="1"/>
  <c r="O570" i="5"/>
  <c r="R570" i="5" s="1"/>
  <c r="P569" i="5"/>
  <c r="O569" i="5"/>
  <c r="R569" i="5" s="1"/>
  <c r="P568" i="5"/>
  <c r="Q568" i="5" s="1"/>
  <c r="O568" i="5"/>
  <c r="R568" i="5" s="1"/>
  <c r="P567" i="5"/>
  <c r="O567" i="5"/>
  <c r="R567" i="5" s="1"/>
  <c r="P566" i="5"/>
  <c r="Q566" i="5" s="1"/>
  <c r="O566" i="5"/>
  <c r="R566" i="5" s="1"/>
  <c r="P565" i="5"/>
  <c r="O565" i="5"/>
  <c r="R565" i="5" s="1"/>
  <c r="P564" i="5"/>
  <c r="Q564" i="5" s="1"/>
  <c r="O564" i="5"/>
  <c r="R564" i="5" s="1"/>
  <c r="P563" i="5"/>
  <c r="O563" i="5"/>
  <c r="R563" i="5" s="1"/>
  <c r="O562" i="5"/>
  <c r="R562" i="5" s="1"/>
  <c r="P562" i="5"/>
  <c r="Q562" i="5" s="1"/>
  <c r="P561" i="5"/>
  <c r="O561" i="5"/>
  <c r="R561" i="5" s="1"/>
  <c r="P560" i="5"/>
  <c r="Q560" i="5" s="1"/>
  <c r="O560" i="5"/>
  <c r="R560" i="5" s="1"/>
  <c r="P559" i="5"/>
  <c r="O559" i="5"/>
  <c r="R559" i="5" s="1"/>
  <c r="O558" i="5"/>
  <c r="R558" i="5" s="1"/>
  <c r="P558" i="5"/>
  <c r="Q558" i="5" s="1"/>
  <c r="O557" i="5"/>
  <c r="R557" i="5" s="1"/>
  <c r="P557" i="5"/>
  <c r="Q557" i="5" s="1"/>
  <c r="O556" i="5"/>
  <c r="R556" i="5" s="1"/>
  <c r="P556" i="5"/>
  <c r="Q556" i="5" s="1"/>
  <c r="P555" i="5"/>
  <c r="O555" i="5"/>
  <c r="R555" i="5" s="1"/>
  <c r="P554" i="5"/>
  <c r="Q554" i="5" s="1"/>
  <c r="O554" i="5"/>
  <c r="R554" i="5" s="1"/>
  <c r="O553" i="5"/>
  <c r="R553" i="5" s="1"/>
  <c r="P553" i="5"/>
  <c r="O552" i="5"/>
  <c r="R552" i="5" s="1"/>
  <c r="P552" i="5"/>
  <c r="Q552" i="5" s="1"/>
  <c r="P551" i="5"/>
  <c r="O551" i="5"/>
  <c r="R551" i="5" s="1"/>
  <c r="O550" i="5"/>
  <c r="R550" i="5" s="1"/>
  <c r="P550" i="5"/>
  <c r="Q550" i="5" s="1"/>
  <c r="O549" i="5"/>
  <c r="R549" i="5" s="1"/>
  <c r="P549" i="5"/>
  <c r="Q549" i="5" s="1"/>
  <c r="P548" i="5"/>
  <c r="O548" i="5"/>
  <c r="R548" i="5" s="1"/>
  <c r="P547" i="5"/>
  <c r="O547" i="5"/>
  <c r="R547" i="5" s="1"/>
  <c r="O546" i="5"/>
  <c r="R546" i="5" s="1"/>
  <c r="P546" i="5"/>
  <c r="Q546" i="5" s="1"/>
  <c r="O545" i="5"/>
  <c r="R545" i="5" s="1"/>
  <c r="P545" i="5"/>
  <c r="Q545" i="5" s="1"/>
  <c r="O544" i="5"/>
  <c r="R544" i="5" s="1"/>
  <c r="P544" i="5"/>
  <c r="Q544" i="5" s="1"/>
  <c r="O543" i="5"/>
  <c r="R543" i="5" s="1"/>
  <c r="P543" i="5"/>
  <c r="O542" i="5"/>
  <c r="R542" i="5" s="1"/>
  <c r="P542" i="5"/>
  <c r="Q542" i="5" s="1"/>
  <c r="O541" i="5"/>
  <c r="R541" i="5" s="1"/>
  <c r="P541" i="5"/>
  <c r="Q541" i="5" s="1"/>
  <c r="P540" i="5"/>
  <c r="O540" i="5"/>
  <c r="R540" i="5" s="1"/>
  <c r="O539" i="5"/>
  <c r="R539" i="5" s="1"/>
  <c r="P539" i="5"/>
  <c r="Q539" i="5" s="1"/>
  <c r="O538" i="5"/>
  <c r="R538" i="5" s="1"/>
  <c r="P538" i="5"/>
  <c r="Q538" i="5" s="1"/>
  <c r="P537" i="5"/>
  <c r="O537" i="5"/>
  <c r="R537" i="5" s="1"/>
  <c r="O536" i="5"/>
  <c r="R536" i="5" s="1"/>
  <c r="P536" i="5"/>
  <c r="Q536" i="5" s="1"/>
  <c r="O535" i="5"/>
  <c r="R535" i="5" s="1"/>
  <c r="P535" i="5"/>
  <c r="Q535" i="5" s="1"/>
  <c r="O534" i="5"/>
  <c r="R534" i="5" s="1"/>
  <c r="P534" i="5"/>
  <c r="Q534" i="5" s="1"/>
  <c r="O533" i="5"/>
  <c r="R533" i="5" s="1"/>
  <c r="P533" i="5"/>
  <c r="Q533" i="5" s="1"/>
  <c r="O532" i="5"/>
  <c r="R532" i="5" s="1"/>
  <c r="P532" i="5"/>
  <c r="Q532" i="5" s="1"/>
  <c r="P531" i="5"/>
  <c r="Q531" i="5" s="1"/>
  <c r="O531" i="5"/>
  <c r="R531" i="5" s="1"/>
  <c r="P530" i="5"/>
  <c r="O530" i="5"/>
  <c r="R530" i="5" s="1"/>
  <c r="P529" i="5"/>
  <c r="O529" i="5"/>
  <c r="R529" i="5" s="1"/>
  <c r="O528" i="5"/>
  <c r="R528" i="5" s="1"/>
  <c r="P528" i="5"/>
  <c r="Q528" i="5" s="1"/>
  <c r="P527" i="5"/>
  <c r="O527" i="5"/>
  <c r="R527" i="5" s="1"/>
  <c r="O526" i="5"/>
  <c r="R526" i="5" s="1"/>
  <c r="P526" i="5"/>
  <c r="Q526" i="5" s="1"/>
  <c r="P525" i="5"/>
  <c r="O525" i="5"/>
  <c r="R525" i="5" s="1"/>
  <c r="P524" i="5"/>
  <c r="O524" i="5"/>
  <c r="R524" i="5" s="1"/>
  <c r="P523" i="5"/>
  <c r="O523" i="5"/>
  <c r="R523" i="5" s="1"/>
  <c r="P522" i="5"/>
  <c r="O522" i="5"/>
  <c r="R522" i="5" s="1"/>
  <c r="P521" i="5"/>
  <c r="Q521" i="5" s="1"/>
  <c r="O521" i="5"/>
  <c r="R521" i="5" s="1"/>
  <c r="O520" i="5"/>
  <c r="R520" i="5" s="1"/>
  <c r="P520" i="5"/>
  <c r="Q520" i="5" s="1"/>
  <c r="O519" i="5"/>
  <c r="R519" i="5" s="1"/>
  <c r="P519" i="5"/>
  <c r="Q519" i="5" s="1"/>
  <c r="O518" i="5"/>
  <c r="R518" i="5" s="1"/>
  <c r="P518" i="5"/>
  <c r="Q518" i="5" s="1"/>
  <c r="P517" i="5"/>
  <c r="O517" i="5"/>
  <c r="R517" i="5" s="1"/>
  <c r="O516" i="5"/>
  <c r="R516" i="5" s="1"/>
  <c r="P516" i="5"/>
  <c r="Q516" i="5" s="1"/>
  <c r="P515" i="5"/>
  <c r="O515" i="5"/>
  <c r="R515" i="5" s="1"/>
  <c r="O514" i="5"/>
  <c r="R514" i="5" s="1"/>
  <c r="P514" i="5"/>
  <c r="Q514" i="5" s="1"/>
  <c r="P513" i="5"/>
  <c r="Q513" i="5" s="1"/>
  <c r="O513" i="5"/>
  <c r="R513" i="5" s="1"/>
  <c r="O512" i="5"/>
  <c r="R512" i="5" s="1"/>
  <c r="P512" i="5"/>
  <c r="Q512" i="5" s="1"/>
  <c r="O511" i="5"/>
  <c r="R511" i="5" s="1"/>
  <c r="P511" i="5"/>
  <c r="Q511" i="5" s="1"/>
  <c r="O510" i="5"/>
  <c r="R510" i="5" s="1"/>
  <c r="P510" i="5"/>
  <c r="Q510" i="5" s="1"/>
  <c r="O509" i="5"/>
  <c r="R509" i="5" s="1"/>
  <c r="P509" i="5"/>
  <c r="Q509" i="5" s="1"/>
  <c r="O508" i="5"/>
  <c r="R508" i="5" s="1"/>
  <c r="P508" i="5"/>
  <c r="Q508" i="5" s="1"/>
  <c r="O507" i="5"/>
  <c r="R507" i="5" s="1"/>
  <c r="P507" i="5"/>
  <c r="Q507" i="5" s="1"/>
  <c r="P506" i="5"/>
  <c r="O506" i="5"/>
  <c r="R506" i="5" s="1"/>
  <c r="P505" i="5"/>
  <c r="Q505" i="5" s="1"/>
  <c r="O505" i="5"/>
  <c r="R505" i="5" s="1"/>
  <c r="O504" i="5"/>
  <c r="R504" i="5" s="1"/>
  <c r="P504" i="5"/>
  <c r="Q504" i="5" s="1"/>
  <c r="O503" i="5"/>
  <c r="R503" i="5" s="1"/>
  <c r="P503" i="5"/>
  <c r="Q503" i="5" s="1"/>
  <c r="O502" i="5"/>
  <c r="R502" i="5" s="1"/>
  <c r="P502" i="5"/>
  <c r="Q502" i="5" s="1"/>
  <c r="P501" i="5"/>
  <c r="O501" i="5"/>
  <c r="R501" i="5" s="1"/>
  <c r="O500" i="5"/>
  <c r="R500" i="5" s="1"/>
  <c r="P500" i="5"/>
  <c r="Q500" i="5" s="1"/>
  <c r="O499" i="5"/>
  <c r="R499" i="5" s="1"/>
  <c r="P499" i="5"/>
  <c r="Q499" i="5" s="1"/>
  <c r="P498" i="5"/>
  <c r="O498" i="5"/>
  <c r="R498" i="5" s="1"/>
  <c r="O497" i="5"/>
  <c r="R497" i="5" s="1"/>
  <c r="P497" i="5"/>
  <c r="O496" i="5"/>
  <c r="R496" i="5" s="1"/>
  <c r="P496" i="5"/>
  <c r="Q496" i="5" s="1"/>
  <c r="P495" i="5"/>
  <c r="O495" i="5"/>
  <c r="R495" i="5" s="1"/>
  <c r="P494" i="5"/>
  <c r="O494" i="5"/>
  <c r="R494" i="5" s="1"/>
  <c r="P493" i="5"/>
  <c r="O493" i="5"/>
  <c r="R493" i="5" s="1"/>
  <c r="P492" i="5"/>
  <c r="O492" i="5"/>
  <c r="R492" i="5" s="1"/>
  <c r="O491" i="5"/>
  <c r="R491" i="5" s="1"/>
  <c r="P491" i="5"/>
  <c r="Q491" i="5" s="1"/>
  <c r="P490" i="5"/>
  <c r="O490" i="5"/>
  <c r="R490" i="5" s="1"/>
  <c r="P489" i="5"/>
  <c r="O489" i="5"/>
  <c r="R489" i="5" s="1"/>
  <c r="P488" i="5"/>
  <c r="Q488" i="5" s="1"/>
  <c r="O488" i="5"/>
  <c r="R488" i="5" s="1"/>
  <c r="O487" i="5"/>
  <c r="R487" i="5" s="1"/>
  <c r="P487" i="5"/>
  <c r="P486" i="5"/>
  <c r="Q486" i="5" s="1"/>
  <c r="O486" i="5"/>
  <c r="R486" i="5" s="1"/>
  <c r="P485" i="5"/>
  <c r="O485" i="5"/>
  <c r="R485" i="5" s="1"/>
  <c r="P484" i="5"/>
  <c r="O484" i="5"/>
  <c r="R484" i="5" s="1"/>
  <c r="O483" i="5"/>
  <c r="R483" i="5" s="1"/>
  <c r="P483" i="5"/>
  <c r="Q483" i="5" s="1"/>
  <c r="O482" i="5"/>
  <c r="R482" i="5" s="1"/>
  <c r="P482" i="5"/>
  <c r="P481" i="5"/>
  <c r="O481" i="5"/>
  <c r="R481" i="5" s="1"/>
  <c r="P480" i="5"/>
  <c r="Q480" i="5" s="1"/>
  <c r="O480" i="5"/>
  <c r="R480" i="5" s="1"/>
  <c r="P479" i="5"/>
  <c r="O479" i="5"/>
  <c r="R479" i="5" s="1"/>
  <c r="P478" i="5"/>
  <c r="O478" i="5"/>
  <c r="R478" i="5" s="1"/>
  <c r="P477" i="5"/>
  <c r="O477" i="5"/>
  <c r="R477" i="5" s="1"/>
  <c r="P476" i="5"/>
  <c r="O476" i="5"/>
  <c r="R476" i="5" s="1"/>
  <c r="O475" i="5"/>
  <c r="R475" i="5" s="1"/>
  <c r="P475" i="5"/>
  <c r="O474" i="5"/>
  <c r="R474" i="5" s="1"/>
  <c r="P474" i="5"/>
  <c r="P473" i="5"/>
  <c r="O473" i="5"/>
  <c r="R473" i="5" s="1"/>
  <c r="O472" i="5"/>
  <c r="R472" i="5" s="1"/>
  <c r="P472" i="5"/>
  <c r="O471" i="5"/>
  <c r="R471" i="5" s="1"/>
  <c r="P471" i="5"/>
  <c r="P470" i="5"/>
  <c r="Q470" i="5" s="1"/>
  <c r="O470" i="5"/>
  <c r="R470" i="5" s="1"/>
  <c r="O469" i="5"/>
  <c r="R469" i="5" s="1"/>
  <c r="P469" i="5"/>
  <c r="Q469" i="5" s="1"/>
  <c r="O468" i="5"/>
  <c r="R468" i="5" s="1"/>
  <c r="P468" i="5"/>
  <c r="O467" i="5"/>
  <c r="R467" i="5" s="1"/>
  <c r="P467" i="5"/>
  <c r="Q467" i="5" s="1"/>
  <c r="O466" i="5"/>
  <c r="R466" i="5" s="1"/>
  <c r="P466" i="5"/>
  <c r="Q466" i="5" s="1"/>
  <c r="O465" i="5"/>
  <c r="R465" i="5" s="1"/>
  <c r="P465" i="5"/>
  <c r="Q465" i="5" s="1"/>
  <c r="O464" i="5"/>
  <c r="R464" i="5" s="1"/>
  <c r="P464" i="5"/>
  <c r="Q464" i="5" s="1"/>
  <c r="O463" i="5"/>
  <c r="R463" i="5" s="1"/>
  <c r="P463" i="5"/>
  <c r="Q463" i="5" s="1"/>
  <c r="P462" i="5"/>
  <c r="Q462" i="5" s="1"/>
  <c r="O462" i="5"/>
  <c r="R462" i="5" s="1"/>
  <c r="P461" i="5"/>
  <c r="O461" i="5"/>
  <c r="R461" i="5" s="1"/>
  <c r="P460" i="5"/>
  <c r="Q460" i="5" s="1"/>
  <c r="O460" i="5"/>
  <c r="R460" i="5" s="1"/>
  <c r="P459" i="5"/>
  <c r="Q459" i="5" s="1"/>
  <c r="O459" i="5"/>
  <c r="R459" i="5" s="1"/>
  <c r="O458" i="5"/>
  <c r="R458" i="5" s="1"/>
  <c r="P458" i="5"/>
  <c r="Q458" i="5" s="1"/>
  <c r="P457" i="5"/>
  <c r="O457" i="5"/>
  <c r="R457" i="5" s="1"/>
  <c r="P456" i="5"/>
  <c r="Q456" i="5" s="1"/>
  <c r="O456" i="5"/>
  <c r="R456" i="5" s="1"/>
  <c r="O455" i="5"/>
  <c r="R455" i="5" s="1"/>
  <c r="P455" i="5"/>
  <c r="Q455" i="5" s="1"/>
  <c r="P454" i="5"/>
  <c r="O454" i="5"/>
  <c r="R454" i="5" s="1"/>
  <c r="P453" i="5"/>
  <c r="Q453" i="5" s="1"/>
  <c r="O453" i="5"/>
  <c r="R453" i="5" s="1"/>
  <c r="P452" i="5"/>
  <c r="O452" i="5"/>
  <c r="R452" i="5" s="1"/>
  <c r="O451" i="5"/>
  <c r="R451" i="5" s="1"/>
  <c r="P451" i="5"/>
  <c r="Q451" i="5" s="1"/>
  <c r="O450" i="5"/>
  <c r="R450" i="5" s="1"/>
  <c r="P450" i="5"/>
  <c r="Q450" i="5" s="1"/>
  <c r="O449" i="5"/>
  <c r="R449" i="5" s="1"/>
  <c r="P449" i="5"/>
  <c r="Q449" i="5" s="1"/>
  <c r="O448" i="5"/>
  <c r="R448" i="5" s="1"/>
  <c r="P448" i="5"/>
  <c r="Q448" i="5" s="1"/>
  <c r="P447" i="5"/>
  <c r="O447" i="5"/>
  <c r="R447" i="5" s="1"/>
  <c r="P446" i="5"/>
  <c r="Q446" i="5" s="1"/>
  <c r="O446" i="5"/>
  <c r="R446" i="5" s="1"/>
  <c r="P445" i="5"/>
  <c r="O445" i="5"/>
  <c r="R445" i="5" s="1"/>
  <c r="O444" i="5"/>
  <c r="R444" i="5" s="1"/>
  <c r="P444" i="5"/>
  <c r="Q444" i="5" s="1"/>
  <c r="O443" i="5"/>
  <c r="R443" i="5" s="1"/>
  <c r="P443" i="5"/>
  <c r="Q443" i="5" s="1"/>
  <c r="O442" i="5"/>
  <c r="R442" i="5" s="1"/>
  <c r="P442" i="5"/>
  <c r="O441" i="5"/>
  <c r="R441" i="5" s="1"/>
  <c r="P441" i="5"/>
  <c r="Q441" i="5" s="1"/>
  <c r="O440" i="5"/>
  <c r="R440" i="5" s="1"/>
  <c r="P440" i="5"/>
  <c r="Q440" i="5" s="1"/>
  <c r="P439" i="5"/>
  <c r="O439" i="5"/>
  <c r="R439" i="5" s="1"/>
  <c r="P438" i="5"/>
  <c r="O438" i="5"/>
  <c r="R438" i="5" s="1"/>
  <c r="P437" i="5"/>
  <c r="O437" i="5"/>
  <c r="R437" i="5" s="1"/>
  <c r="P436" i="5"/>
  <c r="O436" i="5"/>
  <c r="R436" i="5" s="1"/>
  <c r="O435" i="5"/>
  <c r="R435" i="5" s="1"/>
  <c r="P435" i="5"/>
  <c r="Q435" i="5" s="1"/>
  <c r="P434" i="5"/>
  <c r="Q434" i="5" s="1"/>
  <c r="O434" i="5"/>
  <c r="R434" i="5" s="1"/>
  <c r="P433" i="5"/>
  <c r="Q433" i="5" s="1"/>
  <c r="O433" i="5"/>
  <c r="R433" i="5" s="1"/>
  <c r="P432" i="5"/>
  <c r="O432" i="5"/>
  <c r="R432" i="5" s="1"/>
  <c r="P431" i="5"/>
  <c r="Q431" i="5" s="1"/>
  <c r="O431" i="5"/>
  <c r="R431" i="5" s="1"/>
  <c r="O430" i="5"/>
  <c r="R430" i="5" s="1"/>
  <c r="P430" i="5"/>
  <c r="Q430" i="5" s="1"/>
  <c r="O429" i="5"/>
  <c r="R429" i="5" s="1"/>
  <c r="P429" i="5"/>
  <c r="Q429" i="5" s="1"/>
  <c r="O428" i="5"/>
  <c r="R428" i="5" s="1"/>
  <c r="P428" i="5"/>
  <c r="Q428" i="5" s="1"/>
  <c r="P427" i="5"/>
  <c r="Q427" i="5" s="1"/>
  <c r="O427" i="5"/>
  <c r="R427" i="5" s="1"/>
  <c r="O426" i="5"/>
  <c r="R426" i="5" s="1"/>
  <c r="P426" i="5"/>
  <c r="Q426" i="5" s="1"/>
  <c r="O425" i="5"/>
  <c r="R425" i="5" s="1"/>
  <c r="P425" i="5"/>
  <c r="Q425" i="5" s="1"/>
  <c r="O424" i="5"/>
  <c r="R424" i="5" s="1"/>
  <c r="P424" i="5"/>
  <c r="Q424" i="5" s="1"/>
  <c r="O423" i="5"/>
  <c r="R423" i="5" s="1"/>
  <c r="P423" i="5"/>
  <c r="Q423" i="5" s="1"/>
  <c r="P422" i="5"/>
  <c r="O422" i="5"/>
  <c r="R422" i="5" s="1"/>
  <c r="O421" i="5"/>
  <c r="R421" i="5" s="1"/>
  <c r="P421" i="5"/>
  <c r="Q421" i="5" s="1"/>
  <c r="O420" i="5"/>
  <c r="R420" i="5" s="1"/>
  <c r="P420" i="5"/>
  <c r="Q420" i="5" s="1"/>
  <c r="P419" i="5"/>
  <c r="Q419" i="5" s="1"/>
  <c r="O419" i="5"/>
  <c r="R419" i="5" s="1"/>
  <c r="P418" i="5"/>
  <c r="O418" i="5"/>
  <c r="R418" i="5" s="1"/>
  <c r="O417" i="5"/>
  <c r="R417" i="5" s="1"/>
  <c r="P417" i="5"/>
  <c r="Q417" i="5" s="1"/>
  <c r="P416" i="5"/>
  <c r="O416" i="5"/>
  <c r="R416" i="5" s="1"/>
  <c r="P415" i="5"/>
  <c r="O415" i="5"/>
  <c r="R415" i="5" s="1"/>
  <c r="P414" i="5"/>
  <c r="O414" i="5"/>
  <c r="R414" i="5" s="1"/>
  <c r="P413" i="5"/>
  <c r="O413" i="5"/>
  <c r="R413" i="5" s="1"/>
  <c r="O412" i="5"/>
  <c r="R412" i="5" s="1"/>
  <c r="P412" i="5"/>
  <c r="P411" i="5"/>
  <c r="O411" i="5"/>
  <c r="R411" i="5" s="1"/>
  <c r="P410" i="5"/>
  <c r="O410" i="5"/>
  <c r="R410" i="5" s="1"/>
  <c r="O409" i="5"/>
  <c r="R409" i="5" s="1"/>
  <c r="P409" i="5"/>
  <c r="P408" i="5"/>
  <c r="Q408" i="5" s="1"/>
  <c r="O408" i="5"/>
  <c r="R408" i="5" s="1"/>
  <c r="P407" i="5"/>
  <c r="Q407" i="5" s="1"/>
  <c r="O407" i="5"/>
  <c r="R407" i="5" s="1"/>
  <c r="P406" i="5"/>
  <c r="O406" i="5"/>
  <c r="R406" i="5" s="1"/>
  <c r="O405" i="5"/>
  <c r="R405" i="5" s="1"/>
  <c r="P405" i="5"/>
  <c r="Q405" i="5" s="1"/>
  <c r="P404" i="5"/>
  <c r="O404" i="5"/>
  <c r="R404" i="5" s="1"/>
  <c r="P403" i="5"/>
  <c r="O403" i="5"/>
  <c r="R403" i="5" s="1"/>
  <c r="O402" i="5"/>
  <c r="R402" i="5" s="1"/>
  <c r="P402" i="5"/>
  <c r="Q402" i="5" s="1"/>
  <c r="P401" i="5"/>
  <c r="Q401" i="5" s="1"/>
  <c r="O401" i="5"/>
  <c r="R401" i="5" s="1"/>
  <c r="P400" i="5"/>
  <c r="O400" i="5"/>
  <c r="R400" i="5" s="1"/>
  <c r="P399" i="5"/>
  <c r="O399" i="5"/>
  <c r="R399" i="5" s="1"/>
  <c r="P398" i="5"/>
  <c r="O398" i="5"/>
  <c r="R398" i="5" s="1"/>
  <c r="P397" i="5"/>
  <c r="O397" i="5"/>
  <c r="R397" i="5" s="1"/>
  <c r="O396" i="5"/>
  <c r="R396" i="5" s="1"/>
  <c r="P396" i="5"/>
  <c r="Q396" i="5" s="1"/>
  <c r="P395" i="5"/>
  <c r="O395" i="5"/>
  <c r="R395" i="5" s="1"/>
  <c r="O394" i="5"/>
  <c r="R394" i="5" s="1"/>
  <c r="P394" i="5"/>
  <c r="Q394" i="5" s="1"/>
  <c r="P393" i="5"/>
  <c r="O393" i="5"/>
  <c r="R393" i="5" s="1"/>
  <c r="P392" i="5"/>
  <c r="Q392" i="5" s="1"/>
  <c r="O392" i="5"/>
  <c r="R392" i="5" s="1"/>
  <c r="P391" i="5"/>
  <c r="O391" i="5"/>
  <c r="R391" i="5" s="1"/>
  <c r="P390" i="5"/>
  <c r="O390" i="5"/>
  <c r="R390" i="5" s="1"/>
  <c r="O389" i="5"/>
  <c r="R389" i="5" s="1"/>
  <c r="P389" i="5"/>
  <c r="Q389" i="5" s="1"/>
  <c r="O388" i="5"/>
  <c r="R388" i="5" s="1"/>
  <c r="P388" i="5"/>
  <c r="Q388" i="5" s="1"/>
  <c r="P387" i="5"/>
  <c r="Q387" i="5" s="1"/>
  <c r="O387" i="5"/>
  <c r="R387" i="5" s="1"/>
  <c r="O386" i="5"/>
  <c r="R386" i="5" s="1"/>
  <c r="P386" i="5"/>
  <c r="Q386" i="5" s="1"/>
  <c r="P385" i="5"/>
  <c r="O385" i="5"/>
  <c r="R385" i="5" s="1"/>
  <c r="P384" i="5"/>
  <c r="O384" i="5"/>
  <c r="R384" i="5" s="1"/>
  <c r="O383" i="5"/>
  <c r="R383" i="5" s="1"/>
  <c r="P383" i="5"/>
  <c r="Q383" i="5" s="1"/>
  <c r="P382" i="5"/>
  <c r="Q382" i="5" s="1"/>
  <c r="O382" i="5"/>
  <c r="R382" i="5" s="1"/>
  <c r="P381" i="5"/>
  <c r="Q381" i="5" s="1"/>
  <c r="O381" i="5"/>
  <c r="R381" i="5" s="1"/>
  <c r="P380" i="5"/>
  <c r="O380" i="5"/>
  <c r="R380" i="5" s="1"/>
  <c r="O379" i="5"/>
  <c r="R379" i="5" s="1"/>
  <c r="P379" i="5"/>
  <c r="Q379" i="5" s="1"/>
  <c r="O378" i="5"/>
  <c r="R378" i="5" s="1"/>
  <c r="P378" i="5"/>
  <c r="Q378" i="5" s="1"/>
  <c r="P377" i="5"/>
  <c r="O377" i="5"/>
  <c r="R377" i="5" s="1"/>
  <c r="P376" i="5"/>
  <c r="Q376" i="5" s="1"/>
  <c r="O376" i="5"/>
  <c r="R376" i="5" s="1"/>
  <c r="O375" i="5"/>
  <c r="R375" i="5" s="1"/>
  <c r="P375" i="5"/>
  <c r="Q375" i="5" s="1"/>
  <c r="O374" i="5"/>
  <c r="R374" i="5" s="1"/>
  <c r="P374" i="5"/>
  <c r="Q374" i="5" s="1"/>
  <c r="P373" i="5"/>
  <c r="O373" i="5"/>
  <c r="R373" i="5" s="1"/>
  <c r="P372" i="5"/>
  <c r="Q372" i="5" s="1"/>
  <c r="O372" i="5"/>
  <c r="R372" i="5" s="1"/>
  <c r="O371" i="5"/>
  <c r="R371" i="5" s="1"/>
  <c r="P371" i="5"/>
  <c r="Q371" i="5" s="1"/>
  <c r="P370" i="5"/>
  <c r="O370" i="5"/>
  <c r="R370" i="5" s="1"/>
  <c r="O369" i="5"/>
  <c r="R369" i="5" s="1"/>
  <c r="P369" i="5"/>
  <c r="Q369" i="5" s="1"/>
  <c r="O368" i="5"/>
  <c r="R368" i="5" s="1"/>
  <c r="P368" i="5"/>
  <c r="Q368" i="5" s="1"/>
  <c r="P367" i="5"/>
  <c r="Q367" i="5" s="1"/>
  <c r="O367" i="5"/>
  <c r="R367" i="5" s="1"/>
  <c r="O366" i="5"/>
  <c r="R366" i="5" s="1"/>
  <c r="P366" i="5"/>
  <c r="Q366" i="5" s="1"/>
  <c r="O365" i="5"/>
  <c r="R365" i="5" s="1"/>
  <c r="P365" i="5"/>
  <c r="Q365" i="5" s="1"/>
  <c r="O364" i="5"/>
  <c r="R364" i="5" s="1"/>
  <c r="P364" i="5"/>
  <c r="Q364" i="5" s="1"/>
  <c r="O363" i="5"/>
  <c r="R363" i="5" s="1"/>
  <c r="P363" i="5"/>
  <c r="Q363" i="5" s="1"/>
  <c r="O362" i="5"/>
  <c r="R362" i="5" s="1"/>
  <c r="P362" i="5"/>
  <c r="O361" i="5"/>
  <c r="R361" i="5" s="1"/>
  <c r="P361" i="5"/>
  <c r="Q361" i="5" s="1"/>
  <c r="O360" i="5"/>
  <c r="R360" i="5" s="1"/>
  <c r="P360" i="5"/>
  <c r="Q360" i="5" s="1"/>
  <c r="O359" i="5"/>
  <c r="R359" i="5" s="1"/>
  <c r="P359" i="5"/>
  <c r="O358" i="5"/>
  <c r="R358" i="5" s="1"/>
  <c r="P358" i="5"/>
  <c r="Q358" i="5" s="1"/>
  <c r="O357" i="5"/>
  <c r="R357" i="5" s="1"/>
  <c r="P357" i="5"/>
  <c r="Q357" i="5" s="1"/>
  <c r="O356" i="5"/>
  <c r="R356" i="5" s="1"/>
  <c r="P356" i="5"/>
  <c r="Q356" i="5" s="1"/>
  <c r="O355" i="5"/>
  <c r="R355" i="5" s="1"/>
  <c r="P355" i="5"/>
  <c r="Q355" i="5" s="1"/>
  <c r="O354" i="5"/>
  <c r="R354" i="5" s="1"/>
  <c r="P354" i="5"/>
  <c r="P353" i="5"/>
  <c r="O353" i="5"/>
  <c r="R353" i="5" s="1"/>
  <c r="P352" i="5"/>
  <c r="O352" i="5"/>
  <c r="R352" i="5" s="1"/>
  <c r="P351" i="5"/>
  <c r="O351" i="5"/>
  <c r="R351" i="5" s="1"/>
  <c r="O350" i="5"/>
  <c r="R350" i="5" s="1"/>
  <c r="P350" i="5"/>
  <c r="Q350" i="5" s="1"/>
  <c r="P349" i="5"/>
  <c r="O349" i="5"/>
  <c r="R349" i="5" s="1"/>
  <c r="O348" i="5"/>
  <c r="R348" i="5" s="1"/>
  <c r="P348" i="5"/>
  <c r="Q348" i="5" s="1"/>
  <c r="P347" i="5"/>
  <c r="O347" i="5"/>
  <c r="R347" i="5" s="1"/>
  <c r="P346" i="5"/>
  <c r="Q346" i="5" s="1"/>
  <c r="O346" i="5"/>
  <c r="R346" i="5" s="1"/>
  <c r="O345" i="5"/>
  <c r="R345" i="5" s="1"/>
  <c r="P345" i="5"/>
  <c r="Q345" i="5" s="1"/>
  <c r="P344" i="5"/>
  <c r="Q344" i="5" s="1"/>
  <c r="O344" i="5"/>
  <c r="R344" i="5" s="1"/>
  <c r="P343" i="5"/>
  <c r="O343" i="5"/>
  <c r="R343" i="5" s="1"/>
  <c r="P342" i="5"/>
  <c r="Q342" i="5" s="1"/>
  <c r="O342" i="5"/>
  <c r="R342" i="5" s="1"/>
  <c r="O341" i="5"/>
  <c r="R341" i="5" s="1"/>
  <c r="P341" i="5"/>
  <c r="O340" i="5"/>
  <c r="R340" i="5" s="1"/>
  <c r="P340" i="5"/>
  <c r="Q340" i="5" s="1"/>
  <c r="P339" i="5"/>
  <c r="O339" i="5"/>
  <c r="R339" i="5" s="1"/>
  <c r="P338" i="5"/>
  <c r="Q338" i="5" s="1"/>
  <c r="O338" i="5"/>
  <c r="R338" i="5" s="1"/>
  <c r="P337" i="5"/>
  <c r="O337" i="5"/>
  <c r="R337" i="5" s="1"/>
  <c r="P336" i="5"/>
  <c r="O336" i="5"/>
  <c r="R336" i="5" s="1"/>
  <c r="P335" i="5"/>
  <c r="O335" i="5"/>
  <c r="R335" i="5" s="1"/>
  <c r="O334" i="5"/>
  <c r="R334" i="5" s="1"/>
  <c r="P334" i="5"/>
  <c r="Q334" i="5" s="1"/>
  <c r="P333" i="5"/>
  <c r="O333" i="5"/>
  <c r="R333" i="5" s="1"/>
  <c r="O332" i="5"/>
  <c r="R332" i="5" s="1"/>
  <c r="P332" i="5"/>
  <c r="Q332" i="5" s="1"/>
  <c r="P331" i="5"/>
  <c r="O331" i="5"/>
  <c r="R331" i="5" s="1"/>
  <c r="P330" i="5"/>
  <c r="Q330" i="5" s="1"/>
  <c r="O330" i="5"/>
  <c r="R330" i="5" s="1"/>
  <c r="O329" i="5"/>
  <c r="R329" i="5" s="1"/>
  <c r="P329" i="5"/>
  <c r="Q329" i="5" s="1"/>
  <c r="O328" i="5"/>
  <c r="R328" i="5" s="1"/>
  <c r="P328" i="5"/>
  <c r="Q328" i="5" s="1"/>
  <c r="P327" i="5"/>
  <c r="O327" i="5"/>
  <c r="R327" i="5" s="1"/>
  <c r="O326" i="5"/>
  <c r="R326" i="5" s="1"/>
  <c r="P326" i="5"/>
  <c r="Q326" i="5" s="1"/>
  <c r="O325" i="5"/>
  <c r="R325" i="5" s="1"/>
  <c r="P325" i="5"/>
  <c r="Q325" i="5" s="1"/>
  <c r="O324" i="5"/>
  <c r="R324" i="5" s="1"/>
  <c r="P324" i="5"/>
  <c r="O323" i="5"/>
  <c r="R323" i="5" s="1"/>
  <c r="P323" i="5"/>
  <c r="Q323" i="5" s="1"/>
  <c r="O322" i="5"/>
  <c r="R322" i="5" s="1"/>
  <c r="P322" i="5"/>
  <c r="Q322" i="5" s="1"/>
  <c r="P321" i="5"/>
  <c r="O321" i="5"/>
  <c r="R321" i="5" s="1"/>
  <c r="P320" i="5"/>
  <c r="O320" i="5"/>
  <c r="R320" i="5" s="1"/>
  <c r="O319" i="5"/>
  <c r="R319" i="5" s="1"/>
  <c r="P319" i="5"/>
  <c r="P318" i="5"/>
  <c r="O318" i="5"/>
  <c r="R318" i="5" s="1"/>
  <c r="P317" i="5"/>
  <c r="O317" i="5"/>
  <c r="R317" i="5" s="1"/>
  <c r="O316" i="5"/>
  <c r="R316" i="5" s="1"/>
  <c r="P316" i="5"/>
  <c r="Q316" i="5" s="1"/>
  <c r="O315" i="5"/>
  <c r="R315" i="5" s="1"/>
  <c r="P315" i="5"/>
  <c r="Q315" i="5" s="1"/>
  <c r="P314" i="5"/>
  <c r="O314" i="5"/>
  <c r="R314" i="5" s="1"/>
  <c r="O313" i="5"/>
  <c r="R313" i="5" s="1"/>
  <c r="P313" i="5"/>
  <c r="Q313" i="5" s="1"/>
  <c r="O312" i="5"/>
  <c r="R312" i="5" s="1"/>
  <c r="P312" i="5"/>
  <c r="Q312" i="5" s="1"/>
  <c r="P311" i="5"/>
  <c r="O311" i="5"/>
  <c r="R311" i="5" s="1"/>
  <c r="P310" i="5"/>
  <c r="O310" i="5"/>
  <c r="R310" i="5" s="1"/>
  <c r="P309" i="5"/>
  <c r="O309" i="5"/>
  <c r="R309" i="5" s="1"/>
  <c r="P308" i="5"/>
  <c r="O308" i="5"/>
  <c r="R308" i="5" s="1"/>
  <c r="P307" i="5"/>
  <c r="O307" i="5"/>
  <c r="R307" i="5" s="1"/>
  <c r="P306" i="5"/>
  <c r="O306" i="5"/>
  <c r="R306" i="5" s="1"/>
  <c r="O305" i="5"/>
  <c r="R305" i="5" s="1"/>
  <c r="P305" i="5"/>
  <c r="Q305" i="5" s="1"/>
  <c r="O304" i="5"/>
  <c r="R304" i="5" s="1"/>
  <c r="P304" i="5"/>
  <c r="Q304" i="5" s="1"/>
  <c r="P303" i="5"/>
  <c r="O303" i="5"/>
  <c r="R303" i="5" s="1"/>
  <c r="P302" i="5"/>
  <c r="Q302" i="5" s="1"/>
  <c r="O302" i="5"/>
  <c r="R302" i="5" s="1"/>
  <c r="O301" i="5"/>
  <c r="R301" i="5" s="1"/>
  <c r="P301" i="5"/>
  <c r="Q301" i="5" s="1"/>
  <c r="P300" i="5"/>
  <c r="O300" i="5"/>
  <c r="R300" i="5" s="1"/>
  <c r="P299" i="5"/>
  <c r="Q299" i="5" s="1"/>
  <c r="O299" i="5"/>
  <c r="R299" i="5" s="1"/>
  <c r="O298" i="5"/>
  <c r="R298" i="5" s="1"/>
  <c r="P298" i="5"/>
  <c r="O297" i="5"/>
  <c r="R297" i="5" s="1"/>
  <c r="P297" i="5"/>
  <c r="Q297" i="5" s="1"/>
  <c r="O296" i="5"/>
  <c r="R296" i="5" s="1"/>
  <c r="P296" i="5"/>
  <c r="Q296" i="5" s="1"/>
  <c r="O295" i="5"/>
  <c r="R295" i="5" s="1"/>
  <c r="P295" i="5"/>
  <c r="Q295" i="5" s="1"/>
  <c r="O294" i="5"/>
  <c r="R294" i="5" s="1"/>
  <c r="P294" i="5"/>
  <c r="Q294" i="5" s="1"/>
  <c r="O293" i="5"/>
  <c r="R293" i="5" s="1"/>
  <c r="P293" i="5"/>
  <c r="Q293" i="5" s="1"/>
  <c r="P292" i="5"/>
  <c r="O292" i="5"/>
  <c r="R292" i="5" s="1"/>
  <c r="P291" i="5"/>
  <c r="O291" i="5"/>
  <c r="R291" i="5" s="1"/>
  <c r="P290" i="5"/>
  <c r="O290" i="5"/>
  <c r="R290" i="5" s="1"/>
  <c r="P289" i="5"/>
  <c r="O289" i="5"/>
  <c r="R289" i="5" s="1"/>
  <c r="P288" i="5"/>
  <c r="O288" i="5"/>
  <c r="R288" i="5" s="1"/>
  <c r="P287" i="5"/>
  <c r="O287" i="5"/>
  <c r="R287" i="5" s="1"/>
  <c r="P286" i="5"/>
  <c r="Q286" i="5" s="1"/>
  <c r="O286" i="5"/>
  <c r="R286" i="5" s="1"/>
  <c r="P285" i="5"/>
  <c r="Q285" i="5" s="1"/>
  <c r="O285" i="5"/>
  <c r="R285" i="5" s="1"/>
  <c r="O284" i="5"/>
  <c r="R284" i="5" s="1"/>
  <c r="P284" i="5"/>
  <c r="Q284" i="5" s="1"/>
  <c r="P283" i="5"/>
  <c r="O283" i="5"/>
  <c r="R283" i="5" s="1"/>
  <c r="O282" i="5"/>
  <c r="R282" i="5" s="1"/>
  <c r="P282" i="5"/>
  <c r="Q282" i="5" s="1"/>
  <c r="P281" i="5"/>
  <c r="O281" i="5"/>
  <c r="R281" i="5" s="1"/>
  <c r="P280" i="5"/>
  <c r="O280" i="5"/>
  <c r="R280" i="5" s="1"/>
  <c r="O279" i="5"/>
  <c r="R279" i="5" s="1"/>
  <c r="P279" i="5"/>
  <c r="Q279" i="5" s="1"/>
  <c r="P278" i="5"/>
  <c r="O278" i="5"/>
  <c r="R278" i="5" s="1"/>
  <c r="O277" i="5"/>
  <c r="R277" i="5" s="1"/>
  <c r="P277" i="5"/>
  <c r="Q277" i="5" s="1"/>
  <c r="O276" i="5"/>
  <c r="R276" i="5" s="1"/>
  <c r="P276" i="5"/>
  <c r="Q276" i="5" s="1"/>
  <c r="P275" i="5"/>
  <c r="O275" i="5"/>
  <c r="R275" i="5" s="1"/>
  <c r="P274" i="5"/>
  <c r="O274" i="5"/>
  <c r="R274" i="5" s="1"/>
  <c r="O273" i="5"/>
  <c r="R273" i="5" s="1"/>
  <c r="P273" i="5"/>
  <c r="Q273" i="5" s="1"/>
  <c r="O272" i="5"/>
  <c r="R272" i="5" s="1"/>
  <c r="P272" i="5"/>
  <c r="Q272" i="5" s="1"/>
  <c r="O271" i="5"/>
  <c r="R271" i="5" s="1"/>
  <c r="P271" i="5"/>
  <c r="Q271" i="5" s="1"/>
  <c r="O270" i="5"/>
  <c r="R270" i="5" s="1"/>
  <c r="P270" i="5"/>
  <c r="Q270" i="5" s="1"/>
  <c r="O269" i="5"/>
  <c r="R269" i="5" s="1"/>
  <c r="P269" i="5"/>
  <c r="Q269" i="5" s="1"/>
  <c r="O268" i="5"/>
  <c r="R268" i="5" s="1"/>
  <c r="P268" i="5"/>
  <c r="Q268" i="5" s="1"/>
  <c r="O267" i="5"/>
  <c r="R267" i="5" s="1"/>
  <c r="P267" i="5"/>
  <c r="Q267" i="5" s="1"/>
  <c r="O266" i="5"/>
  <c r="R266" i="5" s="1"/>
  <c r="P266" i="5"/>
  <c r="Q266" i="5" s="1"/>
  <c r="O265" i="5"/>
  <c r="R265" i="5" s="1"/>
  <c r="P265" i="5"/>
  <c r="Q265" i="5" s="1"/>
  <c r="P264" i="5"/>
  <c r="O264" i="5"/>
  <c r="R264" i="5" s="1"/>
  <c r="P263" i="5"/>
  <c r="O263" i="5"/>
  <c r="R263" i="5" s="1"/>
  <c r="O262" i="5"/>
  <c r="R262" i="5" s="1"/>
  <c r="P262" i="5"/>
  <c r="Q262" i="5" s="1"/>
  <c r="P261" i="5"/>
  <c r="O261" i="5"/>
  <c r="R261" i="5" s="1"/>
  <c r="O260" i="5"/>
  <c r="R260" i="5" s="1"/>
  <c r="P260" i="5"/>
  <c r="Q260" i="5" s="1"/>
  <c r="P259" i="5"/>
  <c r="O259" i="5"/>
  <c r="R259" i="5" s="1"/>
  <c r="P258" i="5"/>
  <c r="O258" i="5"/>
  <c r="R258" i="5" s="1"/>
  <c r="P257" i="5"/>
  <c r="O257" i="5"/>
  <c r="R257" i="5" s="1"/>
  <c r="P256" i="5"/>
  <c r="O256" i="5"/>
  <c r="R256" i="5" s="1"/>
  <c r="O255" i="5"/>
  <c r="R255" i="5" s="1"/>
  <c r="P255" i="5"/>
  <c r="Q255" i="5" s="1"/>
  <c r="P254" i="5"/>
  <c r="O254" i="5"/>
  <c r="R254" i="5" s="1"/>
  <c r="P253" i="5"/>
  <c r="O253" i="5"/>
  <c r="R253" i="5" s="1"/>
  <c r="P252" i="5"/>
  <c r="O252" i="5"/>
  <c r="R252" i="5" s="1"/>
  <c r="P251" i="5"/>
  <c r="Q251" i="5" s="1"/>
  <c r="O251" i="5"/>
  <c r="R251" i="5" s="1"/>
  <c r="P250" i="5"/>
  <c r="O250" i="5"/>
  <c r="R250" i="5" s="1"/>
  <c r="P249" i="5"/>
  <c r="O249" i="5"/>
  <c r="R249" i="5" s="1"/>
  <c r="O248" i="5"/>
  <c r="R248" i="5" s="1"/>
  <c r="P248" i="5"/>
  <c r="Q248" i="5" s="1"/>
  <c r="P247" i="5"/>
  <c r="O247" i="5"/>
  <c r="R247" i="5" s="1"/>
  <c r="O246" i="5"/>
  <c r="R246" i="5" s="1"/>
  <c r="P246" i="5"/>
  <c r="Q246" i="5" s="1"/>
  <c r="O245" i="5"/>
  <c r="R245" i="5" s="1"/>
  <c r="P245" i="5"/>
  <c r="Q245" i="5" s="1"/>
  <c r="P244" i="5"/>
  <c r="Q244" i="5" s="1"/>
  <c r="O244" i="5"/>
  <c r="R244" i="5" s="1"/>
  <c r="O243" i="5"/>
  <c r="R243" i="5" s="1"/>
  <c r="P243" i="5"/>
  <c r="Q243" i="5" s="1"/>
  <c r="P242" i="5"/>
  <c r="O242" i="5"/>
  <c r="R242" i="5" s="1"/>
  <c r="O241" i="5"/>
  <c r="R241" i="5" s="1"/>
  <c r="P241" i="5"/>
  <c r="Q241" i="5" s="1"/>
  <c r="O240" i="5"/>
  <c r="R240" i="5" s="1"/>
  <c r="P240" i="5"/>
  <c r="Q240" i="5" s="1"/>
  <c r="P239" i="5"/>
  <c r="O239" i="5"/>
  <c r="R239" i="5" s="1"/>
  <c r="P238" i="5"/>
  <c r="O238" i="5"/>
  <c r="R238" i="5" s="1"/>
  <c r="P237" i="5"/>
  <c r="O237" i="5"/>
  <c r="R237" i="5" s="1"/>
  <c r="O236" i="5"/>
  <c r="R236" i="5" s="1"/>
  <c r="P236" i="5"/>
  <c r="Q236" i="5" s="1"/>
  <c r="P235" i="5"/>
  <c r="O235" i="5"/>
  <c r="R235" i="5" s="1"/>
  <c r="O234" i="5"/>
  <c r="R234" i="5" s="1"/>
  <c r="P234" i="5"/>
  <c r="Q234" i="5" s="1"/>
  <c r="O233" i="5"/>
  <c r="R233" i="5" s="1"/>
  <c r="P233" i="5"/>
  <c r="Q233" i="5" s="1"/>
  <c r="O232" i="5"/>
  <c r="R232" i="5" s="1"/>
  <c r="P232" i="5"/>
  <c r="Q232" i="5" s="1"/>
  <c r="P231" i="5"/>
  <c r="O231" i="5"/>
  <c r="R231" i="5" s="1"/>
  <c r="P230" i="5"/>
  <c r="O230" i="5"/>
  <c r="R230" i="5" s="1"/>
  <c r="O229" i="5"/>
  <c r="R229" i="5" s="1"/>
  <c r="P229" i="5"/>
  <c r="Q229" i="5" s="1"/>
  <c r="O228" i="5"/>
  <c r="R228" i="5" s="1"/>
  <c r="P228" i="5"/>
  <c r="Q228" i="5" s="1"/>
  <c r="P227" i="5"/>
  <c r="O227" i="5"/>
  <c r="R227" i="5" s="1"/>
  <c r="P226" i="5"/>
  <c r="O226" i="5"/>
  <c r="R226" i="5" s="1"/>
  <c r="O225" i="5"/>
  <c r="R225" i="5" s="1"/>
  <c r="P225" i="5"/>
  <c r="Q225" i="5" s="1"/>
  <c r="O224" i="5"/>
  <c r="R224" i="5" s="1"/>
  <c r="P224" i="5"/>
  <c r="Q224" i="5" s="1"/>
  <c r="O223" i="5"/>
  <c r="R223" i="5" s="1"/>
  <c r="P223" i="5"/>
  <c r="Q223" i="5" s="1"/>
  <c r="P222" i="5"/>
  <c r="O222" i="5"/>
  <c r="R222" i="5" s="1"/>
  <c r="O221" i="5"/>
  <c r="R221" i="5" s="1"/>
  <c r="P221" i="5"/>
  <c r="Q221" i="5" s="1"/>
  <c r="P220" i="5"/>
  <c r="O220" i="5"/>
  <c r="R220" i="5" s="1"/>
  <c r="P219" i="5"/>
  <c r="O219" i="5"/>
  <c r="R219" i="5" s="1"/>
  <c r="O218" i="5"/>
  <c r="R218" i="5" s="1"/>
  <c r="P218" i="5"/>
  <c r="Q218" i="5" s="1"/>
  <c r="O217" i="5"/>
  <c r="R217" i="5" s="1"/>
  <c r="P217" i="5"/>
  <c r="Q217" i="5" s="1"/>
  <c r="O216" i="5"/>
  <c r="R216" i="5" s="1"/>
  <c r="P216" i="5"/>
  <c r="Q216" i="5" s="1"/>
  <c r="P215" i="5"/>
  <c r="O215" i="5"/>
  <c r="R215" i="5" s="1"/>
  <c r="O214" i="5"/>
  <c r="R214" i="5" s="1"/>
  <c r="P214" i="5"/>
  <c r="Q214" i="5" s="1"/>
  <c r="O213" i="5"/>
  <c r="R213" i="5" s="1"/>
  <c r="P213" i="5"/>
  <c r="Q213" i="5" s="1"/>
  <c r="O212" i="5"/>
  <c r="R212" i="5" s="1"/>
  <c r="P212" i="5"/>
  <c r="Q212" i="5" s="1"/>
  <c r="O211" i="5"/>
  <c r="R211" i="5" s="1"/>
  <c r="P211" i="5"/>
  <c r="Q211" i="5" s="1"/>
  <c r="O210" i="5"/>
  <c r="R210" i="5" s="1"/>
  <c r="P210" i="5"/>
  <c r="Q210" i="5" s="1"/>
  <c r="O209" i="5"/>
  <c r="R209" i="5" s="1"/>
  <c r="P209" i="5"/>
  <c r="Q209" i="5" s="1"/>
  <c r="P208" i="5"/>
  <c r="O208" i="5"/>
  <c r="R208" i="5" s="1"/>
  <c r="P207" i="5"/>
  <c r="O207" i="5"/>
  <c r="R207" i="5" s="1"/>
  <c r="P206" i="5"/>
  <c r="O206" i="5"/>
  <c r="R206" i="5" s="1"/>
  <c r="O205" i="5"/>
  <c r="R205" i="5" s="1"/>
  <c r="P205" i="5"/>
  <c r="Q205" i="5" s="1"/>
  <c r="P204" i="5"/>
  <c r="O204" i="5"/>
  <c r="R204" i="5" s="1"/>
  <c r="P203" i="5"/>
  <c r="O203" i="5"/>
  <c r="R203" i="5" s="1"/>
  <c r="O202" i="5"/>
  <c r="R202" i="5" s="1"/>
  <c r="P202" i="5"/>
  <c r="Q202" i="5" s="1"/>
  <c r="O201" i="5"/>
  <c r="R201" i="5" s="1"/>
  <c r="P201" i="5"/>
  <c r="Q201" i="5" s="1"/>
  <c r="P200" i="5"/>
  <c r="O200" i="5"/>
  <c r="R200" i="5" s="1"/>
  <c r="P199" i="5"/>
  <c r="O199" i="5"/>
  <c r="R199" i="5" s="1"/>
  <c r="O198" i="5"/>
  <c r="R198" i="5" s="1"/>
  <c r="P198" i="5"/>
  <c r="Q198" i="5" s="1"/>
  <c r="P197" i="5"/>
  <c r="O197" i="5"/>
  <c r="R197" i="5" s="1"/>
  <c r="P196" i="5"/>
  <c r="O196" i="5"/>
  <c r="R196" i="5" s="1"/>
  <c r="P195" i="5"/>
  <c r="O195" i="5"/>
  <c r="R195" i="5" s="1"/>
  <c r="O194" i="5"/>
  <c r="R194" i="5" s="1"/>
  <c r="P194" i="5"/>
  <c r="Q194" i="5" s="1"/>
  <c r="O193" i="5"/>
  <c r="R193" i="5" s="1"/>
  <c r="P193" i="5"/>
  <c r="Q193" i="5" s="1"/>
  <c r="P192" i="5"/>
  <c r="O192" i="5"/>
  <c r="R192" i="5" s="1"/>
  <c r="P191" i="5"/>
  <c r="O191" i="5"/>
  <c r="R191" i="5" s="1"/>
  <c r="P190" i="5"/>
  <c r="O190" i="5"/>
  <c r="R190" i="5" s="1"/>
  <c r="P189" i="5"/>
  <c r="O189" i="5"/>
  <c r="R189" i="5" s="1"/>
  <c r="P188" i="5"/>
  <c r="O188" i="5"/>
  <c r="R188" i="5" s="1"/>
  <c r="P187" i="5"/>
  <c r="O187" i="5"/>
  <c r="R187" i="5" s="1"/>
  <c r="P186" i="5"/>
  <c r="O186" i="5"/>
  <c r="R186" i="5" s="1"/>
  <c r="P185" i="5"/>
  <c r="O185" i="5"/>
  <c r="R185" i="5" s="1"/>
  <c r="O184" i="5"/>
  <c r="R184" i="5" s="1"/>
  <c r="P184" i="5"/>
  <c r="Q184" i="5" s="1"/>
  <c r="P183" i="5"/>
  <c r="O183" i="5"/>
  <c r="R183" i="5" s="1"/>
  <c r="O182" i="5"/>
  <c r="R182" i="5" s="1"/>
  <c r="P182" i="5"/>
  <c r="Q182" i="5" s="1"/>
  <c r="P181" i="5"/>
  <c r="O181" i="5"/>
  <c r="R181" i="5" s="1"/>
  <c r="O180" i="5"/>
  <c r="R180" i="5" s="1"/>
  <c r="P180" i="5"/>
  <c r="Q180" i="5" s="1"/>
  <c r="O179" i="5"/>
  <c r="R179" i="5" s="1"/>
  <c r="P179" i="5"/>
  <c r="Q179" i="5" s="1"/>
  <c r="O178" i="5"/>
  <c r="R178" i="5" s="1"/>
  <c r="P178" i="5"/>
  <c r="Q178" i="5" s="1"/>
  <c r="O177" i="5"/>
  <c r="R177" i="5" s="1"/>
  <c r="P177" i="5"/>
  <c r="Q177" i="5" s="1"/>
  <c r="O176" i="5"/>
  <c r="R176" i="5" s="1"/>
  <c r="P176" i="5"/>
  <c r="Q176" i="5" s="1"/>
  <c r="O175" i="5"/>
  <c r="R175" i="5" s="1"/>
  <c r="P175" i="5"/>
  <c r="Q175" i="5" s="1"/>
  <c r="O174" i="5"/>
  <c r="R174" i="5" s="1"/>
  <c r="P174" i="5"/>
  <c r="Q174" i="5" s="1"/>
  <c r="O173" i="5"/>
  <c r="R173" i="5" s="1"/>
  <c r="P173" i="5"/>
  <c r="Q173" i="5" s="1"/>
  <c r="P172" i="5"/>
  <c r="O172" i="5"/>
  <c r="R172" i="5" s="1"/>
  <c r="O171" i="5"/>
  <c r="R171" i="5" s="1"/>
  <c r="P171" i="5"/>
  <c r="Q171" i="5" s="1"/>
  <c r="P170" i="5"/>
  <c r="O170" i="5"/>
  <c r="R170" i="5" s="1"/>
  <c r="P169" i="5"/>
  <c r="O169" i="5"/>
  <c r="R169" i="5" s="1"/>
  <c r="P168" i="5"/>
  <c r="O168" i="5"/>
  <c r="R168" i="5" s="1"/>
  <c r="P167" i="5"/>
  <c r="O167" i="5"/>
  <c r="R167" i="5" s="1"/>
  <c r="P166" i="5"/>
  <c r="O166" i="5"/>
  <c r="R166" i="5" s="1"/>
  <c r="P165" i="5"/>
  <c r="O165" i="5"/>
  <c r="R165" i="5" s="1"/>
  <c r="O164" i="5"/>
  <c r="R164" i="5" s="1"/>
  <c r="P164" i="5"/>
  <c r="Q164" i="5" s="1"/>
  <c r="P163" i="5"/>
  <c r="O163" i="5"/>
  <c r="R163" i="5" s="1"/>
  <c r="P162" i="5"/>
  <c r="O162" i="5"/>
  <c r="R162" i="5" s="1"/>
  <c r="O161" i="5"/>
  <c r="R161" i="5" s="1"/>
  <c r="P161" i="5"/>
  <c r="Q161" i="5" s="1"/>
  <c r="P160" i="5"/>
  <c r="O160" i="5"/>
  <c r="R160" i="5" s="1"/>
  <c r="P159" i="5"/>
  <c r="O159" i="5"/>
  <c r="R159" i="5" s="1"/>
  <c r="O158" i="5"/>
  <c r="P158" i="5"/>
  <c r="Q158" i="5" s="1"/>
  <c r="O157" i="5"/>
  <c r="R157" i="5" s="1"/>
  <c r="P157" i="5"/>
  <c r="Q157" i="5" s="1"/>
  <c r="P156" i="5"/>
  <c r="O156" i="5"/>
  <c r="R156" i="5" s="1"/>
  <c r="O155" i="5"/>
  <c r="R155" i="5" s="1"/>
  <c r="P155" i="5"/>
  <c r="Q155" i="5" s="1"/>
  <c r="O154" i="5"/>
  <c r="R154" i="5" s="1"/>
  <c r="P154" i="5"/>
  <c r="Q154" i="5" s="1"/>
  <c r="P153" i="5"/>
  <c r="O153" i="5"/>
  <c r="R153" i="5" s="1"/>
  <c r="O152" i="5"/>
  <c r="R152" i="5" s="1"/>
  <c r="P152" i="5"/>
  <c r="Q152" i="5" s="1"/>
  <c r="O151" i="5"/>
  <c r="R151" i="5" s="1"/>
  <c r="P151" i="5"/>
  <c r="Q151" i="5" s="1"/>
  <c r="O150" i="5"/>
  <c r="R150" i="5" s="1"/>
  <c r="P150" i="5"/>
  <c r="Q150" i="5" s="1"/>
  <c r="O149" i="5"/>
  <c r="R149" i="5" s="1"/>
  <c r="P149" i="5"/>
  <c r="P148" i="5"/>
  <c r="O148" i="5"/>
  <c r="R148" i="5" s="1"/>
  <c r="P147" i="5"/>
  <c r="O147" i="5"/>
  <c r="R147" i="5" s="1"/>
  <c r="O146" i="5"/>
  <c r="R146" i="5" s="1"/>
  <c r="P146" i="5"/>
  <c r="Q146" i="5" s="1"/>
  <c r="P145" i="5"/>
  <c r="O145" i="5"/>
  <c r="R145" i="5" s="1"/>
  <c r="P144" i="5"/>
  <c r="O144" i="5"/>
  <c r="R144" i="5" s="1"/>
  <c r="P143" i="5"/>
  <c r="O143" i="5"/>
  <c r="R143" i="5" s="1"/>
  <c r="P142" i="5"/>
  <c r="O142" i="5"/>
  <c r="R142" i="5" s="1"/>
  <c r="P141" i="5"/>
  <c r="O141" i="5"/>
  <c r="R141" i="5" s="1"/>
  <c r="O140" i="5"/>
  <c r="R140" i="5" s="1"/>
  <c r="P140" i="5"/>
  <c r="P139" i="5"/>
  <c r="Q139" i="5" s="1"/>
  <c r="O139" i="5"/>
  <c r="R139" i="5" s="1"/>
  <c r="P138" i="5"/>
  <c r="O138" i="5"/>
  <c r="R138" i="5" s="1"/>
  <c r="P137" i="5"/>
  <c r="O137" i="5"/>
  <c r="R137" i="5" s="1"/>
  <c r="O136" i="5"/>
  <c r="R136" i="5" s="1"/>
  <c r="P136" i="5"/>
  <c r="Q136" i="5" s="1"/>
  <c r="P135" i="5"/>
  <c r="O135" i="5"/>
  <c r="R135" i="5" s="1"/>
  <c r="O134" i="5"/>
  <c r="R134" i="5" s="1"/>
  <c r="P134" i="5"/>
  <c r="Q134" i="5" s="1"/>
  <c r="O133" i="5"/>
  <c r="R133" i="5" s="1"/>
  <c r="P133" i="5"/>
  <c r="Q133" i="5" s="1"/>
  <c r="P132" i="5"/>
  <c r="O132" i="5"/>
  <c r="R132" i="5" s="1"/>
  <c r="O131" i="5"/>
  <c r="R131" i="5" s="1"/>
  <c r="P131" i="5"/>
  <c r="Q131" i="5" s="1"/>
  <c r="O130" i="5"/>
  <c r="R130" i="5" s="1"/>
  <c r="P130" i="5"/>
  <c r="O129" i="5"/>
  <c r="R129" i="5" s="1"/>
  <c r="P129" i="5"/>
  <c r="Q129" i="5" s="1"/>
  <c r="O128" i="5"/>
  <c r="R128" i="5" s="1"/>
  <c r="P128" i="5"/>
  <c r="Q128" i="5" s="1"/>
  <c r="P127" i="5"/>
  <c r="O127" i="5"/>
  <c r="R127" i="5" s="1"/>
  <c r="P126" i="5"/>
  <c r="Q126" i="5" s="1"/>
  <c r="O126" i="5"/>
  <c r="R126" i="5" s="1"/>
  <c r="P125" i="5"/>
  <c r="O125" i="5"/>
  <c r="R125" i="5" s="1"/>
  <c r="O124" i="5"/>
  <c r="R124" i="5" s="1"/>
  <c r="P124" i="5"/>
  <c r="Q124" i="5" s="1"/>
  <c r="P123" i="5"/>
  <c r="Q123" i="5" s="1"/>
  <c r="O123" i="5"/>
  <c r="R123" i="5" s="1"/>
  <c r="P122" i="5"/>
  <c r="O122" i="5"/>
  <c r="R122" i="5" s="1"/>
  <c r="O121" i="5"/>
  <c r="R121" i="5" s="1"/>
  <c r="P121" i="5"/>
  <c r="Q121" i="5" s="1"/>
  <c r="P120" i="5"/>
  <c r="O120" i="5"/>
  <c r="R120" i="5" s="1"/>
  <c r="P119" i="5"/>
  <c r="O119" i="5"/>
  <c r="R119" i="5" s="1"/>
  <c r="O118" i="5"/>
  <c r="R118" i="5" s="1"/>
  <c r="P118" i="5"/>
  <c r="Q118" i="5" s="1"/>
  <c r="P117" i="5"/>
  <c r="O117" i="5"/>
  <c r="R117" i="5" s="1"/>
  <c r="O116" i="5"/>
  <c r="R116" i="5" s="1"/>
  <c r="P116" i="5"/>
  <c r="Q116" i="5" s="1"/>
  <c r="P115" i="5"/>
  <c r="Q115" i="5" s="1"/>
  <c r="O115" i="5"/>
  <c r="R115" i="5" s="1"/>
  <c r="P114" i="5"/>
  <c r="Q114" i="5" s="1"/>
  <c r="O114" i="5"/>
  <c r="R114" i="5" s="1"/>
  <c r="O113" i="5"/>
  <c r="R113" i="5" s="1"/>
  <c r="P113" i="5"/>
  <c r="Q113" i="5" s="1"/>
  <c r="O112" i="5"/>
  <c r="R112" i="5" s="1"/>
  <c r="P112" i="5"/>
  <c r="Q112" i="5" s="1"/>
  <c r="P111" i="5"/>
  <c r="Q111" i="5" s="1"/>
  <c r="O111" i="5"/>
  <c r="R111" i="5" s="1"/>
  <c r="O110" i="5"/>
  <c r="R110" i="5" s="1"/>
  <c r="P110" i="5"/>
  <c r="Q110" i="5" s="1"/>
  <c r="P109" i="5"/>
  <c r="O109" i="5"/>
  <c r="R109" i="5" s="1"/>
  <c r="P108" i="5"/>
  <c r="Q108" i="5" s="1"/>
  <c r="O108" i="5"/>
  <c r="R108" i="5" s="1"/>
  <c r="P107" i="5"/>
  <c r="Q107" i="5" s="1"/>
  <c r="O107" i="5"/>
  <c r="R107" i="5" s="1"/>
  <c r="P106" i="5"/>
  <c r="O106" i="5"/>
  <c r="R106" i="5" s="1"/>
  <c r="O105" i="5"/>
  <c r="R105" i="5" s="1"/>
  <c r="P105" i="5"/>
  <c r="Q105" i="5" s="1"/>
  <c r="O104" i="5"/>
  <c r="R104" i="5" s="1"/>
  <c r="P104" i="5"/>
  <c r="Q104" i="5" s="1"/>
  <c r="P103" i="5"/>
  <c r="O103" i="5"/>
  <c r="R103" i="5" s="1"/>
  <c r="P102" i="5"/>
  <c r="Q102" i="5" s="1"/>
  <c r="O102" i="5"/>
  <c r="R102" i="5" s="1"/>
  <c r="O101" i="5"/>
  <c r="R101" i="5" s="1"/>
  <c r="P101" i="5"/>
  <c r="Q101" i="5" s="1"/>
  <c r="O100" i="5"/>
  <c r="R100" i="5" s="1"/>
  <c r="P100" i="5"/>
  <c r="Q100" i="5" s="1"/>
  <c r="O99" i="5"/>
  <c r="R99" i="5" s="1"/>
  <c r="P99" i="5"/>
  <c r="Q99" i="5" s="1"/>
  <c r="P98" i="5"/>
  <c r="Q98" i="5" s="1"/>
  <c r="O98" i="5"/>
  <c r="R98" i="5" s="1"/>
  <c r="P97" i="5"/>
  <c r="O97" i="5"/>
  <c r="R97" i="5" s="1"/>
  <c r="O96" i="5"/>
  <c r="R96" i="5" s="1"/>
  <c r="P96" i="5"/>
  <c r="Q96" i="5" s="1"/>
  <c r="P95" i="5"/>
  <c r="Q95" i="5" s="1"/>
  <c r="O95" i="5"/>
  <c r="R95" i="5" s="1"/>
  <c r="O94" i="5"/>
  <c r="R94" i="5" s="1"/>
  <c r="P94" i="5"/>
  <c r="Q94" i="5" s="1"/>
  <c r="O93" i="5"/>
  <c r="R93" i="5" s="1"/>
  <c r="P93" i="5"/>
  <c r="Q93" i="5" s="1"/>
  <c r="P92" i="5"/>
  <c r="O92" i="5"/>
  <c r="R92" i="5" s="1"/>
  <c r="O91" i="5"/>
  <c r="R91" i="5" s="1"/>
  <c r="P91" i="5"/>
  <c r="Q91" i="5" s="1"/>
  <c r="P90" i="5"/>
  <c r="O90" i="5"/>
  <c r="R90" i="5" s="1"/>
  <c r="P89" i="5"/>
  <c r="O89" i="5"/>
  <c r="R89" i="5" s="1"/>
  <c r="O88" i="5"/>
  <c r="R88" i="5" s="1"/>
  <c r="P88" i="5"/>
  <c r="Q88" i="5" s="1"/>
  <c r="O87" i="5"/>
  <c r="R87" i="5" s="1"/>
  <c r="P87" i="5"/>
  <c r="Q87" i="5" s="1"/>
  <c r="P86" i="5"/>
  <c r="Q86" i="5" s="1"/>
  <c r="O86" i="5"/>
  <c r="R86" i="5" s="1"/>
  <c r="P85" i="5"/>
  <c r="O85" i="5"/>
  <c r="R85" i="5" s="1"/>
  <c r="O84" i="5"/>
  <c r="R84" i="5" s="1"/>
  <c r="P84" i="5"/>
  <c r="Q84" i="5" s="1"/>
  <c r="P83" i="5"/>
  <c r="O83" i="5"/>
  <c r="R83" i="5" s="1"/>
  <c r="O82" i="5"/>
  <c r="R82" i="5" s="1"/>
  <c r="P82" i="5"/>
  <c r="Q82" i="5" s="1"/>
  <c r="O81" i="5"/>
  <c r="R81" i="5" s="1"/>
  <c r="P81" i="5"/>
  <c r="Q81" i="5" s="1"/>
  <c r="O80" i="5"/>
  <c r="R80" i="5" s="1"/>
  <c r="P80" i="5"/>
  <c r="Q80" i="5" s="1"/>
  <c r="O79" i="5"/>
  <c r="R79" i="5" s="1"/>
  <c r="P79" i="5"/>
  <c r="P78" i="5"/>
  <c r="Q78" i="5" s="1"/>
  <c r="O78" i="5"/>
  <c r="R78" i="5" s="1"/>
  <c r="O77" i="5"/>
  <c r="R77" i="5" s="1"/>
  <c r="P77" i="5"/>
  <c r="Q77" i="5" s="1"/>
  <c r="O76" i="5"/>
  <c r="R76" i="5" s="1"/>
  <c r="P76" i="5"/>
  <c r="Q76" i="5" s="1"/>
  <c r="O75" i="5"/>
  <c r="P75" i="5"/>
  <c r="Q75" i="5" s="1"/>
  <c r="P74" i="5"/>
  <c r="Q74" i="5" s="1"/>
  <c r="O74" i="5"/>
  <c r="R74" i="5" s="1"/>
  <c r="P73" i="5"/>
  <c r="O73" i="5"/>
  <c r="R73" i="5" s="1"/>
  <c r="O72" i="5"/>
  <c r="R72" i="5" s="1"/>
  <c r="P72" i="5"/>
  <c r="Q72" i="5" s="1"/>
  <c r="O71" i="5"/>
  <c r="R71" i="5" s="1"/>
  <c r="P71" i="5"/>
  <c r="Q71" i="5" s="1"/>
  <c r="O70" i="5"/>
  <c r="R70" i="5" s="1"/>
  <c r="P70" i="5"/>
  <c r="Q70" i="5" s="1"/>
  <c r="O69" i="5"/>
  <c r="R69" i="5" s="1"/>
  <c r="P69" i="5"/>
  <c r="Q69" i="5" s="1"/>
  <c r="P68" i="5"/>
  <c r="O68" i="5"/>
  <c r="R68" i="5" s="1"/>
  <c r="O67" i="5"/>
  <c r="R67" i="5" s="1"/>
  <c r="P67" i="5"/>
  <c r="Q67" i="5" s="1"/>
  <c r="O66" i="5"/>
  <c r="R66" i="5" s="1"/>
  <c r="P66" i="5"/>
  <c r="Q66" i="5" s="1"/>
  <c r="O65" i="5"/>
  <c r="R65" i="5" s="1"/>
  <c r="P65" i="5"/>
  <c r="Q65" i="5" s="1"/>
  <c r="P64" i="5"/>
  <c r="O64" i="5"/>
  <c r="R64" i="5" s="1"/>
  <c r="P63" i="5"/>
  <c r="O63" i="5"/>
  <c r="R63" i="5" s="1"/>
  <c r="O62" i="5"/>
  <c r="R62" i="5" s="1"/>
  <c r="P62" i="5"/>
  <c r="Q62" i="5" s="1"/>
  <c r="P61" i="5"/>
  <c r="O61" i="5"/>
  <c r="P60" i="5"/>
  <c r="O60" i="5"/>
  <c r="R60" i="5" s="1"/>
  <c r="P59" i="5"/>
  <c r="O59" i="5"/>
  <c r="R59" i="5" s="1"/>
  <c r="P58" i="5"/>
  <c r="O58" i="5"/>
  <c r="R58" i="5" s="1"/>
  <c r="O57" i="5"/>
  <c r="R57" i="5" s="1"/>
  <c r="P57" i="5"/>
  <c r="Q57" i="5" s="1"/>
  <c r="O56" i="5"/>
  <c r="R56" i="5" s="1"/>
  <c r="P56" i="5"/>
  <c r="Q56" i="5" s="1"/>
  <c r="O55" i="5"/>
  <c r="R55" i="5" s="1"/>
  <c r="P55" i="5"/>
  <c r="Q55" i="5" s="1"/>
  <c r="P54" i="5"/>
  <c r="Q54" i="5" s="1"/>
  <c r="O54" i="5"/>
  <c r="R54" i="5" s="1"/>
  <c r="O53" i="5"/>
  <c r="R53" i="5" s="1"/>
  <c r="P53" i="5"/>
  <c r="Q53" i="5" s="1"/>
  <c r="O52" i="5"/>
  <c r="R52" i="5" s="1"/>
  <c r="P52" i="5"/>
  <c r="P51" i="5"/>
  <c r="O51" i="5"/>
  <c r="R51" i="5" s="1"/>
  <c r="P50" i="5"/>
  <c r="Q50" i="5" s="1"/>
  <c r="O50" i="5"/>
  <c r="R50" i="5" s="1"/>
  <c r="O49" i="5"/>
  <c r="R49" i="5" s="1"/>
  <c r="P49" i="5"/>
  <c r="Q49" i="5" s="1"/>
  <c r="O48" i="5"/>
  <c r="R48" i="5" s="1"/>
  <c r="P48" i="5"/>
  <c r="Q48" i="5" s="1"/>
  <c r="P47" i="5"/>
  <c r="O47" i="5"/>
  <c r="R47" i="5" s="1"/>
  <c r="P46" i="5"/>
  <c r="Q46" i="5" s="1"/>
  <c r="O46" i="5"/>
  <c r="O45" i="5"/>
  <c r="R45" i="5" s="1"/>
  <c r="P45" i="5"/>
  <c r="Q45" i="5" s="1"/>
  <c r="O44" i="5"/>
  <c r="R44" i="5" s="1"/>
  <c r="P44" i="5"/>
  <c r="O43" i="5"/>
  <c r="R43" i="5" s="1"/>
  <c r="P43" i="5"/>
  <c r="Q43" i="5" s="1"/>
  <c r="O42" i="5"/>
  <c r="R42" i="5" s="1"/>
  <c r="P42" i="5"/>
  <c r="Q42" i="5" s="1"/>
  <c r="P41" i="5"/>
  <c r="O41" i="5"/>
  <c r="R41" i="5" s="1"/>
  <c r="O40" i="5"/>
  <c r="R40" i="5" s="1"/>
  <c r="P40" i="5"/>
  <c r="Q40" i="5" s="1"/>
  <c r="O39" i="5"/>
  <c r="R39" i="5" s="1"/>
  <c r="P39" i="5"/>
  <c r="Q39" i="5" s="1"/>
  <c r="P38" i="5"/>
  <c r="Q38" i="5" s="1"/>
  <c r="O38" i="5"/>
  <c r="R38" i="5" s="1"/>
  <c r="P37" i="5"/>
  <c r="O37" i="5"/>
  <c r="R37" i="5" s="1"/>
  <c r="O36" i="5"/>
  <c r="R36" i="5" s="1"/>
  <c r="P36" i="5"/>
  <c r="Q36" i="5" s="1"/>
  <c r="O35" i="5"/>
  <c r="R35" i="5" s="1"/>
  <c r="P35" i="5"/>
  <c r="Q35" i="5" s="1"/>
  <c r="B77" i="10"/>
  <c r="B78" i="10"/>
  <c r="B79" i="10"/>
  <c r="B80" i="10"/>
  <c r="B71" i="10"/>
  <c r="B41" i="10"/>
  <c r="B42" i="10"/>
  <c r="B43" i="10"/>
  <c r="B44" i="10"/>
  <c r="B45" i="10"/>
  <c r="B46" i="10"/>
  <c r="B47" i="10"/>
  <c r="B48" i="10"/>
  <c r="B49" i="10"/>
  <c r="B50" i="10"/>
  <c r="B51" i="10"/>
  <c r="B62" i="10"/>
  <c r="B52" i="10"/>
  <c r="B53" i="10"/>
  <c r="B54" i="10"/>
  <c r="B55" i="10"/>
  <c r="B56" i="10"/>
  <c r="B58" i="10"/>
  <c r="B59" i="10"/>
  <c r="B60" i="10"/>
  <c r="B61" i="10"/>
  <c r="B63" i="10"/>
  <c r="B64" i="10"/>
  <c r="B65" i="10"/>
  <c r="B66" i="10"/>
  <c r="B67" i="10"/>
  <c r="B57" i="10"/>
  <c r="B68" i="10"/>
  <c r="B69" i="10"/>
  <c r="B70" i="10"/>
  <c r="B32" i="10"/>
  <c r="B33" i="10"/>
  <c r="B34" i="10"/>
  <c r="B35" i="10"/>
  <c r="B36" i="10"/>
  <c r="B72" i="10"/>
  <c r="B73" i="10"/>
  <c r="B74" i="10"/>
  <c r="B75" i="10"/>
  <c r="B37" i="10"/>
  <c r="B38" i="10"/>
  <c r="B39" i="10"/>
  <c r="B40" i="10"/>
  <c r="B76" i="10"/>
  <c r="P34" i="5"/>
  <c r="O34" i="5"/>
  <c r="R34" i="5" s="1"/>
  <c r="P33" i="5"/>
  <c r="O33" i="5"/>
  <c r="P32" i="5"/>
  <c r="O32" i="5"/>
  <c r="O31" i="5"/>
  <c r="P31" i="5"/>
  <c r="Q31" i="5" s="1"/>
  <c r="O30" i="5"/>
  <c r="P30" i="5"/>
  <c r="Q30" i="5" s="1"/>
  <c r="O29" i="5"/>
  <c r="P29" i="5"/>
  <c r="Q29" i="5" s="1"/>
  <c r="P28" i="5"/>
  <c r="O28" i="5"/>
  <c r="O27" i="5"/>
  <c r="P27" i="5"/>
  <c r="Q27" i="5" s="1"/>
  <c r="P26" i="5"/>
  <c r="O26" i="5"/>
  <c r="O25" i="5"/>
  <c r="P25" i="5"/>
  <c r="Q25" i="5" s="1"/>
  <c r="O24" i="5"/>
  <c r="P24" i="5"/>
  <c r="Q24" i="5" s="1"/>
  <c r="O23" i="5"/>
  <c r="P23" i="5"/>
  <c r="P22" i="5"/>
  <c r="O22" i="5"/>
  <c r="P21" i="5"/>
  <c r="O21" i="5"/>
  <c r="O20" i="5"/>
  <c r="P20" i="5"/>
  <c r="Q20" i="5" s="1"/>
  <c r="P19" i="5"/>
  <c r="Q19" i="5" s="1"/>
  <c r="O19" i="5"/>
  <c r="O18" i="5"/>
  <c r="P18" i="5"/>
  <c r="Q18" i="5" s="1"/>
  <c r="O17" i="5"/>
  <c r="P17" i="5"/>
  <c r="Q17" i="5" s="1"/>
  <c r="O16" i="5"/>
  <c r="P16" i="5"/>
  <c r="Q16" i="5" s="1"/>
  <c r="P15" i="5"/>
  <c r="O15" i="5"/>
  <c r="O14" i="5"/>
  <c r="P14" i="5"/>
  <c r="Q14" i="5" s="1"/>
  <c r="O13" i="5"/>
  <c r="P13" i="5"/>
  <c r="Q13" i="5" s="1"/>
  <c r="P12" i="5"/>
  <c r="O12" i="5"/>
  <c r="P11" i="5"/>
  <c r="O11" i="5"/>
  <c r="O10" i="5"/>
  <c r="P10" i="5"/>
  <c r="Q10" i="5" s="1"/>
  <c r="O9" i="5"/>
  <c r="P9" i="5"/>
  <c r="Q9" i="5" s="1"/>
  <c r="O8" i="5"/>
  <c r="P8" i="5"/>
  <c r="Q8" i="5" s="1"/>
  <c r="O7" i="5"/>
  <c r="P7" i="5"/>
  <c r="Q7" i="5" s="1"/>
  <c r="P6" i="5"/>
  <c r="O6" i="5"/>
  <c r="O5" i="5"/>
  <c r="P5" i="5"/>
  <c r="Q5" i="5" s="1"/>
  <c r="O4" i="5"/>
  <c r="P4" i="5"/>
  <c r="Q4" i="5" s="1"/>
  <c r="O3" i="5"/>
  <c r="P3" i="5"/>
  <c r="Q3" i="5" s="1"/>
  <c r="B88" i="10"/>
  <c r="B87" i="10"/>
  <c r="B86" i="10"/>
  <c r="B101" i="10"/>
  <c r="B99" i="10"/>
  <c r="B93" i="10"/>
  <c r="B100" i="10"/>
  <c r="B81" i="10"/>
  <c r="B98" i="10"/>
  <c r="B97" i="10"/>
  <c r="B96" i="10"/>
  <c r="B83" i="10"/>
  <c r="B90" i="10"/>
  <c r="B95" i="10"/>
  <c r="B84" i="10"/>
  <c r="B82" i="10"/>
  <c r="B94" i="10"/>
  <c r="B92" i="10"/>
  <c r="B91" i="10"/>
  <c r="B89" i="10"/>
  <c r="B85" i="10"/>
  <c r="O2" i="5"/>
  <c r="P2" i="5"/>
  <c r="Q2" i="5" s="1"/>
  <c r="W1145" i="5"/>
  <c r="W859" i="5"/>
  <c r="W164" i="5"/>
  <c r="S1145" i="5"/>
  <c r="S164" i="5"/>
  <c r="S859" i="5"/>
  <c r="W109" i="5"/>
  <c r="W706" i="5"/>
  <c r="W288" i="5"/>
  <c r="W1690" i="5"/>
  <c r="S1690" i="5"/>
  <c r="S109" i="5"/>
  <c r="S706" i="5"/>
  <c r="S288" i="5"/>
  <c r="W528" i="5"/>
  <c r="W808" i="5"/>
  <c r="W1040" i="5"/>
  <c r="W1028" i="5"/>
  <c r="S528" i="5"/>
  <c r="S808" i="5"/>
  <c r="S1040" i="5"/>
  <c r="S1028" i="5"/>
  <c r="W1156" i="5"/>
  <c r="W189" i="5"/>
  <c r="W241" i="5"/>
  <c r="S189" i="5"/>
  <c r="S1156" i="5"/>
  <c r="S241" i="5"/>
  <c r="W1336" i="5"/>
  <c r="W857" i="5"/>
  <c r="W537" i="5"/>
  <c r="W1049" i="5"/>
  <c r="W622" i="5"/>
  <c r="S1049" i="5"/>
  <c r="S1336" i="5"/>
  <c r="S622" i="5"/>
  <c r="S857" i="5"/>
  <c r="S537" i="5"/>
  <c r="W720" i="5"/>
  <c r="W1303" i="5"/>
  <c r="W1494" i="5"/>
  <c r="W993" i="5"/>
  <c r="S720" i="5"/>
  <c r="S1303" i="5"/>
  <c r="S993" i="5"/>
  <c r="S1494" i="5"/>
  <c r="W1985" i="5"/>
  <c r="W221" i="5"/>
  <c r="W1575" i="5"/>
  <c r="S221" i="5"/>
  <c r="S1985" i="5"/>
  <c r="S1575" i="5"/>
  <c r="W617" i="5"/>
  <c r="W864" i="5"/>
  <c r="S617" i="5"/>
  <c r="S864" i="5"/>
  <c r="W99" i="5"/>
  <c r="W1451" i="5"/>
  <c r="W1386" i="5"/>
  <c r="S1386" i="5"/>
  <c r="S1451" i="5"/>
  <c r="S99" i="5"/>
  <c r="W514" i="5"/>
  <c r="W667" i="5"/>
  <c r="W1639" i="5"/>
  <c r="W765" i="5"/>
  <c r="S667" i="5"/>
  <c r="S765" i="5"/>
  <c r="S1639" i="5"/>
  <c r="S514" i="5"/>
  <c r="W798" i="5"/>
  <c r="W815" i="5"/>
  <c r="W497" i="5"/>
  <c r="W605" i="5"/>
  <c r="W542" i="5"/>
  <c r="S605" i="5"/>
  <c r="S497" i="5"/>
  <c r="S798" i="5"/>
  <c r="S542" i="5"/>
  <c r="S815" i="5"/>
  <c r="W731" i="5"/>
  <c r="W677" i="5"/>
  <c r="S731" i="5"/>
  <c r="S677" i="5"/>
  <c r="W1987" i="5"/>
  <c r="W1319" i="5"/>
  <c r="W1636" i="5"/>
  <c r="W146" i="5"/>
  <c r="W1082" i="5"/>
  <c r="S1319" i="5"/>
  <c r="S146" i="5"/>
  <c r="S1082" i="5"/>
  <c r="S1987" i="5"/>
  <c r="S1636" i="5"/>
  <c r="W1675" i="5"/>
  <c r="W831" i="5"/>
  <c r="S1675" i="5"/>
  <c r="S831" i="5"/>
  <c r="W113" i="5"/>
  <c r="W1573" i="5"/>
  <c r="S113" i="5"/>
  <c r="S1573" i="5"/>
  <c r="W1235" i="5"/>
  <c r="W1351" i="5"/>
  <c r="W1620" i="5"/>
  <c r="W1430" i="5"/>
  <c r="S1351" i="5"/>
  <c r="S1620" i="5"/>
  <c r="S1235" i="5"/>
  <c r="S1430" i="5"/>
  <c r="W644" i="5"/>
  <c r="W547" i="5"/>
  <c r="W1365" i="5"/>
  <c r="W816" i="5"/>
  <c r="W749" i="5"/>
  <c r="S816" i="5"/>
  <c r="S547" i="5"/>
  <c r="S1365" i="5"/>
  <c r="S749" i="5"/>
  <c r="S644" i="5"/>
  <c r="W1393" i="5"/>
  <c r="W1034" i="5"/>
  <c r="W513" i="5"/>
  <c r="W1413" i="5"/>
  <c r="W1595" i="5"/>
  <c r="S1393" i="5"/>
  <c r="S1413" i="5"/>
  <c r="S1034" i="5"/>
  <c r="S1595" i="5"/>
  <c r="S513" i="5"/>
  <c r="W1343" i="5"/>
  <c r="W1137" i="5"/>
  <c r="W1161" i="5"/>
  <c r="W1691" i="5"/>
  <c r="W260" i="5"/>
  <c r="W1030" i="5"/>
  <c r="S1030" i="5"/>
  <c r="S1343" i="5"/>
  <c r="S1161" i="5"/>
  <c r="S1691" i="5"/>
  <c r="S1137" i="5"/>
  <c r="S260" i="5"/>
  <c r="W1641" i="5"/>
  <c r="W415" i="5"/>
  <c r="W1108" i="5"/>
  <c r="S415" i="5"/>
  <c r="S1641" i="5"/>
  <c r="S1108" i="5"/>
  <c r="W1107" i="5"/>
  <c r="W1119" i="5"/>
  <c r="W1329" i="5"/>
  <c r="S1119" i="5"/>
  <c r="S1329" i="5"/>
  <c r="S1107" i="5"/>
  <c r="W1580" i="5"/>
  <c r="W665" i="5"/>
  <c r="W1301" i="5"/>
  <c r="W187" i="5"/>
  <c r="S187" i="5"/>
  <c r="S1301" i="5"/>
  <c r="S1580" i="5"/>
  <c r="S665" i="5"/>
  <c r="W225" i="5"/>
  <c r="W508" i="5"/>
  <c r="W1719" i="5"/>
  <c r="W1569" i="5"/>
  <c r="W1392" i="5"/>
  <c r="W1521" i="5"/>
  <c r="S1521" i="5"/>
  <c r="S1392" i="5"/>
  <c r="S508" i="5"/>
  <c r="S1719" i="5"/>
  <c r="S1569" i="5"/>
  <c r="S225" i="5"/>
  <c r="W1422" i="5"/>
  <c r="W567" i="5"/>
  <c r="W679" i="5"/>
  <c r="W1308" i="5"/>
  <c r="S1422" i="5"/>
  <c r="S567" i="5"/>
  <c r="S679" i="5"/>
  <c r="S1308" i="5"/>
  <c r="W696" i="5"/>
  <c r="W114" i="5"/>
  <c r="W609" i="5"/>
  <c r="W266" i="5"/>
  <c r="W797" i="5"/>
  <c r="S114" i="5"/>
  <c r="S696" i="5"/>
  <c r="S609" i="5"/>
  <c r="S266" i="5"/>
  <c r="S797" i="5"/>
  <c r="W1525" i="5"/>
  <c r="W1402" i="5"/>
  <c r="W3" i="5"/>
  <c r="W1609" i="5"/>
  <c r="W149" i="5"/>
  <c r="S3" i="5"/>
  <c r="S1402" i="5"/>
  <c r="S1609" i="5"/>
  <c r="S149" i="5"/>
  <c r="S1525" i="5"/>
  <c r="W396" i="5"/>
  <c r="W198" i="5"/>
  <c r="W1023" i="5"/>
  <c r="W132" i="5"/>
  <c r="S396" i="5"/>
  <c r="S1023" i="5"/>
  <c r="S198" i="5"/>
  <c r="S132" i="5"/>
  <c r="W314" i="5"/>
  <c r="W28" i="5"/>
  <c r="W1070" i="5"/>
  <c r="W1581" i="5"/>
  <c r="W558" i="5"/>
  <c r="W1656" i="5"/>
  <c r="W66" i="5"/>
  <c r="S1070" i="5"/>
  <c r="S314" i="5"/>
  <c r="S1656" i="5"/>
  <c r="S558" i="5"/>
  <c r="S66" i="5"/>
  <c r="S28" i="5"/>
  <c r="S1581" i="5"/>
  <c r="W1564" i="5"/>
  <c r="W835" i="5"/>
  <c r="S1564" i="5"/>
  <c r="S835" i="5"/>
  <c r="W418" i="5"/>
  <c r="W544" i="5"/>
  <c r="W545" i="5"/>
  <c r="W450" i="5"/>
  <c r="W784" i="5"/>
  <c r="W1590" i="5"/>
  <c r="S418" i="5"/>
  <c r="S544" i="5"/>
  <c r="S545" i="5"/>
  <c r="S450" i="5"/>
  <c r="S1590" i="5"/>
  <c r="S784" i="5"/>
  <c r="W377" i="5"/>
  <c r="W490" i="5"/>
  <c r="W1526" i="5"/>
  <c r="W1001" i="5"/>
  <c r="W1610" i="5"/>
  <c r="S377" i="5"/>
  <c r="S1001" i="5"/>
  <c r="S1610" i="5"/>
  <c r="S1526" i="5"/>
  <c r="S490" i="5"/>
  <c r="W478" i="5"/>
  <c r="W214" i="5"/>
  <c r="W208" i="5"/>
  <c r="W504" i="5"/>
  <c r="S504" i="5"/>
  <c r="S208" i="5"/>
  <c r="S214" i="5"/>
  <c r="S478" i="5"/>
  <c r="W124" i="5"/>
  <c r="W1265" i="5"/>
  <c r="W997" i="5"/>
  <c r="S124" i="5"/>
  <c r="S997" i="5"/>
  <c r="S1265" i="5"/>
  <c r="W994" i="5"/>
  <c r="W30" i="5"/>
  <c r="W872" i="5"/>
  <c r="S30" i="5"/>
  <c r="S872" i="5"/>
  <c r="S994" i="5"/>
  <c r="W1653" i="5"/>
  <c r="W1067" i="5"/>
  <c r="S1653" i="5"/>
  <c r="S1067" i="5"/>
  <c r="W1007" i="5"/>
  <c r="W1311" i="5"/>
  <c r="W137" i="5"/>
  <c r="W707" i="5"/>
  <c r="S1007" i="5"/>
  <c r="S1311" i="5"/>
  <c r="S137" i="5"/>
  <c r="S707" i="5"/>
  <c r="W1478" i="5"/>
  <c r="W207" i="5"/>
  <c r="W1259" i="5"/>
  <c r="W433" i="5"/>
  <c r="W277" i="5"/>
  <c r="S207" i="5"/>
  <c r="S433" i="5"/>
  <c r="S1259" i="5"/>
  <c r="S1478" i="5"/>
  <c r="S277" i="5"/>
  <c r="W505" i="5"/>
  <c r="W1519" i="5"/>
  <c r="W1522" i="5"/>
  <c r="S505" i="5"/>
  <c r="S1519" i="5"/>
  <c r="S1522" i="5"/>
  <c r="W1234" i="5"/>
  <c r="W1360" i="5"/>
  <c r="W1440" i="5"/>
  <c r="S1440" i="5"/>
  <c r="S1234" i="5"/>
  <c r="S1360" i="5"/>
  <c r="W1042" i="5"/>
  <c r="W289" i="5"/>
  <c r="S1042" i="5"/>
  <c r="S289" i="5"/>
  <c r="W372" i="5"/>
  <c r="W1596" i="5"/>
  <c r="W1100" i="5"/>
  <c r="W1424" i="5"/>
  <c r="S1596" i="5"/>
  <c r="S372" i="5"/>
  <c r="S1424" i="5"/>
  <c r="S1100" i="5"/>
  <c r="W1092" i="5"/>
  <c r="W1302" i="5"/>
  <c r="S1092" i="5"/>
  <c r="S1302" i="5"/>
  <c r="W1679" i="5"/>
  <c r="W566" i="5"/>
  <c r="S1679" i="5"/>
  <c r="S566" i="5"/>
  <c r="W1449" i="5"/>
  <c r="W1982" i="5"/>
  <c r="W1014" i="5"/>
  <c r="W279" i="5"/>
  <c r="S1982" i="5"/>
  <c r="S279" i="5"/>
  <c r="S1449" i="5"/>
  <c r="S1014" i="5"/>
  <c r="W1974" i="5"/>
  <c r="W361" i="5"/>
  <c r="W375" i="5"/>
  <c r="S361" i="5"/>
  <c r="S1974" i="5"/>
  <c r="S375" i="5"/>
  <c r="W384" i="5"/>
  <c r="W1990" i="5"/>
  <c r="W515" i="5"/>
  <c r="W216" i="5"/>
  <c r="W1132" i="5"/>
  <c r="W488" i="5"/>
  <c r="S488" i="5"/>
  <c r="S1132" i="5"/>
  <c r="S515" i="5"/>
  <c r="S216" i="5"/>
  <c r="S384" i="5"/>
  <c r="S1990" i="5"/>
  <c r="W24" i="5"/>
  <c r="W1074" i="5"/>
  <c r="W69" i="5"/>
  <c r="W1129" i="5"/>
  <c r="S1074" i="5"/>
  <c r="S69" i="5"/>
  <c r="S1129" i="5"/>
  <c r="S24" i="5"/>
  <c r="W1618" i="5"/>
  <c r="W652" i="5"/>
  <c r="S652" i="5"/>
  <c r="S1618" i="5"/>
  <c r="W1252" i="5"/>
  <c r="W365" i="5"/>
  <c r="W1257" i="5"/>
  <c r="S365" i="5"/>
  <c r="S1252" i="5"/>
  <c r="S1257" i="5"/>
  <c r="W1121" i="5"/>
  <c r="W790" i="5"/>
  <c r="W135" i="5"/>
  <c r="W65" i="5"/>
  <c r="W274" i="5"/>
  <c r="S790" i="5"/>
  <c r="S135" i="5"/>
  <c r="S1121" i="5"/>
  <c r="S274" i="5"/>
  <c r="S65" i="5"/>
  <c r="W855" i="5"/>
  <c r="W1043" i="5"/>
  <c r="W616" i="5"/>
  <c r="S616" i="5"/>
  <c r="S855" i="5"/>
  <c r="S1043" i="5"/>
  <c r="W493" i="5"/>
  <c r="W559" i="5"/>
  <c r="S493" i="5"/>
  <c r="S559" i="5"/>
  <c r="W1031" i="5"/>
  <c r="W999" i="5"/>
  <c r="S1031" i="5"/>
  <c r="S999" i="5"/>
  <c r="W262" i="5"/>
  <c r="W641" i="5"/>
  <c r="W775" i="5"/>
  <c r="W799" i="5"/>
  <c r="S641" i="5"/>
  <c r="S262" i="5"/>
  <c r="S799" i="5"/>
  <c r="S775" i="5"/>
  <c r="W166" i="5"/>
  <c r="W805" i="5"/>
  <c r="W351" i="5"/>
  <c r="W172" i="5"/>
  <c r="S166" i="5"/>
  <c r="S351" i="5"/>
  <c r="S805" i="5"/>
  <c r="S172" i="5"/>
  <c r="W1006" i="5"/>
  <c r="W1325" i="5"/>
  <c r="S1006" i="5"/>
  <c r="S1325" i="5"/>
  <c r="W441" i="5"/>
  <c r="W228" i="5"/>
  <c r="S441" i="5"/>
  <c r="S228" i="5"/>
  <c r="W393" i="5"/>
  <c r="W1059" i="5"/>
  <c r="W297" i="5"/>
  <c r="S1059" i="5"/>
  <c r="S393" i="5"/>
  <c r="S297" i="5"/>
  <c r="W729" i="5"/>
  <c r="W14" i="5"/>
  <c r="S14" i="5"/>
  <c r="S729" i="5"/>
  <c r="W155" i="5"/>
  <c r="W1057" i="5"/>
  <c r="W1574" i="5"/>
  <c r="W878" i="5"/>
  <c r="S1057" i="5"/>
  <c r="S1574" i="5"/>
  <c r="S155" i="5"/>
  <c r="S878" i="5"/>
  <c r="W1026" i="5"/>
  <c r="W1039" i="5"/>
  <c r="S1026" i="5"/>
  <c r="S1039" i="5"/>
  <c r="W577" i="5"/>
  <c r="W1394" i="5"/>
  <c r="W1711" i="5"/>
  <c r="W429" i="5"/>
  <c r="S1394" i="5"/>
  <c r="S429" i="5"/>
  <c r="S577" i="5"/>
  <c r="S1711" i="5"/>
  <c r="W2001" i="5"/>
  <c r="W78" i="5"/>
  <c r="W296" i="5"/>
  <c r="W1000" i="5"/>
  <c r="S78" i="5"/>
  <c r="S1000" i="5"/>
  <c r="S2001" i="5"/>
  <c r="S296" i="5"/>
  <c r="W807" i="5"/>
  <c r="W1436" i="5"/>
  <c r="W685" i="5"/>
  <c r="W1593" i="5"/>
  <c r="W1321" i="5"/>
  <c r="W210" i="5"/>
  <c r="S1436" i="5"/>
  <c r="S210" i="5"/>
  <c r="S1321" i="5"/>
  <c r="S1593" i="5"/>
  <c r="S685" i="5"/>
  <c r="S807" i="5"/>
  <c r="W1428" i="5"/>
  <c r="W182" i="5"/>
  <c r="S1428" i="5"/>
  <c r="S182" i="5"/>
  <c r="W95" i="5"/>
  <c r="W1437" i="5"/>
  <c r="W455" i="5"/>
  <c r="W464" i="5"/>
  <c r="S1437" i="5"/>
  <c r="S464" i="5"/>
  <c r="S95" i="5"/>
  <c r="S455" i="5"/>
  <c r="W1291" i="5"/>
  <c r="W1645" i="5"/>
  <c r="W1358" i="5"/>
  <c r="W777" i="5"/>
  <c r="S777" i="5"/>
  <c r="S1291" i="5"/>
  <c r="S1645" i="5"/>
  <c r="S1358" i="5"/>
  <c r="W779" i="5"/>
  <c r="W635" i="5"/>
  <c r="W1503" i="5"/>
  <c r="W631" i="5"/>
  <c r="S1503" i="5"/>
  <c r="S779" i="5"/>
  <c r="S631" i="5"/>
  <c r="S635" i="5"/>
  <c r="W1237" i="5"/>
  <c r="W307" i="5"/>
  <c r="S307" i="5"/>
  <c r="S1237" i="5"/>
  <c r="W1604" i="5"/>
  <c r="W660" i="5"/>
  <c r="S660" i="5"/>
  <c r="S1604" i="5"/>
  <c r="W355" i="5"/>
  <c r="W523" i="5"/>
  <c r="W1692" i="5"/>
  <c r="W2" i="5"/>
  <c r="S2" i="5"/>
  <c r="S355" i="5"/>
  <c r="S1692" i="5"/>
  <c r="S523" i="5"/>
  <c r="W1559" i="5"/>
  <c r="W257" i="5"/>
  <c r="S1559" i="5"/>
  <c r="S257" i="5"/>
  <c r="W1972" i="5"/>
  <c r="W386" i="5"/>
  <c r="S1972" i="5"/>
  <c r="S386" i="5"/>
  <c r="W1434" i="5"/>
  <c r="W530" i="5"/>
  <c r="W1409" i="5"/>
  <c r="W517" i="5"/>
  <c r="W423" i="5"/>
  <c r="W604" i="5"/>
  <c r="W1717" i="5"/>
  <c r="S1717" i="5"/>
  <c r="S1409" i="5"/>
  <c r="S517" i="5"/>
  <c r="S604" i="5"/>
  <c r="S530" i="5"/>
  <c r="S423" i="5"/>
  <c r="S1434" i="5"/>
  <c r="W1630" i="5"/>
  <c r="W1395" i="5"/>
  <c r="W1536" i="5"/>
  <c r="W861" i="5"/>
  <c r="S1395" i="5"/>
  <c r="S1536" i="5"/>
  <c r="S1630" i="5"/>
  <c r="S861" i="5"/>
  <c r="W858" i="5"/>
  <c r="W1680" i="5"/>
  <c r="W347" i="5"/>
  <c r="S347" i="5"/>
  <c r="S858" i="5"/>
  <c r="S1680" i="5"/>
  <c r="W407" i="5"/>
  <c r="W1973" i="5"/>
  <c r="W1613" i="5"/>
  <c r="S1973" i="5"/>
  <c r="S1613" i="5"/>
  <c r="S407" i="5"/>
  <c r="W133" i="5"/>
  <c r="W482" i="5"/>
  <c r="W516" i="5"/>
  <c r="W562" i="5"/>
  <c r="W305" i="5"/>
  <c r="S482" i="5"/>
  <c r="S562" i="5"/>
  <c r="S133" i="5"/>
  <c r="S305" i="5"/>
  <c r="S516" i="5"/>
  <c r="W397" i="5"/>
  <c r="W233" i="5"/>
  <c r="S397" i="5"/>
  <c r="S233" i="5"/>
  <c r="W9" i="5"/>
  <c r="W471" i="5"/>
  <c r="W1416" i="5"/>
  <c r="W800" i="5"/>
  <c r="S1416" i="5"/>
  <c r="S800" i="5"/>
  <c r="S471" i="5"/>
  <c r="S9" i="5"/>
  <c r="W1357" i="5"/>
  <c r="W1248" i="5"/>
  <c r="S1248" i="5"/>
  <c r="S1357" i="5"/>
  <c r="W474" i="5"/>
  <c r="W315" i="5"/>
  <c r="S315" i="5"/>
  <c r="S474" i="5"/>
  <c r="W576" i="5"/>
  <c r="W1588" i="5"/>
  <c r="W1126" i="5"/>
  <c r="S1588" i="5"/>
  <c r="S576" i="5"/>
  <c r="S1126" i="5"/>
  <c r="W659" i="5"/>
  <c r="W697" i="5"/>
  <c r="W1084" i="5"/>
  <c r="W1997" i="5"/>
  <c r="S659" i="5"/>
  <c r="S1084" i="5"/>
  <c r="S697" i="5"/>
  <c r="S1997" i="5"/>
  <c r="W350" i="5"/>
  <c r="W772" i="5"/>
  <c r="W1349" i="5"/>
  <c r="S1349" i="5"/>
  <c r="S350" i="5"/>
  <c r="S772" i="5"/>
  <c r="W1601" i="5"/>
  <c r="W394" i="5"/>
  <c r="S1601" i="5"/>
  <c r="S394" i="5"/>
  <c r="W629" i="5"/>
  <c r="W1513" i="5"/>
  <c r="W378" i="5"/>
  <c r="S1513" i="5"/>
  <c r="S629" i="5"/>
  <c r="S378" i="5"/>
  <c r="W1998" i="5"/>
  <c r="W479" i="5"/>
  <c r="W1698" i="5"/>
  <c r="W1550" i="5"/>
  <c r="W1490" i="5"/>
  <c r="S1998" i="5"/>
  <c r="S479" i="5"/>
  <c r="S1550" i="5"/>
  <c r="S1698" i="5"/>
  <c r="S1490" i="5"/>
  <c r="W1700" i="5"/>
  <c r="W335" i="5"/>
  <c r="S335" i="5"/>
  <c r="S1700" i="5"/>
  <c r="W1704" i="5"/>
  <c r="W276" i="5"/>
  <c r="W97" i="5"/>
  <c r="S1704" i="5"/>
  <c r="S97" i="5"/>
  <c r="S276" i="5"/>
  <c r="W1418" i="5"/>
  <c r="W121" i="5"/>
  <c r="W381" i="5"/>
  <c r="W728" i="5"/>
  <c r="W265" i="5"/>
  <c r="S265" i="5"/>
  <c r="S728" i="5"/>
  <c r="S1418" i="5"/>
  <c r="S121" i="5"/>
  <c r="S381" i="5"/>
  <c r="W122" i="5"/>
  <c r="W485" i="5"/>
  <c r="W680" i="5"/>
  <c r="W1356" i="5"/>
  <c r="S485" i="5"/>
  <c r="S680" i="5"/>
  <c r="S1356" i="5"/>
  <c r="S122" i="5"/>
  <c r="W981" i="5"/>
  <c r="W1075" i="5"/>
  <c r="W1529" i="5"/>
  <c r="W703" i="5"/>
  <c r="S1075" i="5"/>
  <c r="S1529" i="5"/>
  <c r="S703" i="5"/>
  <c r="S981" i="5"/>
  <c r="W1612" i="5"/>
  <c r="W988" i="5"/>
  <c r="S1612" i="5"/>
  <c r="S988" i="5"/>
  <c r="W101" i="5"/>
  <c r="W73" i="5"/>
  <c r="W1686" i="5"/>
  <c r="W64" i="5"/>
  <c r="S73" i="5"/>
  <c r="S64" i="5"/>
  <c r="S1686" i="5"/>
  <c r="S101" i="5"/>
  <c r="W1342" i="5"/>
  <c r="W619" i="5"/>
  <c r="W145" i="5"/>
  <c r="S619" i="5"/>
  <c r="S1342" i="5"/>
  <c r="S145" i="5"/>
  <c r="W231" i="5"/>
  <c r="W1499" i="5"/>
  <c r="W425" i="5"/>
  <c r="W1562" i="5"/>
  <c r="S425" i="5"/>
  <c r="S1562" i="5"/>
  <c r="S231" i="5"/>
  <c r="S1499" i="5"/>
  <c r="W1541" i="5"/>
  <c r="W837" i="5"/>
  <c r="S837" i="5"/>
  <c r="S1541" i="5"/>
  <c r="W1619" i="5"/>
  <c r="W632" i="5"/>
  <c r="W1055" i="5"/>
  <c r="S1055" i="5"/>
  <c r="S1619" i="5"/>
  <c r="S632" i="5"/>
  <c r="W739" i="5"/>
  <c r="W120" i="5"/>
  <c r="W1046" i="5"/>
  <c r="S1046" i="5"/>
  <c r="S120" i="5"/>
  <c r="S739" i="5"/>
  <c r="W869" i="5"/>
  <c r="W836" i="5"/>
  <c r="W770" i="5"/>
  <c r="W1472" i="5"/>
  <c r="W148" i="5"/>
  <c r="W162" i="5"/>
  <c r="W597" i="5"/>
  <c r="S597" i="5"/>
  <c r="S869" i="5"/>
  <c r="S162" i="5"/>
  <c r="S836" i="5"/>
  <c r="S148" i="5"/>
  <c r="S770" i="5"/>
  <c r="S1472" i="5"/>
  <c r="W1647" i="5"/>
  <c r="W1279" i="5"/>
  <c r="S1647" i="5"/>
  <c r="S1279" i="5"/>
  <c r="W473" i="5"/>
  <c r="W1125" i="5"/>
  <c r="W367" i="5"/>
  <c r="W465" i="5"/>
  <c r="W280" i="5"/>
  <c r="W520" i="5"/>
  <c r="W212" i="5"/>
  <c r="S473" i="5"/>
  <c r="S212" i="5"/>
  <c r="S280" i="5"/>
  <c r="S520" i="5"/>
  <c r="S367" i="5"/>
  <c r="S1125" i="5"/>
  <c r="S465" i="5"/>
  <c r="W63" i="5"/>
  <c r="W1299" i="5"/>
  <c r="W76" i="5"/>
  <c r="W1693" i="5"/>
  <c r="S1693" i="5"/>
  <c r="S63" i="5"/>
  <c r="S1299" i="5"/>
  <c r="S76" i="5"/>
  <c r="W568" i="5"/>
  <c r="W5" i="5"/>
  <c r="W125" i="5"/>
  <c r="W648" i="5"/>
  <c r="S5" i="5"/>
  <c r="S568" i="5"/>
  <c r="S125" i="5"/>
  <c r="S648" i="5"/>
  <c r="W1457" i="5"/>
  <c r="W32" i="5"/>
  <c r="W1148" i="5"/>
  <c r="S1457" i="5"/>
  <c r="S1148" i="5"/>
  <c r="S32" i="5"/>
  <c r="W220" i="5"/>
  <c r="W1547" i="5"/>
  <c r="S220" i="5"/>
  <c r="S1547" i="5"/>
  <c r="W1683" i="5"/>
  <c r="W1411" i="5"/>
  <c r="S1683" i="5"/>
  <c r="S1411" i="5"/>
  <c r="W744" i="5"/>
  <c r="W1089" i="5"/>
  <c r="W1463" i="5"/>
  <c r="W183" i="5"/>
  <c r="S744" i="5"/>
  <c r="S183" i="5"/>
  <c r="S1089" i="5"/>
  <c r="S1463" i="5"/>
  <c r="W1163" i="5"/>
  <c r="W1712" i="5"/>
  <c r="W1646" i="5"/>
  <c r="W830" i="5"/>
  <c r="S1712" i="5"/>
  <c r="S1646" i="5"/>
  <c r="S830" i="5"/>
  <c r="S1163" i="5"/>
  <c r="W1995" i="5"/>
  <c r="W438" i="5"/>
  <c r="W294" i="5"/>
  <c r="W87" i="5"/>
  <c r="S1995" i="5"/>
  <c r="S294" i="5"/>
  <c r="S438" i="5"/>
  <c r="S87" i="5"/>
  <c r="W1591" i="5"/>
  <c r="W1468" i="5"/>
  <c r="S1591" i="5"/>
  <c r="S1468" i="5"/>
  <c r="W1073" i="5"/>
  <c r="W385" i="5"/>
  <c r="W143" i="5"/>
  <c r="S1073" i="5"/>
  <c r="S143" i="5"/>
  <c r="S385" i="5"/>
  <c r="W1032" i="5"/>
  <c r="W1295" i="5"/>
  <c r="S1032" i="5"/>
  <c r="S1295" i="5"/>
  <c r="W445" i="5"/>
  <c r="W525" i="5"/>
  <c r="W156" i="5"/>
  <c r="S445" i="5"/>
  <c r="S525" i="5"/>
  <c r="S156" i="5"/>
  <c r="W1651" i="5"/>
  <c r="W875" i="5"/>
  <c r="S1651" i="5"/>
  <c r="S875" i="5"/>
  <c r="W625" i="5"/>
  <c r="W862" i="5"/>
  <c r="S625" i="5"/>
  <c r="S862" i="5"/>
  <c r="W1709" i="5"/>
  <c r="W727" i="5"/>
  <c r="W766" i="5"/>
  <c r="W306" i="5"/>
  <c r="W608" i="5"/>
  <c r="S766" i="5"/>
  <c r="S608" i="5"/>
  <c r="S1709" i="5"/>
  <c r="S727" i="5"/>
  <c r="S306" i="5"/>
  <c r="W691" i="5"/>
  <c r="W1628" i="5"/>
  <c r="W494" i="5"/>
  <c r="S691" i="5"/>
  <c r="S494" i="5"/>
  <c r="S1628" i="5"/>
  <c r="W1583" i="5"/>
  <c r="W752" i="5"/>
  <c r="W26" i="5"/>
  <c r="S752" i="5"/>
  <c r="S1583" i="5"/>
  <c r="S26" i="5"/>
  <c r="W989" i="5"/>
  <c r="W1461" i="5"/>
  <c r="W235" i="5"/>
  <c r="S235" i="5"/>
  <c r="S989" i="5"/>
  <c r="S1461" i="5"/>
  <c r="W698" i="5"/>
  <c r="W313" i="5"/>
  <c r="W509" i="5"/>
  <c r="W694" i="5"/>
  <c r="W1664" i="5"/>
  <c r="S698" i="5"/>
  <c r="S509" i="5"/>
  <c r="S1664" i="5"/>
  <c r="S313" i="5"/>
  <c r="S694" i="5"/>
  <c r="W477" i="5"/>
  <c r="W662" i="5"/>
  <c r="W462" i="5"/>
  <c r="S477" i="5"/>
  <c r="S462" i="5"/>
  <c r="S662" i="5"/>
  <c r="W1199" i="5"/>
  <c r="W404" i="5"/>
  <c r="W1264" i="5"/>
  <c r="W366" i="5"/>
  <c r="W1504" i="5"/>
  <c r="W79" i="5"/>
  <c r="S404" i="5"/>
  <c r="S79" i="5"/>
  <c r="S1199" i="5"/>
  <c r="S1264" i="5"/>
  <c r="S366" i="5"/>
  <c r="S1504" i="5"/>
  <c r="W844" i="5"/>
  <c r="W1433" i="5"/>
  <c r="W1339" i="5"/>
  <c r="W1214" i="5"/>
  <c r="W448" i="5"/>
  <c r="S1433" i="5"/>
  <c r="S448" i="5"/>
  <c r="S844" i="5"/>
  <c r="S1339" i="5"/>
  <c r="S1214" i="5"/>
  <c r="W1324" i="5"/>
  <c r="W98" i="5"/>
  <c r="W1355" i="5"/>
  <c r="S98" i="5"/>
  <c r="S1355" i="5"/>
  <c r="S1324" i="5"/>
  <c r="W972" i="5"/>
  <c r="W244" i="5"/>
  <c r="W1245" i="5"/>
  <c r="W352" i="5"/>
  <c r="W1225" i="5"/>
  <c r="W181" i="5"/>
  <c r="S244" i="5"/>
  <c r="S1245" i="5"/>
  <c r="S1225" i="5"/>
  <c r="S972" i="5"/>
  <c r="S352" i="5"/>
  <c r="S181" i="5"/>
  <c r="W1387" i="5"/>
  <c r="W430" i="5"/>
  <c r="S1387" i="5"/>
  <c r="S430" i="5"/>
  <c r="W1480" i="5"/>
  <c r="W823" i="5"/>
  <c r="W1270" i="5"/>
  <c r="W804" i="5"/>
  <c r="W147" i="5"/>
  <c r="S1480" i="5"/>
  <c r="S804" i="5"/>
  <c r="S1270" i="5"/>
  <c r="S823" i="5"/>
  <c r="S147" i="5"/>
  <c r="W1530" i="5"/>
  <c r="W1013" i="5"/>
  <c r="W194" i="5"/>
  <c r="W753" i="5"/>
  <c r="W338" i="5"/>
  <c r="W756" i="5"/>
  <c r="W721" i="5"/>
  <c r="W1432" i="5"/>
  <c r="W860" i="5"/>
  <c r="S1432" i="5"/>
  <c r="S338" i="5"/>
  <c r="S721" i="5"/>
  <c r="S753" i="5"/>
  <c r="S1013" i="5"/>
  <c r="S1530" i="5"/>
  <c r="S194" i="5"/>
  <c r="S860" i="5"/>
  <c r="S756" i="5"/>
  <c r="W672" i="5"/>
  <c r="W232" i="5"/>
  <c r="W1710" i="5"/>
  <c r="S672" i="5"/>
  <c r="S1710" i="5"/>
  <c r="S232" i="5"/>
  <c r="W1696" i="5"/>
  <c r="W964" i="5"/>
  <c r="S1696" i="5"/>
  <c r="S964" i="5"/>
  <c r="W249" i="5"/>
  <c r="W1672" i="5"/>
  <c r="W82" i="5"/>
  <c r="W126" i="5"/>
  <c r="W1362" i="5"/>
  <c r="S1362" i="5"/>
  <c r="S126" i="5"/>
  <c r="S82" i="5"/>
  <c r="S249" i="5"/>
  <c r="S1672" i="5"/>
  <c r="W86" i="5"/>
  <c r="W437" i="5"/>
  <c r="W643" i="5"/>
  <c r="S86" i="5"/>
  <c r="S437" i="5"/>
  <c r="S643" i="5"/>
  <c r="W586" i="5"/>
  <c r="W1602" i="5"/>
  <c r="W633" i="5"/>
  <c r="S633" i="5"/>
  <c r="S586" i="5"/>
  <c r="S1602" i="5"/>
  <c r="W1153" i="5"/>
  <c r="W1211" i="5"/>
  <c r="W1359" i="5"/>
  <c r="W518" i="5"/>
  <c r="S518" i="5"/>
  <c r="S1153" i="5"/>
  <c r="S1211" i="5"/>
  <c r="S1359" i="5"/>
  <c r="W1004" i="5"/>
  <c r="W1296" i="5"/>
  <c r="W1384" i="5"/>
  <c r="W1318" i="5"/>
  <c r="W369" i="5"/>
  <c r="W1256" i="5"/>
  <c r="S1004" i="5"/>
  <c r="S1318" i="5"/>
  <c r="S1296" i="5"/>
  <c r="S1256" i="5"/>
  <c r="S1384" i="5"/>
  <c r="S369" i="5"/>
  <c r="W1249" i="5"/>
  <c r="W223" i="5"/>
  <c r="S1249" i="5"/>
  <c r="S223" i="5"/>
  <c r="W710" i="5"/>
  <c r="W1727" i="5"/>
  <c r="W1707" i="5"/>
  <c r="S1707" i="5"/>
  <c r="S710" i="5"/>
  <c r="S1727" i="5"/>
  <c r="W579" i="5"/>
  <c r="W371" i="5"/>
  <c r="W1996" i="5"/>
  <c r="W92" i="5"/>
  <c r="S579" i="5"/>
  <c r="S371" i="5"/>
  <c r="S92" i="5"/>
  <c r="S1996" i="5"/>
  <c r="W1979" i="5"/>
  <c r="W865" i="5"/>
  <c r="W1523" i="5"/>
  <c r="W866" i="5"/>
  <c r="S1523" i="5"/>
  <c r="S866" i="5"/>
  <c r="S865" i="5"/>
  <c r="S1979" i="5"/>
  <c r="W1347" i="5"/>
  <c r="W200" i="5"/>
  <c r="W738" i="5"/>
  <c r="W1105" i="5"/>
  <c r="S1105" i="5"/>
  <c r="S200" i="5"/>
  <c r="S738" i="5"/>
  <c r="S1347" i="5"/>
  <c r="W1202" i="5"/>
  <c r="W651" i="5"/>
  <c r="W876" i="5"/>
  <c r="S876" i="5"/>
  <c r="S651" i="5"/>
  <c r="S1202" i="5"/>
  <c r="W1991" i="5"/>
  <c r="W452" i="5"/>
  <c r="W321" i="5"/>
  <c r="W1485" i="5"/>
  <c r="W1162" i="5"/>
  <c r="W105" i="5"/>
  <c r="W1546" i="5"/>
  <c r="W1724" i="5"/>
  <c r="S1991" i="5"/>
  <c r="S452" i="5"/>
  <c r="S1162" i="5"/>
  <c r="S1485" i="5"/>
  <c r="S321" i="5"/>
  <c r="S105" i="5"/>
  <c r="S1724" i="5"/>
  <c r="S1546" i="5"/>
  <c r="W1442" i="5"/>
  <c r="W1481" i="5"/>
  <c r="W333" i="5"/>
  <c r="S1481" i="5"/>
  <c r="S333" i="5"/>
  <c r="S1442" i="5"/>
  <c r="W1101" i="5"/>
  <c r="W1968" i="5"/>
  <c r="W601" i="5"/>
  <c r="W1048" i="5"/>
  <c r="W256" i="5"/>
  <c r="W1021" i="5"/>
  <c r="S1048" i="5"/>
  <c r="S601" i="5"/>
  <c r="S1968" i="5"/>
  <c r="S1101" i="5"/>
  <c r="S1021" i="5"/>
  <c r="S256" i="5"/>
  <c r="W654" i="5"/>
  <c r="W1258" i="5"/>
  <c r="S654" i="5"/>
  <c r="S1258" i="5"/>
  <c r="W318" i="5"/>
  <c r="W746" i="5"/>
  <c r="S318" i="5"/>
  <c r="S746" i="5"/>
  <c r="W140" i="5"/>
  <c r="W621" i="5"/>
  <c r="W983" i="5"/>
  <c r="W626" i="5"/>
  <c r="W1993" i="5"/>
  <c r="W1062" i="5"/>
  <c r="S626" i="5"/>
  <c r="S983" i="5"/>
  <c r="S140" i="5"/>
  <c r="S1062" i="5"/>
  <c r="S621" i="5"/>
  <c r="S1993" i="5"/>
  <c r="W236" i="5"/>
  <c r="W1568" i="5"/>
  <c r="S1568" i="5"/>
  <c r="S236" i="5"/>
  <c r="W1201" i="5"/>
  <c r="W825" i="5"/>
  <c r="S1201" i="5"/>
  <c r="S825" i="5"/>
  <c r="W1488" i="5"/>
  <c r="W593" i="5"/>
  <c r="S1488" i="5"/>
  <c r="S593" i="5"/>
  <c r="W745" i="5"/>
  <c r="W299" i="5"/>
  <c r="W623" i="5"/>
  <c r="W1196" i="5"/>
  <c r="W1280" i="5"/>
  <c r="W175" i="5"/>
  <c r="S299" i="5"/>
  <c r="S745" i="5"/>
  <c r="S175" i="5"/>
  <c r="S1196" i="5"/>
  <c r="S623" i="5"/>
  <c r="S1280" i="5"/>
  <c r="W51" i="5"/>
  <c r="W1036" i="5"/>
  <c r="W292" i="5"/>
  <c r="W556" i="5"/>
  <c r="S292" i="5"/>
  <c r="S556" i="5"/>
  <c r="S1036" i="5"/>
  <c r="S51" i="5"/>
  <c r="W1091" i="5"/>
  <c r="W152" i="5"/>
  <c r="W21" i="5"/>
  <c r="S1091" i="5"/>
  <c r="S152" i="5"/>
  <c r="S21" i="5"/>
  <c r="W718" i="5"/>
  <c r="W1099" i="5"/>
  <c r="S718" i="5"/>
  <c r="S1099" i="5"/>
  <c r="W362" i="5"/>
  <c r="W1423" i="5"/>
  <c r="W1130" i="5"/>
  <c r="W615" i="5"/>
  <c r="W650" i="5"/>
  <c r="S1423" i="5"/>
  <c r="S362" i="5"/>
  <c r="S650" i="5"/>
  <c r="S1130" i="5"/>
  <c r="S615" i="5"/>
  <c r="W285" i="5"/>
  <c r="W684" i="5"/>
  <c r="W222" i="5"/>
  <c r="S684" i="5"/>
  <c r="S285" i="5"/>
  <c r="S222" i="5"/>
  <c r="W436" i="5"/>
  <c r="W1241" i="5"/>
  <c r="W363" i="5"/>
  <c r="S1241" i="5"/>
  <c r="S363" i="5"/>
  <c r="S436" i="5"/>
  <c r="W1975" i="5"/>
  <c r="W743" i="5"/>
  <c r="S1975" i="5"/>
  <c r="S743" i="5"/>
  <c r="W96" i="5"/>
  <c r="W538" i="5"/>
  <c r="W88" i="5"/>
  <c r="S96" i="5"/>
  <c r="S88" i="5"/>
  <c r="S538" i="5"/>
  <c r="W1087" i="5"/>
  <c r="W1408" i="5"/>
  <c r="W10" i="5"/>
  <c r="W1038" i="5"/>
  <c r="S1038" i="5"/>
  <c r="S1408" i="5"/>
  <c r="S10" i="5"/>
  <c r="S1087" i="5"/>
  <c r="W971" i="5"/>
  <c r="W412" i="5"/>
  <c r="S971" i="5"/>
  <c r="S412" i="5"/>
  <c r="W1978" i="5"/>
  <c r="W1462" i="5"/>
  <c r="W387" i="5"/>
  <c r="W693" i="5"/>
  <c r="S1978" i="5"/>
  <c r="S693" i="5"/>
  <c r="S1462" i="5"/>
  <c r="S387" i="5"/>
  <c r="W163" i="5"/>
  <c r="W1340" i="5"/>
  <c r="W588" i="5"/>
  <c r="S163" i="5"/>
  <c r="S1340" i="5"/>
  <c r="S588" i="5"/>
  <c r="W526" i="5"/>
  <c r="W141" i="5"/>
  <c r="W580" i="5"/>
  <c r="S526" i="5"/>
  <c r="S141" i="5"/>
  <c r="S580" i="5"/>
  <c r="W826" i="5"/>
  <c r="W1563" i="5"/>
  <c r="W829" i="5"/>
  <c r="S826" i="5"/>
  <c r="S1563" i="5"/>
  <c r="S829" i="5"/>
  <c r="W1005" i="5"/>
  <c r="W29" i="5"/>
  <c r="W814" i="5"/>
  <c r="S29" i="5"/>
  <c r="S814" i="5"/>
  <c r="S1005" i="5"/>
  <c r="W492" i="5"/>
  <c r="W990" i="5"/>
  <c r="S492" i="5"/>
  <c r="S990" i="5"/>
  <c r="W1376" i="5"/>
  <c r="W832" i="5"/>
  <c r="W1663" i="5"/>
  <c r="S1376" i="5"/>
  <c r="S832" i="5"/>
  <c r="S1663" i="5"/>
  <c r="W1969" i="5"/>
  <c r="W1276" i="5"/>
  <c r="W1532" i="5"/>
  <c r="S1969" i="5"/>
  <c r="S1532" i="5"/>
  <c r="S1276" i="5"/>
  <c r="W1045" i="5"/>
  <c r="W100" i="5"/>
  <c r="W1671" i="5"/>
  <c r="S1045" i="5"/>
  <c r="S1671" i="5"/>
  <c r="S100" i="5"/>
  <c r="W197" i="5"/>
  <c r="W341" i="5"/>
  <c r="W852" i="5"/>
  <c r="S341" i="5"/>
  <c r="S197" i="5"/>
  <c r="S852" i="5"/>
  <c r="W1650" i="5"/>
  <c r="W1027" i="5"/>
  <c r="W184" i="5"/>
  <c r="S184" i="5"/>
  <c r="S1650" i="5"/>
  <c r="S1027" i="5"/>
  <c r="W1971" i="5"/>
  <c r="W298" i="5"/>
  <c r="S298" i="5"/>
  <c r="S1971" i="5"/>
  <c r="W1509" i="5"/>
  <c r="W1018" i="5"/>
  <c r="W443" i="5"/>
  <c r="W45" i="5"/>
  <c r="W1555" i="5"/>
  <c r="S1018" i="5"/>
  <c r="S45" i="5"/>
  <c r="S1555" i="5"/>
  <c r="S1509" i="5"/>
  <c r="S443" i="5"/>
  <c r="W264" i="5"/>
  <c r="W304" i="5"/>
  <c r="W1688" i="5"/>
  <c r="W794" i="5"/>
  <c r="W1219" i="5"/>
  <c r="W1093" i="5"/>
  <c r="S794" i="5"/>
  <c r="S264" i="5"/>
  <c r="S304" i="5"/>
  <c r="S1219" i="5"/>
  <c r="S1688" i="5"/>
  <c r="S1093" i="5"/>
  <c r="W670" i="5"/>
  <c r="W715" i="5"/>
  <c r="W303" i="5"/>
  <c r="W205" i="5"/>
  <c r="S670" i="5"/>
  <c r="S303" i="5"/>
  <c r="S205" i="5"/>
  <c r="S715" i="5"/>
  <c r="W1150" i="5"/>
  <c r="W330" i="5"/>
  <c r="W1052" i="5"/>
  <c r="W1435" i="5"/>
  <c r="S1150" i="5"/>
  <c r="S330" i="5"/>
  <c r="S1052" i="5"/>
  <c r="S1435" i="5"/>
  <c r="W40" i="5"/>
  <c r="W129" i="5"/>
  <c r="W1687" i="5"/>
  <c r="S40" i="5"/>
  <c r="S1687" i="5"/>
  <c r="S129" i="5"/>
  <c r="W1714" i="5"/>
  <c r="W1398" i="5"/>
  <c r="W642" i="5"/>
  <c r="S1398" i="5"/>
  <c r="S1714" i="5"/>
  <c r="S642" i="5"/>
  <c r="W970" i="5"/>
  <c r="W1599" i="5"/>
  <c r="W1572" i="5"/>
  <c r="S970" i="5"/>
  <c r="S1599" i="5"/>
  <c r="S1572" i="5"/>
  <c r="W201" i="5"/>
  <c r="W107" i="5"/>
  <c r="S201" i="5"/>
  <c r="S107" i="5"/>
  <c r="W1508" i="5"/>
  <c r="W1648" i="5"/>
  <c r="S1508" i="5"/>
  <c r="S1648" i="5"/>
  <c r="W1140" i="5"/>
  <c r="W1390" i="5"/>
  <c r="W598" i="5"/>
  <c r="W217" i="5"/>
  <c r="W71" i="5"/>
  <c r="W1625" i="5"/>
  <c r="S1390" i="5"/>
  <c r="S71" i="5"/>
  <c r="S1140" i="5"/>
  <c r="S217" i="5"/>
  <c r="S598" i="5"/>
  <c r="S1625" i="5"/>
  <c r="W323" i="5"/>
  <c r="W111" i="5"/>
  <c r="W1426" i="5"/>
  <c r="W1134" i="5"/>
  <c r="W1144" i="5"/>
  <c r="S111" i="5"/>
  <c r="S323" i="5"/>
  <c r="S1426" i="5"/>
  <c r="S1134" i="5"/>
  <c r="S1144" i="5"/>
  <c r="W1406" i="5"/>
  <c r="W1654" i="5"/>
  <c r="S1654" i="5"/>
  <c r="S1406" i="5"/>
  <c r="W56" i="5"/>
  <c r="W1094" i="5"/>
  <c r="W238" i="5"/>
  <c r="W1543" i="5"/>
  <c r="W230" i="5"/>
  <c r="S238" i="5"/>
  <c r="S230" i="5"/>
  <c r="S1543" i="5"/>
  <c r="S56" i="5"/>
  <c r="S1094" i="5"/>
  <c r="W1213" i="5"/>
  <c r="W529" i="5"/>
  <c r="S529" i="5"/>
  <c r="S1213" i="5"/>
  <c r="W1244" i="5"/>
  <c r="W1206" i="5"/>
  <c r="S1206" i="5"/>
  <c r="S1244" i="5"/>
  <c r="W1473" i="5"/>
  <c r="W1051" i="5"/>
  <c r="W389" i="5"/>
  <c r="S389" i="5"/>
  <c r="S1051" i="5"/>
  <c r="S1473" i="5"/>
  <c r="W1701" i="5"/>
  <c r="W1208" i="5"/>
  <c r="S1208" i="5"/>
  <c r="S1701" i="5"/>
  <c r="W543" i="5"/>
  <c r="W219" i="5"/>
  <c r="W117" i="5"/>
  <c r="W532" i="5"/>
  <c r="W564" i="5"/>
  <c r="S532" i="5"/>
  <c r="S117" i="5"/>
  <c r="S564" i="5"/>
  <c r="S219" i="5"/>
  <c r="S543" i="5"/>
  <c r="W620" i="5"/>
  <c r="W495" i="5"/>
  <c r="S495" i="5"/>
  <c r="S620" i="5"/>
  <c r="W1284" i="5"/>
  <c r="W58" i="5"/>
  <c r="W171" i="5"/>
  <c r="W1261" i="5"/>
  <c r="W839" i="5"/>
  <c r="S171" i="5"/>
  <c r="S839" i="5"/>
  <c r="S1284" i="5"/>
  <c r="S58" i="5"/>
  <c r="S1261" i="5"/>
  <c r="W782" i="5"/>
  <c r="W358" i="5"/>
  <c r="S782" i="5"/>
  <c r="S358" i="5"/>
  <c r="W1603" i="5"/>
  <c r="W850" i="5"/>
  <c r="W1560" i="5"/>
  <c r="W1012" i="5"/>
  <c r="W1083" i="5"/>
  <c r="W106" i="5"/>
  <c r="W1489" i="5"/>
  <c r="S106" i="5"/>
  <c r="S1560" i="5"/>
  <c r="S1603" i="5"/>
  <c r="S1083" i="5"/>
  <c r="S850" i="5"/>
  <c r="S1012" i="5"/>
  <c r="S1489" i="5"/>
  <c r="W419" i="5"/>
  <c r="W978" i="5"/>
  <c r="S419" i="5"/>
  <c r="S978" i="5"/>
  <c r="W1471" i="5"/>
  <c r="W788" i="5"/>
  <c r="W1389" i="5"/>
  <c r="W1378" i="5"/>
  <c r="S1471" i="5"/>
  <c r="S1389" i="5"/>
  <c r="S788" i="5"/>
  <c r="S1378" i="5"/>
  <c r="W973" i="5"/>
  <c r="W1069" i="5"/>
  <c r="W856" i="5"/>
  <c r="S1069" i="5"/>
  <c r="S856" i="5"/>
  <c r="S973" i="5"/>
  <c r="W110" i="5"/>
  <c r="W1697" i="5"/>
  <c r="W284" i="5"/>
  <c r="W755" i="5"/>
  <c r="W364" i="5"/>
  <c r="W1260" i="5"/>
  <c r="W102" i="5"/>
  <c r="S102" i="5"/>
  <c r="S110" i="5"/>
  <c r="S1260" i="5"/>
  <c r="S364" i="5"/>
  <c r="S1697" i="5"/>
  <c r="S755" i="5"/>
  <c r="S284" i="5"/>
  <c r="W717" i="5"/>
  <c r="W573" i="5"/>
  <c r="S717" i="5"/>
  <c r="S573" i="5"/>
  <c r="W1976" i="5"/>
  <c r="W607" i="5"/>
  <c r="W699" i="5"/>
  <c r="W242" i="5"/>
  <c r="S242" i="5"/>
  <c r="S699" i="5"/>
  <c r="S607" i="5"/>
  <c r="S1976" i="5"/>
  <c r="W1966" i="5"/>
  <c r="W22" i="5"/>
  <c r="W1726" i="5"/>
  <c r="W1286" i="5"/>
  <c r="S1286" i="5"/>
  <c r="S1966" i="5"/>
  <c r="S1726" i="5"/>
  <c r="S22" i="5"/>
  <c r="W1029" i="5"/>
  <c r="W332" i="5"/>
  <c r="W758" i="5"/>
  <c r="S332" i="5"/>
  <c r="S1029" i="5"/>
  <c r="S758" i="5"/>
  <c r="W1135" i="5"/>
  <c r="W42" i="5"/>
  <c r="W1556" i="5"/>
  <c r="S1135" i="5"/>
  <c r="S1556" i="5"/>
  <c r="S42" i="5"/>
  <c r="W421" i="5"/>
  <c r="W570" i="5"/>
  <c r="W481" i="5"/>
  <c r="W594" i="5"/>
  <c r="W639" i="5"/>
  <c r="S594" i="5"/>
  <c r="S481" i="5"/>
  <c r="S421" i="5"/>
  <c r="S639" i="5"/>
  <c r="S570" i="5"/>
  <c r="W254" i="5"/>
  <c r="W150" i="5"/>
  <c r="W1958" i="5"/>
  <c r="S1958" i="5"/>
  <c r="S150" i="5"/>
  <c r="S254" i="5"/>
  <c r="W487" i="5"/>
  <c r="W451" i="5"/>
  <c r="W582" i="5"/>
  <c r="W1122" i="5"/>
  <c r="W188" i="5"/>
  <c r="S487" i="5"/>
  <c r="S188" i="5"/>
  <c r="S1122" i="5"/>
  <c r="S451" i="5"/>
  <c r="S582" i="5"/>
  <c r="W1537" i="5"/>
  <c r="W186" i="5"/>
  <c r="S1537" i="5"/>
  <c r="S186" i="5"/>
  <c r="W1287" i="5"/>
  <c r="W1695" i="5"/>
  <c r="W1104" i="5"/>
  <c r="W334" i="5"/>
  <c r="S1287" i="5"/>
  <c r="S334" i="5"/>
  <c r="S1695" i="5"/>
  <c r="S1104" i="5"/>
  <c r="W714" i="5"/>
  <c r="W1441" i="5"/>
  <c r="W1661" i="5"/>
  <c r="S714" i="5"/>
  <c r="S1441" i="5"/>
  <c r="S1661" i="5"/>
  <c r="W267" i="5"/>
  <c r="W1570" i="5"/>
  <c r="W1313" i="5"/>
  <c r="W1003" i="5"/>
  <c r="S1003" i="5"/>
  <c r="S267" i="5"/>
  <c r="S1570" i="5"/>
  <c r="S1313" i="5"/>
  <c r="W1531" i="5"/>
  <c r="W226" i="5"/>
  <c r="S1531" i="5"/>
  <c r="S226" i="5"/>
  <c r="W510" i="5"/>
  <c r="W1041" i="5"/>
  <c r="W762" i="5"/>
  <c r="S510" i="5"/>
  <c r="S1041" i="5"/>
  <c r="S762" i="5"/>
  <c r="W669" i="5"/>
  <c r="W1493" i="5"/>
  <c r="S669" i="5"/>
  <c r="S1493" i="5"/>
  <c r="W1640" i="5"/>
  <c r="W534" i="5"/>
  <c r="W234" i="5"/>
  <c r="W1253" i="5"/>
  <c r="S1640" i="5"/>
  <c r="S234" i="5"/>
  <c r="S534" i="5"/>
  <c r="S1253" i="5"/>
  <c r="W1469" i="5"/>
  <c r="W546" i="5"/>
  <c r="W144" i="5"/>
  <c r="S144" i="5"/>
  <c r="S546" i="5"/>
  <c r="S1469" i="5"/>
  <c r="W1981" i="5"/>
  <c r="W442" i="5"/>
  <c r="W1443" i="5"/>
  <c r="W331" i="5"/>
  <c r="S1981" i="5"/>
  <c r="S1443" i="5"/>
  <c r="S442" i="5"/>
  <c r="S331" i="5"/>
  <c r="W227" i="5"/>
  <c r="W191" i="5"/>
  <c r="W1305" i="5"/>
  <c r="S191" i="5"/>
  <c r="S227" i="5"/>
  <c r="S1305" i="5"/>
  <c r="W843" i="5"/>
  <c r="W179" i="5"/>
  <c r="S843" i="5"/>
  <c r="S179" i="5"/>
  <c r="W1542" i="5"/>
  <c r="W553" i="5"/>
  <c r="W1400" i="5"/>
  <c r="W1056" i="5"/>
  <c r="S1542" i="5"/>
  <c r="S1056" i="5"/>
  <c r="S553" i="5"/>
  <c r="S1400" i="5"/>
  <c r="W1576" i="5"/>
  <c r="W1477" i="5"/>
  <c r="S1576" i="5"/>
  <c r="S1477" i="5"/>
  <c r="W522" i="5"/>
  <c r="W1058" i="5"/>
  <c r="S522" i="5"/>
  <c r="S1058" i="5"/>
  <c r="W1209" i="5"/>
  <c r="W84" i="5"/>
  <c r="W209" i="5"/>
  <c r="S84" i="5"/>
  <c r="S1209" i="5"/>
  <c r="S209" i="5"/>
  <c r="W1706" i="5"/>
  <c r="W1218" i="5"/>
  <c r="S1706" i="5"/>
  <c r="S1218" i="5"/>
  <c r="W1534" i="5"/>
  <c r="W1064" i="5"/>
  <c r="W1438" i="5"/>
  <c r="W792" i="5"/>
  <c r="W395" i="5"/>
  <c r="S1534" i="5"/>
  <c r="S1438" i="5"/>
  <c r="S395" i="5"/>
  <c r="S792" i="5"/>
  <c r="S1064" i="5"/>
  <c r="W656" i="5"/>
  <c r="W370" i="5"/>
  <c r="W483" i="5"/>
  <c r="W1269" i="5"/>
  <c r="S656" i="5"/>
  <c r="S1269" i="5"/>
  <c r="S483" i="5"/>
  <c r="S370" i="5"/>
  <c r="W1273" i="5"/>
  <c r="W565" i="5"/>
  <c r="W503" i="5"/>
  <c r="W75" i="5"/>
  <c r="W1673" i="5"/>
  <c r="W614" i="5"/>
  <c r="W1637" i="5"/>
  <c r="S565" i="5"/>
  <c r="S1637" i="5"/>
  <c r="S1273" i="5"/>
  <c r="S503" i="5"/>
  <c r="S75" i="5"/>
  <c r="S1673" i="5"/>
  <c r="S614" i="5"/>
  <c r="W310" i="5"/>
  <c r="W457" i="5"/>
  <c r="W551" i="5"/>
  <c r="W1236" i="5"/>
  <c r="S310" i="5"/>
  <c r="S457" i="5"/>
  <c r="S551" i="5"/>
  <c r="S1236" i="5"/>
  <c r="W168" i="5"/>
  <c r="W724" i="5"/>
  <c r="W688" i="5"/>
  <c r="W628" i="5"/>
  <c r="W817" i="5"/>
  <c r="W590" i="5"/>
  <c r="W527" i="5"/>
  <c r="W1191" i="5"/>
  <c r="W1621" i="5"/>
  <c r="S168" i="5"/>
  <c r="S527" i="5"/>
  <c r="S688" i="5"/>
  <c r="S724" i="5"/>
  <c r="S1621" i="5"/>
  <c r="S1191" i="5"/>
  <c r="S817" i="5"/>
  <c r="S628" i="5"/>
  <c r="S590" i="5"/>
  <c r="W1281" i="5"/>
  <c r="W795" i="5"/>
  <c r="W255" i="5"/>
  <c r="S795" i="5"/>
  <c r="S1281" i="5"/>
  <c r="S255" i="5"/>
  <c r="W785" i="5"/>
  <c r="W612" i="5"/>
  <c r="S785" i="5"/>
  <c r="S612" i="5"/>
  <c r="W1297" i="5"/>
  <c r="W1224" i="5"/>
  <c r="W1158" i="5"/>
  <c r="W1565" i="5"/>
  <c r="S1224" i="5"/>
  <c r="S1158" i="5"/>
  <c r="S1297" i="5"/>
  <c r="S1565" i="5"/>
  <c r="W1283" i="5"/>
  <c r="W1545" i="5"/>
  <c r="W104" i="5"/>
  <c r="S1545" i="5"/>
  <c r="S1283" i="5"/>
  <c r="S104" i="5"/>
  <c r="W751" i="5"/>
  <c r="W1571" i="5"/>
  <c r="W634" i="5"/>
  <c r="W1331" i="5"/>
  <c r="S634" i="5"/>
  <c r="S1571" i="5"/>
  <c r="S751" i="5"/>
  <c r="S1331" i="5"/>
  <c r="W420" i="5"/>
  <c r="W750" i="5"/>
  <c r="W1456" i="5"/>
  <c r="W287" i="5"/>
  <c r="S420" i="5"/>
  <c r="S750" i="5"/>
  <c r="S1456" i="5"/>
  <c r="S287" i="5"/>
  <c r="W1232" i="5"/>
  <c r="W1320" i="5"/>
  <c r="W1220" i="5"/>
  <c r="W192" i="5"/>
  <c r="S1232" i="5"/>
  <c r="S192" i="5"/>
  <c r="S1220" i="5"/>
  <c r="S1320" i="5"/>
  <c r="W879" i="5"/>
  <c r="W1290" i="5"/>
  <c r="W961" i="5"/>
  <c r="W165" i="5"/>
  <c r="W286" i="5"/>
  <c r="S286" i="5"/>
  <c r="S961" i="5"/>
  <c r="S1290" i="5"/>
  <c r="S879" i="5"/>
  <c r="S165" i="5"/>
  <c r="W678" i="5"/>
  <c r="W17" i="5"/>
  <c r="W213" i="5"/>
  <c r="W627" i="5"/>
  <c r="W1184" i="5"/>
  <c r="W1615" i="5"/>
  <c r="S678" i="5"/>
  <c r="S17" i="5"/>
  <c r="S1615" i="5"/>
  <c r="S1184" i="5"/>
  <c r="S627" i="5"/>
  <c r="S213" i="5"/>
  <c r="W557" i="5"/>
  <c r="W600" i="5"/>
  <c r="W1317" i="5"/>
  <c r="W439" i="5"/>
  <c r="W958" i="5"/>
  <c r="S958" i="5"/>
  <c r="S557" i="5"/>
  <c r="S1317" i="5"/>
  <c r="S439" i="5"/>
  <c r="S600" i="5"/>
  <c r="W1024" i="5"/>
  <c r="W610" i="5"/>
  <c r="S1024" i="5"/>
  <c r="S610" i="5"/>
  <c r="W768" i="5"/>
  <c r="W1334" i="5"/>
  <c r="W1412" i="5"/>
  <c r="S768" i="5"/>
  <c r="S1412" i="5"/>
  <c r="S1334" i="5"/>
  <c r="W136" i="5"/>
  <c r="W1095" i="5"/>
  <c r="W1401" i="5"/>
  <c r="S1401" i="5"/>
  <c r="S1095" i="5"/>
  <c r="S136" i="5"/>
  <c r="W686" i="5"/>
  <c r="W1495" i="5"/>
  <c r="S686" i="5"/>
  <c r="S1495" i="5"/>
  <c r="W1425" i="5"/>
  <c r="W1136" i="5"/>
  <c r="W1330" i="5"/>
  <c r="W1381" i="5"/>
  <c r="W1655" i="5"/>
  <c r="S1136" i="5"/>
  <c r="S1425" i="5"/>
  <c r="S1330" i="5"/>
  <c r="S1381" i="5"/>
  <c r="S1655" i="5"/>
  <c r="W820" i="5"/>
  <c r="W587" i="5"/>
  <c r="W1554" i="5"/>
  <c r="S587" i="5"/>
  <c r="S820" i="5"/>
  <c r="S1554" i="5"/>
  <c r="W1341" i="5"/>
  <c r="W382" i="5"/>
  <c r="W1486" i="5"/>
  <c r="S382" i="5"/>
  <c r="S1341" i="5"/>
  <c r="S1486" i="5"/>
  <c r="W1096" i="5"/>
  <c r="W1192" i="5"/>
  <c r="W1419" i="5"/>
  <c r="W1164" i="5"/>
  <c r="S1096" i="5"/>
  <c r="S1164" i="5"/>
  <c r="S1419" i="5"/>
  <c r="S1192" i="5"/>
  <c r="W1131" i="5"/>
  <c r="W1552" i="5"/>
  <c r="S1131" i="5"/>
  <c r="S1552" i="5"/>
  <c r="W309" i="5"/>
  <c r="W1708" i="5"/>
  <c r="W13" i="5"/>
  <c r="W1227" i="5"/>
  <c r="W1723" i="5"/>
  <c r="S309" i="5"/>
  <c r="S1723" i="5"/>
  <c r="S1227" i="5"/>
  <c r="S13" i="5"/>
  <c r="S1708" i="5"/>
  <c r="W1665" i="5"/>
  <c r="W683" i="5"/>
  <c r="W984" i="5"/>
  <c r="W1417" i="5"/>
  <c r="W85" i="5"/>
  <c r="S683" i="5"/>
  <c r="S1665" i="5"/>
  <c r="S1417" i="5"/>
  <c r="S984" i="5"/>
  <c r="S85" i="5"/>
  <c r="W1674" i="5"/>
  <c r="W1729" i="5"/>
  <c r="S1674" i="5"/>
  <c r="S1729" i="5"/>
  <c r="W400" i="5"/>
  <c r="W480" i="5"/>
  <c r="S480" i="5"/>
  <c r="S400" i="5"/>
  <c r="W72" i="5"/>
  <c r="W11" i="5"/>
  <c r="S72" i="5"/>
  <c r="S11" i="5"/>
  <c r="W1011" i="5"/>
  <c r="W269" i="5"/>
  <c r="S1011" i="5"/>
  <c r="S269" i="5"/>
  <c r="W1088" i="5"/>
  <c r="W1652" i="5"/>
  <c r="W1720" i="5"/>
  <c r="S1720" i="5"/>
  <c r="S1652" i="5"/>
  <c r="S1088" i="5"/>
  <c r="W1222" i="5"/>
  <c r="W1444" i="5"/>
  <c r="W1608" i="5"/>
  <c r="W824" i="5"/>
  <c r="S1222" i="5"/>
  <c r="S1444" i="5"/>
  <c r="S824" i="5"/>
  <c r="S1608" i="5"/>
  <c r="W690" i="5"/>
  <c r="W1999" i="5"/>
  <c r="W6" i="5"/>
  <c r="S690" i="5"/>
  <c r="S1999" i="5"/>
  <c r="S6" i="5"/>
  <c r="W960" i="5"/>
  <c r="W406" i="5"/>
  <c r="W1515" i="5"/>
  <c r="W185" i="5"/>
  <c r="S185" i="5"/>
  <c r="S960" i="5"/>
  <c r="S1515" i="5"/>
  <c r="S406" i="5"/>
  <c r="W1955" i="5"/>
  <c r="W128" i="5"/>
  <c r="W1255" i="5"/>
  <c r="W786" i="5"/>
  <c r="W1505" i="5"/>
  <c r="S786" i="5"/>
  <c r="S1255" i="5"/>
  <c r="S128" i="5"/>
  <c r="S1955" i="5"/>
  <c r="S1505" i="5"/>
  <c r="W1109" i="5"/>
  <c r="W1159" i="5"/>
  <c r="S1109" i="5"/>
  <c r="S1159" i="5"/>
  <c r="W1123" i="5"/>
  <c r="W1352" i="5"/>
  <c r="W20" i="5"/>
  <c r="S20" i="5"/>
  <c r="S1123" i="5"/>
  <c r="S1352" i="5"/>
  <c r="W1427" i="5"/>
  <c r="W589" i="5"/>
  <c r="W1369" i="5"/>
  <c r="S589" i="5"/>
  <c r="S1427" i="5"/>
  <c r="S1369" i="5"/>
  <c r="W1516" i="5"/>
  <c r="W38" i="5"/>
  <c r="W700" i="5"/>
  <c r="W1212" i="5"/>
  <c r="S1516" i="5"/>
  <c r="S38" i="5"/>
  <c r="S700" i="5"/>
  <c r="S1212" i="5"/>
  <c r="W674" i="5"/>
  <c r="W316" i="5"/>
  <c r="W1367" i="5"/>
  <c r="S316" i="5"/>
  <c r="S674" i="5"/>
  <c r="S1367" i="5"/>
  <c r="W161" i="5"/>
  <c r="W511" i="5"/>
  <c r="W877" i="5"/>
  <c r="W409" i="5"/>
  <c r="S877" i="5"/>
  <c r="S161" i="5"/>
  <c r="S409" i="5"/>
  <c r="S511" i="5"/>
  <c r="W426" i="5"/>
  <c r="W1483" i="5"/>
  <c r="S1483" i="5"/>
  <c r="S426" i="5"/>
  <c r="W1694" i="5"/>
  <c r="W325" i="5"/>
  <c r="W1644" i="5"/>
  <c r="S1644" i="5"/>
  <c r="S1694" i="5"/>
  <c r="S1730" i="5"/>
  <c r="S325" i="5"/>
  <c r="W1589" i="5"/>
  <c r="W1010" i="5"/>
  <c r="W290" i="5"/>
  <c r="S290" i="5"/>
  <c r="S1010" i="5"/>
  <c r="S1589" i="5"/>
  <c r="W793" i="5"/>
  <c r="W524" i="5"/>
  <c r="W1466" i="5"/>
  <c r="W1366" i="5"/>
  <c r="W454" i="5"/>
  <c r="S793" i="5"/>
  <c r="S1466" i="5"/>
  <c r="S524" i="5"/>
  <c r="S1366" i="5"/>
  <c r="S454" i="5"/>
  <c r="W842" i="5"/>
  <c r="W716" i="5"/>
  <c r="W1553" i="5"/>
  <c r="S716" i="5"/>
  <c r="S842" i="5"/>
  <c r="S1553" i="5"/>
  <c r="W1718" i="5"/>
  <c r="W422" i="5"/>
  <c r="W880" i="5"/>
  <c r="S422" i="5"/>
  <c r="S880" i="5"/>
  <c r="S1718" i="5"/>
  <c r="W1484" i="5"/>
  <c r="W996" i="5"/>
  <c r="W449" i="5"/>
  <c r="W52" i="5"/>
  <c r="W581" i="5"/>
  <c r="W740" i="5"/>
  <c r="W606" i="5"/>
  <c r="S996" i="5"/>
  <c r="S1484" i="5"/>
  <c r="S449" i="5"/>
  <c r="S52" i="5"/>
  <c r="S581" i="5"/>
  <c r="S740" i="5"/>
  <c r="S606" i="5"/>
  <c r="W1600" i="5"/>
  <c r="W519" i="5"/>
  <c r="W1116" i="5"/>
  <c r="W668" i="5"/>
  <c r="S668" i="5"/>
  <c r="S519" i="5"/>
  <c r="S1116" i="5"/>
  <c r="S1600" i="5"/>
  <c r="W1155" i="5"/>
  <c r="W1611" i="5"/>
  <c r="S1155" i="5"/>
  <c r="S1611" i="5"/>
  <c r="W123" i="5"/>
  <c r="W1333" i="5"/>
  <c r="W327" i="5"/>
  <c r="W203" i="5"/>
  <c r="W359" i="5"/>
  <c r="W1681" i="5"/>
  <c r="W1460" i="5"/>
  <c r="W867" i="5"/>
  <c r="S1333" i="5"/>
  <c r="S327" i="5"/>
  <c r="S359" i="5"/>
  <c r="S203" i="5"/>
  <c r="S1681" i="5"/>
  <c r="S867" i="5"/>
  <c r="S123" i="5"/>
  <c r="S1460" i="5"/>
  <c r="W1008" i="5"/>
  <c r="W1453" i="5"/>
  <c r="S1008" i="5"/>
  <c r="S1453" i="5"/>
  <c r="W1497" i="5"/>
  <c r="W1420" i="5"/>
  <c r="S1420" i="5"/>
  <c r="S1497" i="5"/>
  <c r="W243" i="5"/>
  <c r="W467" i="5"/>
  <c r="W1289" i="5"/>
  <c r="W1983" i="5"/>
  <c r="S243" i="5"/>
  <c r="S467" i="5"/>
  <c r="S1289" i="5"/>
  <c r="S1983" i="5"/>
  <c r="W569" i="5"/>
  <c r="W1476" i="5"/>
  <c r="W1388" i="5"/>
  <c r="W360" i="5"/>
  <c r="W391" i="5"/>
  <c r="W154" i="5"/>
  <c r="S360" i="5"/>
  <c r="S154" i="5"/>
  <c r="S569" i="5"/>
  <c r="S391" i="5"/>
  <c r="S1476" i="5"/>
  <c r="S1388" i="5"/>
  <c r="W1407" i="5"/>
  <c r="W1454" i="5"/>
  <c r="W1659" i="5"/>
  <c r="W1450" i="5"/>
  <c r="W81" i="5"/>
  <c r="W705" i="5"/>
  <c r="W463" i="5"/>
  <c r="S1450" i="5"/>
  <c r="S1407" i="5"/>
  <c r="S1454" i="5"/>
  <c r="S1659" i="5"/>
  <c r="S705" i="5"/>
  <c r="S81" i="5"/>
  <c r="S463" i="5"/>
  <c r="W1037" i="5"/>
  <c r="W1614" i="5"/>
  <c r="W151" i="5"/>
  <c r="S151" i="5"/>
  <c r="S1037" i="5"/>
  <c r="S1614" i="5"/>
  <c r="W1307" i="5"/>
  <c r="W108" i="5"/>
  <c r="W1050" i="5"/>
  <c r="W1110" i="5"/>
  <c r="W1066" i="5"/>
  <c r="W246" i="5"/>
  <c r="W1035" i="5"/>
  <c r="S246" i="5"/>
  <c r="S1066" i="5"/>
  <c r="S1110" i="5"/>
  <c r="S108" i="5"/>
  <c r="S1035" i="5"/>
  <c r="S1307" i="5"/>
  <c r="S1050" i="5"/>
  <c r="W253" i="5"/>
  <c r="W572" i="5"/>
  <c r="W730" i="5"/>
  <c r="W1465" i="5"/>
  <c r="S730" i="5"/>
  <c r="S572" i="5"/>
  <c r="S1465" i="5"/>
  <c r="S253" i="5"/>
  <c r="W1385" i="5"/>
  <c r="W1379" i="5"/>
  <c r="W1678" i="5"/>
  <c r="W46" i="5"/>
  <c r="S1385" i="5"/>
  <c r="S1379" i="5"/>
  <c r="S1678" i="5"/>
  <c r="S46" i="5"/>
  <c r="W1502" i="5"/>
  <c r="W453" i="5"/>
  <c r="S453" i="5"/>
  <c r="S1502" i="5"/>
  <c r="W456" i="5"/>
  <c r="W1047" i="5"/>
  <c r="W1702" i="5"/>
  <c r="W849" i="5"/>
  <c r="W496" i="5"/>
  <c r="W1439" i="5"/>
  <c r="S1702" i="5"/>
  <c r="S1439" i="5"/>
  <c r="S849" i="5"/>
  <c r="S1047" i="5"/>
  <c r="S456" i="5"/>
  <c r="S496" i="5"/>
  <c r="W295" i="5"/>
  <c r="W596" i="5"/>
  <c r="W1085" i="5"/>
  <c r="W48" i="5"/>
  <c r="S596" i="5"/>
  <c r="S1085" i="5"/>
  <c r="S295" i="5"/>
  <c r="S48" i="5"/>
  <c r="W408" i="5"/>
  <c r="W1949" i="5"/>
  <c r="W1965" i="5"/>
  <c r="S1949" i="5"/>
  <c r="S1965" i="5"/>
  <c r="S408" i="5"/>
  <c r="W871" i="5"/>
  <c r="W1328" i="5"/>
  <c r="W874" i="5"/>
  <c r="W1133" i="5"/>
  <c r="S1133" i="5"/>
  <c r="S871" i="5"/>
  <c r="S1328" i="5"/>
  <c r="S874" i="5"/>
  <c r="W1669" i="5"/>
  <c r="W160" i="5"/>
  <c r="W742" i="5"/>
  <c r="W472" i="5"/>
  <c r="W301" i="5"/>
  <c r="S160" i="5"/>
  <c r="S1669" i="5"/>
  <c r="S742" i="5"/>
  <c r="S472" i="5"/>
  <c r="S301" i="5"/>
  <c r="W130" i="5"/>
  <c r="W83" i="5"/>
  <c r="W1676" i="5"/>
  <c r="S1676" i="5"/>
  <c r="S130" i="5"/>
  <c r="S83" i="5"/>
  <c r="W1616" i="5"/>
  <c r="W1607" i="5"/>
  <c r="W1520" i="5"/>
  <c r="S1607" i="5"/>
  <c r="S1616" i="5"/>
  <c r="S1520" i="5"/>
  <c r="W1375" i="5"/>
  <c r="W1470" i="5"/>
  <c r="W1203" i="5"/>
  <c r="W1151" i="5"/>
  <c r="W967" i="5"/>
  <c r="S1470" i="5"/>
  <c r="S1203" i="5"/>
  <c r="S967" i="5"/>
  <c r="S1151" i="5"/>
  <c r="S1375" i="5"/>
  <c r="W657" i="5"/>
  <c r="W701" i="5"/>
  <c r="W339" i="5"/>
  <c r="W1544" i="5"/>
  <c r="W783" i="5"/>
  <c r="S701" i="5"/>
  <c r="S1544" i="5"/>
  <c r="S339" i="5"/>
  <c r="S657" i="5"/>
  <c r="S783" i="5"/>
  <c r="W1606" i="5"/>
  <c r="W1445" i="5"/>
  <c r="S1606" i="5"/>
  <c r="S1445" i="5"/>
  <c r="W1363" i="5"/>
  <c r="W466" i="5"/>
  <c r="W368" i="5"/>
  <c r="W1962" i="5"/>
  <c r="S1363" i="5"/>
  <c r="S1962" i="5"/>
  <c r="S466" i="5"/>
  <c r="S368" i="5"/>
  <c r="W1117" i="5"/>
  <c r="W1115" i="5"/>
  <c r="W272" i="5"/>
  <c r="W461" i="5"/>
  <c r="W1577" i="5"/>
  <c r="S1117" i="5"/>
  <c r="S1115" i="5"/>
  <c r="S272" i="5"/>
  <c r="S461" i="5"/>
  <c r="S1577" i="5"/>
  <c r="W1605" i="5"/>
  <c r="W663" i="5"/>
  <c r="S1605" i="5"/>
  <c r="S663" i="5"/>
  <c r="W1540" i="5"/>
  <c r="W1147" i="5"/>
  <c r="W1080" i="5"/>
  <c r="W1459" i="5"/>
  <c r="W434" i="5"/>
  <c r="S1540" i="5"/>
  <c r="S1080" i="5"/>
  <c r="S1147" i="5"/>
  <c r="S1459" i="5"/>
  <c r="S434" i="5"/>
  <c r="W1327" i="5"/>
  <c r="W1187" i="5"/>
  <c r="W119" i="5"/>
  <c r="W142" i="5"/>
  <c r="S1327" i="5"/>
  <c r="S1187" i="5"/>
  <c r="S119" i="5"/>
  <c r="S142" i="5"/>
  <c r="W23" i="5"/>
  <c r="W1090" i="5"/>
  <c r="W134" i="5"/>
  <c r="S23" i="5"/>
  <c r="S1090" i="5"/>
  <c r="S134" i="5"/>
  <c r="W345" i="5"/>
  <c r="W1666" i="5"/>
  <c r="S345" i="5"/>
  <c r="S1666" i="5"/>
  <c r="W90" i="5"/>
  <c r="W1015" i="5"/>
  <c r="W1548" i="5"/>
  <c r="S1548" i="5"/>
  <c r="S90" i="5"/>
  <c r="S1015" i="5"/>
  <c r="W1535" i="5"/>
  <c r="W761" i="5"/>
  <c r="W1179" i="5"/>
  <c r="S1179" i="5"/>
  <c r="S1535" i="5"/>
  <c r="S761" i="5"/>
  <c r="W1157" i="5"/>
  <c r="W1587" i="5"/>
  <c r="W458" i="5"/>
  <c r="W968" i="5"/>
  <c r="W1081" i="5"/>
  <c r="W1086" i="5"/>
  <c r="S458" i="5"/>
  <c r="S1157" i="5"/>
  <c r="S968" i="5"/>
  <c r="S1587" i="5"/>
  <c r="S1081" i="5"/>
  <c r="S1086" i="5"/>
  <c r="W169" i="5"/>
  <c r="W281" i="5"/>
  <c r="W268" i="5"/>
  <c r="W1194" i="5"/>
  <c r="S281" i="5"/>
  <c r="S169" i="5"/>
  <c r="S268" i="5"/>
  <c r="S1194" i="5"/>
  <c r="W446" i="5"/>
  <c r="W1262" i="5"/>
  <c r="W533" i="5"/>
  <c r="W1054" i="5"/>
  <c r="S533" i="5"/>
  <c r="S1054" i="5"/>
  <c r="S1262" i="5"/>
  <c r="S446" i="5"/>
  <c r="W170" i="5"/>
  <c r="W293" i="5"/>
  <c r="W1980" i="5"/>
  <c r="S293" i="5"/>
  <c r="S170" i="5"/>
  <c r="S1980" i="5"/>
  <c r="W37" i="5"/>
  <c r="W1464" i="5"/>
  <c r="W1405" i="5"/>
  <c r="W411" i="5"/>
  <c r="S411" i="5"/>
  <c r="S1464" i="5"/>
  <c r="S1405" i="5"/>
  <c r="S37" i="5"/>
  <c r="W291" i="5"/>
  <c r="W1643" i="5"/>
  <c r="W1111" i="5"/>
  <c r="W1268" i="5"/>
  <c r="W1964" i="5"/>
  <c r="W848" i="5"/>
  <c r="S1268" i="5"/>
  <c r="S848" i="5"/>
  <c r="S291" i="5"/>
  <c r="S1964" i="5"/>
  <c r="S1643" i="5"/>
  <c r="S1111" i="5"/>
  <c r="W1592" i="5"/>
  <c r="W1239" i="5"/>
  <c r="W1682" i="5"/>
  <c r="S1592" i="5"/>
  <c r="S1239" i="5"/>
  <c r="S1682" i="5"/>
  <c r="W1660" i="5"/>
  <c r="W811" i="5"/>
  <c r="W39" i="5"/>
  <c r="W975" i="5"/>
  <c r="S975" i="5"/>
  <c r="S1660" i="5"/>
  <c r="S811" i="5"/>
  <c r="S39" i="5"/>
  <c r="W402" i="5"/>
  <c r="W343" i="5"/>
  <c r="W1629" i="5"/>
  <c r="W1501" i="5"/>
  <c r="S1501" i="5"/>
  <c r="S1629" i="5"/>
  <c r="S343" i="5"/>
  <c r="S402" i="5"/>
  <c r="W311" i="5"/>
  <c r="W1722" i="5"/>
  <c r="W25" i="5"/>
  <c r="S1722" i="5"/>
  <c r="S25" i="5"/>
  <c r="S311" i="5"/>
  <c r="W982" i="5"/>
  <c r="W675" i="5"/>
  <c r="S675" i="5"/>
  <c r="S982" i="5"/>
  <c r="W1310" i="5"/>
  <c r="W61" i="5"/>
  <c r="W708" i="5"/>
  <c r="W416" i="5"/>
  <c r="S1310" i="5"/>
  <c r="S708" i="5"/>
  <c r="S416" i="5"/>
  <c r="S61" i="5"/>
  <c r="W1217" i="5"/>
  <c r="W734" i="5"/>
  <c r="W502" i="5"/>
  <c r="W962" i="5"/>
  <c r="W127" i="5"/>
  <c r="W1204" i="5"/>
  <c r="S734" i="5"/>
  <c r="S1204" i="5"/>
  <c r="S502" i="5"/>
  <c r="S127" i="5"/>
  <c r="S1217" i="5"/>
  <c r="S962" i="5"/>
  <c r="W1421" i="5"/>
  <c r="W1242" i="5"/>
  <c r="W1189" i="5"/>
  <c r="S1421" i="5"/>
  <c r="S1242" i="5"/>
  <c r="S1189" i="5"/>
  <c r="W357" i="5"/>
  <c r="W1582" i="5"/>
  <c r="S1582" i="5"/>
  <c r="S357" i="5"/>
  <c r="W1243" i="5"/>
  <c r="W822" i="5"/>
  <c r="W676" i="5"/>
  <c r="W1447" i="5"/>
  <c r="S1447" i="5"/>
  <c r="S822" i="5"/>
  <c r="S676" i="5"/>
  <c r="S1243" i="5"/>
  <c r="W440" i="5"/>
  <c r="W202" i="5"/>
  <c r="W853" i="5"/>
  <c r="W500" i="5"/>
  <c r="S853" i="5"/>
  <c r="S202" i="5"/>
  <c r="S500" i="5"/>
  <c r="S440" i="5"/>
  <c r="W153" i="5"/>
  <c r="W540" i="5"/>
  <c r="W1374" i="5"/>
  <c r="W447" i="5"/>
  <c r="S447" i="5"/>
  <c r="S540" i="5"/>
  <c r="S153" i="5"/>
  <c r="S1374" i="5"/>
  <c r="W460" i="5"/>
  <c r="W636" i="5"/>
  <c r="W536" i="5"/>
  <c r="W1953" i="5"/>
  <c r="S460" i="5"/>
  <c r="S1953" i="5"/>
  <c r="S636" i="5"/>
  <c r="S536" i="5"/>
  <c r="W949" i="5"/>
  <c r="W329" i="5"/>
  <c r="W561" i="5"/>
  <c r="S561" i="5"/>
  <c r="S329" i="5"/>
  <c r="S949" i="5"/>
  <c r="W491" i="5"/>
  <c r="W118" i="5"/>
  <c r="W336" i="5"/>
  <c r="S118" i="5"/>
  <c r="S336" i="5"/>
  <c r="S491" i="5"/>
  <c r="W1963" i="5"/>
  <c r="W507" i="5"/>
  <c r="W8" i="5"/>
  <c r="S507" i="5"/>
  <c r="S1963" i="5"/>
  <c r="S8" i="5"/>
  <c r="W613" i="5"/>
  <c r="W1293" i="5"/>
  <c r="W328" i="5"/>
  <c r="W1118" i="5"/>
  <c r="W979" i="5"/>
  <c r="W759" i="5"/>
  <c r="S759" i="5"/>
  <c r="S1293" i="5"/>
  <c r="S613" i="5"/>
  <c r="S979" i="5"/>
  <c r="S1118" i="5"/>
  <c r="S328" i="5"/>
  <c r="W950" i="5"/>
  <c r="W1146" i="5"/>
  <c r="W53" i="5"/>
  <c r="W712" i="5"/>
  <c r="S53" i="5"/>
  <c r="S950" i="5"/>
  <c r="S712" i="5"/>
  <c r="S1146" i="5"/>
  <c r="W1072" i="5"/>
  <c r="W583" i="5"/>
  <c r="W757" i="5"/>
  <c r="S1072" i="5"/>
  <c r="S583" i="5"/>
  <c r="S757" i="5"/>
  <c r="W41" i="5"/>
  <c r="W1524" i="5"/>
  <c r="W204" i="5"/>
  <c r="W1512" i="5"/>
  <c r="W74" i="5"/>
  <c r="S41" i="5"/>
  <c r="S204" i="5"/>
  <c r="S74" i="5"/>
  <c r="S1512" i="5"/>
  <c r="S1524" i="5"/>
  <c r="W646" i="5"/>
  <c r="W1561" i="5"/>
  <c r="W709" i="5"/>
  <c r="W552" i="5"/>
  <c r="W1285" i="5"/>
  <c r="S709" i="5"/>
  <c r="S646" i="5"/>
  <c r="S1561" i="5"/>
  <c r="S1285" i="5"/>
  <c r="S552" i="5"/>
  <c r="W379" i="5"/>
  <c r="W340" i="5"/>
  <c r="W1498" i="5"/>
  <c r="W1182" i="5"/>
  <c r="S379" i="5"/>
  <c r="S1182" i="5"/>
  <c r="S340" i="5"/>
  <c r="S1498" i="5"/>
  <c r="W763" i="5"/>
  <c r="W1294" i="5"/>
  <c r="S1294" i="5"/>
  <c r="S763" i="5"/>
  <c r="W873" i="5"/>
  <c r="W229" i="5"/>
  <c r="W645" i="5"/>
  <c r="W833" i="5"/>
  <c r="W1193" i="5"/>
  <c r="S645" i="5"/>
  <c r="S873" i="5"/>
  <c r="S1193" i="5"/>
  <c r="S229" i="5"/>
  <c r="S833" i="5"/>
  <c r="W1475" i="5"/>
  <c r="W15" i="5"/>
  <c r="W245" i="5"/>
  <c r="S1475" i="5"/>
  <c r="S15" i="5"/>
  <c r="S245" i="5"/>
  <c r="W1977" i="5"/>
  <c r="W987" i="5"/>
  <c r="W1139" i="5"/>
  <c r="W1721" i="5"/>
  <c r="W1025" i="5"/>
  <c r="W1304" i="5"/>
  <c r="S1139" i="5"/>
  <c r="S1025" i="5"/>
  <c r="S1721" i="5"/>
  <c r="S987" i="5"/>
  <c r="S1977" i="5"/>
  <c r="S1304" i="5"/>
  <c r="W1380" i="5"/>
  <c r="W575" i="5"/>
  <c r="W649" i="5"/>
  <c r="S575" i="5"/>
  <c r="S1380" i="5"/>
  <c r="S649" i="5"/>
  <c r="W1230" i="5"/>
  <c r="W637" i="5"/>
  <c r="W27" i="5"/>
  <c r="W224" i="5"/>
  <c r="S637" i="5"/>
  <c r="S1230" i="5"/>
  <c r="S27" i="5"/>
  <c r="S224" i="5"/>
  <c r="W1044" i="5"/>
  <c r="W1142" i="5"/>
  <c r="W574" i="5"/>
  <c r="W1315" i="5"/>
  <c r="S1142" i="5"/>
  <c r="S1044" i="5"/>
  <c r="S574" i="5"/>
  <c r="S1315" i="5"/>
  <c r="W1251" i="5"/>
  <c r="W1961" i="5"/>
  <c r="W1338" i="5"/>
  <c r="W1492" i="5"/>
  <c r="W611" i="5"/>
  <c r="W787" i="5"/>
  <c r="W666" i="5"/>
  <c r="S1251" i="5"/>
  <c r="S1961" i="5"/>
  <c r="S611" i="5"/>
  <c r="S1338" i="5"/>
  <c r="S666" i="5"/>
  <c r="S787" i="5"/>
  <c r="S1492" i="5"/>
  <c r="W1060" i="5"/>
  <c r="W131" i="5"/>
  <c r="W1127" i="5"/>
  <c r="W1635" i="5"/>
  <c r="W1372" i="5"/>
  <c r="S1372" i="5"/>
  <c r="S1060" i="5"/>
  <c r="S131" i="5"/>
  <c r="S1635" i="5"/>
  <c r="S1127" i="5"/>
  <c r="W966" i="5"/>
  <c r="W275" i="5"/>
  <c r="W548" i="5"/>
  <c r="W1715" i="5"/>
  <c r="W1053" i="5"/>
  <c r="S966" i="5"/>
  <c r="S275" i="5"/>
  <c r="S548" i="5"/>
  <c r="S1053" i="5"/>
  <c r="S1715" i="5"/>
  <c r="W595" i="5"/>
  <c r="W348" i="5"/>
  <c r="W43" i="5"/>
  <c r="W1479" i="5"/>
  <c r="S43" i="5"/>
  <c r="S595" i="5"/>
  <c r="S348" i="5"/>
  <c r="S1479" i="5"/>
  <c r="W992" i="5"/>
  <c r="W380" i="5"/>
  <c r="W390" i="5"/>
  <c r="S992" i="5"/>
  <c r="S390" i="5"/>
  <c r="S380" i="5"/>
  <c r="W1326" i="5"/>
  <c r="W841" i="5"/>
  <c r="W1728" i="5"/>
  <c r="S1326" i="5"/>
  <c r="S1728" i="5"/>
  <c r="S841" i="5"/>
  <c r="W1246" i="5"/>
  <c r="W1984" i="5"/>
  <c r="S1246" i="5"/>
  <c r="S1984" i="5"/>
  <c r="W300" i="5"/>
  <c r="W12" i="5"/>
  <c r="W138" i="5"/>
  <c r="W1267" i="5"/>
  <c r="W271" i="5"/>
  <c r="W211" i="5"/>
  <c r="W1510" i="5"/>
  <c r="S300" i="5"/>
  <c r="S138" i="5"/>
  <c r="S271" i="5"/>
  <c r="S1267" i="5"/>
  <c r="S12" i="5"/>
  <c r="S211" i="5"/>
  <c r="S1510" i="5"/>
  <c r="W1263" i="5"/>
  <c r="W1300" i="5"/>
  <c r="S1263" i="5"/>
  <c r="S1300" i="5"/>
  <c r="W1397" i="5"/>
  <c r="W1022" i="5"/>
  <c r="W1368" i="5"/>
  <c r="W16" i="5"/>
  <c r="W1370" i="5"/>
  <c r="W270" i="5"/>
  <c r="W1467" i="5"/>
  <c r="S1370" i="5"/>
  <c r="S1467" i="5"/>
  <c r="S270" i="5"/>
  <c r="S1397" i="5"/>
  <c r="S1368" i="5"/>
  <c r="S16" i="5"/>
  <c r="S1022" i="5"/>
  <c r="W776" i="5"/>
  <c r="W1168" i="5"/>
  <c r="S776" i="5"/>
  <c r="S1168" i="5"/>
  <c r="W1221" i="5"/>
  <c r="W1175" i="5"/>
  <c r="W252" i="5"/>
  <c r="W1102" i="5"/>
  <c r="W591" i="5"/>
  <c r="S1221" i="5"/>
  <c r="S252" i="5"/>
  <c r="S1102" i="5"/>
  <c r="S1175" i="5"/>
  <c r="S591" i="5"/>
  <c r="W1063" i="5"/>
  <c r="W881" i="5"/>
  <c r="W535" i="5"/>
  <c r="W239" i="5"/>
  <c r="S535" i="5"/>
  <c r="S881" i="5"/>
  <c r="S239" i="5"/>
  <c r="S1063" i="5"/>
  <c r="W1594" i="5"/>
  <c r="W399" i="5"/>
  <c r="W1514" i="5"/>
  <c r="S1594" i="5"/>
  <c r="S399" i="5"/>
  <c r="S1514" i="5"/>
  <c r="W1298" i="5"/>
  <c r="W1482" i="5"/>
  <c r="W1689" i="5"/>
  <c r="W1992" i="5"/>
  <c r="S1992" i="5"/>
  <c r="S1689" i="5"/>
  <c r="S1298" i="5"/>
  <c r="S1482" i="5"/>
  <c r="W302" i="5"/>
  <c r="W704" i="5"/>
  <c r="W846" i="5"/>
  <c r="W469" i="5"/>
  <c r="W796" i="5"/>
  <c r="S846" i="5"/>
  <c r="S796" i="5"/>
  <c r="S704" i="5"/>
  <c r="S302" i="5"/>
  <c r="S469" i="5"/>
  <c r="W1579" i="5"/>
  <c r="W67" i="5"/>
  <c r="W1415" i="5"/>
  <c r="W1316" i="5"/>
  <c r="W1138" i="5"/>
  <c r="S1579" i="5"/>
  <c r="S67" i="5"/>
  <c r="S1415" i="5"/>
  <c r="S1138" i="5"/>
  <c r="S1316" i="5"/>
  <c r="W1068" i="5"/>
  <c r="W1585" i="5"/>
  <c r="W1337" i="5"/>
  <c r="W19" i="5"/>
  <c r="W771" i="5"/>
  <c r="W603" i="5"/>
  <c r="S1585" i="5"/>
  <c r="S1068" i="5"/>
  <c r="S603" i="5"/>
  <c r="S1337" i="5"/>
  <c r="S19" i="5"/>
  <c r="S771" i="5"/>
  <c r="W112" i="5"/>
  <c r="W1391" i="5"/>
  <c r="W702" i="5"/>
  <c r="S112" i="5"/>
  <c r="S1391" i="5"/>
  <c r="S702" i="5"/>
  <c r="W273" i="5"/>
  <c r="W1448" i="5"/>
  <c r="W713" i="5"/>
  <c r="W324" i="5"/>
  <c r="W1403" i="5"/>
  <c r="S324" i="5"/>
  <c r="S1448" i="5"/>
  <c r="S713" i="5"/>
  <c r="S273" i="5"/>
  <c r="S1403" i="5"/>
  <c r="W1143" i="5"/>
  <c r="W501" i="5"/>
  <c r="S1143" i="5"/>
  <c r="S501" i="5"/>
  <c r="W1106" i="5"/>
  <c r="W780" i="5"/>
  <c r="W560" i="5"/>
  <c r="S780" i="5"/>
  <c r="S560" i="5"/>
  <c r="S1106" i="5"/>
  <c r="W459" i="5"/>
  <c r="W868" i="5"/>
  <c r="W193" i="5"/>
  <c r="W673" i="5"/>
  <c r="W1942" i="5"/>
  <c r="W689" i="5"/>
  <c r="W863" i="5"/>
  <c r="W68" i="5"/>
  <c r="S689" i="5"/>
  <c r="S459" i="5"/>
  <c r="S1942" i="5"/>
  <c r="S193" i="5"/>
  <c r="S68" i="5"/>
  <c r="S868" i="5"/>
  <c r="S673" i="5"/>
  <c r="S863" i="5"/>
  <c r="W1597" i="5"/>
  <c r="W802" i="5"/>
  <c r="W870" i="5"/>
  <c r="W1322" i="5"/>
  <c r="S1597" i="5"/>
  <c r="S870" i="5"/>
  <c r="S802" i="5"/>
  <c r="S1322" i="5"/>
  <c r="W1713" i="5"/>
  <c r="W4" i="5"/>
  <c r="W1288" i="5"/>
  <c r="W392" i="5"/>
  <c r="W1223" i="5"/>
  <c r="S1713" i="5"/>
  <c r="S4" i="5"/>
  <c r="S392" i="5"/>
  <c r="S1288" i="5"/>
  <c r="S1223" i="5"/>
  <c r="W956" i="5"/>
  <c r="W424" i="5"/>
  <c r="S956" i="5"/>
  <c r="S424" i="5"/>
  <c r="W1632" i="5"/>
  <c r="W801" i="5"/>
  <c r="W80" i="5"/>
  <c r="W1511" i="5"/>
  <c r="W1002" i="5"/>
  <c r="S1511" i="5"/>
  <c r="S1002" i="5"/>
  <c r="S80" i="5"/>
  <c r="S1632" i="5"/>
  <c r="S801" i="5"/>
  <c r="W1970" i="5"/>
  <c r="W1277" i="5"/>
  <c r="W1009" i="5"/>
  <c r="S1009" i="5"/>
  <c r="S1970" i="5"/>
  <c r="S1277" i="5"/>
  <c r="W190" i="5"/>
  <c r="W33" i="5"/>
  <c r="S33" i="5"/>
  <c r="S190" i="5"/>
  <c r="W468" i="5"/>
  <c r="W995" i="5"/>
  <c r="W1586" i="5"/>
  <c r="W1668" i="5"/>
  <c r="S1668" i="5"/>
  <c r="S995" i="5"/>
  <c r="S1586" i="5"/>
  <c r="S468" i="5"/>
  <c r="W1670" i="5"/>
  <c r="W319" i="5"/>
  <c r="W682" i="5"/>
  <c r="W1549" i="5"/>
  <c r="S1670" i="5"/>
  <c r="S682" i="5"/>
  <c r="S1549" i="5"/>
  <c r="S319" i="5"/>
  <c r="W1642" i="5"/>
  <c r="W1705" i="5"/>
  <c r="W410" i="5"/>
  <c r="W374" i="5"/>
  <c r="W767" i="5"/>
  <c r="W789" i="5"/>
  <c r="W1507" i="5"/>
  <c r="W1634" i="5"/>
  <c r="S767" i="5"/>
  <c r="S1634" i="5"/>
  <c r="S1642" i="5"/>
  <c r="S410" i="5"/>
  <c r="S374" i="5"/>
  <c r="S789" i="5"/>
  <c r="S1507" i="5"/>
  <c r="S1705" i="5"/>
  <c r="W247" i="5"/>
  <c r="W206" i="5"/>
  <c r="W428" i="5"/>
  <c r="W1114" i="5"/>
  <c r="W1627" i="5"/>
  <c r="S247" i="5"/>
  <c r="S1627" i="5"/>
  <c r="S1114" i="5"/>
  <c r="S428" i="5"/>
  <c r="S206" i="5"/>
  <c r="W664" i="5"/>
  <c r="W1623" i="5"/>
  <c r="W1986" i="5"/>
  <c r="W584" i="5"/>
  <c r="S664" i="5"/>
  <c r="S1986" i="5"/>
  <c r="S1623" i="5"/>
  <c r="S584" i="5"/>
  <c r="W237" i="5"/>
  <c r="W821" i="5"/>
  <c r="W1061" i="5"/>
  <c r="W1278" i="5"/>
  <c r="W1551" i="5"/>
  <c r="W818" i="5"/>
  <c r="W774" i="5"/>
  <c r="W851" i="5"/>
  <c r="S818" i="5"/>
  <c r="S1061" i="5"/>
  <c r="S1278" i="5"/>
  <c r="S1551" i="5"/>
  <c r="S774" i="5"/>
  <c r="S851" i="5"/>
  <c r="S821" i="5"/>
  <c r="S237" i="5"/>
  <c r="W1377" i="5"/>
  <c r="W57" i="5"/>
  <c r="W195" i="5"/>
  <c r="W986" i="5"/>
  <c r="W725" i="5"/>
  <c r="W1491" i="5"/>
  <c r="W54" i="5"/>
  <c r="S725" i="5"/>
  <c r="S195" i="5"/>
  <c r="S1377" i="5"/>
  <c r="S57" i="5"/>
  <c r="S1491" i="5"/>
  <c r="S54" i="5"/>
  <c r="S986" i="5"/>
  <c r="W1097" i="5"/>
  <c r="W47" i="5"/>
  <c r="W813" i="5"/>
  <c r="W7" i="5"/>
  <c r="W747" i="5"/>
  <c r="W1112" i="5"/>
  <c r="S7" i="5"/>
  <c r="S47" i="5"/>
  <c r="S813" i="5"/>
  <c r="S747" i="5"/>
  <c r="S1097" i="5"/>
  <c r="S1112" i="5"/>
  <c r="W1633" i="5"/>
  <c r="W840" i="5"/>
  <c r="W827" i="5"/>
  <c r="W167" i="5"/>
  <c r="W1684" i="5"/>
  <c r="W94" i="5"/>
  <c r="W791" i="5"/>
  <c r="S827" i="5"/>
  <c r="S840" i="5"/>
  <c r="S1684" i="5"/>
  <c r="S1633" i="5"/>
  <c r="S167" i="5"/>
  <c r="S94" i="5"/>
  <c r="S791" i="5"/>
  <c r="W1344" i="5"/>
  <c r="W695" i="5"/>
  <c r="W687" i="5"/>
  <c r="W736" i="5"/>
  <c r="S1344" i="5"/>
  <c r="S736" i="5"/>
  <c r="S695" i="5"/>
  <c r="S687" i="5"/>
  <c r="W1149" i="5"/>
  <c r="W376" i="5"/>
  <c r="S376" i="5"/>
  <c r="S1149" i="5"/>
  <c r="W1631" i="5"/>
  <c r="W711" i="5"/>
  <c r="S711" i="5"/>
  <c r="S1631" i="5"/>
  <c r="W630" i="5"/>
  <c r="W1238" i="5"/>
  <c r="W1271" i="5"/>
  <c r="W1354" i="5"/>
  <c r="W1431" i="5"/>
  <c r="W1624" i="5"/>
  <c r="W180" i="5"/>
  <c r="S1271" i="5"/>
  <c r="S630" i="5"/>
  <c r="S180" i="5"/>
  <c r="S1238" i="5"/>
  <c r="S1354" i="5"/>
  <c r="S1624" i="5"/>
  <c r="S1431" i="5"/>
  <c r="W1500" i="5"/>
  <c r="W563" i="5"/>
  <c r="S563" i="5"/>
  <c r="S1500" i="5"/>
  <c r="W89" i="5"/>
  <c r="W854" i="5"/>
  <c r="S89" i="5"/>
  <c r="S854" i="5"/>
  <c r="W1429" i="5"/>
  <c r="W541" i="5"/>
  <c r="W1176" i="5"/>
  <c r="W1309" i="5"/>
  <c r="S1309" i="5"/>
  <c r="S1176" i="5"/>
  <c r="S541" i="5"/>
  <c r="S1429" i="5"/>
  <c r="W1350" i="5"/>
  <c r="W1649" i="5"/>
  <c r="W401" i="5"/>
  <c r="S1350" i="5"/>
  <c r="S1649" i="5"/>
  <c r="S401" i="5"/>
  <c r="W1231" i="5"/>
  <c r="W834" i="5"/>
  <c r="W1455" i="5"/>
  <c r="S1231" i="5"/>
  <c r="S834" i="5"/>
  <c r="S1455" i="5"/>
  <c r="W93" i="5"/>
  <c r="W1361" i="5"/>
  <c r="W722" i="5"/>
  <c r="W388" i="5"/>
  <c r="S93" i="5"/>
  <c r="S388" i="5"/>
  <c r="S722" i="5"/>
  <c r="S1361" i="5"/>
  <c r="W1528" i="5"/>
  <c r="W470" i="5"/>
  <c r="S470" i="5"/>
  <c r="S1528" i="5"/>
  <c r="W550" i="5"/>
  <c r="W1346" i="5"/>
  <c r="W1667" i="5"/>
  <c r="W599" i="5"/>
  <c r="W103" i="5"/>
  <c r="S1346" i="5"/>
  <c r="S550" i="5"/>
  <c r="S1667" i="5"/>
  <c r="S599" i="5"/>
  <c r="S103" i="5"/>
  <c r="W1306" i="5"/>
  <c r="W1703" i="5"/>
  <c r="W778" i="5"/>
  <c r="W1335" i="5"/>
  <c r="W1364" i="5"/>
  <c r="S1306" i="5"/>
  <c r="S1364" i="5"/>
  <c r="S1703" i="5"/>
  <c r="S1335" i="5"/>
  <c r="S778" i="5"/>
  <c r="W1584" i="5"/>
  <c r="W283" i="5"/>
  <c r="W486" i="5"/>
  <c r="W991" i="5"/>
  <c r="W413" i="5"/>
  <c r="W974" i="5"/>
  <c r="S974" i="5"/>
  <c r="S283" i="5"/>
  <c r="S991" i="5"/>
  <c r="S1584" i="5"/>
  <c r="S413" i="5"/>
  <c r="S486" i="5"/>
  <c r="W735" i="5"/>
  <c r="W1725" i="5"/>
  <c r="W1383" i="5"/>
  <c r="S1383" i="5"/>
  <c r="S735" i="5"/>
  <c r="S1725" i="5"/>
  <c r="W769" i="5"/>
  <c r="W658" i="5"/>
  <c r="W592" i="5"/>
  <c r="W1266" i="5"/>
  <c r="S769" i="5"/>
  <c r="S658" i="5"/>
  <c r="S1266" i="5"/>
  <c r="S592" i="5"/>
  <c r="W1195" i="5"/>
  <c r="W1282" i="5"/>
  <c r="W926" i="5"/>
  <c r="W1077" i="5"/>
  <c r="W985" i="5"/>
  <c r="S985" i="5"/>
  <c r="S1282" i="5"/>
  <c r="S926" i="5"/>
  <c r="S1077" i="5"/>
  <c r="S1195" i="5"/>
  <c r="W1487" i="5"/>
  <c r="W732" i="5"/>
  <c r="W638" i="5"/>
  <c r="S732" i="5"/>
  <c r="S1487" i="5"/>
  <c r="S638" i="5"/>
  <c r="W1016" i="5"/>
  <c r="W342" i="5"/>
  <c r="W1160" i="5"/>
  <c r="W640" i="5"/>
  <c r="W976" i="5"/>
  <c r="W431" i="5"/>
  <c r="W1078" i="5"/>
  <c r="S342" i="5"/>
  <c r="S976" i="5"/>
  <c r="S640" i="5"/>
  <c r="S1016" i="5"/>
  <c r="S1160" i="5"/>
  <c r="S431" i="5"/>
  <c r="S1078" i="5"/>
  <c r="W578" i="5"/>
  <c r="W1076" i="5"/>
  <c r="W499" i="5"/>
  <c r="W647" i="5"/>
  <c r="W248" i="5"/>
  <c r="S578" i="5"/>
  <c r="S647" i="5"/>
  <c r="S1076" i="5"/>
  <c r="S248" i="5"/>
  <c r="S499" i="5"/>
  <c r="W417" i="5"/>
  <c r="W49" i="5"/>
  <c r="W1578" i="5"/>
  <c r="W1566" i="5"/>
  <c r="S49" i="5"/>
  <c r="S417" i="5"/>
  <c r="S1578" i="5"/>
  <c r="S1566" i="5"/>
  <c r="W1226" i="5"/>
  <c r="W346" i="5"/>
  <c r="W1228" i="5"/>
  <c r="S1228" i="5"/>
  <c r="S1226" i="5"/>
  <c r="S346" i="5"/>
  <c r="W521" i="5"/>
  <c r="W1274" i="5"/>
  <c r="W655" i="5"/>
  <c r="W1506" i="5"/>
  <c r="W1404" i="5"/>
  <c r="S1404" i="5"/>
  <c r="S521" i="5"/>
  <c r="S655" i="5"/>
  <c r="S1274" i="5"/>
  <c r="S1506" i="5"/>
  <c r="W1517" i="5"/>
  <c r="W218" i="5"/>
  <c r="W1988" i="5"/>
  <c r="W1033" i="5"/>
  <c r="S218" i="5"/>
  <c r="S1988" i="5"/>
  <c r="S1033" i="5"/>
  <c r="S1517" i="5"/>
  <c r="W1685" i="5"/>
  <c r="W158" i="5"/>
  <c r="W998" i="5"/>
  <c r="S1685" i="5"/>
  <c r="S158" i="5"/>
  <c r="S998" i="5"/>
  <c r="W1169" i="5"/>
  <c r="W1113" i="5"/>
  <c r="W539" i="5"/>
  <c r="W77" i="5"/>
  <c r="W1240" i="5"/>
  <c r="W812" i="5"/>
  <c r="W178" i="5"/>
  <c r="S1113" i="5"/>
  <c r="S539" i="5"/>
  <c r="S1169" i="5"/>
  <c r="S178" i="5"/>
  <c r="S77" i="5"/>
  <c r="S1240" i="5"/>
  <c r="S812" i="5"/>
  <c r="W1207" i="5"/>
  <c r="W176" i="5"/>
  <c r="W1120" i="5"/>
  <c r="W159" i="5"/>
  <c r="W571" i="5"/>
  <c r="S1207" i="5"/>
  <c r="S571" i="5"/>
  <c r="S159" i="5"/>
  <c r="S1120" i="5"/>
  <c r="S176" i="5"/>
  <c r="W624" i="5"/>
  <c r="W741" i="5"/>
  <c r="W1079" i="5"/>
  <c r="W353" i="5"/>
  <c r="S741" i="5"/>
  <c r="S624" i="5"/>
  <c r="S1079" i="5"/>
  <c r="S353" i="5"/>
  <c r="W435" i="5"/>
  <c r="W671" i="5"/>
  <c r="W139" i="5"/>
  <c r="S139" i="5"/>
  <c r="S435" i="5"/>
  <c r="S671" i="5"/>
  <c r="W196" i="5"/>
  <c r="W199" i="5"/>
  <c r="W549" i="5"/>
  <c r="W31" i="5"/>
  <c r="S196" i="5"/>
  <c r="S199" i="5"/>
  <c r="S549" i="5"/>
  <c r="S31" i="5"/>
  <c r="W261" i="5"/>
  <c r="W760" i="5"/>
  <c r="S261" i="5"/>
  <c r="S760" i="5"/>
  <c r="W1538" i="5"/>
  <c r="W1017" i="5"/>
  <c r="W719" i="5"/>
  <c r="W1677" i="5"/>
  <c r="W1216" i="5"/>
  <c r="S1216" i="5"/>
  <c r="S719" i="5"/>
  <c r="S1677" i="5"/>
  <c r="S1538" i="5"/>
  <c r="S1017" i="5"/>
  <c r="W585" i="5"/>
  <c r="W754" i="5"/>
  <c r="W681" i="5"/>
  <c r="W1558" i="5"/>
  <c r="W1373" i="5"/>
  <c r="W498" i="5"/>
  <c r="S1558" i="5"/>
  <c r="S498" i="5"/>
  <c r="S1373" i="5"/>
  <c r="S754" i="5"/>
  <c r="S681" i="5"/>
  <c r="S585" i="5"/>
  <c r="W838" i="5"/>
  <c r="W1332" i="5"/>
  <c r="W240" i="5"/>
  <c r="S838" i="5"/>
  <c r="S1332" i="5"/>
  <c r="S240" i="5"/>
  <c r="W1275" i="5"/>
  <c r="W1622" i="5"/>
  <c r="S1622" i="5"/>
  <c r="S1275" i="5"/>
  <c r="W1178" i="5"/>
  <c r="W1638" i="5"/>
  <c r="W1944" i="5"/>
  <c r="W1254" i="5"/>
  <c r="W847" i="5"/>
  <c r="S1254" i="5"/>
  <c r="S1944" i="5"/>
  <c r="S847" i="5"/>
  <c r="S1638" i="5"/>
  <c r="S1178" i="5"/>
  <c r="W1128" i="5"/>
  <c r="W403" i="5"/>
  <c r="W845" i="5"/>
  <c r="W764" i="5"/>
  <c r="W405" i="5"/>
  <c r="S845" i="5"/>
  <c r="S1128" i="5"/>
  <c r="S403" i="5"/>
  <c r="S405" i="5"/>
  <c r="S764" i="5"/>
  <c r="W1446" i="5"/>
  <c r="W1539" i="5"/>
  <c r="W1065" i="5"/>
  <c r="W1518" i="5"/>
  <c r="S1518" i="5"/>
  <c r="S1065" i="5"/>
  <c r="S1446" i="5"/>
  <c r="S1539" i="5"/>
  <c r="W251" i="5"/>
  <c r="W1152" i="5"/>
  <c r="S251" i="5"/>
  <c r="S1152" i="5"/>
  <c r="W810" i="5"/>
  <c r="W70" i="5"/>
  <c r="W828" i="5"/>
  <c r="S70" i="5"/>
  <c r="S828" i="5"/>
  <c r="S810" i="5"/>
  <c r="W1019" i="5"/>
  <c r="W1414" i="5"/>
  <c r="W354" i="5"/>
  <c r="W1154" i="5"/>
  <c r="W1020" i="5"/>
  <c r="S1019" i="5"/>
  <c r="S354" i="5"/>
  <c r="S1020" i="5"/>
  <c r="S1154" i="5"/>
  <c r="S1414" i="5"/>
  <c r="W618" i="5"/>
  <c r="W554" i="5"/>
  <c r="W258" i="5"/>
  <c r="W1533" i="5"/>
  <c r="W1382" i="5"/>
  <c r="W1959" i="5"/>
  <c r="W1452" i="5"/>
  <c r="W803" i="5"/>
  <c r="W476" i="5"/>
  <c r="W116" i="5"/>
  <c r="W602" i="5"/>
  <c r="S554" i="5"/>
  <c r="S618" i="5"/>
  <c r="S476" i="5"/>
  <c r="S602" i="5"/>
  <c r="S258" i="5"/>
  <c r="S803" i="5"/>
  <c r="S116" i="5"/>
  <c r="S1382" i="5"/>
  <c r="S1533" i="5"/>
  <c r="S1959" i="5"/>
  <c r="S1452" i="5"/>
  <c r="W1410" i="5"/>
  <c r="W1353" i="5"/>
  <c r="W1617" i="5"/>
  <c r="W173" i="5"/>
  <c r="S1617" i="5"/>
  <c r="S1410" i="5"/>
  <c r="S173" i="5"/>
  <c r="S1353" i="5"/>
  <c r="W506" i="5"/>
  <c r="W414" i="5"/>
  <c r="W278" i="5"/>
  <c r="W36" i="5"/>
  <c r="S414" i="5"/>
  <c r="S506" i="5"/>
  <c r="S278" i="5"/>
  <c r="S36" i="5"/>
  <c r="W373" i="5"/>
  <c r="W1989" i="5"/>
  <c r="W157" i="5"/>
  <c r="W18" i="5"/>
  <c r="W963" i="5"/>
  <c r="S1989" i="5"/>
  <c r="S373" i="5"/>
  <c r="S963" i="5"/>
  <c r="S18" i="5"/>
  <c r="S157" i="5"/>
  <c r="W312" i="5"/>
  <c r="W398" i="5"/>
  <c r="W344" i="5"/>
  <c r="W819" i="5"/>
  <c r="W928" i="5"/>
  <c r="S819" i="5"/>
  <c r="S312" i="5"/>
  <c r="S928" i="5"/>
  <c r="S398" i="5"/>
  <c r="S344" i="5"/>
  <c r="W50" i="5"/>
  <c r="W1716" i="5"/>
  <c r="W60" i="5"/>
  <c r="W1657" i="5"/>
  <c r="S1716" i="5"/>
  <c r="S50" i="5"/>
  <c r="S1657" i="5"/>
  <c r="S60" i="5"/>
  <c r="W1371" i="5"/>
  <c r="W1662" i="5"/>
  <c r="S1371" i="5"/>
  <c r="S1662" i="5"/>
  <c r="W1323" i="5"/>
  <c r="W1994" i="5"/>
  <c r="S1994" i="5"/>
  <c r="S1323" i="5"/>
  <c r="Q1196" i="5"/>
  <c r="R158" i="5" l="1"/>
  <c r="B71" i="7"/>
  <c r="R75" i="5"/>
  <c r="B63" i="7"/>
  <c r="R61" i="5"/>
  <c r="B69" i="7"/>
  <c r="R46" i="5"/>
  <c r="B66" i="7"/>
  <c r="R33" i="5"/>
  <c r="B31" i="10"/>
  <c r="R32" i="5"/>
  <c r="B52" i="7"/>
  <c r="B30" i="10"/>
  <c r="R31" i="5"/>
  <c r="B68" i="7"/>
  <c r="B29" i="10"/>
  <c r="R30" i="5"/>
  <c r="B61" i="7"/>
  <c r="B28" i="10"/>
  <c r="R29" i="5"/>
  <c r="B54" i="7"/>
  <c r="B27" i="10"/>
  <c r="R28" i="5"/>
  <c r="B50" i="7"/>
  <c r="R27" i="5"/>
  <c r="B26" i="10"/>
  <c r="R26" i="5"/>
  <c r="B25" i="10"/>
  <c r="R25" i="5"/>
  <c r="B24" i="10"/>
  <c r="R24" i="5"/>
  <c r="B23" i="10"/>
  <c r="R23" i="5"/>
  <c r="B22" i="10"/>
  <c r="R22" i="5"/>
  <c r="B21" i="10"/>
  <c r="R21" i="5"/>
  <c r="B20" i="10"/>
  <c r="R20" i="5"/>
  <c r="B19" i="10"/>
  <c r="R19" i="5"/>
  <c r="B57" i="7"/>
  <c r="B18" i="10"/>
  <c r="R18" i="5"/>
  <c r="B60" i="7"/>
  <c r="B17" i="10"/>
  <c r="R17" i="5"/>
  <c r="B16" i="10"/>
  <c r="R16" i="5"/>
  <c r="B15" i="10"/>
  <c r="R15" i="5"/>
  <c r="B64" i="7"/>
  <c r="B14" i="10"/>
  <c r="R14" i="5"/>
  <c r="B48" i="7"/>
  <c r="B13" i="10"/>
  <c r="R13" i="5"/>
  <c r="B47" i="7"/>
  <c r="B12" i="10"/>
  <c r="R12" i="5"/>
  <c r="B70" i="7"/>
  <c r="B11" i="10"/>
  <c r="R11" i="5"/>
  <c r="B53" i="7"/>
  <c r="B10" i="10"/>
  <c r="R10" i="5"/>
  <c r="B67" i="7"/>
  <c r="B9" i="10"/>
  <c r="R9" i="5"/>
  <c r="B58" i="7"/>
  <c r="R8" i="5"/>
  <c r="B59" i="7"/>
  <c r="B92" i="7"/>
  <c r="B8" i="10"/>
  <c r="R7" i="5"/>
  <c r="B7" i="10"/>
  <c r="R6" i="5"/>
  <c r="B55" i="7"/>
  <c r="B6" i="10"/>
  <c r="R5" i="5"/>
  <c r="B62" i="7"/>
  <c r="B5" i="10"/>
  <c r="R4" i="5"/>
  <c r="B51" i="7"/>
  <c r="B4" i="10"/>
  <c r="R3" i="5"/>
  <c r="B49" i="7"/>
  <c r="B91" i="7"/>
  <c r="B3" i="10"/>
  <c r="R2" i="5"/>
  <c r="B56" i="7"/>
  <c r="B90" i="7"/>
  <c r="B93" i="7" s="1"/>
  <c r="B2" i="10"/>
  <c r="B106" i="7"/>
  <c r="B107" i="7"/>
  <c r="B108" i="7"/>
  <c r="B109" i="7"/>
  <c r="B110" i="7"/>
  <c r="Q2001" i="5"/>
  <c r="Q2000" i="5"/>
  <c r="Q1999" i="5"/>
  <c r="Q1998" i="5"/>
  <c r="Q1997" i="5"/>
  <c r="Q1994" i="5"/>
  <c r="Q1993" i="5"/>
  <c r="Q1992" i="5"/>
  <c r="Q1991" i="5"/>
  <c r="Q1990" i="5"/>
  <c r="Q1989" i="5"/>
  <c r="Q1985" i="5"/>
  <c r="Q1984" i="5"/>
  <c r="Q1983" i="5"/>
  <c r="Q1980" i="5"/>
  <c r="Q1979" i="5"/>
  <c r="Q1973" i="5"/>
  <c r="Q1972" i="5"/>
  <c r="Q1965" i="5"/>
  <c r="Q1963" i="5"/>
  <c r="Q1962" i="5"/>
  <c r="Q1961" i="5"/>
  <c r="Q1960" i="5"/>
  <c r="Q1959" i="5"/>
  <c r="Q1957" i="5"/>
  <c r="Q1956" i="5"/>
  <c r="Q1954" i="5"/>
  <c r="Q1953" i="5"/>
  <c r="Q1950" i="5"/>
  <c r="Q1945" i="5"/>
  <c r="Q1941" i="5"/>
  <c r="Q1936" i="5"/>
  <c r="Q1934" i="5"/>
  <c r="Q1932" i="5"/>
  <c r="Q1931" i="5"/>
  <c r="Q1930" i="5"/>
  <c r="Q1929" i="5"/>
  <c r="Q1927" i="5"/>
  <c r="Q1925" i="5"/>
  <c r="Q1923" i="5"/>
  <c r="Q1921" i="5"/>
  <c r="Q1919" i="5"/>
  <c r="Q1917" i="5"/>
  <c r="Q1912" i="5"/>
  <c r="Q1907" i="5"/>
  <c r="Q1906" i="5"/>
  <c r="Q1903" i="5"/>
  <c r="Q1901" i="5"/>
  <c r="Q1898" i="5"/>
  <c r="Q1897" i="5"/>
  <c r="Q1895" i="5"/>
  <c r="Q1894" i="5"/>
  <c r="Q1893" i="5"/>
  <c r="Q1891" i="5"/>
  <c r="Q1890" i="5"/>
  <c r="Q1889" i="5"/>
  <c r="Q1887" i="5"/>
  <c r="Q1886" i="5"/>
  <c r="Q1885" i="5"/>
  <c r="Q1883" i="5"/>
  <c r="Q1880" i="5"/>
  <c r="Q1878" i="5"/>
  <c r="Q1877" i="5"/>
  <c r="Q1873" i="5"/>
  <c r="Q1871" i="5"/>
  <c r="Q1870" i="5"/>
  <c r="Q1867" i="5"/>
  <c r="Q1866" i="5"/>
  <c r="Q1864" i="5"/>
  <c r="Q1863" i="5"/>
  <c r="Q1859" i="5"/>
  <c r="Q1856" i="5"/>
  <c r="Q1855" i="5"/>
  <c r="Q1853" i="5"/>
  <c r="Q1851" i="5"/>
  <c r="Q1843" i="5"/>
  <c r="Q1842" i="5"/>
  <c r="Q1841" i="5"/>
  <c r="Q1836" i="5"/>
  <c r="Q1835" i="5"/>
  <c r="Q1833" i="5"/>
  <c r="Q1831" i="5"/>
  <c r="Q1830" i="5"/>
  <c r="Q1829" i="5"/>
  <c r="Q1822" i="5"/>
  <c r="Q1821" i="5"/>
  <c r="Q1820" i="5"/>
  <c r="Q1817" i="5"/>
  <c r="Q1816" i="5"/>
  <c r="Q1811" i="5"/>
  <c r="Q1809" i="5"/>
  <c r="Q1805" i="5"/>
  <c r="Q1804" i="5"/>
  <c r="Q1803" i="5"/>
  <c r="Q1802" i="5"/>
  <c r="Q1801" i="5"/>
  <c r="Q1800" i="5"/>
  <c r="Q1797" i="5"/>
  <c r="Q1796" i="5"/>
  <c r="Q1795" i="5"/>
  <c r="Q1794" i="5"/>
  <c r="Q1791" i="5"/>
  <c r="Q1790" i="5"/>
  <c r="Q1789" i="5"/>
  <c r="Q1788" i="5"/>
  <c r="Q1787" i="5"/>
  <c r="Q1786" i="5"/>
  <c r="Q1785" i="5"/>
  <c r="Q1780" i="5"/>
  <c r="Q1779" i="5"/>
  <c r="Q1775" i="5"/>
  <c r="Q1774" i="5"/>
  <c r="Q1773" i="5"/>
  <c r="Q1766" i="5"/>
  <c r="Q1765" i="5"/>
  <c r="Q1762" i="5"/>
  <c r="Q1761" i="5"/>
  <c r="Q1759" i="5"/>
  <c r="Q1757" i="5"/>
  <c r="Q1751" i="5"/>
  <c r="Q1749" i="5"/>
  <c r="Q1748" i="5"/>
  <c r="Q1746" i="5"/>
  <c r="Q1743" i="5"/>
  <c r="Q1741" i="5"/>
  <c r="Q1739" i="5"/>
  <c r="Q1738" i="5"/>
  <c r="Q1736" i="5"/>
  <c r="Q1734" i="5"/>
  <c r="Q1733" i="5"/>
  <c r="Q1730" i="5"/>
  <c r="Q1728" i="5"/>
  <c r="Q1726" i="5"/>
  <c r="Q1725" i="5"/>
  <c r="Q1723" i="5"/>
  <c r="Q1722" i="5"/>
  <c r="Q1721" i="5"/>
  <c r="Q1719" i="5"/>
  <c r="Q1718" i="5"/>
  <c r="Q1717" i="5"/>
  <c r="Q1716" i="5"/>
  <c r="Q1712" i="5"/>
  <c r="Q1711" i="5"/>
  <c r="Q1709" i="5"/>
  <c r="Q1706" i="5"/>
  <c r="Q1704" i="5"/>
  <c r="Q1700" i="5"/>
  <c r="Q1698" i="5"/>
  <c r="Q1694" i="5"/>
  <c r="Q1692" i="5"/>
  <c r="Q1691" i="5"/>
  <c r="Q1690" i="5"/>
  <c r="Q1689" i="5"/>
  <c r="Q1688" i="5"/>
  <c r="Q1687" i="5"/>
  <c r="Q1686" i="5"/>
  <c r="Q1683" i="5"/>
  <c r="Q1676" i="5"/>
  <c r="Q1675" i="5"/>
  <c r="Q1674" i="5"/>
  <c r="Q1672" i="5"/>
  <c r="Q1671" i="5"/>
  <c r="Q1669" i="5"/>
  <c r="Q1665" i="5"/>
  <c r="Q1663" i="5"/>
  <c r="Q1659" i="5"/>
  <c r="Q1654" i="5"/>
  <c r="Q1653" i="5"/>
  <c r="Q1652" i="5"/>
  <c r="Q1651" i="5"/>
  <c r="Q567" i="5"/>
  <c r="Q565" i="5"/>
  <c r="Q559" i="5"/>
  <c r="Q548" i="5"/>
  <c r="Q529" i="5"/>
  <c r="Q523" i="5"/>
  <c r="Q501" i="5"/>
  <c r="Q490" i="5"/>
  <c r="Q489" i="5"/>
  <c r="Q479" i="5"/>
  <c r="Q472" i="5"/>
  <c r="Q468" i="5"/>
  <c r="Q452" i="5"/>
  <c r="Q412" i="5"/>
  <c r="Q403" i="5"/>
  <c r="Q385" i="5"/>
  <c r="Q380" i="5"/>
  <c r="Q362" i="5"/>
  <c r="Q339" i="5"/>
  <c r="Q337" i="5"/>
  <c r="Q300" i="5"/>
  <c r="Q290" i="5"/>
  <c r="Q281" i="5"/>
  <c r="Q274" i="5"/>
  <c r="Q264" i="5"/>
  <c r="Q258" i="5"/>
  <c r="Q252" i="5"/>
  <c r="Q120" i="5"/>
  <c r="Q83" i="5"/>
  <c r="Q64" i="5"/>
  <c r="Q58" i="5"/>
  <c r="Q37" i="5"/>
  <c r="Q34" i="5"/>
  <c r="Q33" i="5"/>
  <c r="Q32" i="5"/>
  <c r="Q28" i="5"/>
  <c r="Q26" i="5"/>
  <c r="Q23" i="5"/>
  <c r="Q22" i="5"/>
  <c r="Q21" i="5"/>
  <c r="Q15" i="5"/>
  <c r="Q12" i="5"/>
  <c r="Q11" i="5"/>
  <c r="Q1650" i="5"/>
  <c r="Q1649" i="5"/>
  <c r="Q1647" i="5"/>
  <c r="Q1646" i="5"/>
  <c r="Q1645" i="5"/>
  <c r="Q1643" i="5"/>
  <c r="Q1642" i="5"/>
  <c r="Q1640" i="5"/>
  <c r="Q1639" i="5"/>
  <c r="Q1638" i="5"/>
  <c r="Q1637" i="5"/>
  <c r="Q1636" i="5"/>
  <c r="Q1635" i="5"/>
  <c r="Q1634" i="5"/>
  <c r="Q1633" i="5"/>
  <c r="Q1629" i="5"/>
  <c r="Q1627" i="5"/>
  <c r="Q1625" i="5"/>
  <c r="Q1624" i="5"/>
  <c r="Q1623" i="5"/>
  <c r="Q1622" i="5"/>
  <c r="Q1621" i="5"/>
  <c r="Q1620" i="5"/>
  <c r="Q1617" i="5"/>
  <c r="Q1616" i="5"/>
  <c r="Q1615" i="5"/>
  <c r="Q1614" i="5"/>
  <c r="Q1613" i="5"/>
  <c r="Q1612" i="5"/>
  <c r="Q1611" i="5"/>
  <c r="Q1610" i="5"/>
  <c r="Q1609" i="5"/>
  <c r="Q1608" i="5"/>
  <c r="Q1605" i="5"/>
  <c r="Q1603" i="5"/>
  <c r="Q1602" i="5"/>
  <c r="Q1600" i="5"/>
  <c r="Q1598" i="5"/>
  <c r="Q1597" i="5"/>
  <c r="Q1596" i="5"/>
  <c r="Q1595" i="5"/>
  <c r="Q1594" i="5"/>
  <c r="Q1589" i="5"/>
  <c r="Q1588" i="5"/>
  <c r="Q1586" i="5"/>
  <c r="Q1585" i="5"/>
  <c r="Q1582" i="5"/>
  <c r="Q1580" i="5"/>
  <c r="Q1579" i="5"/>
  <c r="Q1578" i="5"/>
  <c r="Q1576" i="5"/>
  <c r="Q1574" i="5"/>
  <c r="Q1573" i="5"/>
  <c r="Q1572" i="5"/>
  <c r="Q1570" i="5"/>
  <c r="Q1562" i="5"/>
  <c r="Q1559" i="5"/>
  <c r="Q1558" i="5"/>
  <c r="Q1552" i="5"/>
  <c r="Q1551" i="5"/>
  <c r="Q1550" i="5"/>
  <c r="Q1548" i="5"/>
  <c r="Q1547" i="5"/>
  <c r="Q1545" i="5"/>
  <c r="Q1544" i="5"/>
  <c r="Q1541" i="5"/>
  <c r="Q1540" i="5"/>
  <c r="Q1539" i="5"/>
  <c r="Q1536" i="5"/>
  <c r="Q1534" i="5"/>
  <c r="Q1532" i="5"/>
  <c r="Q1531" i="5"/>
  <c r="Q1529" i="5"/>
  <c r="Q1526" i="5"/>
  <c r="Q1524" i="5"/>
  <c r="Q1522" i="5"/>
  <c r="Q1521" i="5"/>
  <c r="Q1520" i="5"/>
  <c r="Q1518" i="5"/>
  <c r="Q1517" i="5"/>
  <c r="Q1513" i="5"/>
  <c r="Q1512" i="5"/>
  <c r="Q1508" i="5"/>
  <c r="Q1504" i="5"/>
  <c r="Q1502" i="5"/>
  <c r="Q1500" i="5"/>
  <c r="Q1498" i="5"/>
  <c r="Q1497" i="5"/>
  <c r="Q1496" i="5"/>
  <c r="Q1491" i="5"/>
  <c r="Q1488" i="5"/>
  <c r="Q1487" i="5"/>
  <c r="Q1486" i="5"/>
  <c r="Q1485" i="5"/>
  <c r="Q1484" i="5"/>
  <c r="Q1483" i="5"/>
  <c r="Q1480" i="5"/>
  <c r="Q1475" i="5"/>
  <c r="Q1473" i="5"/>
  <c r="Q1471" i="5"/>
  <c r="Q1470" i="5"/>
  <c r="Q1469" i="5"/>
  <c r="Q1468" i="5"/>
  <c r="Q1467" i="5"/>
  <c r="Q1466" i="5"/>
  <c r="Q1465" i="5"/>
  <c r="Q1464" i="5"/>
  <c r="Q1462" i="5"/>
  <c r="Q1460" i="5"/>
  <c r="Q1456" i="5"/>
  <c r="Q1455" i="5"/>
  <c r="Q1450" i="5"/>
  <c r="Q1447" i="5"/>
  <c r="Q1444" i="5"/>
  <c r="Q1443" i="5"/>
  <c r="Q1442" i="5"/>
  <c r="Q1441" i="5"/>
  <c r="Q1438" i="5"/>
  <c r="Q1436" i="5"/>
  <c r="Q1433" i="5"/>
  <c r="Q1432" i="5"/>
  <c r="Q1431" i="5"/>
  <c r="Q1430" i="5"/>
  <c r="Q1429" i="5"/>
  <c r="Q1428" i="5"/>
  <c r="Q1426" i="5"/>
  <c r="Q1425" i="5"/>
  <c r="Q1423" i="5"/>
  <c r="Q1421" i="5"/>
  <c r="Q1420" i="5"/>
  <c r="Q1419" i="5"/>
  <c r="Q1418" i="5"/>
  <c r="Q1415" i="5"/>
  <c r="Q1414" i="5"/>
  <c r="Q1413" i="5"/>
  <c r="Q1412" i="5"/>
  <c r="Q1411" i="5"/>
  <c r="Q1410" i="5"/>
  <c r="Q1408" i="5"/>
  <c r="Q1405" i="5"/>
  <c r="Q1403" i="5"/>
  <c r="Q1402" i="5"/>
  <c r="Q1399" i="5"/>
  <c r="Q1398" i="5"/>
  <c r="Q1397" i="5"/>
  <c r="Q1396" i="5"/>
  <c r="Q1395" i="5"/>
  <c r="Q1394" i="5"/>
  <c r="Q1393" i="5"/>
  <c r="Q1389" i="5"/>
  <c r="Q1387" i="5"/>
  <c r="Q1384" i="5"/>
  <c r="Q1383" i="5"/>
  <c r="Q1380" i="5"/>
  <c r="Q1374" i="5"/>
  <c r="Q1372" i="5"/>
  <c r="Q1371" i="5"/>
  <c r="Q1370" i="5"/>
  <c r="Q1368" i="5"/>
  <c r="Q1361" i="5"/>
  <c r="Q1360" i="5"/>
  <c r="Q1359" i="5"/>
  <c r="Q1356" i="5"/>
  <c r="Q1353" i="5"/>
  <c r="Q1352" i="5"/>
  <c r="Q1348" i="5"/>
  <c r="Q1347" i="5"/>
  <c r="Q1346" i="5"/>
  <c r="Q1343" i="5"/>
  <c r="Q1342" i="5"/>
  <c r="Q1339" i="5"/>
  <c r="Q1338" i="5"/>
  <c r="Q1337" i="5"/>
  <c r="Q1336" i="5"/>
  <c r="Q1335" i="5"/>
  <c r="Q1333" i="5"/>
  <c r="Q1330" i="5"/>
  <c r="Q1329" i="5"/>
  <c r="Q1328" i="5"/>
  <c r="Q1327" i="5"/>
  <c r="Q1326" i="5"/>
  <c r="Q1325" i="5"/>
  <c r="Q1324" i="5"/>
  <c r="Q1323" i="5"/>
  <c r="Q1321" i="5"/>
  <c r="Q1319" i="5"/>
  <c r="Q1318" i="5"/>
  <c r="Q1317" i="5"/>
  <c r="Q1315" i="5"/>
  <c r="Q1313" i="5"/>
  <c r="Q1312" i="5"/>
  <c r="Q1311" i="5"/>
  <c r="Q1309" i="5"/>
  <c r="Q1308" i="5"/>
  <c r="Q1307" i="5"/>
  <c r="Q1306" i="5"/>
  <c r="Q1304" i="5"/>
  <c r="Q1302" i="5"/>
  <c r="Q1300" i="5"/>
  <c r="Q604" i="5"/>
  <c r="Q602" i="5"/>
  <c r="Q601" i="5"/>
  <c r="Q595" i="5"/>
  <c r="Q594" i="5"/>
  <c r="Q585" i="5"/>
  <c r="Q584" i="5"/>
  <c r="Q575" i="5"/>
  <c r="Q563" i="5"/>
  <c r="Q561" i="5"/>
  <c r="Q555" i="5"/>
  <c r="Q551" i="5"/>
  <c r="Q547" i="5"/>
  <c r="Q527" i="5"/>
  <c r="Q498" i="5"/>
  <c r="Q497" i="5"/>
  <c r="Q493" i="5"/>
  <c r="Q492" i="5"/>
  <c r="Q485" i="5"/>
  <c r="Q481" i="5"/>
  <c r="Q477" i="5"/>
  <c r="Q476" i="5"/>
  <c r="Q471" i="5"/>
  <c r="Q447" i="5"/>
  <c r="Q439" i="5"/>
  <c r="Q410" i="5"/>
  <c r="Q409" i="5"/>
  <c r="Q406" i="5"/>
  <c r="Q397" i="5"/>
  <c r="Q393" i="5"/>
  <c r="Q391" i="5"/>
  <c r="Q384" i="5"/>
  <c r="Q377" i="5"/>
  <c r="Q353" i="5"/>
  <c r="Q352" i="5"/>
  <c r="Q351" i="5"/>
  <c r="Q343" i="5"/>
  <c r="Q341" i="5"/>
  <c r="Q336" i="5"/>
  <c r="Q320" i="5"/>
  <c r="Q319" i="5"/>
  <c r="Q318" i="5"/>
  <c r="Q310" i="5"/>
  <c r="Q306" i="5"/>
  <c r="Q292" i="5"/>
  <c r="Q291" i="5"/>
  <c r="Q280" i="5"/>
  <c r="Q275" i="5"/>
  <c r="Q263" i="5"/>
  <c r="Q261" i="5"/>
  <c r="Q259" i="5"/>
  <c r="Q249" i="5"/>
  <c r="Q247" i="5"/>
  <c r="Q148" i="5"/>
  <c r="Q143" i="5"/>
  <c r="Q92" i="5"/>
  <c r="Q90" i="5"/>
  <c r="Q59" i="5"/>
  <c r="Q52" i="5"/>
  <c r="Q44" i="5"/>
  <c r="Q41" i="5"/>
  <c r="Q1299" i="5"/>
  <c r="Q1298" i="5"/>
  <c r="Q1297" i="5"/>
  <c r="Q1296" i="5"/>
  <c r="Q1295" i="5"/>
  <c r="Q1294" i="5"/>
  <c r="Q1293" i="5"/>
  <c r="Q1291" i="5"/>
  <c r="Q1289" i="5"/>
  <c r="Q1288" i="5"/>
  <c r="Q1287" i="5"/>
  <c r="Q1285" i="5"/>
  <c r="Q1284" i="5"/>
  <c r="Q1283" i="5"/>
  <c r="Q1281" i="5"/>
  <c r="Q1280" i="5"/>
  <c r="Q1279" i="5"/>
  <c r="Q1278" i="5"/>
  <c r="Q1277" i="5"/>
  <c r="Q1276" i="5"/>
  <c r="Q1275" i="5"/>
  <c r="Q1274" i="5"/>
  <c r="Q1273" i="5"/>
  <c r="Q1272" i="5"/>
  <c r="Q1271" i="5"/>
  <c r="Q1270" i="5"/>
  <c r="Q1269" i="5"/>
  <c r="Q1268" i="5"/>
  <c r="Q1267" i="5"/>
  <c r="Q1266" i="5"/>
  <c r="Q1265" i="5"/>
  <c r="Q1264" i="5"/>
  <c r="Q1263" i="5"/>
  <c r="Q1262" i="5"/>
  <c r="Q1261" i="5"/>
  <c r="Q1260" i="5"/>
  <c r="Q1259" i="5"/>
  <c r="Q1258" i="5"/>
  <c r="Q1257" i="5"/>
  <c r="Q1256" i="5"/>
  <c r="Q1255" i="5"/>
  <c r="Q1254" i="5"/>
  <c r="Q1253" i="5"/>
  <c r="Q1252" i="5"/>
  <c r="Q1251" i="5"/>
  <c r="Q1250" i="5"/>
  <c r="Q1248" i="5"/>
  <c r="Q1247" i="5"/>
  <c r="Q1246" i="5"/>
  <c r="Q1245" i="5"/>
  <c r="Q1243" i="5"/>
  <c r="Q1242" i="5"/>
  <c r="Q1241" i="5"/>
  <c r="Q1239" i="5"/>
  <c r="Q1238" i="5"/>
  <c r="Q1235" i="5"/>
  <c r="Q1234" i="5"/>
  <c r="Q1231" i="5"/>
  <c r="Q1230" i="5"/>
  <c r="Q1229" i="5"/>
  <c r="Q1227" i="5"/>
  <c r="Q1224" i="5"/>
  <c r="Q1223" i="5"/>
  <c r="Q1220" i="5"/>
  <c r="Q1217" i="5"/>
  <c r="Q1216" i="5"/>
  <c r="Q1212" i="5"/>
  <c r="Q1206" i="5"/>
  <c r="Q1205" i="5"/>
  <c r="Q1204" i="5"/>
  <c r="Q1203" i="5"/>
  <c r="Q1201" i="5"/>
  <c r="Q1200" i="5"/>
  <c r="Q1199" i="5"/>
  <c r="Q1197" i="5"/>
  <c r="Q1194" i="5"/>
  <c r="Q1192" i="5"/>
  <c r="Q1189" i="5"/>
  <c r="Q1188" i="5"/>
  <c r="Q1187" i="5"/>
  <c r="Q1185" i="5"/>
  <c r="Q1184" i="5"/>
  <c r="Q1183" i="5"/>
  <c r="Q1182" i="5"/>
  <c r="Q1181" i="5"/>
  <c r="Q1180" i="5"/>
  <c r="Q1179" i="5"/>
  <c r="Q1177" i="5"/>
  <c r="Q1176" i="5"/>
  <c r="Q1175" i="5"/>
  <c r="Q1174" i="5"/>
  <c r="Q1173" i="5"/>
  <c r="Q1172" i="5"/>
  <c r="Q1171" i="5"/>
  <c r="Q1164" i="5"/>
  <c r="Q1163" i="5"/>
  <c r="Q1162" i="5"/>
  <c r="Q1161" i="5"/>
  <c r="Q1159" i="5"/>
  <c r="Q1155" i="5"/>
  <c r="Q1153" i="5"/>
  <c r="Q1149" i="5"/>
  <c r="Q1148" i="5"/>
  <c r="Q1147" i="5"/>
  <c r="Q1146" i="5"/>
  <c r="Q1145" i="5"/>
  <c r="Q1143" i="5"/>
  <c r="Q1141" i="5"/>
  <c r="Q1137" i="5"/>
  <c r="Q1135" i="5"/>
  <c r="Q1132" i="5"/>
  <c r="Q1131" i="5"/>
  <c r="Q1130" i="5"/>
  <c r="Q1127" i="5"/>
  <c r="Q1126" i="5"/>
  <c r="Q1125" i="5"/>
  <c r="Q1123" i="5"/>
  <c r="Q1122" i="5"/>
  <c r="Q1117" i="5"/>
  <c r="Q1116" i="5"/>
  <c r="Q1113" i="5"/>
  <c r="Q1107" i="5"/>
  <c r="Q1106" i="5"/>
  <c r="Q1105" i="5"/>
  <c r="Q1104" i="5"/>
  <c r="Q1100" i="5"/>
  <c r="Q1099" i="5"/>
  <c r="Q1098" i="5"/>
  <c r="Q1096" i="5"/>
  <c r="Q1095" i="5"/>
  <c r="Q1088" i="5"/>
  <c r="Q1085" i="5"/>
  <c r="Q1083" i="5"/>
  <c r="Q1082" i="5"/>
  <c r="Q1081" i="5"/>
  <c r="Q1079" i="5"/>
  <c r="Q1077" i="5"/>
  <c r="Q1074" i="5"/>
  <c r="Q1072" i="5"/>
  <c r="Q1071" i="5"/>
  <c r="Q1069" i="5"/>
  <c r="Q1062" i="5"/>
  <c r="Q1060" i="5"/>
  <c r="Q1059" i="5"/>
  <c r="Q1055" i="5"/>
  <c r="Q1054" i="5"/>
  <c r="Q1052" i="5"/>
  <c r="Q1051" i="5"/>
  <c r="Q1049" i="5"/>
  <c r="Q1044" i="5"/>
  <c r="Q1043" i="5"/>
  <c r="Q1041" i="5"/>
  <c r="Q1037" i="5"/>
  <c r="Q1036" i="5"/>
  <c r="Q1035" i="5"/>
  <c r="Q1034" i="5"/>
  <c r="Q1031" i="5"/>
  <c r="Q1028" i="5"/>
  <c r="Q1027" i="5"/>
  <c r="Q1024" i="5"/>
  <c r="Q1023" i="5"/>
  <c r="Q1022" i="5"/>
  <c r="Q1021" i="5"/>
  <c r="Q1020" i="5"/>
  <c r="Q1019" i="5"/>
  <c r="Q1016" i="5"/>
  <c r="Q1013" i="5"/>
  <c r="Q1012" i="5"/>
  <c r="Q1011" i="5"/>
  <c r="Q1005" i="5"/>
  <c r="Q1001" i="5"/>
  <c r="Q999" i="5"/>
  <c r="Q998" i="5"/>
  <c r="Q993" i="5"/>
  <c r="Q992" i="5"/>
  <c r="Q990" i="5"/>
  <c r="Q987" i="5"/>
  <c r="Q986" i="5"/>
  <c r="Q985" i="5"/>
  <c r="Q984" i="5"/>
  <c r="Q982" i="5"/>
  <c r="Q981" i="5"/>
  <c r="Q979" i="5"/>
  <c r="Q975" i="5"/>
  <c r="Q973" i="5"/>
  <c r="Q972" i="5"/>
  <c r="Q968" i="5"/>
  <c r="Q967" i="5"/>
  <c r="Q966" i="5"/>
  <c r="Q963" i="5"/>
  <c r="Q960" i="5"/>
  <c r="Q956" i="5"/>
  <c r="Q953" i="5"/>
  <c r="Q952" i="5"/>
  <c r="Q951" i="5"/>
  <c r="Q948" i="5"/>
  <c r="Q947" i="5"/>
  <c r="Q627" i="5"/>
  <c r="Q620" i="5"/>
  <c r="Q619" i="5"/>
  <c r="Q609" i="5"/>
  <c r="Q599" i="5"/>
  <c r="Q596" i="5"/>
  <c r="Q592" i="5"/>
  <c r="Q589" i="5"/>
  <c r="Q583" i="5"/>
  <c r="Q582" i="5"/>
  <c r="Q581" i="5"/>
  <c r="Q578" i="5"/>
  <c r="Q576" i="5"/>
  <c r="Q573" i="5"/>
  <c r="Q569" i="5"/>
  <c r="Q553" i="5"/>
  <c r="Q543" i="5"/>
  <c r="Q540" i="5"/>
  <c r="Q537" i="5"/>
  <c r="Q522" i="5"/>
  <c r="Q506" i="5"/>
  <c r="Q495" i="5"/>
  <c r="Q494" i="5"/>
  <c r="Q484" i="5"/>
  <c r="Q482" i="5"/>
  <c r="Q474" i="5"/>
  <c r="Q454" i="5"/>
  <c r="Q445" i="5"/>
  <c r="Q442" i="5"/>
  <c r="Q438" i="5"/>
  <c r="Q437" i="5"/>
  <c r="Q436" i="5"/>
  <c r="Q416" i="5"/>
  <c r="Q415" i="5"/>
  <c r="Q414" i="5"/>
  <c r="Q413" i="5"/>
  <c r="Q404" i="5"/>
  <c r="Q398" i="5"/>
  <c r="Q390" i="5"/>
  <c r="Q370" i="5"/>
  <c r="Q359" i="5"/>
  <c r="Q354" i="5"/>
  <c r="Q347" i="5"/>
  <c r="Q335" i="5"/>
  <c r="Q327" i="5"/>
  <c r="Q324" i="5"/>
  <c r="Q321" i="5"/>
  <c r="Q317" i="5"/>
  <c r="Q314" i="5"/>
  <c r="Q311" i="5"/>
  <c r="Q309" i="5"/>
  <c r="Q308" i="5"/>
  <c r="Q307" i="5"/>
  <c r="Q303" i="5"/>
  <c r="Q289" i="5"/>
  <c r="Q288" i="5"/>
  <c r="Q287" i="5"/>
  <c r="Q278" i="5"/>
  <c r="Q256" i="5"/>
  <c r="Q254" i="5"/>
  <c r="Q253" i="5"/>
  <c r="Q250" i="5"/>
  <c r="Q145" i="5"/>
  <c r="Q144" i="5"/>
  <c r="Q142" i="5"/>
  <c r="Q141" i="5"/>
  <c r="Q140" i="5"/>
  <c r="Q135" i="5"/>
  <c r="Q122" i="5"/>
  <c r="Q119" i="5"/>
  <c r="Q97" i="5"/>
  <c r="Q85" i="5"/>
  <c r="Q79" i="5"/>
  <c r="Q63" i="5"/>
  <c r="Q61" i="5"/>
  <c r="Q47" i="5"/>
  <c r="Q946" i="5"/>
  <c r="Q941" i="5"/>
  <c r="Q940" i="5"/>
  <c r="Q939" i="5"/>
  <c r="Q938" i="5"/>
  <c r="Q937" i="5"/>
  <c r="Q934" i="5"/>
  <c r="Q933" i="5"/>
  <c r="Q932" i="5"/>
  <c r="Q931" i="5"/>
  <c r="Q928" i="5"/>
  <c r="Q925" i="5"/>
  <c r="Q924" i="5"/>
  <c r="Q923" i="5"/>
  <c r="Q922" i="5"/>
  <c r="Q919" i="5"/>
  <c r="Q918" i="5"/>
  <c r="Q916" i="5"/>
  <c r="Q914" i="5"/>
  <c r="Q912" i="5"/>
  <c r="Q911" i="5"/>
  <c r="Q910" i="5"/>
  <c r="Q909" i="5"/>
  <c r="Q907" i="5"/>
  <c r="Q906" i="5"/>
  <c r="Q898" i="5"/>
  <c r="Q897" i="5"/>
  <c r="Q896" i="5"/>
  <c r="Q894" i="5"/>
  <c r="Q890" i="5"/>
  <c r="Q888" i="5"/>
  <c r="Q885" i="5"/>
  <c r="Q884" i="5"/>
  <c r="Q883" i="5"/>
  <c r="Q882" i="5"/>
  <c r="Q881" i="5"/>
  <c r="Q880" i="5"/>
  <c r="Q879" i="5"/>
  <c r="Q878" i="5"/>
  <c r="Q877" i="5"/>
  <c r="Q876" i="5"/>
  <c r="Q875" i="5"/>
  <c r="Q870" i="5"/>
  <c r="Q869" i="5"/>
  <c r="Q867" i="5"/>
  <c r="Q866" i="5"/>
  <c r="Q863" i="5"/>
  <c r="Q862" i="5"/>
  <c r="Q861" i="5"/>
  <c r="Q860" i="5"/>
  <c r="Q859" i="5"/>
  <c r="Q858" i="5"/>
  <c r="Q856" i="5"/>
  <c r="Q853" i="5"/>
  <c r="Q851" i="5"/>
  <c r="Q850" i="5"/>
  <c r="Q848" i="5"/>
  <c r="Q847" i="5"/>
  <c r="Q844" i="5"/>
  <c r="Q842" i="5"/>
  <c r="Q841" i="5"/>
  <c r="Q835" i="5"/>
  <c r="Q834" i="5"/>
  <c r="Q833" i="5"/>
  <c r="Q830" i="5"/>
  <c r="Q828" i="5"/>
  <c r="Q827" i="5"/>
  <c r="Q826" i="5"/>
  <c r="Q825" i="5"/>
  <c r="Q824" i="5"/>
  <c r="Q822" i="5"/>
  <c r="Q821" i="5"/>
  <c r="Q819" i="5"/>
  <c r="Q816" i="5"/>
  <c r="Q815" i="5"/>
  <c r="Q814" i="5"/>
  <c r="Q812" i="5"/>
  <c r="Q811" i="5"/>
  <c r="Q810" i="5"/>
  <c r="Q807" i="5"/>
  <c r="Q801" i="5"/>
  <c r="Q800" i="5"/>
  <c r="Q799" i="5"/>
  <c r="Q796" i="5"/>
  <c r="Q794" i="5"/>
  <c r="Q793" i="5"/>
  <c r="Q790" i="5"/>
  <c r="Q786" i="5"/>
  <c r="Q785" i="5"/>
  <c r="Q782" i="5"/>
  <c r="Q781" i="5"/>
  <c r="Q777" i="5"/>
  <c r="Q775" i="5"/>
  <c r="Q773" i="5"/>
  <c r="Q772" i="5"/>
  <c r="Q771" i="5"/>
  <c r="Q766" i="5"/>
  <c r="Q765" i="5"/>
  <c r="Q763" i="5"/>
  <c r="Q762" i="5"/>
  <c r="Q761" i="5"/>
  <c r="Q760" i="5"/>
  <c r="Q759" i="5"/>
  <c r="Q758" i="5"/>
  <c r="Q756" i="5"/>
  <c r="Q753" i="5"/>
  <c r="Q752" i="5"/>
  <c r="Q751" i="5"/>
  <c r="Q750" i="5"/>
  <c r="Q745" i="5"/>
  <c r="Q742" i="5"/>
  <c r="Q741" i="5"/>
  <c r="Q737" i="5"/>
  <c r="Q733" i="5"/>
  <c r="Q732" i="5"/>
  <c r="Q731" i="5"/>
  <c r="Q729" i="5"/>
  <c r="Q728" i="5"/>
  <c r="Q726" i="5"/>
  <c r="Q725" i="5"/>
  <c r="Q724" i="5"/>
  <c r="Q722" i="5"/>
  <c r="Q721" i="5"/>
  <c r="Q719" i="5"/>
  <c r="Q717" i="5"/>
  <c r="Q716" i="5"/>
  <c r="Q715" i="5"/>
  <c r="Q712" i="5"/>
  <c r="Q711" i="5"/>
  <c r="Q706" i="5"/>
  <c r="Q705" i="5"/>
  <c r="Q704" i="5"/>
  <c r="Q694" i="5"/>
  <c r="Q693" i="5"/>
  <c r="Q691" i="5"/>
  <c r="Q686" i="5"/>
  <c r="Q685" i="5"/>
  <c r="Q684" i="5"/>
  <c r="Q683" i="5"/>
  <c r="Q676" i="5"/>
  <c r="Q675" i="5"/>
  <c r="Q674" i="5"/>
  <c r="Q673" i="5"/>
  <c r="Q672" i="5"/>
  <c r="Q671" i="5"/>
  <c r="Q668" i="5"/>
  <c r="Q667" i="5"/>
  <c r="Q666" i="5"/>
  <c r="Q664" i="5"/>
  <c r="Q663" i="5"/>
  <c r="Q662" i="5"/>
  <c r="Q658" i="5"/>
  <c r="Q653" i="5"/>
  <c r="Q651" i="5"/>
  <c r="Q649" i="5"/>
  <c r="Q648" i="5"/>
  <c r="Q647" i="5"/>
  <c r="Q646" i="5"/>
  <c r="Q645" i="5"/>
  <c r="Q644" i="5"/>
  <c r="Q643" i="5"/>
  <c r="Q641" i="5"/>
  <c r="Q640" i="5"/>
  <c r="Q639" i="5"/>
  <c r="Q638" i="5"/>
  <c r="Q636" i="5"/>
  <c r="Q635" i="5"/>
  <c r="Q634" i="5"/>
  <c r="Q624" i="5"/>
  <c r="Q572" i="5"/>
  <c r="Q530" i="5"/>
  <c r="Q525" i="5"/>
  <c r="Q524" i="5"/>
  <c r="Q517" i="5"/>
  <c r="Q515" i="5"/>
  <c r="Q487" i="5"/>
  <c r="Q478" i="5"/>
  <c r="Q475" i="5"/>
  <c r="Q473" i="5"/>
  <c r="Q461" i="5"/>
  <c r="Q457" i="5"/>
  <c r="Q432" i="5"/>
  <c r="Q422" i="5"/>
  <c r="Q418" i="5"/>
  <c r="Q411" i="5"/>
  <c r="Q400" i="5"/>
  <c r="Q399" i="5"/>
  <c r="Q395" i="5"/>
  <c r="Q373" i="5"/>
  <c r="Q349" i="5"/>
  <c r="Q333" i="5"/>
  <c r="Q331" i="5"/>
  <c r="Q298" i="5"/>
  <c r="Q283" i="5"/>
  <c r="Q257" i="5"/>
  <c r="Q153" i="5"/>
  <c r="Q138" i="5"/>
  <c r="Q132" i="5"/>
  <c r="Q130" i="5"/>
  <c r="Q127" i="5"/>
  <c r="Q125" i="5"/>
  <c r="Q117" i="5"/>
  <c r="Q109" i="5"/>
  <c r="Q89" i="5"/>
  <c r="Q73" i="5"/>
  <c r="Q60" i="5"/>
  <c r="Q6" i="5"/>
  <c r="Q242" i="5"/>
  <c r="Q239" i="5"/>
  <c r="Q238" i="5"/>
  <c r="Q237" i="5"/>
  <c r="Q235" i="5"/>
  <c r="Q231" i="5"/>
  <c r="Q230" i="5"/>
  <c r="Q227" i="5"/>
  <c r="Q226" i="5"/>
  <c r="Q222" i="5"/>
  <c r="Q220" i="5"/>
  <c r="Q219" i="5"/>
  <c r="Q215" i="5"/>
  <c r="Q208" i="5"/>
  <c r="Q207" i="5"/>
  <c r="Q206" i="5"/>
  <c r="Q204" i="5"/>
  <c r="Q203" i="5"/>
  <c r="Q200" i="5"/>
  <c r="Q199" i="5"/>
  <c r="Q197" i="5"/>
  <c r="Q196" i="5"/>
  <c r="Q195" i="5"/>
  <c r="Q192" i="5"/>
  <c r="Q191" i="5"/>
  <c r="Q190" i="5"/>
  <c r="Q189" i="5"/>
  <c r="Q188" i="5"/>
  <c r="Q187" i="5"/>
  <c r="Q186" i="5"/>
  <c r="Q185" i="5"/>
  <c r="Q183" i="5"/>
  <c r="Q181" i="5"/>
  <c r="Q172" i="5"/>
  <c r="Q170" i="5"/>
  <c r="Q169" i="5"/>
  <c r="Q168" i="5"/>
  <c r="Q167" i="5"/>
  <c r="Q166" i="5"/>
  <c r="Q165" i="5"/>
  <c r="Q163" i="5"/>
  <c r="Q162" i="5"/>
  <c r="Q160" i="5"/>
  <c r="Q159" i="5"/>
  <c r="Q156" i="5"/>
  <c r="Q149" i="5"/>
  <c r="Q147" i="5"/>
  <c r="Q137" i="5"/>
  <c r="Q106" i="5"/>
  <c r="Q103" i="5"/>
  <c r="Q68" i="5"/>
  <c r="Q51" i="5"/>
  <c r="B101" i="7" l="1"/>
  <c r="C101" i="7"/>
  <c r="B98" i="7"/>
  <c r="C98" i="7"/>
  <c r="B100" i="7"/>
  <c r="C100" i="7"/>
  <c r="B99" i="7"/>
  <c r="C99" i="7"/>
  <c r="B76" i="7"/>
  <c r="A76" i="7" s="1"/>
  <c r="B77" i="7"/>
  <c r="A77" i="7" s="1"/>
  <c r="B78" i="7"/>
  <c r="A78" i="7" s="1"/>
  <c r="B79" i="7"/>
  <c r="A79" i="7" s="1"/>
  <c r="B80" i="7"/>
  <c r="A80" i="7" s="1"/>
  <c r="B81" i="7"/>
  <c r="A81" i="7" s="1"/>
  <c r="B82" i="7"/>
  <c r="A82" i="7" s="1"/>
  <c r="B83" i="7"/>
  <c r="A83" i="7" s="1"/>
  <c r="B84" i="7"/>
  <c r="A84" i="7" s="1"/>
  <c r="B85" i="7"/>
  <c r="A85" i="7" s="1"/>
</calcChain>
</file>

<file path=xl/sharedStrings.xml><?xml version="1.0" encoding="utf-8"?>
<sst xmlns="http://schemas.openxmlformats.org/spreadsheetml/2006/main" count="19317" uniqueCount="4122">
  <si>
    <t>Sales Performance Dashboard</t>
  </si>
  <si>
    <t>Oct 2023 – Oct 2025  |  Source: Sales_Fact</t>
  </si>
  <si>
    <t>Total Revenue</t>
  </si>
  <si>
    <t>Total Orders</t>
  </si>
  <si>
    <t>Avg Order Value</t>
  </si>
  <si>
    <t>Unique Customers</t>
  </si>
  <si>
    <t>Top Region</t>
  </si>
  <si>
    <t>Top Category</t>
  </si>
  <si>
    <t>Key Visualizations</t>
  </si>
  <si>
    <t>Customer_ID</t>
  </si>
  <si>
    <t>Name</t>
  </si>
  <si>
    <t>Age</t>
  </si>
  <si>
    <t>Gender</t>
  </si>
  <si>
    <t>City</t>
  </si>
  <si>
    <t>State</t>
  </si>
  <si>
    <t>Country</t>
  </si>
  <si>
    <t>Loyalty_Level</t>
  </si>
  <si>
    <t>Clean name</t>
  </si>
  <si>
    <t>Clean city</t>
  </si>
  <si>
    <t>Clean Country</t>
  </si>
  <si>
    <t xml:space="preserve">Clean Customer ID </t>
  </si>
  <si>
    <t>Clean Loyalty</t>
  </si>
  <si>
    <t>Age Validation</t>
  </si>
  <si>
    <t>CUST1000</t>
  </si>
  <si>
    <t xml:space="preserve">  sheena bonilla  </t>
  </si>
  <si>
    <t>Male</t>
  </si>
  <si>
    <t>Donaldton</t>
  </si>
  <si>
    <t>North Carolina</t>
  </si>
  <si>
    <t>USA</t>
  </si>
  <si>
    <t>CUST1001</t>
  </si>
  <si>
    <t>Eugene Nelson</t>
  </si>
  <si>
    <t>Female</t>
  </si>
  <si>
    <t>Phillipsmouth</t>
  </si>
  <si>
    <t>North Dakota</t>
  </si>
  <si>
    <t>Platinum</t>
  </si>
  <si>
    <t>CUST1002</t>
  </si>
  <si>
    <t>dr. Benjamin Price</t>
  </si>
  <si>
    <t>Kylebury</t>
  </si>
  <si>
    <t>Alabama</t>
  </si>
  <si>
    <t>Count</t>
  </si>
  <si>
    <t>CUST1003</t>
  </si>
  <si>
    <t>jeremy harris</t>
  </si>
  <si>
    <t>Thomastown</t>
  </si>
  <si>
    <t>Ohio</t>
  </si>
  <si>
    <t>Bronze</t>
  </si>
  <si>
    <t>Average</t>
  </si>
  <si>
    <t>CUST1004</t>
  </si>
  <si>
    <t>Caroline Collins</t>
  </si>
  <si>
    <t>Nicholasshire</t>
  </si>
  <si>
    <t>California</t>
  </si>
  <si>
    <t>Silver</t>
  </si>
  <si>
    <t>CUST1005</t>
  </si>
  <si>
    <t>Christine Vaughn</t>
  </si>
  <si>
    <t>East Amandamouth</t>
  </si>
  <si>
    <t>Oregon</t>
  </si>
  <si>
    <t>CUST1006</t>
  </si>
  <si>
    <t>Amber Jackson</t>
  </si>
  <si>
    <t>Deborahborough</t>
  </si>
  <si>
    <t>South Dakota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</si>
  <si>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</si>
  <si>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</si>
  <si>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</si>
  <si>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</si>
  <si>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</si>
  <si>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</si>
  <si>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</si>
  <si>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</si>
  <si>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Gold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</si>
  <si>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</si>
  <si>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</si>
  <si>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</si>
  <si>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</si>
  <si>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</si>
  <si>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</si>
  <si>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</si>
  <si>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</si>
  <si>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</si>
  <si>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</si>
  <si>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</si>
  <si>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</si>
  <si>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</si>
  <si>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</si>
  <si>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</si>
  <si>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</si>
  <si>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</si>
  <si>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</si>
  <si>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</si>
  <si>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</si>
  <si>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</si>
  <si>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</si>
  <si>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</si>
  <si>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</si>
  <si>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</si>
  <si>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</si>
  <si>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</si>
  <si>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</si>
  <si>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</si>
  <si>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</si>
  <si>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</si>
  <si>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</si>
  <si>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</si>
  <si>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</si>
  <si>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</si>
  <si>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</si>
  <si>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</si>
  <si>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</si>
  <si>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</si>
  <si>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</si>
  <si>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</si>
  <si>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</si>
  <si>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</si>
  <si>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</si>
  <si>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</si>
  <si>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</si>
  <si>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</si>
  <si>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</si>
  <si>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</si>
  <si>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</si>
  <si>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 xml:space="preserve">   paul fox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</si>
  <si>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</si>
  <si>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</si>
  <si>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</si>
  <si>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</si>
  <si>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</si>
  <si>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</si>
  <si>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</si>
  <si>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</si>
  <si>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</si>
  <si>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</si>
  <si>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</si>
  <si>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</si>
  <si>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</si>
  <si>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</si>
  <si>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</si>
  <si>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</si>
  <si>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</si>
  <si>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</si>
  <si>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</si>
  <si>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</si>
  <si>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</si>
  <si>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</si>
  <si>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</si>
  <si>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</si>
  <si>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</si>
  <si>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</si>
  <si>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</si>
  <si>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</si>
  <si>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</si>
  <si>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</si>
  <si>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</si>
  <si>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</si>
  <si>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</si>
  <si>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</si>
  <si>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</si>
  <si>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</si>
  <si>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</si>
  <si>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Robert Jones DDS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</si>
  <si>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</si>
  <si>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</si>
  <si>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</si>
  <si>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</si>
  <si>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</si>
  <si>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</si>
  <si>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</si>
  <si>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</si>
  <si>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</si>
  <si>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</si>
  <si>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</si>
  <si>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</si>
  <si>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</si>
  <si>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</si>
  <si>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</si>
  <si>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</si>
  <si>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</si>
  <si>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</si>
  <si>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</si>
  <si>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</si>
  <si>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</si>
  <si>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</si>
  <si>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</si>
  <si>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</si>
  <si>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</si>
  <si>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</si>
  <si>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</si>
  <si>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</si>
  <si>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</si>
  <si>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</si>
  <si>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</si>
  <si>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</si>
  <si>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</si>
  <si>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</si>
  <si>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</si>
  <si>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</si>
  <si>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</si>
  <si>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</si>
  <si>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</si>
  <si>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</si>
  <si>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Jordan Jackson DDS</t>
  </si>
  <si>
    <t>North Johnview</t>
  </si>
  <si>
    <t>CUST1046</t>
  </si>
  <si>
    <t>Michelle Garcia DDS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</si>
  <si>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</si>
  <si>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</si>
  <si>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</si>
  <si>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</si>
  <si>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</si>
  <si>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</si>
  <si>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</si>
  <si>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</si>
  <si>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</si>
  <si>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</si>
  <si>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</si>
  <si>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</si>
  <si>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</si>
  <si>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</si>
  <si>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</si>
  <si>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</si>
  <si>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</si>
  <si>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</si>
  <si>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</si>
  <si>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</si>
  <si>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</si>
  <si>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</si>
  <si>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</si>
  <si>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</si>
  <si>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</si>
  <si>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</si>
  <si>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</si>
  <si>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Christopherland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</si>
  <si>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</si>
  <si>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</si>
  <si>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</si>
  <si>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</si>
  <si>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</si>
  <si>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</si>
  <si>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</si>
  <si>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</si>
  <si>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</si>
  <si>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</si>
  <si>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</si>
  <si>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</si>
  <si>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</si>
  <si>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</si>
  <si>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</si>
  <si>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</si>
  <si>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</si>
  <si>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</si>
  <si>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</si>
  <si>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</si>
  <si>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</si>
  <si>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</si>
  <si>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</si>
  <si>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</si>
  <si>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</si>
  <si>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</si>
  <si>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</si>
  <si>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</si>
  <si>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</si>
  <si>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</si>
  <si>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</si>
  <si>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</si>
  <si>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</si>
  <si>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</si>
  <si>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</si>
  <si>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</si>
  <si>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</si>
  <si>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</si>
  <si>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</si>
  <si>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</si>
  <si>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</si>
  <si>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</si>
  <si>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</si>
  <si>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</si>
  <si>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</si>
  <si>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</si>
  <si>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</si>
  <si>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</si>
  <si>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</si>
  <si>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</si>
  <si>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</si>
  <si>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</si>
  <si>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</si>
  <si>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</si>
  <si>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</si>
  <si>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</si>
  <si>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</si>
  <si>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</si>
  <si>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</si>
  <si>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</si>
  <si>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</si>
  <si>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</si>
  <si>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</si>
  <si>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</si>
  <si>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</si>
  <si>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</si>
  <si>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</si>
  <si>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</si>
  <si>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</si>
  <si>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</si>
  <si>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</si>
  <si>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</si>
  <si>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</si>
  <si>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</si>
  <si>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</si>
  <si>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</si>
  <si>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</si>
  <si>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</si>
  <si>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</si>
  <si>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</si>
  <si>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</si>
  <si>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</si>
  <si>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</si>
  <si>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</si>
  <si>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</si>
  <si>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</si>
  <si>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</si>
  <si>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</si>
  <si>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</si>
  <si>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</si>
  <si>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</si>
  <si>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</si>
  <si>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</si>
  <si>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</si>
  <si>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</si>
  <si>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</si>
  <si>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</si>
  <si>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</si>
  <si>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</si>
  <si>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</si>
  <si>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</si>
  <si>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</si>
  <si>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</si>
  <si>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Tammy Miller MD</t>
  </si>
  <si>
    <t>Austinfurt</t>
  </si>
  <si>
    <t>Mississippi</t>
  </si>
  <si>
    <t>CUST1087</t>
  </si>
  <si>
    <t>Melissa Duffy MD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</si>
  <si>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</si>
  <si>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</si>
  <si>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</si>
  <si>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</si>
  <si>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</si>
  <si>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</si>
  <si>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</si>
  <si>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</si>
  <si>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</si>
  <si>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</si>
  <si>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</si>
  <si>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</si>
  <si>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</si>
  <si>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</si>
  <si>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</si>
  <si>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</si>
  <si>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</si>
  <si>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</si>
  <si>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</si>
  <si>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</si>
  <si>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</si>
  <si>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</si>
  <si>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</si>
  <si>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</si>
  <si>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</si>
  <si>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</si>
  <si>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</si>
  <si>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</si>
  <si>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</si>
  <si>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</si>
  <si>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</si>
  <si>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</si>
  <si>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</si>
  <si>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</si>
  <si>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</si>
  <si>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</si>
  <si>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</si>
  <si>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</si>
  <si>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</si>
  <si>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</si>
  <si>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</si>
  <si>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</si>
  <si>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</si>
  <si>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</si>
  <si>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</si>
  <si>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</si>
  <si>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</si>
  <si>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</si>
  <si>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</si>
  <si>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</si>
  <si>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</si>
  <si>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</si>
  <si>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</si>
  <si>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</si>
  <si>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</si>
  <si>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</si>
  <si>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</si>
  <si>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</si>
  <si>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</si>
  <si>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</si>
  <si>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</si>
  <si>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</si>
  <si>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</si>
  <si>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</si>
  <si>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</si>
  <si>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</si>
  <si>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</si>
  <si>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</si>
  <si>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</si>
  <si>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</si>
  <si>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</si>
  <si>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</si>
  <si>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</si>
  <si>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</si>
  <si>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</si>
  <si>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</si>
  <si>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</si>
  <si>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</si>
  <si>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</si>
  <si>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Lake Michael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</si>
  <si>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</si>
  <si>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</si>
  <si>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</si>
  <si>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</si>
  <si>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</si>
  <si>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</si>
  <si>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</si>
  <si>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</si>
  <si>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</si>
  <si>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</si>
  <si>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</si>
  <si>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</si>
  <si>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</si>
  <si>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</si>
  <si>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</si>
  <si>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</si>
  <si>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</si>
  <si>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</si>
  <si>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</si>
  <si>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</si>
  <si>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</si>
  <si>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</si>
  <si>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</si>
  <si>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lake tylerfort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</si>
  <si>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</si>
  <si>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</si>
  <si>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</si>
  <si>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</si>
  <si>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</si>
  <si>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</si>
  <si>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</si>
  <si>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</si>
  <si>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</si>
  <si>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</si>
  <si>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</si>
  <si>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</si>
  <si>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</si>
  <si>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</si>
  <si>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</si>
  <si>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</si>
  <si>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</si>
  <si>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</si>
  <si>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</si>
  <si>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</si>
  <si>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</si>
  <si>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</si>
  <si>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</si>
  <si>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</si>
  <si>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</si>
  <si>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</si>
  <si>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</si>
  <si>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</si>
  <si>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</si>
  <si>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</si>
  <si>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 xml:space="preserve">   jonesbury </t>
  </si>
  <si>
    <t>United States of America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</si>
  <si>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</si>
  <si>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</si>
  <si>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</si>
  <si>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</si>
  <si>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</si>
  <si>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</si>
  <si>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</si>
  <si>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</si>
  <si>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</si>
  <si>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</si>
  <si>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</si>
  <si>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</si>
  <si>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</si>
  <si>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</si>
  <si>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</si>
  <si>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</si>
  <si>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</si>
  <si>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</si>
  <si>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</si>
  <si>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</si>
  <si>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</si>
  <si>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</si>
  <si>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</si>
  <si>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</si>
  <si>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</si>
  <si>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</si>
  <si>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</si>
  <si>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</si>
  <si>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</si>
  <si>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</si>
  <si>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</si>
  <si>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</si>
  <si>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</si>
  <si>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</si>
  <si>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</si>
  <si>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</si>
  <si>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</si>
  <si>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</si>
  <si>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</si>
  <si>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</si>
  <si>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</si>
  <si>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</si>
  <si>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</si>
  <si>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</si>
  <si>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</si>
  <si>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</si>
  <si>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</si>
  <si>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</si>
  <si>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</si>
  <si>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</si>
  <si>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</si>
  <si>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</si>
  <si>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</si>
  <si>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</si>
  <si>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</si>
  <si>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</si>
  <si>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</si>
  <si>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</si>
  <si>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</si>
  <si>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</si>
  <si>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</si>
  <si>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</si>
  <si>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</si>
  <si>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</si>
  <si>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</si>
  <si>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</si>
  <si>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</si>
  <si>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</si>
  <si>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</si>
  <si>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</si>
  <si>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</si>
  <si>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</si>
  <si>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</si>
  <si>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</si>
  <si>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</si>
  <si>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</si>
  <si>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</si>
  <si>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</si>
  <si>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</si>
  <si>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</si>
  <si>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</si>
  <si>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</si>
  <si>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</si>
  <si>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</si>
  <si>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</si>
  <si>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</si>
  <si>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</si>
  <si>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</si>
  <si>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</si>
  <si>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</si>
  <si>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</si>
  <si>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</si>
  <si>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</si>
  <si>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</si>
  <si>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</si>
  <si>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</si>
  <si>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</si>
  <si>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</si>
  <si>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</si>
  <si>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</si>
  <si>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</si>
  <si>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</si>
  <si>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</si>
  <si>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</si>
  <si>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</si>
  <si>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</si>
  <si>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</si>
  <si>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</si>
  <si>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</si>
  <si>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</si>
  <si>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</si>
  <si>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</si>
  <si>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</si>
  <si>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</si>
  <si>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</si>
  <si>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</si>
  <si>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</si>
  <si>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Christopher Garcia DDS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</si>
  <si>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</si>
  <si>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</si>
  <si>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</si>
  <si>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</si>
  <si>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</si>
  <si>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</si>
  <si>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</si>
  <si>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</si>
  <si>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</si>
  <si>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usa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</si>
  <si>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</si>
  <si>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</si>
  <si>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</si>
  <si>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</si>
  <si>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</si>
  <si>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</si>
  <si>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</si>
  <si>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</si>
  <si>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</si>
  <si>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</si>
  <si>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</si>
  <si>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</si>
  <si>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</si>
  <si>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</si>
  <si>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</si>
  <si>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</si>
  <si>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</si>
  <si>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</si>
  <si>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</si>
  <si>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</si>
  <si>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</si>
  <si>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</si>
  <si>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</si>
  <si>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</si>
  <si>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</si>
  <si>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</si>
  <si>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</si>
  <si>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</si>
  <si>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</si>
  <si>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</si>
  <si>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</si>
  <si>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</si>
  <si>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</si>
  <si>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</si>
  <si>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</si>
  <si>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</si>
  <si>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</si>
  <si>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</si>
  <si>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</si>
  <si>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</si>
  <si>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</si>
  <si>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</si>
  <si>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</si>
  <si>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</si>
  <si>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</si>
  <si>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</si>
  <si>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</si>
  <si>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</si>
  <si>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</si>
  <si>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</si>
  <si>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</si>
  <si>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</si>
  <si>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</si>
  <si>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</si>
  <si>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</si>
  <si>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</si>
  <si>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</si>
  <si>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</si>
  <si>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</si>
  <si>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</si>
  <si>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</si>
  <si>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</si>
  <si>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</si>
  <si>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</si>
  <si>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</si>
  <si>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</si>
  <si>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</si>
  <si>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</si>
  <si>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</si>
  <si>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</si>
  <si>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</si>
  <si>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</si>
  <si>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</si>
  <si>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</si>
  <si>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</si>
  <si>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</si>
  <si>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</si>
  <si>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</si>
  <si>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</si>
  <si>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</si>
  <si>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</si>
  <si>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</si>
  <si>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</si>
  <si>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</si>
  <si>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</si>
  <si>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</si>
  <si>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</si>
  <si>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</si>
  <si>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</si>
  <si>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</si>
  <si>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</si>
  <si>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</si>
  <si>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</si>
  <si>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</si>
  <si>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</si>
  <si>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</si>
  <si>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</si>
  <si>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</si>
  <si>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</si>
  <si>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</si>
  <si>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</si>
  <si>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</si>
  <si>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</si>
  <si>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</si>
  <si>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</si>
  <si>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</si>
  <si>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</si>
  <si>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</si>
  <si>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</si>
  <si>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</si>
  <si>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</si>
  <si>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</si>
  <si>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</si>
  <si>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</si>
  <si>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</si>
  <si>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</si>
  <si>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</si>
  <si>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</si>
  <si>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</si>
  <si>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</si>
  <si>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</si>
  <si>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</si>
  <si>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</si>
  <si>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</si>
  <si>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</si>
  <si>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</si>
  <si>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</si>
  <si>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</si>
  <si>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</si>
  <si>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</si>
  <si>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</si>
  <si>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</si>
  <si>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</si>
  <si>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</si>
  <si>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</si>
  <si>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</si>
  <si>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</si>
  <si>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 xml:space="preserve">Phillipschester   </t>
  </si>
  <si>
    <t>CUST1220</t>
  </si>
  <si>
    <t>George Davis</t>
  </si>
  <si>
    <t xml:space="preserve">    lake lisa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</si>
  <si>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</si>
  <si>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</si>
  <si>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</si>
  <si>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</si>
  <si>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</si>
  <si>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</si>
  <si>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</si>
  <si>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</si>
  <si>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</si>
  <si>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East jeremy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</si>
  <si>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</si>
  <si>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</si>
  <si>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</si>
  <si>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</si>
  <si>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</si>
  <si>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</si>
  <si>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</si>
  <si>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</si>
  <si>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</si>
  <si>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</si>
  <si>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</si>
  <si>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</si>
  <si>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</si>
  <si>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</si>
  <si>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</si>
  <si>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</si>
  <si>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</si>
  <si>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</si>
  <si>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</si>
  <si>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</si>
  <si>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</si>
  <si>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</si>
  <si>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</si>
  <si>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</si>
  <si>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</si>
  <si>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</si>
  <si>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</si>
  <si>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</si>
  <si>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</si>
  <si>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</si>
  <si>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</si>
  <si>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</si>
  <si>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</si>
  <si>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</si>
  <si>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</si>
  <si>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</si>
  <si>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</si>
  <si>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</si>
  <si>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</si>
  <si>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</si>
  <si>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</si>
  <si>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</si>
  <si>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</si>
  <si>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</si>
  <si>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</si>
  <si>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</si>
  <si>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</si>
  <si>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</si>
  <si>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</si>
  <si>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</si>
  <si>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</si>
  <si>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</si>
  <si>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</si>
  <si>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</si>
  <si>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</si>
  <si>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</si>
  <si>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</si>
  <si>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</si>
  <si>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</si>
  <si>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</si>
  <si>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</si>
  <si>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</si>
  <si>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</si>
  <si>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</si>
  <si>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</si>
  <si>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</si>
  <si>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</si>
  <si>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</si>
  <si>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</si>
  <si>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</si>
  <si>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</si>
  <si>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</si>
  <si>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</si>
  <si>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</si>
  <si>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</si>
  <si>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</si>
  <si>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</si>
  <si>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</si>
  <si>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</si>
  <si>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</si>
  <si>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</si>
  <si>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</si>
  <si>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</si>
  <si>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</si>
  <si>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</si>
  <si>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</si>
  <si>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Dr. Ashley Yates MD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</si>
  <si>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</si>
  <si>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</si>
  <si>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</si>
  <si>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</si>
  <si>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</si>
  <si>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</si>
  <si>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</si>
  <si>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</si>
  <si>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</si>
  <si>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</si>
  <si>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</si>
  <si>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</si>
  <si>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</si>
  <si>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</si>
  <si>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</si>
  <si>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</si>
  <si>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</si>
  <si>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</si>
  <si>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</si>
  <si>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</si>
  <si>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</si>
  <si>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</si>
  <si>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</si>
  <si>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</si>
  <si>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</si>
  <si>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</si>
  <si>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</si>
  <si>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</si>
  <si>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</si>
  <si>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</si>
  <si>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</si>
  <si>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</si>
  <si>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</si>
  <si>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</si>
  <si>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</si>
  <si>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</si>
  <si>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</si>
  <si>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</si>
  <si>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</si>
  <si>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</si>
  <si>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</si>
  <si>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</si>
  <si>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</si>
  <si>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</si>
  <si>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</si>
  <si>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</si>
  <si>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</si>
  <si>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</si>
  <si>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</si>
  <si>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</si>
  <si>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</si>
  <si>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</si>
  <si>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</si>
  <si>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Daisy Johnson DDS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</si>
  <si>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</si>
  <si>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</si>
  <si>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</si>
  <si>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</si>
  <si>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</si>
  <si>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</si>
  <si>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</si>
  <si>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</si>
  <si>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</si>
  <si>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</si>
  <si>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</si>
  <si>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</si>
  <si>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</si>
  <si>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</si>
  <si>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</si>
  <si>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</si>
  <si>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</si>
  <si>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</si>
  <si>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</si>
  <si>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</si>
  <si>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</si>
  <si>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</si>
  <si>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</si>
  <si>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</si>
  <si>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</si>
  <si>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</si>
  <si>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</si>
  <si>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</si>
  <si>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</si>
  <si>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</si>
  <si>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</si>
  <si>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</si>
  <si>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</si>
  <si>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</si>
  <si>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</si>
  <si>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</si>
  <si>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</si>
  <si>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</si>
  <si>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</si>
  <si>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</si>
  <si>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</si>
  <si>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</si>
  <si>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</si>
  <si>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</si>
  <si>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</si>
  <si>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</si>
  <si>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</si>
  <si>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</si>
  <si>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</si>
  <si>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</si>
  <si>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</si>
  <si>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</si>
  <si>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</si>
  <si>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</si>
  <si>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</si>
  <si>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</si>
  <si>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Chase Williams MD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</si>
  <si>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</si>
  <si>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</si>
  <si>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</si>
  <si>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</si>
  <si>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</si>
  <si>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</si>
  <si>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</si>
  <si>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</si>
  <si>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</si>
  <si>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</si>
  <si>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</si>
  <si>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</si>
  <si>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</si>
  <si>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</si>
  <si>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</si>
  <si>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</si>
  <si>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</si>
  <si>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</si>
  <si>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</si>
  <si>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</si>
  <si>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</si>
  <si>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</si>
  <si>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</si>
  <si>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</si>
  <si>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</si>
  <si>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</si>
  <si>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</si>
  <si>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</si>
  <si>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</si>
  <si>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</si>
  <si>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</si>
  <si>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</si>
  <si>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</si>
  <si>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</si>
  <si>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</si>
  <si>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</si>
  <si>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</si>
  <si>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</si>
  <si>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</si>
  <si>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Miss Alexandria Li DVM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</si>
  <si>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</si>
  <si>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</si>
  <si>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</si>
  <si>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</si>
  <si>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</si>
  <si>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</si>
  <si>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</si>
  <si>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</si>
  <si>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</si>
  <si>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</si>
  <si>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</si>
  <si>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</si>
  <si>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</si>
  <si>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</si>
  <si>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</si>
  <si>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</si>
  <si>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</si>
  <si>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</si>
  <si>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</si>
  <si>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</si>
  <si>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</si>
  <si>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</si>
  <si>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</si>
  <si>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</si>
  <si>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</si>
  <si>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</si>
  <si>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</si>
  <si>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</si>
  <si>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</si>
  <si>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</si>
  <si>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</si>
  <si>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</si>
  <si>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</si>
  <si>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</si>
  <si>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</si>
  <si>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</si>
  <si>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</si>
  <si>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</si>
  <si>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</si>
  <si>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</si>
  <si>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</si>
  <si>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</si>
  <si>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</si>
  <si>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</si>
  <si>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</si>
  <si>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</si>
  <si>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</si>
  <si>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</si>
  <si>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</si>
  <si>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</si>
  <si>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</si>
  <si>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</si>
  <si>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</si>
  <si>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</si>
  <si>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</si>
  <si>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</si>
  <si>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</si>
  <si>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</si>
  <si>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</si>
  <si>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Alex Mann II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</si>
  <si>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</si>
  <si>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</si>
  <si>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</si>
  <si>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</si>
  <si>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</si>
  <si>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</si>
  <si>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</si>
  <si>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</si>
  <si>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</si>
  <si>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</si>
  <si>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</si>
  <si>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</si>
  <si>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</si>
  <si>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</si>
  <si>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</si>
  <si>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</si>
  <si>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</si>
  <si>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</si>
  <si>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</si>
  <si>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</si>
  <si>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</si>
  <si>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</si>
  <si>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</si>
  <si>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</si>
  <si>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</si>
  <si>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</si>
  <si>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</si>
  <si>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</si>
  <si>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</si>
  <si>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</si>
  <si>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</si>
  <si>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</si>
  <si>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</si>
  <si>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</si>
  <si>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</si>
  <si>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</si>
  <si>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</si>
  <si>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</si>
  <si>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</si>
  <si>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</si>
  <si>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</si>
  <si>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</si>
  <si>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</si>
  <si>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</si>
  <si>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</si>
  <si>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</si>
  <si>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</si>
  <si>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</si>
  <si>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</si>
  <si>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</si>
  <si>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</si>
  <si>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</si>
  <si>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</si>
  <si>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</si>
  <si>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</si>
  <si>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</si>
  <si>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</si>
  <si>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</si>
  <si>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</si>
  <si>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</si>
  <si>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</si>
  <si>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</si>
  <si>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</si>
  <si>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</si>
  <si>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</si>
  <si>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</si>
  <si>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</si>
  <si>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</si>
  <si>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Justin Mason DDS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</si>
  <si>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</si>
  <si>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</si>
  <si>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</si>
  <si>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</si>
  <si>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</si>
  <si>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</si>
  <si>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</si>
  <si>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</si>
  <si>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</si>
  <si>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</si>
  <si>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</si>
  <si>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</si>
  <si>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</si>
  <si>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</si>
  <si>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</si>
  <si>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</si>
  <si>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</si>
  <si>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 xml:space="preserve">   laura green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</si>
  <si>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</si>
  <si>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</si>
  <si>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</si>
  <si>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</si>
  <si>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</si>
  <si>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</si>
  <si>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</si>
  <si>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</si>
  <si>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</si>
  <si>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</si>
  <si>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</si>
  <si>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</si>
  <si>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</si>
  <si>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</si>
  <si>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</si>
  <si>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</si>
  <si>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</si>
  <si>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</si>
  <si>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</si>
  <si>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</si>
  <si>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</si>
  <si>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</si>
  <si>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</si>
  <si>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</si>
  <si>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</si>
  <si>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</si>
  <si>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Joshua Smith DVM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</si>
  <si>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</si>
  <si>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</si>
  <si>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</si>
  <si>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</si>
  <si>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</si>
  <si>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</si>
  <si>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</si>
  <si>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</si>
  <si>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</si>
  <si>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</si>
  <si>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</si>
  <si>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</si>
  <si>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</si>
  <si>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</si>
  <si>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</si>
  <si>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</si>
  <si>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</si>
  <si>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</si>
  <si>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</si>
  <si>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</si>
  <si>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</si>
  <si>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</si>
  <si>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</si>
  <si>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</si>
  <si>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</si>
  <si>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</si>
  <si>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</si>
  <si>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</si>
  <si>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</si>
  <si>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</si>
  <si>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</si>
  <si>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</si>
  <si>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</si>
  <si>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</si>
  <si>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</si>
  <si>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</si>
  <si>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</si>
  <si>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</si>
  <si>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</si>
  <si>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</si>
  <si>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</si>
  <si>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</si>
  <si>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</si>
  <si>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</si>
  <si>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</si>
  <si>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</si>
  <si>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</si>
  <si>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</si>
  <si>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</si>
  <si>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</si>
  <si>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</si>
  <si>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</si>
  <si>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</si>
  <si>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</si>
  <si>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</si>
  <si>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</si>
  <si>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</si>
  <si>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</si>
  <si>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</si>
  <si>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</si>
  <si>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</si>
  <si>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</si>
  <si>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</si>
  <si>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</si>
  <si>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</si>
  <si>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</si>
  <si>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</si>
  <si>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</si>
  <si>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</si>
  <si>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</si>
  <si>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</si>
  <si>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</si>
  <si>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</si>
  <si>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</si>
  <si>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</si>
  <si>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</si>
  <si>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</si>
  <si>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</si>
  <si>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</si>
  <si>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</si>
  <si>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</si>
  <si>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</si>
  <si>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</si>
  <si>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</si>
  <si>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</si>
  <si>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</si>
  <si>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</si>
  <si>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</si>
  <si>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</si>
  <si>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</si>
  <si>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</si>
  <si>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</si>
  <si>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</si>
  <si>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</si>
  <si>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</si>
  <si>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</si>
  <si>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</si>
  <si>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</si>
  <si>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</si>
  <si>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</si>
  <si>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</si>
  <si>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</si>
  <si>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</si>
  <si>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</si>
  <si>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Charles Norman PhD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</si>
  <si>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</si>
  <si>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</si>
  <si>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</si>
  <si>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</si>
  <si>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</si>
  <si>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</si>
  <si>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</si>
  <si>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</si>
  <si>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</si>
  <si>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</si>
  <si>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</si>
  <si>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</si>
  <si>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</si>
  <si>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</si>
  <si>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</si>
  <si>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</si>
  <si>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</si>
  <si>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</si>
  <si>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</si>
  <si>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</si>
  <si>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</si>
  <si>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</si>
  <si>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</si>
  <si>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</si>
  <si>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</si>
  <si>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</si>
  <si>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</si>
  <si>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</si>
  <si>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</si>
  <si>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</si>
  <si>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</si>
  <si>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</si>
  <si>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</si>
  <si>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</si>
  <si>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</si>
  <si>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</si>
  <si>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</si>
  <si>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</si>
  <si>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</si>
  <si>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</si>
  <si>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</si>
  <si>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</si>
  <si>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</si>
  <si>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</si>
  <si>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</si>
  <si>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</si>
  <si>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</si>
  <si>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</si>
  <si>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</si>
  <si>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</si>
  <si>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</si>
  <si>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</si>
  <si>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</si>
  <si>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</si>
  <si>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</si>
  <si>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</si>
  <si>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</si>
  <si>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</si>
  <si>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</si>
  <si>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</si>
  <si>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</si>
  <si>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</si>
  <si>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</si>
  <si>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</si>
  <si>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</si>
  <si>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Dr. Tamara White MD</t>
  </si>
  <si>
    <t>New Benjamin</t>
  </si>
  <si>
    <t>CUST1421</t>
  </si>
  <si>
    <t>Holly Robinson</t>
  </si>
  <si>
    <t>East Amy</t>
  </si>
  <si>
    <t>CUST1422</t>
  </si>
  <si>
    <t>Brittany Edwards DDS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</si>
  <si>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</si>
  <si>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</si>
  <si>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</si>
  <si>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</si>
  <si>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</si>
  <si>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</si>
  <si>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</si>
  <si>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</si>
  <si>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</si>
  <si>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</si>
  <si>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</si>
  <si>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</si>
  <si>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</si>
  <si>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</si>
  <si>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</si>
  <si>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</si>
  <si>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</si>
  <si>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</si>
  <si>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</si>
  <si>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</si>
  <si>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</si>
  <si>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</si>
  <si>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</si>
  <si>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</si>
  <si>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</si>
  <si>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</si>
  <si>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</si>
  <si>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</si>
  <si>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</si>
  <si>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</si>
  <si>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</si>
  <si>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</si>
  <si>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</si>
  <si>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</si>
  <si>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</si>
  <si>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</si>
  <si>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</si>
  <si>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</si>
  <si>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</si>
  <si>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</si>
  <si>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</si>
  <si>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</si>
  <si>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</si>
  <si>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</si>
  <si>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</si>
  <si>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</si>
  <si>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</si>
  <si>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</si>
  <si>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</si>
  <si>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</si>
  <si>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</si>
  <si>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</si>
  <si>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</si>
  <si>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</si>
  <si>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</si>
  <si>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</si>
  <si>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</si>
  <si>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</si>
  <si>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</si>
  <si>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</si>
  <si>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</si>
  <si>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</si>
  <si>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</si>
  <si>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</si>
  <si>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</si>
  <si>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</si>
  <si>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</si>
  <si>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</si>
  <si>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</si>
  <si>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</si>
  <si>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</si>
  <si>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</si>
  <si>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</si>
  <si>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</si>
  <si>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</si>
  <si>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</si>
  <si>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</si>
  <si>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</si>
  <si>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</si>
  <si>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</si>
  <si>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</si>
  <si>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</si>
  <si>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</si>
  <si>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</si>
  <si>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</si>
  <si>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</si>
  <si>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</si>
  <si>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</si>
  <si>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</si>
  <si>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</si>
  <si>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</si>
  <si>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</si>
  <si>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</si>
  <si>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</si>
  <si>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</si>
  <si>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</si>
  <si>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</si>
  <si>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</si>
  <si>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</si>
  <si>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</si>
  <si>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</si>
  <si>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</si>
  <si>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</si>
  <si>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</si>
  <si>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</si>
  <si>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</si>
  <si>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</si>
  <si>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</si>
  <si>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</si>
  <si>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</si>
  <si>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</si>
  <si>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</si>
  <si>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</si>
  <si>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</si>
  <si>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</si>
  <si>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</si>
  <si>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</si>
  <si>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</si>
  <si>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</si>
  <si>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CUST1464</t>
  </si>
  <si>
    <t>David Pierce</t>
  </si>
  <si>
    <t>Grayland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</si>
  <si>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</si>
  <si>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</si>
  <si>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</si>
  <si>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</si>
  <si>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</si>
  <si>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</si>
  <si>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</si>
  <si>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</si>
  <si>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</si>
  <si>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</si>
  <si>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</si>
  <si>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</si>
  <si>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</si>
  <si>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</si>
  <si>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</si>
  <si>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</si>
  <si>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</si>
  <si>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</si>
  <si>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</si>
  <si>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</si>
  <si>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</si>
  <si>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</si>
  <si>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</si>
  <si>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</si>
  <si>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</si>
  <si>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</si>
  <si>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</si>
  <si>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</si>
  <si>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</si>
  <si>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</si>
  <si>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</si>
  <si>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</si>
  <si>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</si>
  <si>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</si>
  <si>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</si>
  <si>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</si>
  <si>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</si>
  <si>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</si>
  <si>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</si>
  <si>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Earl Smith DDS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</si>
  <si>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</si>
  <si>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</si>
  <si>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</si>
  <si>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</si>
  <si>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</si>
  <si>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</si>
  <si>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</si>
  <si>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</si>
  <si>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</si>
  <si>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</si>
  <si>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</si>
  <si>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</si>
  <si>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</si>
  <si>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</si>
  <si>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</si>
  <si>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</si>
  <si>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</si>
  <si>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</si>
  <si>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</si>
  <si>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</si>
  <si>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</si>
  <si>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CUST1486</t>
  </si>
  <si>
    <t>Eric Lee</t>
  </si>
  <si>
    <t>Lake April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</si>
  <si>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</si>
  <si>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</si>
  <si>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</si>
  <si>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</si>
  <si>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</si>
  <si>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</si>
  <si>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</si>
  <si>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</si>
  <si>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</si>
  <si>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</si>
  <si>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</si>
  <si>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</si>
  <si>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CUST1491</t>
  </si>
  <si>
    <t>Kaitlin Brown</t>
  </si>
  <si>
    <t>Kellyberg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</si>
  <si>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</si>
  <si>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</si>
  <si>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</si>
  <si>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</si>
  <si>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</si>
  <si>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</si>
  <si>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</si>
  <si>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</si>
  <si>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</si>
  <si>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</si>
  <si>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</si>
  <si>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</si>
  <si>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</si>
  <si>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</si>
  <si>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</si>
  <si>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</si>
  <si>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</si>
  <si>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</si>
  <si>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</si>
  <si>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</si>
  <si>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CUST1499</t>
  </si>
  <si>
    <t>Philip Pennington</t>
  </si>
  <si>
    <t>East Valerieview</t>
  </si>
  <si>
    <t>Product_ID</t>
  </si>
  <si>
    <t>Product_Name</t>
  </si>
  <si>
    <t>Category</t>
  </si>
  <si>
    <t>Sub_Category</t>
  </si>
  <si>
    <t>Brand</t>
  </si>
  <si>
    <t>Cost</t>
  </si>
  <si>
    <t>Stock</t>
  </si>
  <si>
    <t>Clean Product ID</t>
  </si>
  <si>
    <t>Clean category</t>
  </si>
  <si>
    <t>Clean Product Names</t>
  </si>
  <si>
    <t>Clean cost</t>
  </si>
  <si>
    <t>Clean stock</t>
  </si>
  <si>
    <t xml:space="preserve">Overall Pricing </t>
  </si>
  <si>
    <t>PROD0</t>
  </si>
  <si>
    <t>Brother Laser Printer</t>
  </si>
  <si>
    <t>Electronics</t>
  </si>
  <si>
    <t>Computer</t>
  </si>
  <si>
    <t>Hunt Inc</t>
  </si>
  <si>
    <t>PROD1</t>
  </si>
  <si>
    <t>Men's Graphic T-Shirt</t>
  </si>
  <si>
    <t>Clothing</t>
  </si>
  <si>
    <t>Tops</t>
  </si>
  <si>
    <t>Terry-Moore</t>
  </si>
  <si>
    <t>PROD2</t>
  </si>
  <si>
    <t>Women's Casual Hoodie</t>
  </si>
  <si>
    <t>Outerwear</t>
  </si>
  <si>
    <t>Sims Inc</t>
  </si>
  <si>
    <t>PROD3</t>
  </si>
  <si>
    <t>Men's Running Jacket</t>
  </si>
  <si>
    <t>Pineda Ltd</t>
  </si>
  <si>
    <t>PROD4</t>
  </si>
  <si>
    <t>Women's Yoga Pants</t>
  </si>
  <si>
    <t>Bottoms</t>
  </si>
  <si>
    <t>Gonzales-Davis</t>
  </si>
  <si>
    <t>PROD5</t>
  </si>
  <si>
    <t>Men's Leather Belt</t>
  </si>
  <si>
    <t>Accessories</t>
  </si>
  <si>
    <t>Baldwin, Garza and Gonzalez</t>
  </si>
  <si>
    <t>PROD6</t>
  </si>
  <si>
    <t>Herbal Face Moisturizer</t>
  </si>
  <si>
    <t>Beauty</t>
  </si>
  <si>
    <t>Skincare</t>
  </si>
  <si>
    <t>Davidson PLC</t>
  </si>
  <si>
    <t>PROD7</t>
  </si>
  <si>
    <t>LED Table Lamp</t>
  </si>
  <si>
    <t>Home</t>
  </si>
  <si>
    <t>Lighting</t>
  </si>
  <si>
    <t>Harrell LLC</t>
  </si>
  <si>
    <t>PROD8</t>
  </si>
  <si>
    <t>Wireless Bluetooth Earbuds</t>
  </si>
  <si>
    <t>Audio</t>
  </si>
  <si>
    <t>Perez-Johnston</t>
  </si>
  <si>
    <t>PROD9</t>
  </si>
  <si>
    <t>Adjustable Dumbbell Set</t>
  </si>
  <si>
    <t>Sports</t>
  </si>
  <si>
    <t>Fitness</t>
  </si>
  <si>
    <t>Hill PLC</t>
  </si>
  <si>
    <t>PROD10</t>
  </si>
  <si>
    <t>Ceramic Kitchen Bowl Set</t>
  </si>
  <si>
    <t>Kitchen</t>
  </si>
  <si>
    <t>Hamilton Group</t>
  </si>
  <si>
    <t>PROD11</t>
  </si>
  <si>
    <t>HD Smart TV Stick</t>
  </si>
  <si>
    <t>Gibson, Hobbs and Weaver</t>
  </si>
  <si>
    <t>PROD12</t>
  </si>
  <si>
    <t>Hair Strengthening Shampoo</t>
  </si>
  <si>
    <t>Haircare</t>
  </si>
  <si>
    <t>Rice LLC</t>
  </si>
  <si>
    <t>PROD13</t>
  </si>
  <si>
    <t>USB-C Fast Charger</t>
  </si>
  <si>
    <t>Dawson-Perkins</t>
  </si>
  <si>
    <t>PROD14</t>
  </si>
  <si>
    <t>Decorative Wall Mirror</t>
  </si>
  <si>
    <t>Decor</t>
  </si>
  <si>
    <t>Luna, Anderson and Bowman</t>
  </si>
  <si>
    <t>PROD15</t>
  </si>
  <si>
    <t>4K Home Projector</t>
  </si>
  <si>
    <t>Appliances</t>
  </si>
  <si>
    <t>Thomas LLC</t>
  </si>
  <si>
    <t>PROD16</t>
  </si>
  <si>
    <t>Beard Grooming Kit</t>
  </si>
  <si>
    <t>Grooming</t>
  </si>
  <si>
    <t>Erickson-Green</t>
  </si>
  <si>
    <t>PROD17</t>
  </si>
  <si>
    <t>Soccer Training Cone Set</t>
  </si>
  <si>
    <t>Ford, Murphy and Wilson</t>
  </si>
  <si>
    <t>PROD18</t>
  </si>
  <si>
    <t>Women's Denim Jeans</t>
  </si>
  <si>
    <t>Guerra-Hendrix</t>
  </si>
  <si>
    <t>PROD19</t>
  </si>
  <si>
    <t>Knee Support Brace</t>
  </si>
  <si>
    <t>Equipment</t>
  </si>
  <si>
    <t>May-Reese</t>
  </si>
  <si>
    <t>PROD20</t>
  </si>
  <si>
    <t>Outdoor Sports Water Bottle</t>
  </si>
  <si>
    <t>Soto-Ellis</t>
  </si>
  <si>
    <t>PROD21</t>
  </si>
  <si>
    <t>Multi-Purpose Storage Box</t>
  </si>
  <si>
    <t>Storage</t>
  </si>
  <si>
    <t>Gardner-Montes</t>
  </si>
  <si>
    <t>PROD22</t>
  </si>
  <si>
    <t>Carbon Fiber Tennis Racket</t>
  </si>
  <si>
    <t>Flores, Pineda and Rodriguez</t>
  </si>
  <si>
    <t>PROD23</t>
  </si>
  <si>
    <t>Men's Formal Shirt</t>
  </si>
  <si>
    <t>Moon, Mora and Santos</t>
  </si>
  <si>
    <t>PROD24</t>
  </si>
  <si>
    <t>Foldable Camping Chair</t>
  </si>
  <si>
    <t>Outdoor</t>
  </si>
  <si>
    <t>Cook Ltd</t>
  </si>
  <si>
    <t>PROD25</t>
  </si>
  <si>
    <t>Women's Scarf Set</t>
  </si>
  <si>
    <t>Brown and Sons</t>
  </si>
  <si>
    <t>PROD26</t>
  </si>
  <si>
    <t>Wireless Bluetooth Speaker</t>
  </si>
  <si>
    <t>Reed-Schmidt</t>
  </si>
  <si>
    <t>PROD27</t>
  </si>
  <si>
    <t>Decorative Floor Vase</t>
  </si>
  <si>
    <t>Khan, Jones and Paul</t>
  </si>
  <si>
    <t>PROD28</t>
  </si>
  <si>
    <t>Sports Stopwatch Timer</t>
  </si>
  <si>
    <t>Burns-Hansen</t>
  </si>
  <si>
    <t>PROD29</t>
  </si>
  <si>
    <t>Fabric Sofa Throw Blanket</t>
  </si>
  <si>
    <t>Hoffman Group</t>
  </si>
  <si>
    <t>PROD30</t>
  </si>
  <si>
    <t>Stainless Steel Cutlery Set</t>
  </si>
  <si>
    <t>Stevens, Fernandez and Martin</t>
  </si>
  <si>
    <t>PROD31</t>
  </si>
  <si>
    <t>Basketball</t>
  </si>
  <si>
    <t>Team Sports</t>
  </si>
  <si>
    <t>Nolan-Snow</t>
  </si>
  <si>
    <t>PROD32</t>
  </si>
  <si>
    <t>Vitamin C Face Serum</t>
  </si>
  <si>
    <t>Griffin Ltd</t>
  </si>
  <si>
    <t>PROD33</t>
  </si>
  <si>
    <t>Modern Wall Clock</t>
  </si>
  <si>
    <t>Weiss-Watson</t>
  </si>
  <si>
    <t>PROD34</t>
  </si>
  <si>
    <t>Gaming Mechanical Keyboard</t>
  </si>
  <si>
    <t>Lucero LLC</t>
  </si>
  <si>
    <t>PROD35</t>
  </si>
  <si>
    <t>Bedroom Table Lamp</t>
  </si>
  <si>
    <t>Jones LLC</t>
  </si>
  <si>
    <t>PROD36</t>
  </si>
  <si>
    <t>Women's Summer Dress</t>
  </si>
  <si>
    <t>Smith-Mills</t>
  </si>
  <si>
    <t>PROD37</t>
  </si>
  <si>
    <t>Men's Casual Sneakers</t>
  </si>
  <si>
    <t>Footwear</t>
  </si>
  <si>
    <t>Hogan-Lee</t>
  </si>
  <si>
    <t>PROD38</t>
  </si>
  <si>
    <t>Sports Water Hydration Pack</t>
  </si>
  <si>
    <t>Sims-Smith</t>
  </si>
  <si>
    <t>PROD39</t>
  </si>
  <si>
    <t>Portable Power Bank</t>
  </si>
  <si>
    <t>Mobile</t>
  </si>
  <si>
    <t>Cummings and Sons</t>
  </si>
  <si>
    <t>PROD40</t>
  </si>
  <si>
    <t>Noise-Canceling Headphones</t>
  </si>
  <si>
    <t>Taylor-Hart</t>
  </si>
  <si>
    <t>PROD41</t>
  </si>
  <si>
    <t>Yoga Exercise Mat</t>
  </si>
  <si>
    <t>Carroll, Long and Mendoza</t>
  </si>
  <si>
    <t>PROD42</t>
  </si>
  <si>
    <t>Smart Home WiFi Camera</t>
  </si>
  <si>
    <t>Holmes LLC</t>
  </si>
  <si>
    <t>PROD43</t>
  </si>
  <si>
    <t>USB External Hard Drive</t>
  </si>
  <si>
    <t>Robinson Inc</t>
  </si>
  <si>
    <t>PROD44</t>
  </si>
  <si>
    <t>Adjustable Jump Rope</t>
  </si>
  <si>
    <t>Cox Inc</t>
  </si>
  <si>
    <t>PROD45</t>
  </si>
  <si>
    <t>High-Grip Football</t>
  </si>
  <si>
    <t>Bridges, Banks and Cummings</t>
  </si>
  <si>
    <t>PROD46</t>
  </si>
  <si>
    <t>Men's Winter Jacket</t>
  </si>
  <si>
    <t>Kelly, Smith and Perez</t>
  </si>
  <si>
    <t>PROD47</t>
  </si>
  <si>
    <t>Makeup Brush Set</t>
  </si>
  <si>
    <t>Makeup</t>
  </si>
  <si>
    <t>Cook Inc</t>
  </si>
  <si>
    <t>PROD48</t>
  </si>
  <si>
    <t>Car Dashboard Phone Holder</t>
  </si>
  <si>
    <t>Byrd, Stewart and Valdez</t>
  </si>
  <si>
    <t>PROD49</t>
  </si>
  <si>
    <t>Men's Roll-On Perfume</t>
  </si>
  <si>
    <t>Fragrance</t>
  </si>
  <si>
    <t>Sullivan and Sons</t>
  </si>
  <si>
    <t>PROD50</t>
  </si>
  <si>
    <t>Boxing Hand Wraps</t>
  </si>
  <si>
    <t>Smith-King</t>
  </si>
  <si>
    <t>PROD51</t>
  </si>
  <si>
    <t>HDMI Cable – 2m</t>
  </si>
  <si>
    <t>Bautista, Green and Hale</t>
  </si>
  <si>
    <t>PROD52</t>
  </si>
  <si>
    <t>Rugby Ball</t>
  </si>
  <si>
    <t>Harris Inc</t>
  </si>
  <si>
    <t>PROD53</t>
  </si>
  <si>
    <t>Men's Track Pants</t>
  </si>
  <si>
    <t>Hamilton, Woods and Walker</t>
  </si>
  <si>
    <t>PROD54</t>
  </si>
  <si>
    <t>Sports Stopwatch Pro</t>
  </si>
  <si>
    <t>Thompson-French</t>
  </si>
  <si>
    <t>PROD55</t>
  </si>
  <si>
    <t>Ceramic Plant Pot</t>
  </si>
  <si>
    <t>Hatfield, Baird and Torres</t>
  </si>
  <si>
    <t>PROD56</t>
  </si>
  <si>
    <t>Premium Blanket Throw</t>
  </si>
  <si>
    <t>Hernandez, Kennedy and Porter</t>
  </si>
  <si>
    <t>PROD57</t>
  </si>
  <si>
    <t>Foam Roller</t>
  </si>
  <si>
    <t>Atkinson, Camacho and Oliver</t>
  </si>
  <si>
    <t>PROD58</t>
  </si>
  <si>
    <t>Womens Cotton Scarf</t>
  </si>
  <si>
    <t>Shepherd-Gould</t>
  </si>
  <si>
    <t>PROD59</t>
  </si>
  <si>
    <t>Men's Hair Styling Gel</t>
  </si>
  <si>
    <t>Cline-Mccarthy</t>
  </si>
  <si>
    <t>PROD60</t>
  </si>
  <si>
    <t>Luxury Perfume Spray</t>
  </si>
  <si>
    <t>Gibson, Green and Lopez</t>
  </si>
  <si>
    <t>PROD61</t>
  </si>
  <si>
    <t>Tennis Ball 3-Pack</t>
  </si>
  <si>
    <t>Lopez LLC</t>
  </si>
  <si>
    <t>PROD62</t>
  </si>
  <si>
    <t>Laptop Cooling Pad</t>
  </si>
  <si>
    <t>Murray, Gould and Ware</t>
  </si>
  <si>
    <t>PROD63</t>
  </si>
  <si>
    <t>Organic Sunscreen Lotion</t>
  </si>
  <si>
    <t>Anderson-Riley</t>
  </si>
  <si>
    <t>PROD64</t>
  </si>
  <si>
    <t>Matte Lipstick Set</t>
  </si>
  <si>
    <t>Zhang Inc</t>
  </si>
  <si>
    <t>PROD65</t>
  </si>
  <si>
    <t>Adjustable Dumbbells 20kg</t>
  </si>
  <si>
    <t>Montgomery, Benton and Miller</t>
  </si>
  <si>
    <t>PROD66</t>
  </si>
  <si>
    <t>Women's Hair Dryer Brush</t>
  </si>
  <si>
    <t>Torres, Spencer and Potter</t>
  </si>
  <si>
    <t>PROD67</t>
  </si>
  <si>
    <t>Smart LED Light Strip</t>
  </si>
  <si>
    <t>Flores-Davis</t>
  </si>
  <si>
    <t>PROD68</t>
  </si>
  <si>
    <t>Wooden Nightstand</t>
  </si>
  <si>
    <t>Furniture</t>
  </si>
  <si>
    <t>Wolfe, Ross and Hester</t>
  </si>
  <si>
    <t>PROD69</t>
  </si>
  <si>
    <t>Men's Sports Shorts</t>
  </si>
  <si>
    <t>Fitzpatrick Ltd</t>
  </si>
  <si>
    <t>PROD70</t>
  </si>
  <si>
    <t>Kitchen Storage Rack</t>
  </si>
  <si>
    <t>Duran Group</t>
  </si>
  <si>
    <t>PROD71</t>
  </si>
  <si>
    <t>Hair Repair Oil Treatment</t>
  </si>
  <si>
    <t>Hopkins Ltd</t>
  </si>
  <si>
    <t>PROD72</t>
  </si>
  <si>
    <t>Professional Jump Rope</t>
  </si>
  <si>
    <t>Davis PLC</t>
  </si>
  <si>
    <t>PROD73</t>
  </si>
  <si>
    <t>Shin Guards – Adult</t>
  </si>
  <si>
    <t>French Ltd</t>
  </si>
  <si>
    <t>PROD74</t>
  </si>
  <si>
    <t>Bluetooth Car Audio System</t>
  </si>
  <si>
    <t>Bruce-Bowen</t>
  </si>
  <si>
    <t>PROD75</t>
  </si>
  <si>
    <t>Women's Ankle Boots</t>
  </si>
  <si>
    <t>Poole PLC</t>
  </si>
  <si>
    <t>PROD76</t>
  </si>
  <si>
    <t>Wireless Mouse</t>
  </si>
  <si>
    <t>Larson Ltd</t>
  </si>
  <si>
    <t>PROD77</t>
  </si>
  <si>
    <t>WiFi Mesh Router</t>
  </si>
  <si>
    <t>White, Reeves and Woods</t>
  </si>
  <si>
    <t>PROD78</t>
  </si>
  <si>
    <t>Essential Oil Diffuser</t>
  </si>
  <si>
    <t>Hernandez Inc</t>
  </si>
  <si>
    <t>PROD79</t>
  </si>
  <si>
    <t>Decorative Lamp Shade</t>
  </si>
  <si>
    <t>Ramirez-Hanson</t>
  </si>
  <si>
    <t>PROD80</t>
  </si>
  <si>
    <t>Wall-Mounted Spice Rack</t>
  </si>
  <si>
    <t>Allison Ltd</t>
  </si>
  <si>
    <t>PROD81</t>
  </si>
  <si>
    <t>Badminton Racket Set</t>
  </si>
  <si>
    <t>Robinson-Brown</t>
  </si>
  <si>
    <t>PROD82</t>
  </si>
  <si>
    <t>Fitness Resistance Bands</t>
  </si>
  <si>
    <t>Reese-Watson</t>
  </si>
  <si>
    <t>PROD83</t>
  </si>
  <si>
    <t>Hydrating Face Cleanser</t>
  </si>
  <si>
    <t>Butler Group</t>
  </si>
  <si>
    <t>PROD84</t>
  </si>
  <si>
    <t>Wooden Bookshelf</t>
  </si>
  <si>
    <t>Collins-Stephenson</t>
  </si>
  <si>
    <t>PROD85</t>
  </si>
  <si>
    <t>Women's Beanie Hat</t>
  </si>
  <si>
    <t>Richardson-Carrillo</t>
  </si>
  <si>
    <t>PROD86</t>
  </si>
  <si>
    <t>Kitchen Cutting Board</t>
  </si>
  <si>
    <t>Taylor, Dodson and Johnston</t>
  </si>
  <si>
    <t>PROD87</t>
  </si>
  <si>
    <t>LED Bedside Lamp</t>
  </si>
  <si>
    <t>Aguilar, Horton and Lewis</t>
  </si>
  <si>
    <t>PROD88</t>
  </si>
  <si>
    <t>Sports Wrist Sweatbands</t>
  </si>
  <si>
    <t>Olsen-Daniels</t>
  </si>
  <si>
    <t>PROD89</t>
  </si>
  <si>
    <t>Face Foundation Kit</t>
  </si>
  <si>
    <t>Taylor-Elliott</t>
  </si>
  <si>
    <t>PROD90</t>
  </si>
  <si>
    <t>Gaming Mouse Pad XL</t>
  </si>
  <si>
    <t>Sharp, Taylor and Rodriguez</t>
  </si>
  <si>
    <t>PROD91</t>
  </si>
  <si>
    <t>Women's High Heels</t>
  </si>
  <si>
    <t>Smith-Charles</t>
  </si>
  <si>
    <t>PROD92</t>
  </si>
  <si>
    <t>Microwave Oven</t>
  </si>
  <si>
    <t>Green, Powell and Palmer</t>
  </si>
  <si>
    <t>PROD93</t>
  </si>
  <si>
    <t>USB-C Laptop Charger</t>
  </si>
  <si>
    <t>Martin LLC</t>
  </si>
  <si>
    <t>PROD94</t>
  </si>
  <si>
    <t>Vitamin E Body Lotion</t>
  </si>
  <si>
    <t>Hoffman-Williams</t>
  </si>
  <si>
    <t>PROD95</t>
  </si>
  <si>
    <t>Sports Stopwatch Basic</t>
  </si>
  <si>
    <t>Wilson Group</t>
  </si>
  <si>
    <t>PROD96</t>
  </si>
  <si>
    <t>Women's Formal Blazer</t>
  </si>
  <si>
    <t>Phillips and Sons</t>
  </si>
  <si>
    <t>PROD97</t>
  </si>
  <si>
    <t>Cricket Bat</t>
  </si>
  <si>
    <t>Khan LLC</t>
  </si>
  <si>
    <t>PROD98</t>
  </si>
  <si>
    <t>Portable Bluetooth Speaker</t>
  </si>
  <si>
    <t>Flores-King</t>
  </si>
  <si>
    <t>PROD99</t>
  </si>
  <si>
    <t>Stainless Steel Cookware Set</t>
  </si>
  <si>
    <t>Campbell Ltd</t>
  </si>
  <si>
    <t>Store_ID</t>
  </si>
  <si>
    <t>Store_Name</t>
  </si>
  <si>
    <t>Region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</si>
  <si>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</si>
  <si>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</si>
  <si>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</si>
  <si>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</si>
  <si>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</si>
  <si>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</si>
  <si>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</si>
  <si>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</si>
  <si>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</si>
  <si>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</si>
  <si>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</si>
  <si>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</si>
  <si>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</si>
  <si>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</si>
  <si>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</si>
  <si>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</si>
  <si>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</si>
  <si>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</si>
  <si>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</si>
  <si>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 Group</t>
  </si>
  <si>
    <t>Port Sharon</t>
  </si>
  <si>
    <t>Online</t>
  </si>
  <si>
    <t>STORE5</t>
  </si>
  <si>
    <t>Gray 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</si>
  <si>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</si>
  <si>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</si>
  <si>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</si>
  <si>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</si>
  <si>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</si>
  <si>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</si>
  <si>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</si>
  <si>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</si>
  <si>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Bean, Jones and Park</t>
  </si>
  <si>
    <t>West</t>
  </si>
  <si>
    <t>Thompsonborough</t>
  </si>
  <si>
    <t>STORE9</t>
  </si>
  <si>
    <t>Moore, Padilla and Butler</t>
  </si>
  <si>
    <t>East Johnstad</t>
  </si>
  <si>
    <t>STORE10</t>
  </si>
  <si>
    <t>Hill, Wagner and Ballard</t>
  </si>
  <si>
    <t>East Davidville</t>
  </si>
  <si>
    <t>STORE11</t>
  </si>
  <si>
    <t>Aguirre-Keller</t>
  </si>
  <si>
    <t>STORE12</t>
  </si>
  <si>
    <t>Thomas, Bridges and Harris</t>
  </si>
  <si>
    <t>Sabrinatown</t>
  </si>
  <si>
    <t>STORE13</t>
  </si>
  <si>
    <t>Gardner, Humphrey and Contreras</t>
  </si>
  <si>
    <t>STORE14</t>
  </si>
  <si>
    <t>Mcdonald Inc</t>
  </si>
  <si>
    <t>STORE15</t>
  </si>
  <si>
    <t>Shelton PLC</t>
  </si>
  <si>
    <t>East Jenniferstad</t>
  </si>
  <si>
    <t>STORE16</t>
  </si>
  <si>
    <t>Frederick-Wright</t>
  </si>
  <si>
    <t>New Jimmymouth</t>
  </si>
  <si>
    <t>STORE17</t>
  </si>
  <si>
    <t>Holloway 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</si>
  <si>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</si>
  <si>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</si>
  <si>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</si>
  <si>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</si>
  <si>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</si>
  <si>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</si>
  <si>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</si>
  <si>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Sales_ID</t>
  </si>
  <si>
    <t>Order_Date</t>
  </si>
  <si>
    <t>Quantity</t>
  </si>
  <si>
    <t>Unit_Price</t>
  </si>
  <si>
    <t>Discount</t>
  </si>
  <si>
    <t>Payment_Type</t>
  </si>
  <si>
    <t>Total_Amount</t>
  </si>
  <si>
    <t>Clean Order Date</t>
  </si>
  <si>
    <t>Month</t>
  </si>
  <si>
    <t>Clean Quantity</t>
  </si>
  <si>
    <t>Clean Unit Price</t>
  </si>
  <si>
    <t>Clean Total Amount</t>
  </si>
  <si>
    <t>Overall Pice</t>
  </si>
  <si>
    <t>Discount price</t>
  </si>
  <si>
    <t>Sales Perfomance</t>
  </si>
  <si>
    <t xml:space="preserve">Customer Name </t>
  </si>
  <si>
    <t>Product Category</t>
  </si>
  <si>
    <t xml:space="preserve">Product Name </t>
  </si>
  <si>
    <t>store region</t>
  </si>
  <si>
    <t>Loyalty Check</t>
  </si>
  <si>
    <t>Order range</t>
  </si>
  <si>
    <t>SALE0</t>
  </si>
  <si>
    <t>Credit Card</t>
  </si>
  <si>
    <t>SALE1</t>
  </si>
  <si>
    <t>PayPal</t>
  </si>
  <si>
    <t>SALE10</t>
  </si>
  <si>
    <t>SALE100</t>
  </si>
  <si>
    <t>SALE1000</t>
  </si>
  <si>
    <t>SALE1001</t>
  </si>
  <si>
    <t>SALE1002</t>
  </si>
  <si>
    <t>COD</t>
  </si>
  <si>
    <t>SALE1003</t>
  </si>
  <si>
    <t>SALE1004</t>
  </si>
  <si>
    <t>SALE1005</t>
  </si>
  <si>
    <t>SALE1006</t>
  </si>
  <si>
    <t>SALE1007</t>
  </si>
  <si>
    <t>SALE1008</t>
  </si>
  <si>
    <t>SALE1009</t>
  </si>
  <si>
    <t>SALE101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</si>
  <si>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</si>
  <si>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</si>
  <si>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</si>
  <si>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</si>
  <si>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</si>
  <si>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</si>
  <si>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</si>
  <si>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</si>
  <si>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</si>
  <si>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</si>
  <si>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</si>
  <si>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</si>
  <si>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</si>
  <si>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</si>
  <si>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</si>
  <si>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</si>
  <si>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</si>
  <si>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</si>
  <si>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</si>
  <si>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</si>
  <si>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</si>
  <si>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</si>
  <si>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</si>
  <si>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</si>
  <si>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</si>
  <si>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</si>
  <si>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</si>
  <si>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</si>
  <si>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</si>
  <si>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</si>
  <si>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</si>
  <si>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</si>
  <si>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</si>
  <si>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</si>
  <si>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</si>
  <si>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</si>
  <si>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</si>
  <si>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</si>
  <si>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</si>
  <si>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</si>
  <si>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</si>
  <si>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</si>
  <si>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</si>
  <si>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</si>
  <si>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</si>
  <si>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</si>
  <si>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</si>
  <si>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</si>
  <si>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</si>
  <si>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</si>
  <si>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</si>
  <si>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</si>
  <si>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</si>
  <si>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</si>
  <si>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</si>
  <si>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</si>
  <si>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</si>
  <si>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</si>
  <si>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</si>
  <si>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</si>
  <si>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</si>
  <si>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</si>
  <si>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</si>
  <si>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</si>
  <si>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</si>
  <si>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</si>
  <si>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</si>
  <si>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</si>
  <si>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</si>
  <si>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</si>
  <si>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</si>
  <si>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</si>
  <si>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</si>
  <si>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</si>
  <si>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</si>
  <si>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</si>
  <si>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</si>
  <si>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</si>
  <si>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</si>
  <si>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</si>
  <si>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</si>
  <si>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</si>
  <si>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</si>
  <si>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</si>
  <si>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</si>
  <si>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</si>
  <si>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</si>
  <si>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</si>
  <si>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</si>
  <si>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</si>
  <si>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</si>
  <si>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</si>
  <si>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</si>
  <si>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</si>
  <si>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</si>
  <si>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</si>
  <si>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</si>
  <si>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</si>
  <si>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</t>
  </si>
  <si>
    <t>SALE110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</si>
  <si>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</si>
  <si>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</si>
  <si>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</si>
  <si>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</si>
  <si>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</si>
  <si>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</si>
  <si>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</si>
  <si>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</si>
  <si>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</si>
  <si>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</si>
  <si>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</si>
  <si>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</si>
  <si>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</si>
  <si>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</si>
  <si>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</si>
  <si>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</si>
  <si>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</si>
  <si>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</si>
  <si>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</si>
  <si>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</si>
  <si>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</si>
  <si>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</si>
  <si>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</si>
  <si>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</si>
  <si>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</si>
  <si>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</si>
  <si>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</si>
  <si>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</si>
  <si>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</si>
  <si>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</si>
  <si>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</si>
  <si>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</si>
  <si>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</si>
  <si>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</si>
  <si>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</si>
  <si>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</si>
  <si>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</si>
  <si>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</si>
  <si>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</si>
  <si>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</si>
  <si>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</si>
  <si>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</si>
  <si>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</si>
  <si>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</si>
  <si>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</si>
  <si>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</si>
  <si>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</si>
  <si>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</si>
  <si>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</si>
  <si>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</si>
  <si>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</si>
  <si>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</si>
  <si>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</si>
  <si>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</si>
  <si>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</si>
  <si>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</si>
  <si>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</si>
  <si>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</si>
  <si>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</si>
  <si>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</si>
  <si>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</si>
  <si>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</si>
  <si>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</si>
  <si>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</si>
  <si>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</si>
  <si>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</si>
  <si>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</si>
  <si>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</si>
  <si>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</si>
  <si>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</si>
  <si>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</si>
  <si>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</si>
  <si>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</si>
  <si>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</si>
  <si>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</si>
  <si>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</si>
  <si>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</si>
  <si>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</si>
  <si>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</si>
  <si>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</si>
  <si>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</si>
  <si>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</si>
  <si>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</si>
  <si>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</si>
  <si>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</si>
  <si>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</si>
  <si>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</si>
  <si>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</si>
  <si>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</si>
  <si>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</si>
  <si>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</si>
  <si>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</si>
  <si>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</si>
  <si>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</si>
  <si>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</si>
  <si>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</si>
  <si>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</si>
  <si>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</si>
  <si>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</si>
  <si>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</si>
  <si>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</si>
  <si>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</si>
  <si>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</si>
  <si>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</si>
  <si>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</si>
  <si>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</si>
  <si>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</si>
  <si>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</si>
  <si>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</si>
  <si>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</t>
  </si>
  <si>
    <t>SALE120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</si>
  <si>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</si>
  <si>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</si>
  <si>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</si>
  <si>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</si>
  <si>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</si>
  <si>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</si>
  <si>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</si>
  <si>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</si>
  <si>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</si>
  <si>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</si>
  <si>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</si>
  <si>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</si>
  <si>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</si>
  <si>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</si>
  <si>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</si>
  <si>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</si>
  <si>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</si>
  <si>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</si>
  <si>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</si>
  <si>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</si>
  <si>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</si>
  <si>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</si>
  <si>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</si>
  <si>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</si>
  <si>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</si>
  <si>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</si>
  <si>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</si>
  <si>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</si>
  <si>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</si>
  <si>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</si>
  <si>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</si>
  <si>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</si>
  <si>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</si>
  <si>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</si>
  <si>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</si>
  <si>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</si>
  <si>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</si>
  <si>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</si>
  <si>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</si>
  <si>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</si>
  <si>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</si>
  <si>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</si>
  <si>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</si>
  <si>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</si>
  <si>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</si>
  <si>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</si>
  <si>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</si>
  <si>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</si>
  <si>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</si>
  <si>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</si>
  <si>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</si>
  <si>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</si>
  <si>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</si>
  <si>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</si>
  <si>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</si>
  <si>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</si>
  <si>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</si>
  <si>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</si>
  <si>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</si>
  <si>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</si>
  <si>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</si>
  <si>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</si>
  <si>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</si>
  <si>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</si>
  <si>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</si>
  <si>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</si>
  <si>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</si>
  <si>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</si>
  <si>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</si>
  <si>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</si>
  <si>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</si>
  <si>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</si>
  <si>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</si>
  <si>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</si>
  <si>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</si>
  <si>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</si>
  <si>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</si>
  <si>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</si>
  <si>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</si>
  <si>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</si>
  <si>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</si>
  <si>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</si>
  <si>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</si>
  <si>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</si>
  <si>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</si>
  <si>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</si>
  <si>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</si>
  <si>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</si>
  <si>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</si>
  <si>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</si>
  <si>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</si>
  <si>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</si>
  <si>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</si>
  <si>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</si>
  <si>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</si>
  <si>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</si>
  <si>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</si>
  <si>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</si>
  <si>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</si>
  <si>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</si>
  <si>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</si>
  <si>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</si>
  <si>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</si>
  <si>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</si>
  <si>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</si>
  <si>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</si>
  <si>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</si>
  <si>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</si>
  <si>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</si>
  <si>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</t>
  </si>
  <si>
    <t>SALE130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</si>
  <si>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</si>
  <si>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</si>
  <si>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</si>
  <si>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</si>
  <si>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</si>
  <si>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</si>
  <si>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</si>
  <si>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</si>
  <si>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</si>
  <si>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</si>
  <si>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</si>
  <si>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</si>
  <si>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</si>
  <si>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</si>
  <si>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</si>
  <si>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</si>
  <si>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</si>
  <si>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</si>
  <si>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</si>
  <si>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</si>
  <si>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</si>
  <si>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</si>
  <si>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</si>
  <si>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</si>
  <si>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</si>
  <si>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</si>
  <si>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</si>
  <si>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</si>
  <si>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</si>
  <si>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</si>
  <si>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</si>
  <si>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</si>
  <si>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</si>
  <si>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</si>
  <si>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</si>
  <si>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</si>
  <si>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</si>
  <si>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</si>
  <si>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</si>
  <si>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</si>
  <si>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</si>
  <si>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</si>
  <si>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</si>
  <si>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</si>
  <si>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</si>
  <si>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</si>
  <si>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</si>
  <si>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</si>
  <si>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</si>
  <si>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</si>
  <si>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</si>
  <si>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</si>
  <si>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</si>
  <si>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</si>
  <si>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</si>
  <si>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</si>
  <si>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</si>
  <si>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</si>
  <si>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</si>
  <si>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</si>
  <si>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</si>
  <si>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</si>
  <si>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</si>
  <si>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</si>
  <si>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</si>
  <si>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</si>
  <si>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</si>
  <si>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</si>
  <si>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</si>
  <si>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</si>
  <si>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</si>
  <si>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</si>
  <si>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</si>
  <si>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</si>
  <si>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</si>
  <si>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</si>
  <si>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</si>
  <si>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</si>
  <si>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</si>
  <si>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</si>
  <si>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</si>
  <si>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</si>
  <si>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</si>
  <si>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</si>
  <si>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</si>
  <si>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</si>
  <si>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</si>
  <si>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</si>
  <si>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</si>
  <si>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</si>
  <si>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</si>
  <si>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</si>
  <si>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</si>
  <si>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</si>
  <si>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</si>
  <si>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</si>
  <si>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</si>
  <si>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</si>
  <si>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</si>
  <si>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</si>
  <si>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</si>
  <si>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</si>
  <si>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</si>
  <si>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</si>
  <si>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</si>
  <si>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</si>
  <si>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</si>
  <si>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</si>
  <si>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</si>
  <si>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</t>
  </si>
  <si>
    <t>SALE140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</si>
  <si>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</si>
  <si>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</si>
  <si>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</si>
  <si>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</si>
  <si>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</si>
  <si>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</si>
  <si>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</si>
  <si>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</si>
  <si>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</si>
  <si>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</si>
  <si>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</si>
  <si>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</si>
  <si>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</si>
  <si>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</si>
  <si>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</si>
  <si>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</si>
  <si>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</si>
  <si>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</si>
  <si>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</si>
  <si>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</si>
  <si>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</si>
  <si>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</si>
  <si>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</si>
  <si>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</si>
  <si>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</si>
  <si>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</si>
  <si>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</si>
  <si>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</si>
  <si>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</si>
  <si>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</si>
  <si>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</si>
  <si>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</si>
  <si>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</si>
  <si>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</si>
  <si>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</si>
  <si>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</si>
  <si>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</si>
  <si>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</si>
  <si>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</si>
  <si>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</si>
  <si>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</si>
  <si>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</si>
  <si>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</si>
  <si>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</si>
  <si>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</si>
  <si>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</si>
  <si>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</si>
  <si>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</si>
  <si>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</si>
  <si>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</si>
  <si>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</si>
  <si>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</si>
  <si>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</si>
  <si>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</si>
  <si>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</si>
  <si>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</si>
  <si>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</si>
  <si>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</si>
  <si>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</si>
  <si>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</si>
  <si>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</si>
  <si>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</si>
  <si>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</si>
  <si>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</si>
  <si>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</si>
  <si>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</si>
  <si>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</si>
  <si>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</si>
  <si>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</si>
  <si>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</si>
  <si>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</si>
  <si>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</si>
  <si>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</si>
  <si>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</si>
  <si>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</si>
  <si>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</si>
  <si>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</si>
  <si>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</si>
  <si>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</si>
  <si>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</si>
  <si>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</si>
  <si>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</si>
  <si>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</si>
  <si>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</si>
  <si>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</si>
  <si>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</si>
  <si>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</si>
  <si>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</si>
  <si>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</si>
  <si>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</si>
  <si>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</si>
  <si>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</si>
  <si>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</si>
  <si>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</si>
  <si>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</si>
  <si>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</si>
  <si>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</si>
  <si>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</si>
  <si>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</si>
  <si>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</si>
  <si>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</si>
  <si>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</si>
  <si>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</si>
  <si>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</si>
  <si>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</si>
  <si>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</si>
  <si>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</si>
  <si>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</si>
  <si>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</si>
  <si>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</t>
  </si>
  <si>
    <t>SALE150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</si>
  <si>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</si>
  <si>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</si>
  <si>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</si>
  <si>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</si>
  <si>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</si>
  <si>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</si>
  <si>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</si>
  <si>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</si>
  <si>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</si>
  <si>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</si>
  <si>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</si>
  <si>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</si>
  <si>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</si>
  <si>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</si>
  <si>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</si>
  <si>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</si>
  <si>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</si>
  <si>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</si>
  <si>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</si>
  <si>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</si>
  <si>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</si>
  <si>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</si>
  <si>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</si>
  <si>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</si>
  <si>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</si>
  <si>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</si>
  <si>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</si>
  <si>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</si>
  <si>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</si>
  <si>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</si>
  <si>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</si>
  <si>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</si>
  <si>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</si>
  <si>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</si>
  <si>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</si>
  <si>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</si>
  <si>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</si>
  <si>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</si>
  <si>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</si>
  <si>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</si>
  <si>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</si>
  <si>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</si>
  <si>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</si>
  <si>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</si>
  <si>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</si>
  <si>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</si>
  <si>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</si>
  <si>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</si>
  <si>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</si>
  <si>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</si>
  <si>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</si>
  <si>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</si>
  <si>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</si>
  <si>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</si>
  <si>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</si>
  <si>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</si>
  <si>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</si>
  <si>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</si>
  <si>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</si>
  <si>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</si>
  <si>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</si>
  <si>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</si>
  <si>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</si>
  <si>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</si>
  <si>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</si>
  <si>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</si>
  <si>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</si>
  <si>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</si>
  <si>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</si>
  <si>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</si>
  <si>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</si>
  <si>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</si>
  <si>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</si>
  <si>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</si>
  <si>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</si>
  <si>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</si>
  <si>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</si>
  <si>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</si>
  <si>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</si>
  <si>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</si>
  <si>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</si>
  <si>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</si>
  <si>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</si>
  <si>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</si>
  <si>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</si>
  <si>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</si>
  <si>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</si>
  <si>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</si>
  <si>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</si>
  <si>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</si>
  <si>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</si>
  <si>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</si>
  <si>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</si>
  <si>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</si>
  <si>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</si>
  <si>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</si>
  <si>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</si>
  <si>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</si>
  <si>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</si>
  <si>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</si>
  <si>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</si>
  <si>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</si>
  <si>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</si>
  <si>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</si>
  <si>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</si>
  <si>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</si>
  <si>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</si>
  <si>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</si>
  <si>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</si>
  <si>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</t>
  </si>
  <si>
    <t>SALE160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</si>
  <si>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</si>
  <si>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</si>
  <si>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</si>
  <si>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</si>
  <si>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</si>
  <si>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</si>
  <si>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</si>
  <si>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</si>
  <si>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</si>
  <si>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</si>
  <si>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</si>
  <si>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</si>
  <si>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</si>
  <si>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</si>
  <si>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</si>
  <si>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</si>
  <si>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</si>
  <si>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</si>
  <si>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</si>
  <si>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</si>
  <si>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</si>
  <si>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</si>
  <si>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</si>
  <si>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</si>
  <si>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</si>
  <si>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</si>
  <si>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</si>
  <si>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</si>
  <si>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</si>
  <si>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</si>
  <si>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</si>
  <si>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</si>
  <si>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</si>
  <si>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</si>
  <si>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</si>
  <si>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</si>
  <si>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</si>
  <si>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</si>
  <si>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</si>
  <si>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</si>
  <si>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</si>
  <si>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</si>
  <si>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</si>
  <si>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</si>
  <si>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</si>
  <si>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</si>
  <si>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</si>
  <si>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</si>
  <si>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</si>
  <si>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</si>
  <si>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</si>
  <si>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</si>
  <si>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</si>
  <si>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</si>
  <si>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</si>
  <si>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</si>
  <si>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</si>
  <si>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</si>
  <si>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</si>
  <si>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</si>
  <si>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</si>
  <si>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</si>
  <si>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</si>
  <si>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</si>
  <si>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</si>
  <si>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</si>
  <si>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</si>
  <si>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</si>
  <si>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</si>
  <si>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</si>
  <si>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</si>
  <si>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</si>
  <si>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</si>
  <si>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</si>
  <si>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</si>
  <si>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</si>
  <si>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</si>
  <si>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</si>
  <si>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</si>
  <si>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</si>
  <si>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</si>
  <si>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</si>
  <si>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</si>
  <si>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</si>
  <si>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</si>
  <si>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</si>
  <si>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</si>
  <si>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</si>
  <si>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</si>
  <si>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</si>
  <si>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</si>
  <si>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</si>
  <si>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</si>
  <si>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</si>
  <si>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</si>
  <si>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</si>
  <si>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</si>
  <si>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</si>
  <si>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</si>
  <si>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</si>
  <si>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</si>
  <si>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</si>
  <si>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</si>
  <si>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</si>
  <si>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</si>
  <si>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</si>
  <si>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</si>
  <si>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</si>
  <si>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</si>
  <si>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</t>
  </si>
  <si>
    <t>SALE170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</si>
  <si>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</si>
  <si>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</si>
  <si>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</si>
  <si>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</si>
  <si>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</si>
  <si>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</si>
  <si>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</si>
  <si>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</si>
  <si>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</si>
  <si>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</si>
  <si>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</si>
  <si>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</si>
  <si>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</si>
  <si>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</si>
  <si>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</si>
  <si>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</si>
  <si>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</si>
  <si>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</si>
  <si>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</si>
  <si>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</si>
  <si>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</si>
  <si>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</si>
  <si>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</si>
  <si>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</si>
  <si>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</si>
  <si>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</si>
  <si>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</si>
  <si>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</si>
  <si>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</si>
  <si>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</si>
  <si>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</si>
  <si>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</si>
  <si>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</si>
  <si>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</si>
  <si>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</si>
  <si>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</si>
  <si>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</si>
  <si>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</si>
  <si>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</si>
  <si>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</si>
  <si>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</si>
  <si>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</si>
  <si>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</si>
  <si>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</si>
  <si>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</si>
  <si>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</si>
  <si>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</si>
  <si>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</si>
  <si>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</si>
  <si>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</si>
  <si>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</si>
  <si>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</si>
  <si>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</si>
  <si>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</si>
  <si>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</si>
  <si>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</si>
  <si>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</si>
  <si>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</si>
  <si>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</si>
  <si>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</si>
  <si>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</si>
  <si>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</si>
  <si>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</si>
  <si>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</si>
  <si>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</si>
  <si>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</si>
  <si>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</si>
  <si>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</si>
  <si>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</si>
  <si>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</si>
  <si>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</si>
  <si>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</si>
  <si>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</si>
  <si>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</si>
  <si>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</si>
  <si>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</si>
  <si>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</si>
  <si>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</si>
  <si>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</si>
  <si>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</si>
  <si>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</si>
  <si>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</si>
  <si>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</si>
  <si>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</si>
  <si>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</si>
  <si>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</si>
  <si>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</si>
  <si>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</si>
  <si>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</si>
  <si>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</si>
  <si>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</si>
  <si>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</si>
  <si>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</si>
  <si>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</si>
  <si>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</si>
  <si>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</si>
  <si>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</si>
  <si>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</si>
  <si>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</si>
  <si>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</si>
  <si>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</si>
  <si>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</si>
  <si>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</si>
  <si>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</si>
  <si>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</si>
  <si>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</si>
  <si>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</si>
  <si>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</si>
  <si>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</si>
  <si>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</t>
  </si>
  <si>
    <t>SALE180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</si>
  <si>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</si>
  <si>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</si>
  <si>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</si>
  <si>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</si>
  <si>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</si>
  <si>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</si>
  <si>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</si>
  <si>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</si>
  <si>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</si>
  <si>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</si>
  <si>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</si>
  <si>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</si>
  <si>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</si>
  <si>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</si>
  <si>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</si>
  <si>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</si>
  <si>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</si>
  <si>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</si>
  <si>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</si>
  <si>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</si>
  <si>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</si>
  <si>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</si>
  <si>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</si>
  <si>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</si>
  <si>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</si>
  <si>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</si>
  <si>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</si>
  <si>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</si>
  <si>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</si>
  <si>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</si>
  <si>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</si>
  <si>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</si>
  <si>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</si>
  <si>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</si>
  <si>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</si>
  <si>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</si>
  <si>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</si>
  <si>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</si>
  <si>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</si>
  <si>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</si>
  <si>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</si>
  <si>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</si>
  <si>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</si>
  <si>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</si>
  <si>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</si>
  <si>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</si>
  <si>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</si>
  <si>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</si>
  <si>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</si>
  <si>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</si>
  <si>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</si>
  <si>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</si>
  <si>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</si>
  <si>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</si>
  <si>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</si>
  <si>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</si>
  <si>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</si>
  <si>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</si>
  <si>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</si>
  <si>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</si>
  <si>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</si>
  <si>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</si>
  <si>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</si>
  <si>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</si>
  <si>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</si>
  <si>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</si>
  <si>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</si>
  <si>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</si>
  <si>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</si>
  <si>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</si>
  <si>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</si>
  <si>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</si>
  <si>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</si>
  <si>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</si>
  <si>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</si>
  <si>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</si>
  <si>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</si>
  <si>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</si>
  <si>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</si>
  <si>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</si>
  <si>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</si>
  <si>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</si>
  <si>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</si>
  <si>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</si>
  <si>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</si>
  <si>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</si>
  <si>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</si>
  <si>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</si>
  <si>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</si>
  <si>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</si>
  <si>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</si>
  <si>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</si>
  <si>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</si>
  <si>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</si>
  <si>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</si>
  <si>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</si>
  <si>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</si>
  <si>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</si>
  <si>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</si>
  <si>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</si>
  <si>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</si>
  <si>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</si>
  <si>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</si>
  <si>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</si>
  <si>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</si>
  <si>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</si>
  <si>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</si>
  <si>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</si>
  <si>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</si>
  <si>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</t>
  </si>
  <si>
    <t>SALE190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</si>
  <si>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</si>
  <si>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</si>
  <si>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</si>
  <si>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</si>
  <si>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</si>
  <si>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</si>
  <si>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</si>
  <si>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</si>
  <si>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</si>
  <si>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</si>
  <si>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</si>
  <si>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</si>
  <si>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</si>
  <si>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</si>
  <si>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</si>
  <si>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</si>
  <si>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</si>
  <si>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</si>
  <si>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</si>
  <si>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</si>
  <si>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</si>
  <si>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</si>
  <si>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</si>
  <si>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</si>
  <si>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</si>
  <si>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</si>
  <si>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</si>
  <si>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</si>
  <si>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</si>
  <si>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</si>
  <si>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</si>
  <si>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</si>
  <si>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</si>
  <si>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</si>
  <si>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</si>
  <si>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</si>
  <si>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</si>
  <si>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</si>
  <si>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</si>
  <si>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</si>
  <si>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</si>
  <si>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</si>
  <si>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</si>
  <si>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</si>
  <si>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</si>
  <si>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</si>
  <si>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</si>
  <si>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</si>
  <si>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</si>
  <si>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</si>
  <si>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</si>
  <si>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</si>
  <si>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</si>
  <si>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</si>
  <si>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</si>
  <si>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</si>
  <si>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</si>
  <si>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</si>
  <si>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</si>
  <si>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</si>
  <si>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</si>
  <si>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</si>
  <si>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</si>
  <si>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</si>
  <si>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</si>
  <si>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</si>
  <si>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</si>
  <si>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</si>
  <si>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</si>
  <si>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</si>
  <si>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</si>
  <si>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</si>
  <si>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</si>
  <si>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</si>
  <si>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</si>
  <si>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</si>
  <si>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</si>
  <si>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</si>
  <si>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</si>
  <si>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</si>
  <si>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</si>
  <si>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</si>
  <si>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</si>
  <si>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</si>
  <si>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</si>
  <si>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</si>
  <si>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</si>
  <si>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</si>
  <si>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</si>
  <si>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</si>
  <si>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</si>
  <si>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</si>
  <si>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</si>
  <si>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</si>
  <si>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</si>
  <si>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</si>
  <si>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</si>
  <si>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</si>
  <si>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</si>
  <si>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</si>
  <si>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</si>
  <si>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</si>
  <si>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</si>
  <si>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</si>
  <si>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</si>
  <si>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</si>
  <si>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</si>
  <si>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</si>
  <si>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</si>
  <si>
    <t>SALE2</t>
  </si>
  <si>
    <t>SALE20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</si>
  <si>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</si>
  <si>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</si>
  <si>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</si>
  <si>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</si>
  <si>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</si>
  <si>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</si>
  <si>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</si>
  <si>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</si>
  <si>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</si>
  <si>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</si>
  <si>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</si>
  <si>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</si>
  <si>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</si>
  <si>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</si>
  <si>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</si>
  <si>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</si>
  <si>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</si>
  <si>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</si>
  <si>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</si>
  <si>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</si>
  <si>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</si>
  <si>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</si>
  <si>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</si>
  <si>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</si>
  <si>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</si>
  <si>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</si>
  <si>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</si>
  <si>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</si>
  <si>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</si>
  <si>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</si>
  <si>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</si>
  <si>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</si>
  <si>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</si>
  <si>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</si>
  <si>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</si>
  <si>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</si>
  <si>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</si>
  <si>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</si>
  <si>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</si>
  <si>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</si>
  <si>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</si>
  <si>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</si>
  <si>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</si>
  <si>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</si>
  <si>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</si>
  <si>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</si>
  <si>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</si>
  <si>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</si>
  <si>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</si>
  <si>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</si>
  <si>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</si>
  <si>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</si>
  <si>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</si>
  <si>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</si>
  <si>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</si>
  <si>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</si>
  <si>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</si>
  <si>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</si>
  <si>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</si>
  <si>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</si>
  <si>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</si>
  <si>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</si>
  <si>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</si>
  <si>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</si>
  <si>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</si>
  <si>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</si>
  <si>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</si>
  <si>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</si>
  <si>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</si>
  <si>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</si>
  <si>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</si>
  <si>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</si>
  <si>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</si>
  <si>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</si>
  <si>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</si>
  <si>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</si>
  <si>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</si>
  <si>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</si>
  <si>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</si>
  <si>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</si>
  <si>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</si>
  <si>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</si>
  <si>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</si>
  <si>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</si>
  <si>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</si>
  <si>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</si>
  <si>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</si>
  <si>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</si>
  <si>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</si>
  <si>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</si>
  <si>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</si>
  <si>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</si>
  <si>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</si>
  <si>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</si>
  <si>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</si>
  <si>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</si>
  <si>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</si>
  <si>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</si>
  <si>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</si>
  <si>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</si>
  <si>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</si>
  <si>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</si>
  <si>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</si>
  <si>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</si>
  <si>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</si>
  <si>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</si>
  <si>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</si>
  <si>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</si>
  <si>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</si>
  <si>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</t>
  </si>
  <si>
    <t>SALE30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</si>
  <si>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</si>
  <si>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</si>
  <si>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</si>
  <si>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</si>
  <si>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</si>
  <si>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</si>
  <si>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</si>
  <si>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</si>
  <si>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</si>
  <si>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</si>
  <si>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</si>
  <si>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</si>
  <si>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</si>
  <si>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</si>
  <si>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</si>
  <si>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</si>
  <si>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</si>
  <si>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</si>
  <si>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</si>
  <si>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</si>
  <si>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</si>
  <si>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</si>
  <si>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</si>
  <si>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</si>
  <si>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</si>
  <si>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</si>
  <si>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</si>
  <si>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</si>
  <si>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</si>
  <si>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</si>
  <si>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</si>
  <si>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</si>
  <si>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</si>
  <si>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</si>
  <si>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</si>
  <si>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</si>
  <si>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</si>
  <si>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</si>
  <si>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</si>
  <si>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</si>
  <si>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</si>
  <si>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</si>
  <si>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</si>
  <si>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</si>
  <si>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</si>
  <si>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</si>
  <si>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</si>
  <si>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</si>
  <si>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</si>
  <si>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</si>
  <si>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</si>
  <si>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</si>
  <si>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</si>
  <si>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</si>
  <si>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</si>
  <si>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</si>
  <si>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</si>
  <si>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</si>
  <si>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</si>
  <si>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</si>
  <si>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</si>
  <si>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</si>
  <si>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</si>
  <si>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</si>
  <si>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</si>
  <si>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</si>
  <si>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</si>
  <si>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</si>
  <si>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</si>
  <si>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</si>
  <si>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</si>
  <si>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</si>
  <si>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</si>
  <si>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</si>
  <si>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</si>
  <si>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</si>
  <si>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</si>
  <si>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</si>
  <si>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</si>
  <si>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</si>
  <si>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</si>
  <si>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</si>
  <si>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</si>
  <si>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</si>
  <si>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</si>
  <si>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</si>
  <si>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</si>
  <si>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</si>
  <si>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</si>
  <si>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</si>
  <si>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</si>
  <si>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</si>
  <si>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</si>
  <si>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</si>
  <si>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</si>
  <si>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</si>
  <si>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</si>
  <si>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</si>
  <si>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</si>
  <si>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</si>
  <si>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</si>
  <si>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</si>
  <si>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</si>
  <si>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</si>
  <si>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</si>
  <si>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</si>
  <si>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</si>
  <si>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</si>
  <si>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</si>
  <si>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</t>
  </si>
  <si>
    <t>SALE40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</si>
  <si>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</si>
  <si>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</si>
  <si>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</si>
  <si>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</si>
  <si>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</si>
  <si>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</si>
  <si>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</si>
  <si>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</si>
  <si>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</si>
  <si>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</si>
  <si>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</si>
  <si>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</si>
  <si>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</si>
  <si>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</si>
  <si>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</si>
  <si>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</si>
  <si>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</si>
  <si>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</si>
  <si>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</si>
  <si>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</si>
  <si>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</si>
  <si>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</si>
  <si>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</si>
  <si>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</si>
  <si>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</si>
  <si>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</si>
  <si>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</si>
  <si>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</si>
  <si>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</si>
  <si>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</si>
  <si>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</si>
  <si>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</si>
  <si>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</si>
  <si>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</si>
  <si>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</si>
  <si>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</si>
  <si>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</si>
  <si>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</si>
  <si>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</si>
  <si>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</si>
  <si>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</si>
  <si>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</si>
  <si>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</si>
  <si>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</si>
  <si>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</si>
  <si>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</si>
  <si>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</si>
  <si>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</si>
  <si>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</si>
  <si>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</si>
  <si>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</si>
  <si>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</si>
  <si>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</si>
  <si>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</si>
  <si>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</si>
  <si>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</si>
  <si>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</si>
  <si>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</si>
  <si>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</si>
  <si>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</si>
  <si>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</si>
  <si>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</si>
  <si>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</si>
  <si>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</si>
  <si>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</si>
  <si>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</si>
  <si>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</si>
  <si>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</si>
  <si>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</si>
  <si>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</si>
  <si>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</si>
  <si>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</si>
  <si>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</si>
  <si>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</si>
  <si>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</si>
  <si>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</si>
  <si>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</si>
  <si>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</si>
  <si>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</si>
  <si>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</si>
  <si>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</si>
  <si>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</si>
  <si>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</si>
  <si>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</si>
  <si>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</si>
  <si>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</si>
  <si>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</si>
  <si>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</si>
  <si>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</si>
  <si>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</si>
  <si>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</si>
  <si>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</si>
  <si>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</si>
  <si>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</si>
  <si>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</si>
  <si>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</si>
  <si>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</si>
  <si>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</si>
  <si>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</si>
  <si>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</si>
  <si>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</si>
  <si>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</si>
  <si>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</si>
  <si>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</si>
  <si>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</si>
  <si>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</si>
  <si>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</si>
  <si>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</si>
  <si>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</si>
  <si>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</t>
  </si>
  <si>
    <t>SALE50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</si>
  <si>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</si>
  <si>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</si>
  <si>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</si>
  <si>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</si>
  <si>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</si>
  <si>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</si>
  <si>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</si>
  <si>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</si>
  <si>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</si>
  <si>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</si>
  <si>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</si>
  <si>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</si>
  <si>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</si>
  <si>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</si>
  <si>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</si>
  <si>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</si>
  <si>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</si>
  <si>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</si>
  <si>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</si>
  <si>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</si>
  <si>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</si>
  <si>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</si>
  <si>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</si>
  <si>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</si>
  <si>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</si>
  <si>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</si>
  <si>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</si>
  <si>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</si>
  <si>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</si>
  <si>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</si>
  <si>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</si>
  <si>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</si>
  <si>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</si>
  <si>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</si>
  <si>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</si>
  <si>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</si>
  <si>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</si>
  <si>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</si>
  <si>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</si>
  <si>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</si>
  <si>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</si>
  <si>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</si>
  <si>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</si>
  <si>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</si>
  <si>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</si>
  <si>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</si>
  <si>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</si>
  <si>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</si>
  <si>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</si>
  <si>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</si>
  <si>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</si>
  <si>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</si>
  <si>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</si>
  <si>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</si>
  <si>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</si>
  <si>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</si>
  <si>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</si>
  <si>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</si>
  <si>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</si>
  <si>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</si>
  <si>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</si>
  <si>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</si>
  <si>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</si>
  <si>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</si>
  <si>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</si>
  <si>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</si>
  <si>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</si>
  <si>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</si>
  <si>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</si>
  <si>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</si>
  <si>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</si>
  <si>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</si>
  <si>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</si>
  <si>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</si>
  <si>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</si>
  <si>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</si>
  <si>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</si>
  <si>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</si>
  <si>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</si>
  <si>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</si>
  <si>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</si>
  <si>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</si>
  <si>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</si>
  <si>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</si>
  <si>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</si>
  <si>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</si>
  <si>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</si>
  <si>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</si>
  <si>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</si>
  <si>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</si>
  <si>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</si>
  <si>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</si>
  <si>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</si>
  <si>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</si>
  <si>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</si>
  <si>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</si>
  <si>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</si>
  <si>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</si>
  <si>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</si>
  <si>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</si>
  <si>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</si>
  <si>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</si>
  <si>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</si>
  <si>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</si>
  <si>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</si>
  <si>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</si>
  <si>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</si>
  <si>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</si>
  <si>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</si>
  <si>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</t>
  </si>
  <si>
    <t>SALE60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</si>
  <si>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</si>
  <si>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</si>
  <si>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</si>
  <si>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</si>
  <si>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</si>
  <si>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</si>
  <si>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</si>
  <si>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</si>
  <si>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</si>
  <si>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</si>
  <si>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</t>
  </si>
  <si>
    <t>SALE610</t>
  </si>
  <si>
    <t>SALE611</t>
  </si>
  <si>
    <t>SALE612</t>
  </si>
  <si>
    <t>SALE613</t>
  </si>
  <si>
    <t>SALE614</t>
  </si>
  <si>
    <t>SALE615</t>
  </si>
  <si>
    <t>SALE616</t>
  </si>
  <si>
    <t>SALE617</t>
  </si>
  <si>
    <t>SALE618</t>
  </si>
  <si>
    <t>SALE619</t>
  </si>
  <si>
    <t>SALE62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</si>
  <si>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</si>
  <si>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</si>
  <si>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</si>
  <si>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</si>
  <si>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</si>
  <si>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</si>
  <si>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</si>
  <si>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</si>
  <si>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</si>
  <si>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</si>
  <si>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</si>
  <si>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</si>
  <si>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</si>
  <si>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</si>
  <si>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</si>
  <si>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</si>
  <si>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</si>
  <si>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</si>
  <si>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</si>
  <si>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</si>
  <si>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</si>
  <si>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</si>
  <si>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</si>
  <si>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</si>
  <si>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</si>
  <si>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</si>
  <si>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</si>
  <si>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</si>
  <si>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</si>
  <si>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</si>
  <si>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</si>
  <si>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</si>
  <si>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</si>
  <si>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</si>
  <si>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</si>
  <si>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</si>
  <si>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</si>
  <si>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</si>
  <si>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</si>
  <si>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</si>
  <si>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</si>
  <si>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</si>
  <si>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</si>
  <si>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</si>
  <si>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</si>
  <si>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</si>
  <si>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</si>
  <si>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</si>
  <si>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</si>
  <si>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</si>
  <si>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</si>
  <si>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</si>
  <si>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</si>
  <si>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</si>
  <si>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</t>
  </si>
  <si>
    <t>SALE670</t>
  </si>
  <si>
    <t>SALE671</t>
  </si>
  <si>
    <t>SALE672</t>
  </si>
  <si>
    <t>SALE673</t>
  </si>
  <si>
    <t>SALE674</t>
  </si>
  <si>
    <t>SALE675</t>
  </si>
  <si>
    <t>SALE676</t>
  </si>
  <si>
    <t>SALE677</t>
  </si>
  <si>
    <t>SALE678</t>
  </si>
  <si>
    <t>SALE679</t>
  </si>
  <si>
    <t>SALE68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</si>
  <si>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</si>
  <si>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</si>
  <si>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</si>
  <si>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</si>
  <si>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</si>
  <si>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</si>
  <si>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</si>
  <si>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</si>
  <si>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</si>
  <si>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</si>
  <si>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</si>
  <si>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</si>
  <si>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</si>
  <si>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</si>
  <si>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</si>
  <si>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</si>
  <si>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</si>
  <si>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</si>
  <si>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</si>
  <si>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</si>
  <si>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</si>
  <si>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</t>
  </si>
  <si>
    <t>SALE70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</si>
  <si>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</si>
  <si>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</si>
  <si>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</si>
  <si>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</si>
  <si>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</si>
  <si>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</si>
  <si>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</si>
  <si>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</si>
  <si>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</si>
  <si>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</si>
  <si>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</si>
  <si>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</si>
  <si>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</si>
  <si>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</si>
  <si>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</si>
  <si>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</si>
  <si>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</si>
  <si>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</si>
  <si>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</si>
  <si>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</si>
  <si>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</si>
  <si>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</si>
  <si>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</si>
  <si>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</si>
  <si>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</si>
  <si>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</si>
  <si>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</si>
  <si>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</si>
  <si>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</si>
  <si>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</si>
  <si>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</si>
  <si>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</si>
  <si>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</si>
  <si>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</si>
  <si>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</si>
  <si>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</si>
  <si>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</si>
  <si>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</si>
  <si>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</si>
  <si>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</si>
  <si>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</si>
  <si>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</si>
  <si>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</si>
  <si>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</si>
  <si>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</si>
  <si>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</si>
  <si>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</si>
  <si>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</si>
  <si>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</si>
  <si>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</si>
  <si>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</si>
  <si>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</si>
  <si>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</si>
  <si>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</si>
  <si>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</si>
  <si>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</si>
  <si>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</si>
  <si>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</si>
  <si>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</si>
  <si>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</si>
  <si>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</si>
  <si>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</si>
  <si>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</si>
  <si>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</si>
  <si>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</si>
  <si>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</si>
  <si>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</si>
  <si>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</si>
  <si>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</si>
  <si>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</si>
  <si>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</si>
  <si>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</si>
  <si>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</si>
  <si>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</si>
  <si>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</si>
  <si>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</si>
  <si>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</si>
  <si>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</si>
  <si>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</si>
  <si>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</si>
  <si>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</si>
  <si>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</si>
  <si>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</si>
  <si>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</si>
  <si>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</si>
  <si>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</si>
  <si>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</si>
  <si>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</si>
  <si>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</si>
  <si>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</si>
  <si>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</si>
  <si>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</si>
  <si>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</si>
  <si>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</si>
  <si>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</si>
  <si>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</si>
  <si>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</si>
  <si>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</si>
  <si>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</si>
  <si>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</si>
  <si>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</si>
  <si>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</si>
  <si>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</si>
  <si>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</si>
  <si>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</si>
  <si>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</si>
  <si>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</si>
  <si>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</si>
  <si>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</si>
  <si>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</t>
  </si>
  <si>
    <t>SALE80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</si>
  <si>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</si>
  <si>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</si>
  <si>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</si>
  <si>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</si>
  <si>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</si>
  <si>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</si>
  <si>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</si>
  <si>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</si>
  <si>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</si>
  <si>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</si>
  <si>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</si>
  <si>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</si>
  <si>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</si>
  <si>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</si>
  <si>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</si>
  <si>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</si>
  <si>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</si>
  <si>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</si>
  <si>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</si>
  <si>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</si>
  <si>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</si>
  <si>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</si>
  <si>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</si>
  <si>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</si>
  <si>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</si>
  <si>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</si>
  <si>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</si>
  <si>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</si>
  <si>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</si>
  <si>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</si>
  <si>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</si>
  <si>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</si>
  <si>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</si>
  <si>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</si>
  <si>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</si>
  <si>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</si>
  <si>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</si>
  <si>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</si>
  <si>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</si>
  <si>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</si>
  <si>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</si>
  <si>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</si>
  <si>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</si>
  <si>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</si>
  <si>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</si>
  <si>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</si>
  <si>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</si>
  <si>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</si>
  <si>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</si>
  <si>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</si>
  <si>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</si>
  <si>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</si>
  <si>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</si>
  <si>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</si>
  <si>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</si>
  <si>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</si>
  <si>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</si>
  <si>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</si>
  <si>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</si>
  <si>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</si>
  <si>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</si>
  <si>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</si>
  <si>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</si>
  <si>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</si>
  <si>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</si>
  <si>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</si>
  <si>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</si>
  <si>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</si>
  <si>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</si>
  <si>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</si>
  <si>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</si>
  <si>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</si>
  <si>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</si>
  <si>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</si>
  <si>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</si>
  <si>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</si>
  <si>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</si>
  <si>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</si>
  <si>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</si>
  <si>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</si>
  <si>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</si>
  <si>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</si>
  <si>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</si>
  <si>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</si>
  <si>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</si>
  <si>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</si>
  <si>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</si>
  <si>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</si>
  <si>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</si>
  <si>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</si>
  <si>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</si>
  <si>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</si>
  <si>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</si>
  <si>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</si>
  <si>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</si>
  <si>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</si>
  <si>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</si>
  <si>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</si>
  <si>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</si>
  <si>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</si>
  <si>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</si>
  <si>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</si>
  <si>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</si>
  <si>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</si>
  <si>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</si>
  <si>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</si>
  <si>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</si>
  <si>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</si>
  <si>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</si>
  <si>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</t>
  </si>
  <si>
    <t>SALE90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</si>
  <si>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</si>
  <si>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</si>
  <si>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</si>
  <si>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</si>
  <si>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</si>
  <si>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</si>
  <si>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</si>
  <si>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</si>
  <si>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</si>
  <si>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</si>
  <si>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</si>
  <si>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</si>
  <si>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</si>
  <si>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</si>
  <si>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</si>
  <si>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</si>
  <si>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</si>
  <si>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</si>
  <si>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</si>
  <si>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</si>
  <si>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</si>
  <si>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</si>
  <si>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</si>
  <si>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</si>
  <si>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</si>
  <si>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</si>
  <si>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</si>
  <si>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</si>
  <si>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</si>
  <si>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</si>
  <si>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</si>
  <si>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</si>
  <si>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</si>
  <si>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</si>
  <si>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</si>
  <si>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</si>
  <si>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</si>
  <si>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</si>
  <si>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</si>
  <si>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</si>
  <si>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</si>
  <si>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</si>
  <si>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</si>
  <si>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</si>
  <si>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</si>
  <si>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</si>
  <si>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</si>
  <si>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</si>
  <si>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</si>
  <si>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</si>
  <si>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</si>
  <si>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</si>
  <si>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</si>
  <si>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</si>
  <si>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</si>
  <si>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</si>
  <si>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</si>
  <si>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</si>
  <si>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</si>
  <si>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</si>
  <si>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</si>
  <si>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</si>
  <si>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</si>
  <si>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</si>
  <si>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</si>
  <si>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</si>
  <si>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</si>
  <si>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</si>
  <si>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</si>
  <si>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</si>
  <si>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</si>
  <si>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</si>
  <si>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</si>
  <si>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</si>
  <si>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</si>
  <si>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</si>
  <si>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</si>
  <si>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</si>
  <si>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</si>
  <si>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</si>
  <si>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</si>
  <si>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</si>
  <si>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</si>
  <si>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</si>
  <si>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</si>
  <si>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</si>
  <si>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</si>
  <si>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</si>
  <si>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</si>
  <si>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</si>
  <si>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</si>
  <si>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</si>
  <si>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</si>
  <si>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</si>
  <si>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</si>
  <si>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</si>
  <si>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</si>
  <si>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</si>
  <si>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</si>
  <si>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</si>
  <si>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</si>
  <si>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</si>
  <si>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</si>
  <si>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</si>
  <si>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</si>
  <si>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</si>
  <si>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</si>
  <si>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</si>
  <si>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</si>
  <si>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 xml:space="preserve">                            TOTAL AMOUNT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</si>
  <si>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</si>
  <si>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</si>
  <si>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</si>
  <si>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</si>
  <si>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</si>
  <si>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</si>
  <si>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</si>
  <si>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</si>
  <si>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</si>
  <si>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</si>
  <si>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</si>
  <si>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</si>
  <si>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Sum of Total_Amount</t>
  </si>
  <si>
    <t xml:space="preserve">Count of Product Name </t>
  </si>
  <si>
    <t>Grand Total</t>
  </si>
  <si>
    <t>Count of Sales Perfomance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</si>
  <si>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</si>
  <si>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</si>
  <si>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</si>
  <si>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</si>
  <si>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</si>
  <si>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</si>
  <si>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</si>
  <si>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</si>
  <si>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</si>
  <si>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</si>
  <si>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</si>
  <si>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</si>
  <si>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Count of Customer_ID</t>
  </si>
  <si>
    <t>Standard</t>
  </si>
  <si>
    <t>Monthly Revenue Trend</t>
  </si>
  <si>
    <t>Top 10 Products by Revenue</t>
  </si>
  <si>
    <t>Product</t>
  </si>
  <si>
    <t>Revenue</t>
  </si>
  <si>
    <t>Revenue by Payment Type</t>
  </si>
  <si>
    <t>Payment Type</t>
  </si>
  <si>
    <t>Sales Performance by Region</t>
  </si>
  <si>
    <t>High</t>
  </si>
  <si>
    <t>Low</t>
  </si>
  <si>
    <t>Average Order Value by Loyalty Tier</t>
  </si>
  <si>
    <t>Loyalty Tier</t>
  </si>
  <si>
    <t xml:space="preserve"> </t>
  </si>
  <si>
    <t xml:space="preserve">KEY  INSIGHTS </t>
  </si>
  <si>
    <t> </t>
  </si>
  <si>
    <t>1. Sales Performance</t>
  </si>
  <si>
    <t>Looking at the Category-wise sales.</t>
  </si>
  <si>
    <t>The Sports Category contributes the largest share of total sales.</t>
  </si>
  <si>
    <t>Total revenue in the Sports category is $540,882.82.</t>
  </si>
  <si>
    <t>….....................................................................................................................................................</t>
  </si>
  <si>
    <t>2. Region-wise Sales</t>
  </si>
  <si>
    <t>Looking at the Region-wise sales.</t>
  </si>
  <si>
    <t>The North Region has the highest sales record of $451,616.750.</t>
  </si>
  <si>
    <t>The West Region has the lowest sales record when compared to other regions with $270,676.406.</t>
  </si>
  <si>
    <t>…........................................................................................................................................................</t>
  </si>
  <si>
    <t>3. Loyalty Level with Payment Method</t>
  </si>
  <si>
    <t>Looking at the Loyalty level with Total revenue and Payment method.</t>
  </si>
  <si>
    <t>Platinum customers have the highest transaction values.</t>
  </si>
  <si>
    <t>The most commonly used payment method is PayPal.</t>
  </si>
  <si>
    <t>Most transactions are widely among customers.</t>
  </si>
  <si>
    <t>…...........................................................................................................................................................</t>
  </si>
  <si>
    <t>4. Monthly Sales Distribution</t>
  </si>
  <si>
    <t>Looking at the monthly sales and products.</t>
  </si>
  <si>
    <t>March month has the highest contribution in total revenue of $210,704.52.</t>
  </si>
  <si>
    <t>Highly purchased product is Men’s casual sneakers.</t>
  </si>
  <si>
    <t>…..............................................................................................................................................................</t>
  </si>
  <si>
    <t>Steps Involved</t>
  </si>
  <si>
    <t>Data Cleaning</t>
  </si>
  <si>
    <t>Imported dataset and created tables and named them.</t>
  </si>
  <si>
    <t>Formatted the Name and City columns using TRIM(PROPER(TEXT)).</t>
  </si>
  <si>
    <t>Replaced the inconsistent "Unknown" value in ProductName and Replace using Ctrl+H.</t>
  </si>
  <si>
    <t>Changed the Unit Price and Total Amount to Currency format.</t>
  </si>
  <si>
    <t>…..........................................................................................................................................................</t>
  </si>
  <si>
    <t>Data Imputation</t>
  </si>
  <si>
    <t>Imputed the Loyalty level missing value as Uncategorized.</t>
  </si>
  <si>
    <t>Imputed cost missing value using:</t>
  </si>
  <si>
    <t>IF(ISBLANK(Cost),AVERAGEIFS(tbl_CategoryList[Cost],</t>
  </si>
  <si>
    <t>tbl_CategoryList[Sub_Category],[Sub_Category],</t>
  </si>
  <si>
    <t>tbl_CategoryList[Category],[Category]),Cost)</t>
  </si>
  <si>
    <t>Imputed stock missing value using:</t>
  </si>
  <si>
    <t>IF(ISBLANK(Stock),AVERAGEIFS(tbl_CategoryList[Stock],</t>
  </si>
  <si>
    <t>tbl_CategoryList[Category],[Category],</t>
  </si>
  <si>
    <t>tbl_CategoryList[Sub_Category],[Sub_Category]),Stock)</t>
  </si>
  <si>
    <t>Imputed quantity missing value using:</t>
  </si>
  <si>
    <t>IF(ISBLANK(Quantity),AVERAGEIF(Product_ID,[Product_ID],[Quantity]),Quantity)</t>
  </si>
  <si>
    <t>…..................................................................................................................................................................</t>
  </si>
  <si>
    <t>Data Transformation</t>
  </si>
  <si>
    <t>Month is extracted from order date using:</t>
  </si>
  <si>
    <t>TEXT(TEXT VALUE,"MMM")</t>
  </si>
  <si>
    <t>…...................................................................................................................................................................</t>
  </si>
  <si>
    <t>Conditional Formatting</t>
  </si>
  <si>
    <t>Used in Order Range and Sales Performance columns to highlight bulk orders and high performance.</t>
  </si>
  <si>
    <t>….......................................................................................................................................................................</t>
  </si>
  <si>
    <t>Lookup and XLOOKUP</t>
  </si>
  <si>
    <t>Used VLOOKUP formula to combine the tables.</t>
  </si>
  <si>
    <t>Imported the needed columns like:</t>
  </si>
  <si>
    <t>Customer Name</t>
  </si>
  <si>
    <t>Product Name</t>
  </si>
  <si>
    <t>Store Region</t>
  </si>
  <si>
    <t>Loyalty Level</t>
  </si>
  <si>
    <t>….............................................................................................................................................................</t>
  </si>
  <si>
    <t>IF Formula</t>
  </si>
  <si>
    <t>Used IF formula in Sales Performance column and Order Range column to find:</t>
  </si>
  <si>
    <t>High sales performance</t>
  </si>
  <si>
    <t>Bulk orders</t>
  </si>
  <si>
    <t>Descriptive Statistics</t>
  </si>
  <si>
    <t>Used:</t>
  </si>
  <si>
    <t>SUM</t>
  </si>
  <si>
    <t>COUNT</t>
  </si>
  <si>
    <t>AVERAGE</t>
  </si>
  <si>
    <t>AVERAGEIF</t>
  </si>
  <si>
    <t>MAX</t>
  </si>
  <si>
    <t>To find:</t>
  </si>
  <si>
    <t>Total sales</t>
  </si>
  <si>
    <t>Number of bulk orders</t>
  </si>
  <si>
    <t>Total orders</t>
  </si>
  <si>
    <t>Mean of total sales</t>
  </si>
  <si>
    <t>Maximum sales amount</t>
  </si>
  <si>
    <t>…...............................................................................................................................................................</t>
  </si>
  <si>
    <t>Visualization</t>
  </si>
  <si>
    <t>Created Pivot Tables and Charts.</t>
  </si>
  <si>
    <t>Dashboard Creation</t>
  </si>
  <si>
    <t>Designed an interactive Excel dashboard to present insights.</t>
  </si>
  <si>
    <t>Descriptive Statistical
Pivot Table
Chat Visualistaion
Dash Baord creation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</si>
</sst>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#,##0"/>
    <numFmt numFmtId="165" formatCode="[$$-409]#,##0.00"/>
    <numFmt numFmtId="166" formatCode="yyyy\-mm\-dd"/>
  </numFmts>
  <fonts count="23">
    <font>
      <sz val="11"/>
      <color rgb="FF000000"/>
      <name val="Arial"/>
      <charset val="1"/>
    </font>
    <font>
      <b/>
      <sz val="22"/>
      <color rgb="FF222222"/>
      <name val="Arial"/>
      <charset val="1"/>
    </font>
    <font>
      <i/>
      <sz val="10"/>
      <color rgb="FF757575"/>
      <name val="Arial"/>
      <charset val="1"/>
    </font>
    <font>
      <b/>
      <sz val="10"/>
      <color rgb="FF757575"/>
      <name val="Arial"/>
      <charset val="1"/>
    </font>
    <font>
      <b/>
      <sz val="18"/>
      <color rgb="FF1A1A1A"/>
      <name val="Calibri"/>
      <charset val="1"/>
    </font>
    <font>
      <b/>
      <sz val="13"/>
      <color rgb="FF222222"/>
      <name val="Arial"/>
      <charset val="1"/>
    </font>
    <font>
      <b/>
      <sz val="11"/>
      <color rgb="FFFFFFFF"/>
      <name val="Calibri"/>
      <charset val="1"/>
    </font>
    <font>
      <sz val="11"/>
      <color rgb="FFFFFFFF"/>
      <name val="Arial"/>
      <charset val="1"/>
    </font>
    <font>
      <sz val="11"/>
      <color theme="1"/>
      <name val="Calibri"/>
      <charset val="1"/>
    </font>
    <font>
      <sz val="11"/>
      <color theme="1"/>
      <name val="Arial"/>
      <charset val="1"/>
    </font>
    <font>
      <b/>
      <sz val="11"/>
      <color theme="1"/>
      <name val="Calibri"/>
      <charset val="1"/>
    </font>
    <font>
      <sz val="11"/>
      <color rgb="FFFFFFFF"/>
      <name val="Calibri"/>
      <charset val="1"/>
    </font>
    <font>
      <i/>
      <sz val="11"/>
      <color rgb="FF000000"/>
      <name val="Calibri"/>
      <charset val="1"/>
    </font>
    <font>
      <sz val="11"/>
      <color rgb="FF000000"/>
      <name val="Calibri"/>
      <charset val="1"/>
    </font>
    <font>
      <b/>
      <sz val="12"/>
      <color rgb="FF757575"/>
      <name val="Calibri"/>
      <charset val="1"/>
    </font>
    <font>
      <b/>
      <sz val="11"/>
      <name val="Arial"/>
      <charset val="1"/>
    </font>
    <font>
      <sz val="11"/>
      <name val="Arial"/>
      <charset val="1"/>
    </font>
    <font>
      <sz val="11"/>
      <name val="Calibri"/>
      <charset val="1"/>
    </font>
    <font>
      <sz val="14"/>
      <color rgb="FF000000"/>
      <name val="Calibri"/>
      <charset val="1"/>
    </font>
    <font>
      <b/>
      <sz val="14"/>
      <color rgb="FF000000"/>
      <name val="Arial Black"/>
      <charset val="1"/>
    </font>
    <font>
      <b/>
      <sz val="14"/>
      <color rgb="FF000000"/>
      <name val="Calibri"/>
      <charset val="1"/>
    </font>
    <font>
      <sz val="14"/>
      <color rgb="FF000000"/>
      <name val="arial"/>
      <charset val="1"/>
    </font>
    <font>
      <b/>
      <sz val="11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rgb="FFF1F3F4"/>
        <bgColor rgb="FFFFFFFF"/>
      </patternFill>
    </fill>
    <fill>
      <patternFill patternType="solid">
        <fgColor rgb="FFFFFFFF"/>
        <bgColor rgb="FFF1F3F4"/>
      </patternFill>
    </fill>
    <fill>
      <patternFill patternType="solid">
        <fgColor rgb="FFFFFF00"/>
        <bgColor rgb="FFFFFF00"/>
      </patternFill>
    </fill>
    <fill>
      <patternFill patternType="solid">
        <fgColor rgb="FF76933C"/>
        <bgColor rgb="FF8B8B8B"/>
      </patternFill>
    </fill>
    <fill>
      <patternFill patternType="solid">
        <fgColor rgb="FFD8E4BC"/>
        <bgColor rgb="FFD9D9D9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FFFFFF"/>
      </left>
      <right/>
      <top style="thin">
        <color auto="1"/>
      </top>
      <bottom/>
      <diagonal/>
    </border>
    <border>
      <left style="thin">
        <color rgb="FFFFFFFF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FFFFFF"/>
      </left>
      <right style="thin">
        <color auto="1"/>
      </right>
      <top style="thin">
        <color rgb="FFFFFFFF"/>
      </top>
      <bottom/>
      <diagonal/>
    </border>
    <border>
      <left style="thin">
        <color auto="1"/>
      </left>
      <right/>
      <top style="thin">
        <color rgb="FFFFFFFF"/>
      </top>
      <bottom style="thin">
        <color auto="1"/>
      </bottom>
      <diagonal/>
    </border>
    <border>
      <left style="thin">
        <color rgb="FFFFFFFF"/>
      </left>
      <right/>
      <top style="thin">
        <color rgb="FFFFFFFF"/>
      </top>
      <bottom style="thin">
        <color auto="1"/>
      </bottom>
      <diagonal/>
    </border>
    <border>
      <left style="thin">
        <color rgb="FFFFFFFF"/>
      </left>
      <right style="thin">
        <color auto="1"/>
      </right>
      <top style="thin">
        <color rgb="FFFFFFFF"/>
      </top>
      <bottom style="thin">
        <color auto="1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/>
      <top/>
      <bottom style="thin">
        <color rgb="FFD0D0D0"/>
      </bottom>
      <diagonal/>
    </border>
    <border>
      <left/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6" fillId="0" borderId="1" xfId="0" applyFont="1" applyBorder="1" applyAlignment="1">
      <alignment horizontal="center" vertical="top"/>
    </xf>
    <xf numFmtId="0" fontId="7" fillId="0" borderId="0" xfId="0" applyFont="1"/>
    <xf numFmtId="2" fontId="8" fillId="0" borderId="0" xfId="0" applyNumberFormat="1" applyFont="1"/>
    <xf numFmtId="0" fontId="9" fillId="0" borderId="0" xfId="0" applyFont="1"/>
    <xf numFmtId="0" fontId="10" fillId="0" borderId="2" xfId="0" applyFont="1" applyBorder="1" applyAlignment="1">
      <alignment horizontal="center" vertical="top"/>
    </xf>
    <xf numFmtId="165" fontId="6" fillId="0" borderId="1" xfId="0" applyNumberFormat="1" applyFont="1" applyBorder="1" applyAlignment="1">
      <alignment horizontal="center" vertical="top"/>
    </xf>
    <xf numFmtId="165" fontId="11" fillId="0" borderId="0" xfId="0" applyNumberFormat="1" applyFont="1"/>
    <xf numFmtId="2" fontId="11" fillId="0" borderId="0" xfId="0" applyNumberFormat="1" applyFont="1"/>
    <xf numFmtId="166" fontId="8" fillId="0" borderId="0" xfId="0" applyNumberFormat="1" applyFont="1"/>
    <xf numFmtId="165" fontId="8" fillId="0" borderId="0" xfId="0" applyNumberFormat="1" applyFont="1"/>
    <xf numFmtId="0" fontId="8" fillId="0" borderId="0" xfId="0" applyFont="1"/>
    <xf numFmtId="0" fontId="12" fillId="4" borderId="0" xfId="0" applyFont="1" applyFill="1"/>
    <xf numFmtId="0" fontId="13" fillId="4" borderId="0" xfId="0" applyFont="1" applyFill="1"/>
    <xf numFmtId="165" fontId="13" fillId="4" borderId="0" xfId="0" applyNumberFormat="1" applyFont="1" applyFill="1"/>
    <xf numFmtId="0" fontId="13" fillId="4" borderId="3" xfId="0" applyFont="1" applyFill="1" applyBorder="1"/>
    <xf numFmtId="0" fontId="14" fillId="0" borderId="0" xfId="0" applyFont="1"/>
    <xf numFmtId="0" fontId="8" fillId="0" borderId="6" xfId="0" applyFont="1" applyBorder="1"/>
    <xf numFmtId="0" fontId="8" fillId="0" borderId="9" xfId="0" applyFont="1" applyBorder="1"/>
    <xf numFmtId="0" fontId="8" fillId="0" borderId="12" xfId="0" applyFont="1" applyBorder="1"/>
    <xf numFmtId="3" fontId="17" fillId="0" borderId="0" xfId="0" applyNumberFormat="1" applyFont="1"/>
    <xf numFmtId="0" fontId="15" fillId="0" borderId="0" xfId="0" applyFont="1"/>
    <xf numFmtId="0" fontId="16" fillId="0" borderId="0" xfId="0" applyFont="1"/>
    <xf numFmtId="3" fontId="15" fillId="0" borderId="0" xfId="0" applyNumberFormat="1" applyFont="1"/>
    <xf numFmtId="0" fontId="17" fillId="0" borderId="0" xfId="0" applyFont="1"/>
    <xf numFmtId="0" fontId="18" fillId="0" borderId="0" xfId="0" applyFont="1"/>
    <xf numFmtId="0" fontId="19" fillId="5" borderId="0" xfId="0" applyFont="1" applyFill="1"/>
    <xf numFmtId="0" fontId="18" fillId="6" borderId="0" xfId="0" applyFont="1" applyFill="1"/>
    <xf numFmtId="0" fontId="20" fillId="6" borderId="0" xfId="0" applyFont="1" applyFill="1"/>
    <xf numFmtId="0" fontId="21" fillId="6" borderId="0" xfId="0" applyFont="1" applyFill="1"/>
    <xf numFmtId="0" fontId="18" fillId="6" borderId="0" xfId="0" applyFont="1" applyFill="1" applyAlignment="1">
      <alignment wrapText="1"/>
    </xf>
    <xf numFmtId="0" fontId="22" fillId="0" borderId="0" xfId="0" applyFont="1"/>
    <xf numFmtId="4" fontId="17" fillId="0" borderId="0" xfId="0" applyNumberFormat="1" applyFont="1"/>
    <xf numFmtId="0" fontId="14" fillId="0" borderId="0" xfId="0" applyFont="1" applyAlignment="1">
      <alignment wrapText="1"/>
    </xf>
    <xf numFmtId="0" fontId="0" fillId="0" borderId="0" xfId="0" applyAlignment="1">
      <alignment wrapText="1"/>
    </xf>
    <xf numFmtId="0" fontId="15" fillId="0" borderId="4" xfId="0" applyFont="1" applyBorder="1" applyAlignment="1">
      <alignment wrapText="1"/>
    </xf>
    <xf numFmtId="0" fontId="15" fillId="0" borderId="5" xfId="0" applyFont="1" applyBorder="1" applyAlignment="1">
      <alignment wrapText="1"/>
    </xf>
    <xf numFmtId="17" fontId="16" fillId="0" borderId="7" xfId="0" applyNumberFormat="1" applyFont="1" applyBorder="1" applyAlignment="1">
      <alignment wrapText="1"/>
    </xf>
    <xf numFmtId="3" fontId="17" fillId="0" borderId="8" xfId="0" applyNumberFormat="1" applyFont="1" applyBorder="1" applyAlignment="1">
      <alignment wrapText="1"/>
    </xf>
    <xf numFmtId="17" fontId="16" fillId="0" borderId="10" xfId="0" applyNumberFormat="1" applyFont="1" applyBorder="1" applyAlignment="1">
      <alignment wrapText="1"/>
    </xf>
    <xf numFmtId="3" fontId="17" fillId="0" borderId="11" xfId="0" applyNumberFormat="1" applyFont="1" applyBorder="1" applyAlignment="1">
      <alignment wrapText="1"/>
    </xf>
    <xf numFmtId="17" fontId="16" fillId="0" borderId="0" xfId="0" applyNumberFormat="1" applyFont="1" applyAlignment="1">
      <alignment wrapText="1"/>
    </xf>
    <xf numFmtId="3" fontId="17" fillId="0" borderId="0" xfId="0" applyNumberFormat="1" applyFont="1" applyAlignment="1">
      <alignment wrapText="1"/>
    </xf>
    <xf numFmtId="0" fontId="1" fillId="0" borderId="0" xfId="0" applyFont="1" applyAlignment="1">
      <alignment vertical="center"/>
    </xf>
    <xf numFmtId="0" fontId="2" fillId="0" borderId="0" xfId="0" applyFont="1" applyAlignment="1"/>
    <xf numFmtId="49" fontId="4" fillId="3" borderId="15" xfId="0" applyNumberFormat="1" applyFont="1" applyFill="1" applyBorder="1" applyAlignment="1">
      <alignment horizontal="center" vertical="center"/>
    </xf>
    <xf numFmtId="49" fontId="4" fillId="3" borderId="16" xfId="0" applyNumberFormat="1" applyFont="1" applyFill="1" applyBorder="1" applyAlignment="1">
      <alignment horizontal="center" vertical="center"/>
    </xf>
    <xf numFmtId="49" fontId="4" fillId="3" borderId="17" xfId="0" applyNumberFormat="1" applyFont="1" applyFill="1" applyBorder="1" applyAlignment="1">
      <alignment horizontal="center" vertical="center"/>
    </xf>
    <xf numFmtId="49" fontId="4" fillId="3" borderId="18" xfId="0" applyNumberFormat="1" applyFont="1" applyFill="1" applyBorder="1" applyAlignment="1">
      <alignment horizontal="center" vertical="center"/>
    </xf>
    <xf numFmtId="0" fontId="5" fillId="0" borderId="0" xfId="0" applyFont="1" applyAlignment="1"/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3" fontId="4" fillId="3" borderId="15" xfId="0" applyNumberFormat="1" applyFont="1" applyFill="1" applyBorder="1" applyAlignment="1">
      <alignment horizontal="center" vertical="center"/>
    </xf>
    <xf numFmtId="3" fontId="4" fillId="3" borderId="16" xfId="0" applyNumberFormat="1" applyFont="1" applyFill="1" applyBorder="1" applyAlignment="1">
      <alignment horizontal="center" vertical="center"/>
    </xf>
    <xf numFmtId="3" fontId="4" fillId="3" borderId="17" xfId="0" applyNumberFormat="1" applyFont="1" applyFill="1" applyBorder="1" applyAlignment="1">
      <alignment horizontal="center" vertical="center"/>
    </xf>
    <xf numFmtId="3" fontId="4" fillId="3" borderId="18" xfId="0" applyNumberFormat="1" applyFont="1" applyFill="1" applyBorder="1" applyAlignment="1">
      <alignment horizontal="center" vertical="center"/>
    </xf>
    <xf numFmtId="164" fontId="4" fillId="3" borderId="15" xfId="0" applyNumberFormat="1" applyFont="1" applyFill="1" applyBorder="1" applyAlignment="1">
      <alignment horizontal="center" vertical="center"/>
    </xf>
    <xf numFmtId="164" fontId="4" fillId="3" borderId="16" xfId="0" applyNumberFormat="1" applyFont="1" applyFill="1" applyBorder="1" applyAlignment="1">
      <alignment horizontal="center" vertical="center"/>
    </xf>
    <xf numFmtId="164" fontId="4" fillId="3" borderId="17" xfId="0" applyNumberFormat="1" applyFont="1" applyFill="1" applyBorder="1" applyAlignment="1">
      <alignment horizontal="center" vertical="center"/>
    </xf>
    <xf numFmtId="164" fontId="4" fillId="3" borderId="1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6933C"/>
      <rgbColor rgb="FF800080"/>
      <rgbColor rgb="FF4F81BD"/>
      <rgbColor rgb="FFB7B7B7"/>
      <rgbColor rgb="FF757575"/>
      <rgbColor rgb="FF4BACC6"/>
      <rgbColor rgb="FFC0504D"/>
      <rgbColor rgb="FFF1F3F4"/>
      <rgbColor rgb="FFD9D9D9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E4BC"/>
      <rgbColor rgb="FFFFFF99"/>
      <rgbColor rgb="FFB3B3B3"/>
      <rgbColor rgb="FFFF99CC"/>
      <rgbColor rgb="FFCC99FF"/>
      <rgbColor rgb="FFFFC7CE"/>
      <rgbColor rgb="FF4285F4"/>
      <rgbColor rgb="FF46BDC6"/>
      <rgbColor rgb="FF9BBB59"/>
      <rgbColor rgb="FFFBBC04"/>
      <rgbColor rgb="FFFF9900"/>
      <rgbColor rgb="FFFF6D01"/>
      <rgbColor rgb="FF8064A2"/>
      <rgbColor rgb="FF8B8B8B"/>
      <rgbColor rgb="FF003366"/>
      <rgbColor rgb="FF34A853"/>
      <rgbColor rgb="FF003300"/>
      <rgbColor rgb="FF1A1A1A"/>
      <rgbColor rgb="FF993300"/>
      <rgbColor rgb="FFEA4335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Revenue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spPr>
            <a:gradFill>
              <a:gsLst>
                <a:gs pos="0">
                  <a:schemeClr val="accent1">
                    <a:lumMod val="102000"/>
                    <a:tint val="94000"/>
                  </a:schemeClr>
                </a:gs>
                <a:gs pos="50000">
                  <a:schemeClr val="accent1"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  <a:sp3d/>
          </c:spPr>
          <c:invertIfNegative val="0"/>
          <c:cat>
            <c:strRef>
              <c:f>'Pivot and Visualizations '!$A$4:$A$7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and Visualizations '!$B$4:$B$7</c:f>
              <c:numCache>
                <c:formatCode>General</c:formatCode>
                <c:ptCount val="4"/>
                <c:pt idx="0">
                  <c:v>619851.20530000096</c:v>
                </c:pt>
                <c:pt idx="1">
                  <c:v>645166.75039999897</c:v>
                </c:pt>
                <c:pt idx="2">
                  <c:v>635213.09569999995</c:v>
                </c:pt>
                <c:pt idx="3">
                  <c:v>270676.40600000002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5A-4272-8059-6486D09C88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25701551"/>
        <c:axId val="1251601103"/>
        <c:axId val="0"/>
      </c:bar3DChart>
      <c:catAx>
        <c:axId val="1325701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601103"/>
        <c:crosses val="autoZero"/>
        <c:auto val="1"/>
        <c:lblAlgn val="ctr"/>
        <c:lblOffset val="100"/>
        <c:noMultiLvlLbl val="0"/>
      </c:catAx>
      <c:valAx>
        <c:axId val="125160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701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Revenue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102000"/>
                      <a:tint val="94000"/>
                    </a:schemeClr>
                  </a:gs>
                  <a:gs pos="50000">
                    <a:schemeClr val="accent1"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hade val="78000"/>
                    </a:schemeClr>
                  </a:gs>
                </a:gsLst>
                <a:lin ang="5400000" scaled="0"/>
                <a:tileRect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868C-4D35-AE16-005C816A7150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102000"/>
                      <a:tint val="94000"/>
                    </a:schemeClr>
                  </a:gs>
                  <a:gs pos="50000">
                    <a:schemeClr val="accent2"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hade val="78000"/>
                    </a:schemeClr>
                  </a:gs>
                </a:gsLst>
                <a:lin ang="5400000" scaled="0"/>
                <a:tileRect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868C-4D35-AE16-005C816A7150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102000"/>
                      <a:tint val="94000"/>
                    </a:schemeClr>
                  </a:gs>
                  <a:gs pos="50000">
                    <a:schemeClr val="accent3"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hade val="78000"/>
                    </a:schemeClr>
                  </a:gs>
                </a:gsLst>
                <a:lin ang="5400000" scaled="0"/>
                <a:tileRect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868C-4D35-AE16-005C816A7150}"/>
              </c:ext>
            </c:extLst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102000"/>
                      <a:tint val="94000"/>
                    </a:schemeClr>
                  </a:gs>
                  <a:gs pos="50000">
                    <a:schemeClr val="accent4"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hade val="78000"/>
                    </a:schemeClr>
                  </a:gs>
                </a:gsLst>
                <a:lin ang="5400000" scaled="0"/>
                <a:tileRect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868C-4D35-AE16-005C816A7150}"/>
              </c:ext>
            </c:extLst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102000"/>
                      <a:tint val="94000"/>
                    </a:schemeClr>
                  </a:gs>
                  <a:gs pos="50000">
                    <a:schemeClr val="accent5"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hade val="78000"/>
                    </a:schemeClr>
                  </a:gs>
                </a:gsLst>
                <a:lin ang="5400000" scaled="0"/>
                <a:tileRect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868C-4D35-AE16-005C816A715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1"/>
            <c:showBubbleSize val="0"/>
            <c:separator>; </c:separator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and Visualizations '!$A$12:$A$16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'Pivot and Visualizations '!$B$12:$B$16</c:f>
              <c:numCache>
                <c:formatCode>General</c:formatCode>
                <c:ptCount val="5"/>
                <c:pt idx="0">
                  <c:v>321362.08990000002</c:v>
                </c:pt>
                <c:pt idx="1">
                  <c:v>377055.37410000002</c:v>
                </c:pt>
                <c:pt idx="2">
                  <c:v>504311.348</c:v>
                </c:pt>
                <c:pt idx="3">
                  <c:v>427295.80359999998</c:v>
                </c:pt>
                <c:pt idx="4">
                  <c:v>540882.84180000005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68C-4D35-AE16-005C816A7150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Monthly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'Pivot and Visualizations '!$A$47:$A$71</c:f>
              <c:numCache>
                <c:formatCode>mmm\-yy</c:formatCode>
                <c:ptCount val="25"/>
                <c:pt idx="0">
                  <c:v>45200</c:v>
                </c:pt>
                <c:pt idx="1">
                  <c:v>45231</c:v>
                </c:pt>
                <c:pt idx="2">
                  <c:v>45261</c:v>
                </c:pt>
                <c:pt idx="3">
                  <c:v>45292</c:v>
                </c:pt>
                <c:pt idx="4">
                  <c:v>45323</c:v>
                </c:pt>
                <c:pt idx="5">
                  <c:v>45352</c:v>
                </c:pt>
                <c:pt idx="6">
                  <c:v>45383</c:v>
                </c:pt>
                <c:pt idx="7">
                  <c:v>45413</c:v>
                </c:pt>
                <c:pt idx="8">
                  <c:v>45444</c:v>
                </c:pt>
                <c:pt idx="9">
                  <c:v>45474</c:v>
                </c:pt>
                <c:pt idx="10">
                  <c:v>45505</c:v>
                </c:pt>
                <c:pt idx="11">
                  <c:v>45536</c:v>
                </c:pt>
                <c:pt idx="12">
                  <c:v>45566</c:v>
                </c:pt>
                <c:pt idx="13">
                  <c:v>45597</c:v>
                </c:pt>
                <c:pt idx="14">
                  <c:v>45627</c:v>
                </c:pt>
                <c:pt idx="15">
                  <c:v>45658</c:v>
                </c:pt>
                <c:pt idx="16">
                  <c:v>45689</c:v>
                </c:pt>
                <c:pt idx="17">
                  <c:v>45717</c:v>
                </c:pt>
                <c:pt idx="18">
                  <c:v>45748</c:v>
                </c:pt>
                <c:pt idx="19">
                  <c:v>45778</c:v>
                </c:pt>
                <c:pt idx="20">
                  <c:v>45809</c:v>
                </c:pt>
                <c:pt idx="21">
                  <c:v>45839</c:v>
                </c:pt>
                <c:pt idx="22">
                  <c:v>45870</c:v>
                </c:pt>
                <c:pt idx="23">
                  <c:v>45901</c:v>
                </c:pt>
                <c:pt idx="24">
                  <c:v>45931</c:v>
                </c:pt>
              </c:numCache>
            </c:numRef>
          </c:cat>
          <c:val>
            <c:numRef>
              <c:f>'Pivot and Visualizations '!$B$47:$B$71</c:f>
              <c:numCache>
                <c:formatCode>#,##0</c:formatCode>
                <c:ptCount val="25"/>
                <c:pt idx="0">
                  <c:v>43700.662899999996</c:v>
                </c:pt>
                <c:pt idx="1">
                  <c:v>84402.868700000006</c:v>
                </c:pt>
                <c:pt idx="2">
                  <c:v>94277.112100000013</c:v>
                </c:pt>
                <c:pt idx="3">
                  <c:v>81336.269000000015</c:v>
                </c:pt>
                <c:pt idx="4">
                  <c:v>83018.279399999985</c:v>
                </c:pt>
                <c:pt idx="5">
                  <c:v>103306.92969999996</c:v>
                </c:pt>
                <c:pt idx="6">
                  <c:v>90470.73089999998</c:v>
                </c:pt>
                <c:pt idx="7">
                  <c:v>57825.221400000009</c:v>
                </c:pt>
                <c:pt idx="8">
                  <c:v>97004.00469999999</c:v>
                </c:pt>
                <c:pt idx="9">
                  <c:v>93582.268800000005</c:v>
                </c:pt>
                <c:pt idx="10">
                  <c:v>92326.515899999999</c:v>
                </c:pt>
                <c:pt idx="11">
                  <c:v>100811.46039999997</c:v>
                </c:pt>
                <c:pt idx="12">
                  <c:v>102567.64670000001</c:v>
                </c:pt>
                <c:pt idx="13">
                  <c:v>102983.29950000001</c:v>
                </c:pt>
                <c:pt idx="14">
                  <c:v>87586.276100000032</c:v>
                </c:pt>
                <c:pt idx="15">
                  <c:v>90743.219699999972</c:v>
                </c:pt>
                <c:pt idx="16">
                  <c:v>72055.659699999975</c:v>
                </c:pt>
                <c:pt idx="17">
                  <c:v>107588.86269999995</c:v>
                </c:pt>
                <c:pt idx="18">
                  <c:v>102514.10639999999</c:v>
                </c:pt>
                <c:pt idx="19">
                  <c:v>87852.996500000008</c:v>
                </c:pt>
                <c:pt idx="20">
                  <c:v>65636.011800000022</c:v>
                </c:pt>
                <c:pt idx="21">
                  <c:v>101129.54660000002</c:v>
                </c:pt>
                <c:pt idx="22">
                  <c:v>100889.1234</c:v>
                </c:pt>
                <c:pt idx="23">
                  <c:v>88892.920600000027</c:v>
                </c:pt>
                <c:pt idx="24">
                  <c:v>38467.816300000006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83-408A-A6C4-8E8CC3BA4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>
              <a:solidFill>
                <a:schemeClr val="lt1">
                  <a:lumMod val="95000"/>
                  <a:alpha val="54000"/>
                </a:schemeClr>
              </a:solidFill>
              <a:prstDash val="dash"/>
            </a:ln>
            <a:effectLst/>
          </c:spPr>
        </c:hiLowLines>
        <c:smooth val="0"/>
        <c:axId val="67262423"/>
        <c:axId val="96348379"/>
      </c:lineChart>
      <c:dateAx>
        <c:axId val="67262423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48379"/>
        <c:crosses val="autoZero"/>
        <c:auto val="1"/>
        <c:lblOffset val="100"/>
        <c:baseTimeUnit val="months"/>
      </c:dateAx>
      <c:valAx>
        <c:axId val="963483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62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10 Products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and Visualizations '!$A$76:$A$85</c:f>
              <c:strCache>
                <c:ptCount val="10"/>
                <c:pt idx="0">
                  <c:v>Portable Power Bank</c:v>
                </c:pt>
                <c:pt idx="1">
                  <c:v>Shin Guards – Adult</c:v>
                </c:pt>
                <c:pt idx="2">
                  <c:v>Men's Casual Sneakers</c:v>
                </c:pt>
                <c:pt idx="3">
                  <c:v>Gaming Mechanical Keyboard</c:v>
                </c:pt>
                <c:pt idx="4">
                  <c:v>Women's High Heels</c:v>
                </c:pt>
                <c:pt idx="5">
                  <c:v>Wireless Mouse</c:v>
                </c:pt>
                <c:pt idx="6">
                  <c:v>Basketball</c:v>
                </c:pt>
                <c:pt idx="7">
                  <c:v>Men's Hair Styling Gel</c:v>
                </c:pt>
                <c:pt idx="8">
                  <c:v>Face Foundation Kit</c:v>
                </c:pt>
                <c:pt idx="9">
                  <c:v>4K Home Projector</c:v>
                </c:pt>
              </c:strCache>
            </c:strRef>
          </c:cat>
          <c:val>
            <c:numRef>
              <c:f>'Pivot and Visualizations '!$B$76:$B$85</c:f>
              <c:numCache>
                <c:formatCode>#,##0</c:formatCode>
                <c:ptCount val="10"/>
                <c:pt idx="0">
                  <c:v>41852.503399999994</c:v>
                </c:pt>
                <c:pt idx="1">
                  <c:v>38281.015299999992</c:v>
                </c:pt>
                <c:pt idx="2">
                  <c:v>35489.6198</c:v>
                </c:pt>
                <c:pt idx="3">
                  <c:v>34699.832699999999</c:v>
                </c:pt>
                <c:pt idx="4">
                  <c:v>33993.659399999997</c:v>
                </c:pt>
                <c:pt idx="5">
                  <c:v>32792.731499999994</c:v>
                </c:pt>
                <c:pt idx="6">
                  <c:v>31070.455699999999</c:v>
                </c:pt>
                <c:pt idx="7">
                  <c:v>30236.698199999999</c:v>
                </c:pt>
                <c:pt idx="8">
                  <c:v>29293.837500000001</c:v>
                </c:pt>
                <c:pt idx="9">
                  <c:v>28666.992799999996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71-4E70-92EE-CCF5AABFD58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9975445"/>
        <c:axId val="14839451"/>
        <c:axId val="0"/>
      </c:bar3DChart>
      <c:catAx>
        <c:axId val="19975445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9451"/>
        <c:crosses val="autoZero"/>
        <c:auto val="1"/>
        <c:lblAlgn val="ctr"/>
        <c:lblOffset val="100"/>
        <c:noMultiLvlLbl val="0"/>
      </c:catAx>
      <c:valAx>
        <c:axId val="14839451"/>
        <c:scaling>
          <c:orientation val="minMax"/>
        </c:scaling>
        <c:delete val="1"/>
        <c:axPos val="b"/>
        <c:numFmt formatCode="#,##0" sourceLinked="0"/>
        <c:majorTickMark val="out"/>
        <c:minorTickMark val="none"/>
        <c:tickLblPos val="nextTo"/>
        <c:crossAx val="1997544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Revenue by Payment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2">
                      <a:lumMod val="102000"/>
                      <a:tint val="94000"/>
                    </a:schemeClr>
                  </a:gs>
                  <a:gs pos="50000">
                    <a:schemeClr val="accent2"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hade val="78000"/>
                    </a:schemeClr>
                  </a:gs>
                </a:gsLst>
                <a:lin ang="54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AFA-4454-A546-3F4E20464F1F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accent4">
                      <a:lumMod val="102000"/>
                      <a:tint val="94000"/>
                    </a:schemeClr>
                  </a:gs>
                  <a:gs pos="50000">
                    <a:schemeClr val="accent4"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hade val="78000"/>
                    </a:schemeClr>
                  </a:gs>
                </a:gsLst>
                <a:lin ang="54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AFA-4454-A546-3F4E20464F1F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chemeClr val="accent6">
                      <a:lumMod val="102000"/>
                      <a:tint val="94000"/>
                    </a:schemeClr>
                  </a:gs>
                  <a:gs pos="50000">
                    <a:schemeClr val="accent6"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hade val="78000"/>
                    </a:schemeClr>
                  </a:gs>
                </a:gsLst>
                <a:lin ang="54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AFA-4454-A546-3F4E20464F1F}"/>
              </c:ext>
            </c:extLst>
          </c:dPt>
          <c:dLbls>
            <c:dLbl>
              <c:idx val="0"/>
              <c:showLegendKey val="1"/>
              <c:showVal val="1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AFA-4454-A546-3F4E20464F1F}"/>
                </c:ext>
              </c:extLst>
            </c:dLbl>
            <c:dLbl>
              <c:idx val="1"/>
              <c:showLegendKey val="1"/>
              <c:showVal val="1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AFA-4454-A546-3F4E20464F1F}"/>
                </c:ext>
              </c:extLst>
            </c:dLbl>
            <c:dLbl>
              <c:idx val="2"/>
              <c:showLegendKey val="1"/>
              <c:showVal val="1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AFA-4454-A546-3F4E20464F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1"/>
            <c:showBubbleSize val="0"/>
            <c:separator>; </c:separator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and Visualizations '!$A$90:$A$92</c:f>
              <c:strCache>
                <c:ptCount val="3"/>
                <c:pt idx="0">
                  <c:v>Credit Card</c:v>
                </c:pt>
                <c:pt idx="1">
                  <c:v>PayPal</c:v>
                </c:pt>
                <c:pt idx="2">
                  <c:v>COD</c:v>
                </c:pt>
              </c:strCache>
            </c:strRef>
          </c:cat>
          <c:val>
            <c:numRef>
              <c:f>'Pivot and Visualizations '!$B$90:$B$92</c:f>
              <c:numCache>
                <c:formatCode>#,##0</c:formatCode>
                <c:ptCount val="3"/>
                <c:pt idx="0">
                  <c:v>714811.96800000011</c:v>
                </c:pt>
                <c:pt idx="1">
                  <c:v>755180.12859999982</c:v>
                </c:pt>
                <c:pt idx="2">
                  <c:v>700977.71329999983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AFA-4454-A546-3F4E20464F1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Performance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and Visualizations '!$B$97</c:f>
              <c:strCache>
                <c:ptCount val="1"/>
                <c:pt idx="0">
                  <c:v>High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and Visualizations '!$A$98:$A$101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and Visualizations '!$B$98:$B$101</c:f>
              <c:numCache>
                <c:formatCode>General</c:formatCode>
                <c:ptCount val="4"/>
                <c:pt idx="0">
                  <c:v>263</c:v>
                </c:pt>
                <c:pt idx="1">
                  <c:v>263</c:v>
                </c:pt>
                <c:pt idx="2">
                  <c:v>254</c:v>
                </c:pt>
                <c:pt idx="3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8C-4C2C-BC69-A3CCC4022911}"/>
            </c:ext>
          </c:extLst>
        </c:ser>
        <c:ser>
          <c:idx val="1"/>
          <c:order val="1"/>
          <c:tx>
            <c:strRef>
              <c:f>'Pivot and Visualizations '!$C$97</c:f>
              <c:strCache>
                <c:ptCount val="1"/>
                <c:pt idx="0">
                  <c:v>Low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and Visualizations '!$A$98:$A$101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and Visualizations '!$C$98:$C$101</c:f>
              <c:numCache>
                <c:formatCode>General</c:formatCode>
                <c:ptCount val="4"/>
                <c:pt idx="0">
                  <c:v>327</c:v>
                </c:pt>
                <c:pt idx="1">
                  <c:v>333</c:v>
                </c:pt>
                <c:pt idx="2">
                  <c:v>327</c:v>
                </c:pt>
                <c:pt idx="3">
                  <c:v>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8C-4C2C-BC69-A3CCC40229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675900"/>
        <c:axId val="9432847"/>
      </c:barChart>
      <c:catAx>
        <c:axId val="6759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2847"/>
        <c:crosses val="autoZero"/>
        <c:auto val="1"/>
        <c:lblAlgn val="ctr"/>
        <c:lblOffset val="100"/>
        <c:noMultiLvlLbl val="0"/>
      </c:catAx>
      <c:valAx>
        <c:axId val="943284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9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24191</xdr:colOff>
      <xdr:row>10</xdr:row>
      <xdr:rowOff>55088</xdr:rowOff>
    </xdr:from>
    <xdr:to>
      <xdr:col>8</xdr:col>
      <xdr:colOff>568151</xdr:colOff>
      <xdr:row>25</xdr:row>
      <xdr:rowOff>79583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580573</xdr:colOff>
      <xdr:row>10</xdr:row>
      <xdr:rowOff>64613</xdr:rowOff>
    </xdr:from>
    <xdr:to>
      <xdr:col>13</xdr:col>
      <xdr:colOff>132363</xdr:colOff>
      <xdr:row>25</xdr:row>
      <xdr:rowOff>89108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24190</xdr:colOff>
      <xdr:row>25</xdr:row>
      <xdr:rowOff>102718</xdr:rowOff>
    </xdr:from>
    <xdr:to>
      <xdr:col>8</xdr:col>
      <xdr:colOff>568150</xdr:colOff>
      <xdr:row>40</xdr:row>
      <xdr:rowOff>127213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  <a:ext uri="{147F2762-F138-4A5C-976F-8EAC2B608ADB}">
              <a16:predDERef xmlns:a16="http://schemas.microsoft.com/office/drawing/2014/main" pre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145144</xdr:colOff>
      <xdr:row>10</xdr:row>
      <xdr:rowOff>45563</xdr:rowOff>
    </xdr:from>
    <xdr:to>
      <xdr:col>19</xdr:col>
      <xdr:colOff>59791</xdr:colOff>
      <xdr:row>25</xdr:row>
      <xdr:rowOff>70058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  <a:ext uri="{147F2762-F138-4A5C-976F-8EAC2B608ADB}">
              <a16:predDERef xmlns:a16="http://schemas.microsoft.com/office/drawing/2014/main" pre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</xdr:col>
      <xdr:colOff>580573</xdr:colOff>
      <xdr:row>25</xdr:row>
      <xdr:rowOff>105284</xdr:rowOff>
    </xdr:from>
    <xdr:to>
      <xdr:col>13</xdr:col>
      <xdr:colOff>133048</xdr:colOff>
      <xdr:row>40</xdr:row>
      <xdr:rowOff>129779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  <a:ext uri="{147F2762-F138-4A5C-976F-8EAC2B608ADB}">
              <a16:predDERef xmlns:a16="http://schemas.microsoft.com/office/drawing/2014/main" pre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13</xdr:col>
      <xdr:colOff>133049</xdr:colOff>
      <xdr:row>25</xdr:row>
      <xdr:rowOff>102713</xdr:rowOff>
    </xdr:from>
    <xdr:to>
      <xdr:col>19</xdr:col>
      <xdr:colOff>47696</xdr:colOff>
      <xdr:row>40</xdr:row>
      <xdr:rowOff>127208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  <a:ext uri="{147F2762-F138-4A5C-976F-8EAC2B608ADB}">
              <a16:predDERef xmlns:a16="http://schemas.microsoft.com/office/drawing/2014/main" pre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N501" totalsRowShown="0">
  <tableColumns count="14">
    <tableColumn id="1" xr3:uid="{00000000-0010-0000-0000-000001000000}" name="Customer_ID"/>
    <tableColumn id="2" xr3:uid="{00000000-0010-0000-0000-000002000000}" name="Name"/>
    <tableColumn id="3" xr3:uid="{00000000-0010-0000-0000-000003000000}" name="Age"/>
    <tableColumn id="4" xr3:uid="{00000000-0010-0000-0000-000004000000}" name="Gender"/>
    <tableColumn id="5" xr3:uid="{00000000-0010-0000-0000-000005000000}" name="City"/>
    <tableColumn id="6" xr3:uid="{00000000-0010-0000-0000-000006000000}" name="State"/>
    <tableColumn id="7" xr3:uid="{00000000-0010-0000-0000-000007000000}" name="Country"/>
    <tableColumn id="8" xr3:uid="{00000000-0010-0000-0000-000008000000}" name="Loyalty_Level"/>
    <tableColumn id="9" xr3:uid="{00000000-0010-0000-0000-000009000000}" name="Clean name"/>
    <tableColumn id="10" xr3:uid="{00000000-0010-0000-0000-00000A000000}" name="Clean city"/>
    <tableColumn id="11" xr3:uid="{00000000-0010-0000-0000-00000B000000}" name="Clean Country"/>
    <tableColumn id="12" xr3:uid="{00000000-0010-0000-0000-00000C000000}" name="Clean Customer ID "/>
    <tableColumn id="13" xr3:uid="{00000000-0010-0000-0000-00000D000000}" name="Clean Loyalty"/>
    <tableColumn id="14" xr3:uid="{00000000-0010-0000-0000-00000E000000}" name="Age Validation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M101" totalsRowShown="0">
  <tableColumns count="13">
    <tableColumn id="1" xr3:uid="{00000000-0010-0000-0100-000001000000}" name="Product_ID"/>
    <tableColumn id="2" xr3:uid="{00000000-0010-0000-0100-000002000000}" name="Product_Name"/>
    <tableColumn id="3" xr3:uid="{00000000-0010-0000-0100-000003000000}" name="Category"/>
    <tableColumn id="4" xr3:uid="{00000000-0010-0000-0100-000004000000}" name="Sub_Category"/>
    <tableColumn id="5" xr3:uid="{00000000-0010-0000-0100-000005000000}" name="Brand"/>
    <tableColumn id="6" xr3:uid="{00000000-0010-0000-0100-000006000000}" name="Cost"/>
    <tableColumn id="7" xr3:uid="{00000000-0010-0000-0100-000007000000}" name="Stock"/>
    <tableColumn id="8" xr3:uid="{00000000-0010-0000-0100-000008000000}" name="Clean Product ID"/>
    <tableColumn id="9" xr3:uid="{00000000-0010-0000-0100-000009000000}" name="Clean category"/>
    <tableColumn id="10" xr3:uid="{00000000-0010-0000-0100-00000A000000}" name="Clean Product Names"/>
    <tableColumn id="11" xr3:uid="{00000000-0010-0000-0100-00000B000000}" name="Clean cost"/>
    <tableColumn id="12" xr3:uid="{00000000-0010-0000-0100-00000C000000}" name="Clean stock"/>
    <tableColumn id="13" xr3:uid="{00000000-0010-0000-0100-00000D000000}" name="Overall Pricing 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X2001" totalsRowShown="0">
  <tableColumns count="24">
    <tableColumn id="1" xr3:uid="{00000000-0010-0000-0200-000001000000}" name="Sales_ID"/>
    <tableColumn id="2" xr3:uid="{00000000-0010-0000-0200-000002000000}" name="Order_Date"/>
    <tableColumn id="3" xr3:uid="{00000000-0010-0000-0200-000003000000}" name="Customer_ID"/>
    <tableColumn id="4" xr3:uid="{00000000-0010-0000-0200-000004000000}" name="Product_ID"/>
    <tableColumn id="5" xr3:uid="{00000000-0010-0000-0200-000005000000}" name="Store_ID"/>
    <tableColumn id="6" xr3:uid="{00000000-0010-0000-0200-000006000000}" name="Quantity"/>
    <tableColumn id="7" xr3:uid="{00000000-0010-0000-0200-000007000000}" name="Unit_Price"/>
    <tableColumn id="8" xr3:uid="{00000000-0010-0000-0200-000008000000}" name="Discount"/>
    <tableColumn id="9" xr3:uid="{00000000-0010-0000-0200-000009000000}" name="Payment_Type"/>
    <tableColumn id="10" xr3:uid="{00000000-0010-0000-0200-00000A000000}" name="Total_Amount"/>
    <tableColumn id="11" xr3:uid="{00000000-0010-0000-0200-00000B000000}" name="Clean Order Date"/>
    <tableColumn id="12" xr3:uid="{00000000-0010-0000-0200-00000C000000}" name="Month"/>
    <tableColumn id="13" xr3:uid="{00000000-0010-0000-0200-00000D000000}" name="Clean Quantity"/>
    <tableColumn id="14" xr3:uid="{00000000-0010-0000-0200-00000E000000}" name="Clean Unit Price"/>
    <tableColumn id="15" xr3:uid="{00000000-0010-0000-0200-00000F000000}" name="Clean Total Amount"/>
    <tableColumn id="16" xr3:uid="{00000000-0010-0000-0200-000010000000}" name="Overall Pice"/>
    <tableColumn id="17" xr3:uid="{00000000-0010-0000-0200-000011000000}" name="Discount price"/>
    <tableColumn id="18" xr3:uid="{00000000-0010-0000-0200-000012000000}" name="Sales Perfomance"/>
    <tableColumn id="19" xr3:uid="{00000000-0010-0000-0200-000013000000}" name="Customer Name "/>
    <tableColumn id="20" xr3:uid="{00000000-0010-0000-0200-000014000000}" name="Product Category"/>
    <tableColumn id="21" xr3:uid="{00000000-0010-0000-0200-000015000000}" name="Product Name "/>
    <tableColumn id="22" xr3:uid="{00000000-0010-0000-0200-000016000000}" name="store region"/>
    <tableColumn id="23" xr3:uid="{00000000-0010-0000-0200-000017000000}" name="Loyalty Check"/>
    <tableColumn id="24" xr3:uid="{00000000-0010-0000-0200-000018000000}" name="Order rang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2:O10"/>
  <sheetViews>
    <sheetView showGridLines="0" tabSelected="1" topLeftCell="A10" zoomScale="63" zoomScaleNormal="63" workbookViewId="0">
      <selection activeCell="F6" sqref="D6:O12"/>
    </sheetView>
  </sheetViews>
  <sheetFormatPr defaultColWidth="8.625" defaultRowHeight="14.25" customHeight="1"/>
  <cols>
    <col min="4" max="15" width="13" customWidth="1"/>
  </cols>
  <sheetData>
    <row r="2" spans="4:15" ht="15" customHeight="1">
      <c r="D2" s="43" t="s">
        <v>0</v>
      </c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4:15" ht="15" customHeight="1"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</row>
    <row r="4" spans="4:15" ht="15" customHeight="1">
      <c r="D4" s="44" t="s">
        <v>1</v>
      </c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</row>
    <row r="6" spans="4:15" ht="19.5" customHeight="1">
      <c r="D6" s="50" t="s">
        <v>2</v>
      </c>
      <c r="E6" s="51"/>
      <c r="F6" s="50" t="s">
        <v>3</v>
      </c>
      <c r="G6" s="51"/>
      <c r="H6" s="50" t="s">
        <v>4</v>
      </c>
      <c r="I6" s="51"/>
      <c r="J6" s="50" t="s">
        <v>5</v>
      </c>
      <c r="K6" s="51"/>
      <c r="L6" s="50" t="s">
        <v>6</v>
      </c>
      <c r="M6" s="51"/>
      <c r="N6" s="50" t="s">
        <v>7</v>
      </c>
      <c r="O6" s="51"/>
    </row>
    <row r="7" spans="4:15" ht="19.5" customHeight="1">
      <c r="D7" s="56">
        <f>SUM(Sales_Fact!$O$2:$O$2001)</f>
        <v>2170969.8098999951</v>
      </c>
      <c r="E7" s="57"/>
      <c r="F7" s="52">
        <f>COUNTA(Sales_Fact!$A$2:$A$2001)</f>
        <v>2000</v>
      </c>
      <c r="G7" s="53"/>
      <c r="H7" s="56">
        <f>AVERAGE(Sales_Fact!$O$2:$O$2001)</f>
        <v>1085.4849049499976</v>
      </c>
      <c r="I7" s="57"/>
      <c r="J7" s="52">
        <f>SUMPRODUCT(1/COUNTIF(Sales_Fact!$C$2:$C$2001,Sales_Fact!$C$2:$C$2001))</f>
        <v>492.00000000000006</v>
      </c>
      <c r="K7" s="53"/>
      <c r="L7" s="45" t="str">
        <f>INDEX('Pivot and Visualizations '!$A$4:$A$7,MATCH(MAX('Pivot and Visualizations '!$B$4:$B$7),'Pivot and Visualizations '!$B$4:$B$7,0))</f>
        <v>North</v>
      </c>
      <c r="M7" s="46"/>
      <c r="N7" s="45" t="str">
        <f>INDEX('Pivot and Visualizations '!$A$12:$A$16,MATCH(MAX('Pivot and Visualizations '!$B$12:$B$16),'Pivot and Visualizations '!$B$12:$B$16,0))</f>
        <v>Sports</v>
      </c>
      <c r="O7" s="46"/>
    </row>
    <row r="8" spans="4:15" ht="19.5" customHeight="1">
      <c r="D8" s="58"/>
      <c r="E8" s="59"/>
      <c r="F8" s="54"/>
      <c r="G8" s="55"/>
      <c r="H8" s="58"/>
      <c r="I8" s="59"/>
      <c r="J8" s="54"/>
      <c r="K8" s="55"/>
      <c r="L8" s="47"/>
      <c r="M8" s="48"/>
      <c r="N8" s="47"/>
      <c r="O8" s="48"/>
    </row>
    <row r="10" spans="4:15" ht="15.75" customHeight="1">
      <c r="D10" s="49" t="s">
        <v>8</v>
      </c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</row>
  </sheetData>
  <mergeCells count="15">
    <mergeCell ref="D2:O3"/>
    <mergeCell ref="D4:O4"/>
    <mergeCell ref="N7:O8"/>
    <mergeCell ref="D10:O10"/>
    <mergeCell ref="F6:G6"/>
    <mergeCell ref="D6:E6"/>
    <mergeCell ref="N6:O6"/>
    <mergeCell ref="L6:M6"/>
    <mergeCell ref="J6:K6"/>
    <mergeCell ref="H6:I6"/>
    <mergeCell ref="L7:M8"/>
    <mergeCell ref="J7:K8"/>
    <mergeCell ref="H7:I8"/>
    <mergeCell ref="D7:E8"/>
    <mergeCell ref="F7:G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00"/>
  <sheetViews>
    <sheetView zoomScale="63" zoomScaleNormal="63" workbookViewId="0"/>
  </sheetViews>
  <sheetFormatPr defaultColWidth="12.625" defaultRowHeight="13.9"/>
  <cols>
    <col min="1" max="1" width="14.75" customWidth="1"/>
    <col min="2" max="2" width="21.25" customWidth="1"/>
    <col min="3" max="3" width="6.625" customWidth="1"/>
    <col min="4" max="4" width="9.75" customWidth="1"/>
    <col min="5" max="5" width="21.875" customWidth="1"/>
    <col min="6" max="6" width="14.875" customWidth="1"/>
    <col min="7" max="7" width="22.625" customWidth="1"/>
    <col min="8" max="8" width="15.25" customWidth="1"/>
    <col min="9" max="9" width="21" customWidth="1"/>
    <col min="10" max="10" width="21.875" customWidth="1"/>
    <col min="11" max="11" width="15.75" customWidth="1"/>
    <col min="12" max="12" width="20.125" customWidth="1"/>
    <col min="13" max="13" width="15" customWidth="1"/>
    <col min="14" max="14" width="16.125" customWidth="1"/>
    <col min="15" max="17" width="8.75" customWidth="1"/>
    <col min="18" max="26" width="14.375" customWidth="1"/>
  </cols>
  <sheetData>
    <row r="1" spans="1:17" ht="15" customHeight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</row>
    <row r="2" spans="1:17" ht="15" customHeight="1">
      <c r="A2" s="3" t="s">
        <v>23</v>
      </c>
      <c r="B2" s="4" t="s">
        <v>24</v>
      </c>
      <c r="C2" s="4">
        <v>55</v>
      </c>
      <c r="D2" s="4" t="s">
        <v>25</v>
      </c>
      <c r="E2" s="4" t="s">
        <v>26</v>
      </c>
      <c r="F2" s="4" t="s">
        <v>27</v>
      </c>
      <c r="G2" s="4" t="s">
        <v>28</v>
      </c>
      <c r="H2" s="4"/>
      <c r="I2" s="4" t="str">
        <f t="shared" ref="I2:I65" si="0">PROPER(TRIM(B2))</f>
        <v>Sheena Bonilla</v>
      </c>
      <c r="J2" s="4" t="str">
        <f t="shared" ref="J2:J65" si="1">PROPER(TRIM(E2))</f>
        <v>Donaldton</v>
      </c>
      <c r="K2" s="4" t="str">
        <f>IF(OR(G2="USA",G2="usa"),"USA",K5
                                                                                                                                                                                                                                                               IF(G2="United States of America","USA","USA"))</f>
        <v>USA</v>
      </c>
      <c r="L2" s="4" t="str">
        <f t="shared" ref="L2:L65" si="2">IF(LEFT(A2,1)="C","CUST"&amp;RIGHT(A2,4),A2)</f>
        <v>CUST1000</v>
      </c>
      <c r="M2" s="4" t="str">
        <f t="shared" ref="M2:M65" si="3">IF(H2="","Standard",H2)</f>
        <v>Standard</v>
      </c>
      <c r="N2" s="4" t="str">
        <f t="shared" ref="N2:N65" si="4">IF(OR(C2&lt;18,C2&gt;70),"Check Age","Ok")</f>
        <v>Ok</v>
      </c>
    </row>
    <row r="3" spans="1:17" ht="15" customHeight="1">
      <c r="A3" s="3" t="s">
        <v>29</v>
      </c>
      <c r="B3" s="4" t="s">
        <v>30</v>
      </c>
      <c r="C3" s="4">
        <v>26</v>
      </c>
      <c r="D3" s="4" t="s">
        <v>31</v>
      </c>
      <c r="E3" s="4" t="s">
        <v>32</v>
      </c>
      <c r="F3" s="4" t="s">
        <v>33</v>
      </c>
      <c r="G3" s="4" t="s">
        <v>28</v>
      </c>
      <c r="H3" s="4" t="s">
        <v>34</v>
      </c>
      <c r="I3" s="4" t="str">
        <f t="shared" si="0"/>
        <v>Eugene Nelson</v>
      </c>
      <c r="J3" s="4" t="str">
        <f t="shared" si="1"/>
        <v>Phillipsmouth</v>
      </c>
      <c r="K3" s="4" t="str">
        <f>IF(OR(G3="USA",G3="usa"),"USA",K6
                                                                                                                                                                                                                                                               IF(G3="United States of America","USA","USA"))</f>
        <v>USA</v>
      </c>
      <c r="L3" s="4" t="str">
        <f t="shared" si="2"/>
        <v>CUST1001</v>
      </c>
      <c r="M3" s="4" t="str">
        <f t="shared" si="3"/>
        <v>Platinum</v>
      </c>
      <c r="N3" s="4" t="str">
        <f t="shared" si="4"/>
        <v>Ok</v>
      </c>
    </row>
    <row r="4" spans="1:17" ht="15" customHeight="1">
      <c r="A4" s="3" t="s">
        <v>35</v>
      </c>
      <c r="B4" s="4" t="s">
        <v>36</v>
      </c>
      <c r="C4" s="4">
        <v>29</v>
      </c>
      <c r="D4" s="4" t="s">
        <v>31</v>
      </c>
      <c r="E4" s="4" t="s">
        <v>37</v>
      </c>
      <c r="F4" s="4" t="s">
        <v>38</v>
      </c>
      <c r="G4" s="4" t="s">
        <v>28</v>
      </c>
      <c r="H4" s="4" t="s">
        <v>34</v>
      </c>
      <c r="I4" s="4" t="str">
        <f t="shared" si="0"/>
        <v>Dr. Benjamin Price</v>
      </c>
      <c r="J4" s="4" t="str">
        <f t="shared" si="1"/>
        <v>Kylebury</v>
      </c>
      <c r="K4" s="4" t="str">
        <f>IF(OR(G4="USA",G4="usa"),"USA",K7
                                                                                                                                                                                                                                                               IF(G4="United States of America","USA","USA"))</f>
        <v>USA</v>
      </c>
      <c r="L4" s="4" t="str">
        <f t="shared" si="2"/>
        <v>CUST1002</v>
      </c>
      <c r="M4" s="4" t="str">
        <f t="shared" si="3"/>
        <v>Platinum</v>
      </c>
      <c r="N4" s="4" t="str">
        <f t="shared" si="4"/>
        <v>Ok</v>
      </c>
      <c r="P4" s="4" t="s">
        <v>39</v>
      </c>
      <c r="Q4" s="4">
        <f>COUNTA(A:A)</f>
        <v>501</v>
      </c>
    </row>
    <row r="5" spans="1:17" ht="15" customHeight="1">
      <c r="A5" s="3" t="s">
        <v>40</v>
      </c>
      <c r="B5" s="4" t="s">
        <v>41</v>
      </c>
      <c r="C5" s="4">
        <v>59</v>
      </c>
      <c r="D5" s="4" t="s">
        <v>31</v>
      </c>
      <c r="E5" s="4" t="s">
        <v>42</v>
      </c>
      <c r="F5" s="4" t="s">
        <v>43</v>
      </c>
      <c r="G5" s="4" t="s">
        <v>28</v>
      </c>
      <c r="H5" s="4" t="s">
        <v>44</v>
      </c>
      <c r="I5" s="4" t="str">
        <f t="shared" si="0"/>
        <v>Jeremy Harris</v>
      </c>
      <c r="J5" s="4" t="str">
        <f t="shared" si="1"/>
        <v>Thomastown</v>
      </c>
      <c r="K5" s="4" t="str">
        <f>IF(OR(G5="USA",G5="usa"),"USA",K8
                                                                                                                                                                                                                                                               IF(G5="United States of America","USA","USA"))</f>
        <v>USA</v>
      </c>
      <c r="L5" s="4" t="str">
        <f t="shared" si="2"/>
        <v>CUST1003</v>
      </c>
      <c r="M5" s="4" t="str">
        <f t="shared" si="3"/>
        <v>Bronze</v>
      </c>
      <c r="N5" s="4" t="str">
        <f t="shared" si="4"/>
        <v>Ok</v>
      </c>
      <c r="P5" s="4" t="s">
        <v>45</v>
      </c>
      <c r="Q5" s="4">
        <f>ROUNDUP(AVERAGE(C:C),2)</f>
        <v>41.57</v>
      </c>
    </row>
    <row r="6" spans="1:17" ht="15" customHeight="1">
      <c r="A6" s="3" t="s">
        <v>46</v>
      </c>
      <c r="B6" s="4" t="s">
        <v>47</v>
      </c>
      <c r="C6" s="4">
        <v>64</v>
      </c>
      <c r="D6" s="4" t="s">
        <v>31</v>
      </c>
      <c r="E6" s="4" t="s">
        <v>48</v>
      </c>
      <c r="F6" s="4" t="s">
        <v>49</v>
      </c>
      <c r="G6" s="4" t="s">
        <v>28</v>
      </c>
      <c r="H6" s="4" t="s">
        <v>50</v>
      </c>
      <c r="I6" s="4" t="str">
        <f t="shared" si="0"/>
        <v>Caroline Collins</v>
      </c>
      <c r="J6" s="4" t="str">
        <f t="shared" si="1"/>
        <v>Nicholasshire</v>
      </c>
      <c r="K6" s="4" t="str">
        <f>IF(OR(G6="USA",G6="usa"),"USA",K9
                                                                                                                                                                                                                                                               IF(G6="United States of America","USA","USA"))</f>
        <v>USA</v>
      </c>
      <c r="L6" s="4" t="str">
        <f t="shared" si="2"/>
        <v>CUST1004</v>
      </c>
      <c r="M6" s="4" t="str">
        <f t="shared" si="3"/>
        <v>Silver</v>
      </c>
      <c r="N6" s="4" t="str">
        <f t="shared" si="4"/>
        <v>Ok</v>
      </c>
      <c r="P6" s="4" t="s">
        <v>25</v>
      </c>
      <c r="Q6" s="4">
        <f>COUNTIF(D:D,"Male")</f>
        <v>238</v>
      </c>
    </row>
    <row r="7" spans="1:17" ht="15" customHeight="1">
      <c r="A7" s="3" t="s">
        <v>51</v>
      </c>
      <c r="B7" s="4" t="s">
        <v>52</v>
      </c>
      <c r="C7" s="4">
        <v>24</v>
      </c>
      <c r="D7" s="4" t="s">
        <v>25</v>
      </c>
      <c r="E7" s="4" t="s">
        <v>53</v>
      </c>
      <c r="F7" s="4" t="s">
        <v>54</v>
      </c>
      <c r="G7" s="4" t="s">
        <v>28</v>
      </c>
      <c r="H7" s="4" t="s">
        <v>44</v>
      </c>
      <c r="I7" s="4" t="str">
        <f t="shared" si="0"/>
        <v>Christine Vaughn</v>
      </c>
      <c r="J7" s="4" t="str">
        <f t="shared" si="1"/>
        <v>East Amandamouth</v>
      </c>
      <c r="K7" s="4" t="str">
        <f>IF(OR(G7="USA",G7="usa"),"USA",K10
                                                                                                                                                                                                                                                               IF(G7="United States of America","USA","USA"))</f>
        <v>USA</v>
      </c>
      <c r="L7" s="4" t="str">
        <f t="shared" si="2"/>
        <v>CUST1005</v>
      </c>
      <c r="M7" s="4" t="str">
        <f t="shared" si="3"/>
        <v>Bronze</v>
      </c>
      <c r="N7" s="4" t="str">
        <f t="shared" si="4"/>
        <v>Ok</v>
      </c>
      <c r="P7" s="4" t="s">
        <v>31</v>
      </c>
      <c r="Q7" s="4">
        <f>COUNTIF(D:D,"Female")</f>
        <v>262</v>
      </c>
    </row>
    <row r="8" spans="1:17" ht="15" customHeight="1">
      <c r="A8" s="3" t="s">
        <v>55</v>
      </c>
      <c r="B8" s="4" t="s">
        <v>56</v>
      </c>
      <c r="C8" s="4">
        <v>29</v>
      </c>
      <c r="D8" s="4" t="s">
        <v>31</v>
      </c>
      <c r="E8" s="4" t="s">
        <v>57</v>
      </c>
      <c r="F8" s="4" t="s">
        <v>58</v>
      </c>
      <c r="G8" s="4" t="s">
        <v>28</v>
      </c>
      <c r="H8" s="4" t="s">
        <v>34</v>
      </c>
      <c r="I8" s="4" t="str">
        <f t="shared" si="0"/>
        <v>Amber Jackson</v>
      </c>
      <c r="J8" s="4" t="str">
        <f t="shared" si="1"/>
        <v>Deborahborough</v>
      </c>
      <c r="K8" s="4" t="str">
        <f>IF(OR(G8="USA",G8="usa"),"USA",K11
                                                                                                                                                                                                                                                               IF(G8="United States of America","USA","USA"))</f>
        <v>USA</v>
      </c>
      <c r="L8" s="4" t="str">
        <f t="shared" si="2"/>
        <v>CUST1006</v>
      </c>
      <c r="M8" s="4" t="str">
        <f t="shared" si="3"/>
        <v>Platinum</v>
      </c>
      <c r="N8" s="4" t="str">
        <f t="shared" si="4"/>
        <v>Ok</v>
      </c>
    </row>
    <row r="9" spans="1:17" ht="15" customHeight="1">
      <c r="A9" s="3" t="s">
        <v>59</v>
      </c>
      <c r="B9" s="4" t="s">
        <v>60</v>
      </c>
      <c r="C9" s="4">
        <v>29</v>
      </c>
      <c r="D9" s="4" t="s">
        <v>31</v>
      </c>
      <c r="E9" s="4" t="s">
        <v>61</v>
      </c>
      <c r="F9" s="4" t="s">
        <v>62</v>
      </c>
      <c r="G9" s="4" t="s">
        <v>28</v>
      </c>
      <c r="H9" s="4" t="s">
        <v>44</v>
      </c>
      <c r="I9" s="4" t="str">
        <f t="shared" si="0"/>
        <v>Daniel Boyd</v>
      </c>
      <c r="J9" s="4" t="str">
        <f t="shared" si="1"/>
        <v>West Pamelafurt</v>
      </c>
      <c r="K9" s="4" t="str">
        <f>IF(OR(G9="USA",G9="usa"),"USA",K12
                                                                                                                                                                                                                                                               IF(G9="United States of America","USA","USA"))</f>
        <v>USA</v>
      </c>
      <c r="L9" s="4" t="str">
        <f t="shared" si="2"/>
        <v>CUST1007</v>
      </c>
      <c r="M9" s="4" t="str">
        <f t="shared" si="3"/>
        <v>Bronze</v>
      </c>
      <c r="N9" s="4" t="str">
        <f t="shared" si="4"/>
        <v>Ok</v>
      </c>
    </row>
    <row r="10" spans="1:17" ht="15" customHeight="1">
      <c r="A10" s="3" t="s">
        <v>63</v>
      </c>
      <c r="B10" s="4" t="s">
        <v>64</v>
      </c>
      <c r="C10" s="4">
        <v>53</v>
      </c>
      <c r="D10" s="4" t="s">
        <v>31</v>
      </c>
      <c r="E10" s="4" t="s">
        <v>65</v>
      </c>
      <c r="F10" s="4" t="s">
        <v>66</v>
      </c>
      <c r="G10" s="4" t="s">
        <v>28</v>
      </c>
      <c r="H10" s="4" t="s">
        <v>67</v>
      </c>
      <c r="I10" s="4" t="str">
        <f t="shared" si="0"/>
        <v>Melissa Howard</v>
      </c>
      <c r="J10" s="4" t="str">
        <f t="shared" si="1"/>
        <v>Maynardton</v>
      </c>
      <c r="K10" s="4" t="str">
        <f>IF(OR(G10="USA",G10="usa"),"USA",K13
                                                                                                                                                                                                                                                               IF(G10="United States of America","USA","USA"))</f>
        <v>USA</v>
      </c>
      <c r="L10" s="4" t="str">
        <f t="shared" si="2"/>
        <v>CUST1008</v>
      </c>
      <c r="M10" s="4" t="str">
        <f t="shared" si="3"/>
        <v>Gold</v>
      </c>
      <c r="N10" s="4" t="str">
        <f t="shared" si="4"/>
        <v>Ok</v>
      </c>
    </row>
    <row r="11" spans="1:17" ht="15" customHeight="1">
      <c r="A11" s="3" t="s">
        <v>68</v>
      </c>
      <c r="B11" s="4" t="s">
        <v>69</v>
      </c>
      <c r="C11" s="4">
        <v>64</v>
      </c>
      <c r="D11" s="4" t="s">
        <v>25</v>
      </c>
      <c r="E11" s="4" t="s">
        <v>70</v>
      </c>
      <c r="F11" s="4" t="s">
        <v>71</v>
      </c>
      <c r="G11" s="4" t="s">
        <v>28</v>
      </c>
      <c r="H11" s="4" t="s">
        <v>34</v>
      </c>
      <c r="I11" s="4" t="str">
        <f t="shared" si="0"/>
        <v>Ms. Maria Leach</v>
      </c>
      <c r="J11" s="4" t="str">
        <f t="shared" si="1"/>
        <v>Melissashire</v>
      </c>
      <c r="K11" s="4" t="str">
        <f>IF(OR(G11="USA",G11="usa"),"USA",K14
                                                                                                                                                                                                                                                               IF(G11="United States of America","USA","USA"))</f>
        <v>USA</v>
      </c>
      <c r="L11" s="4" t="str">
        <f t="shared" si="2"/>
        <v>CUST1009</v>
      </c>
      <c r="M11" s="4" t="str">
        <f t="shared" si="3"/>
        <v>Platinum</v>
      </c>
      <c r="N11" s="4" t="str">
        <f t="shared" si="4"/>
        <v>Ok</v>
      </c>
    </row>
    <row r="12" spans="1:17" ht="15" customHeight="1">
      <c r="A12" s="3" t="s">
        <v>72</v>
      </c>
      <c r="B12" s="4" t="s">
        <v>73</v>
      </c>
      <c r="C12" s="4">
        <v>53</v>
      </c>
      <c r="D12" s="4" t="s">
        <v>25</v>
      </c>
      <c r="E12" s="4" t="s">
        <v>74</v>
      </c>
      <c r="F12" s="4" t="s">
        <v>71</v>
      </c>
      <c r="G12" s="4" t="s">
        <v>28</v>
      </c>
      <c r="H12" s="4" t="s">
        <v>44</v>
      </c>
      <c r="I12" s="4" t="str">
        <f t="shared" si="0"/>
        <v>Dominic Page</v>
      </c>
      <c r="J12" s="4" t="str">
        <f t="shared" si="1"/>
        <v>Port Michaelburgh</v>
      </c>
      <c r="K12" s="4" t="str">
        <f>IF(OR(G12="USA",G12="usa"),"USA",K15
                                                                                                                                                                                                                                                               IF(G12="United States of America","USA","USA"))</f>
        <v>USA</v>
      </c>
      <c r="L12" s="4" t="str">
        <f t="shared" si="2"/>
        <v>CUST1010</v>
      </c>
      <c r="M12" s="4" t="str">
        <f t="shared" si="3"/>
        <v>Bronze</v>
      </c>
      <c r="N12" s="4" t="str">
        <f t="shared" si="4"/>
        <v>Ok</v>
      </c>
    </row>
    <row r="13" spans="1:17" ht="15" customHeight="1">
      <c r="A13" s="3" t="s">
        <v>75</v>
      </c>
      <c r="B13" s="4" t="s">
        <v>76</v>
      </c>
      <c r="C13" s="4">
        <v>28</v>
      </c>
      <c r="D13" s="4" t="s">
        <v>31</v>
      </c>
      <c r="E13" s="4" t="s">
        <v>77</v>
      </c>
      <c r="F13" s="4" t="s">
        <v>78</v>
      </c>
      <c r="G13" s="4" t="s">
        <v>28</v>
      </c>
      <c r="H13" s="4" t="s">
        <v>67</v>
      </c>
      <c r="I13" s="4" t="str">
        <f t="shared" si="0"/>
        <v>Brian Lopez</v>
      </c>
      <c r="J13" s="4" t="str">
        <f t="shared" si="1"/>
        <v>East Krista</v>
      </c>
      <c r="K13" s="4" t="str">
        <f>IF(OR(G13="USA",G13="usa"),"USA",K16
                                                                                                                                                                                                                                                               IF(G13="United States of America","USA","USA"))</f>
        <v>USA</v>
      </c>
      <c r="L13" s="4" t="str">
        <f t="shared" si="2"/>
        <v>CUST1011</v>
      </c>
      <c r="M13" s="4" t="str">
        <f t="shared" si="3"/>
        <v>Gold</v>
      </c>
      <c r="N13" s="4" t="str">
        <f t="shared" si="4"/>
        <v>Ok</v>
      </c>
    </row>
    <row r="14" spans="1:17" ht="15" customHeight="1">
      <c r="A14" s="3" t="s">
        <v>79</v>
      </c>
      <c r="B14" s="4" t="s">
        <v>80</v>
      </c>
      <c r="C14" s="4">
        <v>55</v>
      </c>
      <c r="D14" s="4" t="s">
        <v>31</v>
      </c>
      <c r="E14" s="4" t="s">
        <v>81</v>
      </c>
      <c r="F14" s="4" t="s">
        <v>82</v>
      </c>
      <c r="G14" s="4" t="s">
        <v>28</v>
      </c>
      <c r="H14" s="4" t="s">
        <v>34</v>
      </c>
      <c r="I14" s="4" t="str">
        <f t="shared" si="0"/>
        <v>Kenneth Lambert</v>
      </c>
      <c r="J14" s="4" t="str">
        <f t="shared" si="1"/>
        <v>North Kathryn</v>
      </c>
      <c r="K14" s="4" t="str">
        <f>IF(OR(G14="USA",G14="usa"),"USA",K17
                                                                                                                                                                                                                                                               IF(G14="United States of America","USA","USA"))</f>
        <v>USA</v>
      </c>
      <c r="L14" s="4" t="str">
        <f t="shared" si="2"/>
        <v>CUST1012</v>
      </c>
      <c r="M14" s="4" t="str">
        <f t="shared" si="3"/>
        <v>Platinum</v>
      </c>
      <c r="N14" s="4" t="str">
        <f t="shared" si="4"/>
        <v>Ok</v>
      </c>
    </row>
    <row r="15" spans="1:17" ht="15" customHeight="1">
      <c r="A15" s="3" t="s">
        <v>83</v>
      </c>
      <c r="B15" s="4" t="s">
        <v>84</v>
      </c>
      <c r="C15" s="4">
        <v>32</v>
      </c>
      <c r="D15" s="4" t="s">
        <v>31</v>
      </c>
      <c r="E15" s="4" t="s">
        <v>85</v>
      </c>
      <c r="F15" s="4" t="s">
        <v>86</v>
      </c>
      <c r="G15" s="4" t="s">
        <v>28</v>
      </c>
      <c r="H15" s="4" t="s">
        <v>50</v>
      </c>
      <c r="I15" s="4" t="str">
        <f t="shared" si="0"/>
        <v>Nathan Hernandez</v>
      </c>
      <c r="J15" s="4" t="str">
        <f t="shared" si="1"/>
        <v>New Becky</v>
      </c>
      <c r="K15" s="4" t="str">
        <f>IF(OR(G15="USA",G15="usa"),"USA",K18
                                                                                                                                                                                                                                                               IF(G15="United States of America","USA","USA"))</f>
        <v>USA</v>
      </c>
      <c r="L15" s="4" t="str">
        <f t="shared" si="2"/>
        <v>CUST1013</v>
      </c>
      <c r="M15" s="4" t="str">
        <f t="shared" si="3"/>
        <v>Silver</v>
      </c>
      <c r="N15" s="4" t="str">
        <f t="shared" si="4"/>
        <v>Ok</v>
      </c>
    </row>
    <row r="16" spans="1:17" ht="15" customHeight="1">
      <c r="A16" s="3" t="s">
        <v>87</v>
      </c>
      <c r="B16" s="4" t="s">
        <v>88</v>
      </c>
      <c r="C16" s="4">
        <v>53</v>
      </c>
      <c r="D16" s="4" t="s">
        <v>31</v>
      </c>
      <c r="E16" s="4" t="s">
        <v>89</v>
      </c>
      <c r="F16" s="4" t="s">
        <v>90</v>
      </c>
      <c r="G16" s="4" t="s">
        <v>28</v>
      </c>
      <c r="H16" s="4" t="s">
        <v>50</v>
      </c>
      <c r="I16" s="4" t="str">
        <f t="shared" si="0"/>
        <v>Ashley Cohen</v>
      </c>
      <c r="J16" s="4" t="str">
        <f t="shared" si="1"/>
        <v>Lake Kristamouth</v>
      </c>
      <c r="K16" s="4" t="str">
        <f>IF(OR(G16="USA",G16="usa"),"USA",K19
                                                                                                                                                                                                                                                               IF(G16="United States of America","USA","USA"))</f>
        <v>USA</v>
      </c>
      <c r="L16" s="4" t="str">
        <f t="shared" si="2"/>
        <v>CUST1014</v>
      </c>
      <c r="M16" s="4" t="str">
        <f t="shared" si="3"/>
        <v>Silver</v>
      </c>
      <c r="N16" s="4" t="str">
        <f t="shared" si="4"/>
        <v>Ok</v>
      </c>
    </row>
    <row r="17" spans="1:14" ht="15" customHeight="1">
      <c r="A17" s="3" t="s">
        <v>91</v>
      </c>
      <c r="B17" s="4" t="s">
        <v>92</v>
      </c>
      <c r="C17" s="4">
        <v>49</v>
      </c>
      <c r="D17" s="4" t="s">
        <v>31</v>
      </c>
      <c r="E17" s="4" t="s">
        <v>93</v>
      </c>
      <c r="F17" s="4" t="s">
        <v>94</v>
      </c>
      <c r="G17" s="4" t="s">
        <v>28</v>
      </c>
      <c r="H17" s="4" t="s">
        <v>34</v>
      </c>
      <c r="I17" s="4" t="str">
        <f t="shared" si="0"/>
        <v>Laura Alvarez</v>
      </c>
      <c r="J17" s="4" t="str">
        <f t="shared" si="1"/>
        <v>Lawsonhaven</v>
      </c>
      <c r="K17" s="4" t="str">
        <f>IF(OR(G17="USA",G17="usa"),"USA",K20
                                                                                                                                                                                                                                                               IF(G17="United States of America","USA","USA"))</f>
        <v>USA</v>
      </c>
      <c r="L17" s="4" t="str">
        <f t="shared" si="2"/>
        <v>CUST1015</v>
      </c>
      <c r="M17" s="4" t="str">
        <f t="shared" si="3"/>
        <v>Platinum</v>
      </c>
      <c r="N17" s="4" t="str">
        <f t="shared" si="4"/>
        <v>Ok</v>
      </c>
    </row>
    <row r="18" spans="1:14" ht="15" customHeight="1">
      <c r="A18" s="3" t="s">
        <v>95</v>
      </c>
      <c r="B18" s="4" t="s">
        <v>96</v>
      </c>
      <c r="C18" s="4">
        <v>24</v>
      </c>
      <c r="D18" s="4" t="s">
        <v>31</v>
      </c>
      <c r="E18" s="4" t="s">
        <v>97</v>
      </c>
      <c r="F18" s="4" t="s">
        <v>71</v>
      </c>
      <c r="G18" s="4" t="s">
        <v>28</v>
      </c>
      <c r="H18" s="4" t="s">
        <v>44</v>
      </c>
      <c r="I18" s="4" t="str">
        <f t="shared" si="0"/>
        <v>John Scott</v>
      </c>
      <c r="J18" s="4" t="str">
        <f t="shared" si="1"/>
        <v>South Christopher</v>
      </c>
      <c r="K18" s="4" t="str">
        <f>IF(OR(G18="USA",G18="usa"),"USA",K21
                                                                                                                                                                                                                                                               IF(G18="United States of America","USA","USA"))</f>
        <v>USA</v>
      </c>
      <c r="L18" s="4" t="str">
        <f t="shared" si="2"/>
        <v>CUST1016</v>
      </c>
      <c r="M18" s="4" t="str">
        <f t="shared" si="3"/>
        <v>Bronze</v>
      </c>
      <c r="N18" s="4" t="str">
        <f t="shared" si="4"/>
        <v>Ok</v>
      </c>
    </row>
    <row r="19" spans="1:14" ht="15" customHeight="1">
      <c r="A19" s="3" t="s">
        <v>98</v>
      </c>
      <c r="B19" s="4" t="s">
        <v>99</v>
      </c>
      <c r="C19" s="4">
        <v>60</v>
      </c>
      <c r="D19" s="4" t="s">
        <v>31</v>
      </c>
      <c r="E19" s="4" t="s">
        <v>100</v>
      </c>
      <c r="F19" s="4" t="s">
        <v>101</v>
      </c>
      <c r="G19" s="4" t="s">
        <v>28</v>
      </c>
      <c r="H19" s="4" t="s">
        <v>34</v>
      </c>
      <c r="I19" s="4" t="str">
        <f t="shared" si="0"/>
        <v>Adam Cruz</v>
      </c>
      <c r="J19" s="4" t="str">
        <f t="shared" si="1"/>
        <v>Brandonville</v>
      </c>
      <c r="K19" s="4" t="str">
        <f>IF(OR(G19="USA",G19="usa"),"USA",K22
                                                                                                                                                                                                                                                               IF(G19="United States of America","USA","USA"))</f>
        <v>USA</v>
      </c>
      <c r="L19" s="4" t="str">
        <f t="shared" si="2"/>
        <v>CUST1017</v>
      </c>
      <c r="M19" s="4" t="str">
        <f t="shared" si="3"/>
        <v>Platinum</v>
      </c>
      <c r="N19" s="4" t="str">
        <f t="shared" si="4"/>
        <v>Ok</v>
      </c>
    </row>
    <row r="20" spans="1:14" ht="15" customHeight="1">
      <c r="A20" s="3" t="s">
        <v>102</v>
      </c>
      <c r="B20" s="4" t="s">
        <v>103</v>
      </c>
      <c r="C20" s="4">
        <v>43</v>
      </c>
      <c r="D20" s="4" t="s">
        <v>25</v>
      </c>
      <c r="E20" s="4" t="s">
        <v>104</v>
      </c>
      <c r="F20" s="4" t="s">
        <v>82</v>
      </c>
      <c r="G20" s="4" t="s">
        <v>28</v>
      </c>
      <c r="H20" s="4"/>
      <c r="I20" s="4" t="str">
        <f t="shared" si="0"/>
        <v>Rhonda Moss</v>
      </c>
      <c r="J20" s="4" t="str">
        <f t="shared" si="1"/>
        <v>South William</v>
      </c>
      <c r="K20" s="4" t="str">
        <f>IF(OR(G20="USA",G20="usa"),"USA",K23
                                                                                                                                                                                                                                                               IF(G20="United States of America","USA","USA"))</f>
        <v>USA</v>
      </c>
      <c r="L20" s="4" t="str">
        <f t="shared" si="2"/>
        <v>CUST1018</v>
      </c>
      <c r="M20" s="4" t="str">
        <f t="shared" si="3"/>
        <v>Standard</v>
      </c>
      <c r="N20" s="4" t="str">
        <f t="shared" si="4"/>
        <v>Ok</v>
      </c>
    </row>
    <row r="21" spans="1:14" ht="15.75" customHeight="1">
      <c r="A21" s="3" t="s">
        <v>105</v>
      </c>
      <c r="B21" s="4" t="s">
        <v>106</v>
      </c>
      <c r="C21" s="4">
        <v>46</v>
      </c>
      <c r="D21" s="4" t="s">
        <v>31</v>
      </c>
      <c r="E21" s="4" t="s">
        <v>107</v>
      </c>
      <c r="F21" s="4" t="s">
        <v>108</v>
      </c>
      <c r="G21" s="4" t="s">
        <v>28</v>
      </c>
      <c r="H21" s="4" t="s">
        <v>34</v>
      </c>
      <c r="I21" s="4" t="str">
        <f t="shared" si="0"/>
        <v>Michael Torres</v>
      </c>
      <c r="J21" s="4" t="str">
        <f t="shared" si="1"/>
        <v>Gonzalezfort</v>
      </c>
      <c r="K21" s="4" t="str">
        <f>IF(OR(G21="USA",G21="usa"),"USA",K24
                                                                                                                                                                                                                                                               IF(G21="United States of America","USA","USA"))</f>
        <v>USA</v>
      </c>
      <c r="L21" s="4" t="str">
        <f t="shared" si="2"/>
        <v>CUST1019</v>
      </c>
      <c r="M21" s="4" t="str">
        <f t="shared" si="3"/>
        <v>Platinum</v>
      </c>
      <c r="N21" s="4" t="str">
        <f t="shared" si="4"/>
        <v>Ok</v>
      </c>
    </row>
    <row r="22" spans="1:14" ht="15.75" customHeight="1">
      <c r="A22" s="3" t="s">
        <v>109</v>
      </c>
      <c r="B22" s="4" t="s">
        <v>110</v>
      </c>
      <c r="C22" s="4">
        <v>59</v>
      </c>
      <c r="D22" s="4" t="s">
        <v>25</v>
      </c>
      <c r="E22" s="4" t="s">
        <v>111</v>
      </c>
      <c r="F22" s="4" t="s">
        <v>112</v>
      </c>
      <c r="G22" s="4" t="s">
        <v>28</v>
      </c>
      <c r="H22" s="4" t="s">
        <v>50</v>
      </c>
      <c r="I22" s="4" t="str">
        <f t="shared" si="0"/>
        <v>Bridget Allen</v>
      </c>
      <c r="J22" s="4" t="str">
        <f t="shared" si="1"/>
        <v>Lake Shaneburgh</v>
      </c>
      <c r="K22" s="4" t="str">
        <f>IF(OR(G22="USA",G22="usa"),"USA",K25
                                                                                                                                                                                                                                                               IF(G22="United States of America","USA","USA"))</f>
        <v>USA</v>
      </c>
      <c r="L22" s="4" t="str">
        <f t="shared" si="2"/>
        <v>CUST1020</v>
      </c>
      <c r="M22" s="4" t="str">
        <f t="shared" si="3"/>
        <v>Silver</v>
      </c>
      <c r="N22" s="4" t="str">
        <f t="shared" si="4"/>
        <v>Ok</v>
      </c>
    </row>
    <row r="23" spans="1:14" ht="15.75" customHeight="1">
      <c r="A23" s="3" t="s">
        <v>113</v>
      </c>
      <c r="B23" s="4" t="s">
        <v>114</v>
      </c>
      <c r="C23" s="4">
        <v>36</v>
      </c>
      <c r="D23" s="4" t="s">
        <v>31</v>
      </c>
      <c r="E23" s="4" t="s">
        <v>115</v>
      </c>
      <c r="F23" s="4" t="s">
        <v>116</v>
      </c>
      <c r="G23" s="4" t="s">
        <v>28</v>
      </c>
      <c r="H23" s="4" t="s">
        <v>67</v>
      </c>
      <c r="I23" s="4" t="str">
        <f t="shared" si="0"/>
        <v>Jeff Martinez</v>
      </c>
      <c r="J23" s="4" t="str">
        <f t="shared" si="1"/>
        <v>Smithburgh</v>
      </c>
      <c r="K23" s="4" t="str">
        <f>IF(OR(G23="USA",G23="usa"),"USA",K26
                                                                                                                                                                                                                                                               IF(G23="United States of America","USA","USA"))</f>
        <v>USA</v>
      </c>
      <c r="L23" s="4" t="str">
        <f t="shared" si="2"/>
        <v>CUST1021</v>
      </c>
      <c r="M23" s="4" t="str">
        <f t="shared" si="3"/>
        <v>Gold</v>
      </c>
      <c r="N23" s="4" t="str">
        <f t="shared" si="4"/>
        <v>Ok</v>
      </c>
    </row>
    <row r="24" spans="1:14" ht="15.75" customHeight="1">
      <c r="A24" s="3" t="s">
        <v>117</v>
      </c>
      <c r="B24" s="4" t="s">
        <v>118</v>
      </c>
      <c r="C24" s="4">
        <v>33</v>
      </c>
      <c r="D24" s="4" t="s">
        <v>31</v>
      </c>
      <c r="E24" s="4" t="s">
        <v>119</v>
      </c>
      <c r="F24" s="4" t="s">
        <v>120</v>
      </c>
      <c r="G24" s="4" t="s">
        <v>28</v>
      </c>
      <c r="H24" s="4" t="s">
        <v>50</v>
      </c>
      <c r="I24" s="4" t="str">
        <f t="shared" si="0"/>
        <v>Paul Fox</v>
      </c>
      <c r="J24" s="4" t="str">
        <f t="shared" si="1"/>
        <v>Michaelton</v>
      </c>
      <c r="K24" s="4" t="str">
        <f>IF(OR(G24="USA",G24="usa"),"USA",K27
                                                                                                                                                                                                                                                               IF(G24="United States of America","USA","USA"))</f>
        <v>USA</v>
      </c>
      <c r="L24" s="4" t="str">
        <f t="shared" si="2"/>
        <v>CUST1022</v>
      </c>
      <c r="M24" s="4" t="str">
        <f t="shared" si="3"/>
        <v>Silver</v>
      </c>
      <c r="N24" s="4" t="str">
        <f t="shared" si="4"/>
        <v>Ok</v>
      </c>
    </row>
    <row r="25" spans="1:14" ht="15.75" customHeight="1">
      <c r="A25" s="3" t="s">
        <v>121</v>
      </c>
      <c r="B25" s="4" t="s">
        <v>122</v>
      </c>
      <c r="C25" s="4">
        <v>52</v>
      </c>
      <c r="D25" s="4" t="s">
        <v>31</v>
      </c>
      <c r="E25" s="4" t="s">
        <v>123</v>
      </c>
      <c r="F25" s="4" t="s">
        <v>54</v>
      </c>
      <c r="G25" s="4" t="s">
        <v>28</v>
      </c>
      <c r="H25" s="4" t="s">
        <v>50</v>
      </c>
      <c r="I25" s="4" t="str">
        <f t="shared" si="0"/>
        <v>Jonathan Steele</v>
      </c>
      <c r="J25" s="4" t="str">
        <f t="shared" si="1"/>
        <v>Molinabury</v>
      </c>
      <c r="K25" s="4" t="str">
        <f>IF(OR(G25="USA",G25="usa"),"USA",K28
                                                                                                                                                                                                                                                               IF(G25="United States of America","USA","USA"))</f>
        <v>USA</v>
      </c>
      <c r="L25" s="4" t="str">
        <f t="shared" si="2"/>
        <v>CUST1023</v>
      </c>
      <c r="M25" s="4" t="str">
        <f t="shared" si="3"/>
        <v>Silver</v>
      </c>
      <c r="N25" s="4" t="str">
        <f t="shared" si="4"/>
        <v>Ok</v>
      </c>
    </row>
    <row r="26" spans="1:14" ht="15.75" customHeight="1">
      <c r="A26" s="3" t="s">
        <v>124</v>
      </c>
      <c r="B26" s="4" t="s">
        <v>125</v>
      </c>
      <c r="C26" s="4">
        <v>40</v>
      </c>
      <c r="D26" s="4" t="s">
        <v>25</v>
      </c>
      <c r="E26" s="4" t="s">
        <v>126</v>
      </c>
      <c r="F26" s="4" t="s">
        <v>127</v>
      </c>
      <c r="G26" s="4" t="s">
        <v>28</v>
      </c>
      <c r="H26" s="4" t="s">
        <v>34</v>
      </c>
      <c r="I26" s="4" t="str">
        <f t="shared" si="0"/>
        <v>Heather Collins</v>
      </c>
      <c r="J26" s="4" t="str">
        <f t="shared" si="1"/>
        <v>Rogerschester</v>
      </c>
      <c r="K26" s="4" t="str">
        <f>IF(OR(G26="USA",G26="usa"),"USA",K29
                                                                                                                                                                                                                                                               IF(G26="United States of America","USA","USA"))</f>
        <v>USA</v>
      </c>
      <c r="L26" s="4" t="str">
        <f t="shared" si="2"/>
        <v>CUST1024</v>
      </c>
      <c r="M26" s="4" t="str">
        <f t="shared" si="3"/>
        <v>Platinum</v>
      </c>
      <c r="N26" s="4" t="str">
        <f t="shared" si="4"/>
        <v>Ok</v>
      </c>
    </row>
    <row r="27" spans="1:14" ht="15.75" customHeight="1">
      <c r="A27" s="3" t="s">
        <v>128</v>
      </c>
      <c r="B27" s="4" t="s">
        <v>129</v>
      </c>
      <c r="C27" s="4">
        <v>59</v>
      </c>
      <c r="D27" s="4" t="s">
        <v>31</v>
      </c>
      <c r="E27" s="4" t="s">
        <v>130</v>
      </c>
      <c r="F27" s="4" t="s">
        <v>49</v>
      </c>
      <c r="G27" s="4" t="s">
        <v>28</v>
      </c>
      <c r="H27" s="4" t="s">
        <v>44</v>
      </c>
      <c r="I27" s="4" t="str">
        <f t="shared" si="0"/>
        <v>Diana Taylor</v>
      </c>
      <c r="J27" s="4" t="str">
        <f t="shared" si="1"/>
        <v>Vasqueztown</v>
      </c>
      <c r="K27" s="4" t="str">
        <f>IF(OR(G27="USA",G27="usa"),"USA",K30
                                                                                                                                                                                                                                                               IF(G27="United States of America","USA","USA"))</f>
        <v>USA</v>
      </c>
      <c r="L27" s="4" t="str">
        <f t="shared" si="2"/>
        <v>CUST1025</v>
      </c>
      <c r="M27" s="4" t="str">
        <f t="shared" si="3"/>
        <v>Bronze</v>
      </c>
      <c r="N27" s="4" t="str">
        <f t="shared" si="4"/>
        <v>Ok</v>
      </c>
    </row>
    <row r="28" spans="1:14" ht="15.75" customHeight="1">
      <c r="A28" s="3" t="s">
        <v>131</v>
      </c>
      <c r="B28" s="4" t="s">
        <v>132</v>
      </c>
      <c r="C28" s="4">
        <v>18</v>
      </c>
      <c r="D28" s="4" t="s">
        <v>31</v>
      </c>
      <c r="E28" s="4" t="s">
        <v>133</v>
      </c>
      <c r="F28" s="4" t="s">
        <v>134</v>
      </c>
      <c r="G28" s="4" t="s">
        <v>28</v>
      </c>
      <c r="H28" s="4" t="s">
        <v>67</v>
      </c>
      <c r="I28" s="4" t="str">
        <f t="shared" si="0"/>
        <v>Amber Carlson</v>
      </c>
      <c r="J28" s="4" t="str">
        <f t="shared" si="1"/>
        <v>East Michellemouth</v>
      </c>
      <c r="K28" s="4" t="str">
        <f>IF(OR(G28="USA",G28="usa"),"USA",K31
                                                                                                                                                                                                                                                               IF(G28="United States of America","USA","USA"))</f>
        <v>USA</v>
      </c>
      <c r="L28" s="4" t="str">
        <f t="shared" si="2"/>
        <v>CUST1026</v>
      </c>
      <c r="M28" s="4" t="str">
        <f t="shared" si="3"/>
        <v>Gold</v>
      </c>
      <c r="N28" s="4" t="str">
        <f t="shared" si="4"/>
        <v>Ok</v>
      </c>
    </row>
    <row r="29" spans="1:14" ht="15.75" customHeight="1">
      <c r="A29" s="3" t="s">
        <v>135</v>
      </c>
      <c r="B29" s="4" t="s">
        <v>136</v>
      </c>
      <c r="C29" s="4">
        <v>31</v>
      </c>
      <c r="D29" s="4" t="s">
        <v>25</v>
      </c>
      <c r="E29" s="4" t="s">
        <v>137</v>
      </c>
      <c r="F29" s="4" t="s">
        <v>138</v>
      </c>
      <c r="G29" s="4" t="s">
        <v>28</v>
      </c>
      <c r="H29" s="4"/>
      <c r="I29" s="4" t="str">
        <f t="shared" si="0"/>
        <v>Leslie Johnson</v>
      </c>
      <c r="J29" s="4" t="str">
        <f t="shared" si="1"/>
        <v>Mollyshire</v>
      </c>
      <c r="K29" s="4" t="str">
        <f>IF(OR(G29="USA",G29="usa"),"USA",K32
                                                                                                                                                                                                                                                               IF(G29="United States of America","USA","USA"))</f>
        <v>USA</v>
      </c>
      <c r="L29" s="4" t="str">
        <f t="shared" si="2"/>
        <v>CUST1027</v>
      </c>
      <c r="M29" s="4" t="str">
        <f t="shared" si="3"/>
        <v>Standard</v>
      </c>
      <c r="N29" s="4" t="str">
        <f t="shared" si="4"/>
        <v>Ok</v>
      </c>
    </row>
    <row r="30" spans="1:14" ht="15.75" customHeight="1">
      <c r="A30" s="3" t="s">
        <v>139</v>
      </c>
      <c r="B30" s="4" t="s">
        <v>140</v>
      </c>
      <c r="C30" s="4">
        <v>27</v>
      </c>
      <c r="D30" s="4" t="s">
        <v>31</v>
      </c>
      <c r="E30" s="4" t="s">
        <v>141</v>
      </c>
      <c r="F30" s="4" t="s">
        <v>108</v>
      </c>
      <c r="G30" s="4" t="s">
        <v>28</v>
      </c>
      <c r="H30" s="4" t="s">
        <v>34</v>
      </c>
      <c r="I30" s="4" t="str">
        <f t="shared" si="0"/>
        <v>Joshua Ryan</v>
      </c>
      <c r="J30" s="4" t="str">
        <f t="shared" si="1"/>
        <v>New David</v>
      </c>
      <c r="K30" s="4" t="str">
        <f>IF(OR(G30="USA",G30="usa"),"USA",K33
                                                                                                                                                                                                                                                               IF(G30="United States of America","USA","USA"))</f>
        <v>USA</v>
      </c>
      <c r="L30" s="4" t="str">
        <f t="shared" si="2"/>
        <v>CUST1028</v>
      </c>
      <c r="M30" s="4" t="str">
        <f t="shared" si="3"/>
        <v>Platinum</v>
      </c>
      <c r="N30" s="4" t="str">
        <f t="shared" si="4"/>
        <v>Ok</v>
      </c>
    </row>
    <row r="31" spans="1:14" ht="15.75" customHeight="1">
      <c r="A31" s="3" t="s">
        <v>142</v>
      </c>
      <c r="B31" s="4" t="s">
        <v>143</v>
      </c>
      <c r="C31" s="4">
        <v>54</v>
      </c>
      <c r="D31" s="4" t="s">
        <v>31</v>
      </c>
      <c r="E31" s="4" t="s">
        <v>144</v>
      </c>
      <c r="F31" s="4" t="s">
        <v>49</v>
      </c>
      <c r="G31" s="4" t="s">
        <v>28</v>
      </c>
      <c r="H31" s="4" t="s">
        <v>50</v>
      </c>
      <c r="I31" s="4" t="str">
        <f t="shared" si="0"/>
        <v>David Arnold</v>
      </c>
      <c r="J31" s="4" t="str">
        <f t="shared" si="1"/>
        <v>East Jennifer</v>
      </c>
      <c r="K31" s="4" t="str">
        <f>IF(OR(G31="USA",G31="usa"),"USA",K34
                                                                                                                                                                                                                                                               IF(G31="United States of America","USA","USA"))</f>
        <v>USA</v>
      </c>
      <c r="L31" s="4" t="str">
        <f t="shared" si="2"/>
        <v>CUST1029</v>
      </c>
      <c r="M31" s="4" t="str">
        <f t="shared" si="3"/>
        <v>Silver</v>
      </c>
      <c r="N31" s="4" t="str">
        <f t="shared" si="4"/>
        <v>Ok</v>
      </c>
    </row>
    <row r="32" spans="1:14" ht="15.75" customHeight="1">
      <c r="A32" s="3" t="s">
        <v>145</v>
      </c>
      <c r="B32" s="4" t="s">
        <v>146</v>
      </c>
      <c r="C32" s="4">
        <v>64</v>
      </c>
      <c r="D32" s="4" t="s">
        <v>31</v>
      </c>
      <c r="E32" s="4" t="s">
        <v>147</v>
      </c>
      <c r="F32" s="4" t="s">
        <v>71</v>
      </c>
      <c r="G32" s="4" t="s">
        <v>28</v>
      </c>
      <c r="H32" s="4" t="s">
        <v>44</v>
      </c>
      <c r="I32" s="4" t="str">
        <f t="shared" si="0"/>
        <v>Jessica Acevedo</v>
      </c>
      <c r="J32" s="4" t="str">
        <f t="shared" si="1"/>
        <v>Amybury</v>
      </c>
      <c r="K32" s="4" t="str">
        <f>IF(OR(G32="USA",G32="usa"),"USA",K35
                                                                                                                                                                                                                                                               IF(G32="United States of America","USA","USA"))</f>
        <v>USA</v>
      </c>
      <c r="L32" s="4" t="str">
        <f t="shared" si="2"/>
        <v>CUST1030</v>
      </c>
      <c r="M32" s="4" t="str">
        <f t="shared" si="3"/>
        <v>Bronze</v>
      </c>
      <c r="N32" s="4" t="str">
        <f t="shared" si="4"/>
        <v>Ok</v>
      </c>
    </row>
    <row r="33" spans="1:14" ht="15.75" customHeight="1">
      <c r="A33" s="3" t="s">
        <v>148</v>
      </c>
      <c r="B33" s="4" t="s">
        <v>149</v>
      </c>
      <c r="C33" s="4">
        <v>41</v>
      </c>
      <c r="D33" s="4" t="s">
        <v>25</v>
      </c>
      <c r="E33" s="4" t="s">
        <v>150</v>
      </c>
      <c r="F33" s="4" t="s">
        <v>54</v>
      </c>
      <c r="G33" s="4" t="s">
        <v>28</v>
      </c>
      <c r="H33" s="4" t="s">
        <v>50</v>
      </c>
      <c r="I33" s="4" t="str">
        <f t="shared" si="0"/>
        <v>Sarah Vance</v>
      </c>
      <c r="J33" s="4" t="str">
        <f t="shared" si="1"/>
        <v>Johnsonville</v>
      </c>
      <c r="K33" s="4" t="str">
        <f>IF(OR(G33="USA",G33="usa"),"USA",K36
                                                                                                                                                                                                                                                               IF(G33="United States of America","USA","USA"))</f>
        <v>USA</v>
      </c>
      <c r="L33" s="4" t="str">
        <f t="shared" si="2"/>
        <v>CUST1031</v>
      </c>
      <c r="M33" s="4" t="str">
        <f t="shared" si="3"/>
        <v>Silver</v>
      </c>
      <c r="N33" s="4" t="str">
        <f t="shared" si="4"/>
        <v>Ok</v>
      </c>
    </row>
    <row r="34" spans="1:14" ht="15.75" customHeight="1">
      <c r="A34" s="3" t="s">
        <v>151</v>
      </c>
      <c r="B34" s="4" t="s">
        <v>152</v>
      </c>
      <c r="C34" s="4">
        <v>48</v>
      </c>
      <c r="D34" s="4" t="s">
        <v>31</v>
      </c>
      <c r="E34" s="4" t="s">
        <v>153</v>
      </c>
      <c r="F34" s="4" t="s">
        <v>154</v>
      </c>
      <c r="G34" s="4" t="s">
        <v>28</v>
      </c>
      <c r="H34" s="4" t="s">
        <v>67</v>
      </c>
      <c r="I34" s="4" t="str">
        <f t="shared" si="0"/>
        <v>Mike Jennings</v>
      </c>
      <c r="J34" s="4" t="str">
        <f t="shared" si="1"/>
        <v>Fostermouth</v>
      </c>
      <c r="K34" s="4" t="str">
        <f>IF(OR(G34="USA",G34="usa"),"USA",K37
                                                                                                                                                                                                                                                               IF(G34="United States of America","USA","USA"))</f>
        <v>USA</v>
      </c>
      <c r="L34" s="4" t="str">
        <f t="shared" si="2"/>
        <v>CUST1032</v>
      </c>
      <c r="M34" s="4" t="str">
        <f t="shared" si="3"/>
        <v>Gold</v>
      </c>
      <c r="N34" s="4" t="str">
        <f t="shared" si="4"/>
        <v>Ok</v>
      </c>
    </row>
    <row r="35" spans="1:14" ht="15.75" customHeight="1">
      <c r="A35" s="3" t="s">
        <v>155</v>
      </c>
      <c r="B35" s="4" t="s">
        <v>156</v>
      </c>
      <c r="C35" s="4">
        <v>25</v>
      </c>
      <c r="D35" s="4" t="s">
        <v>25</v>
      </c>
      <c r="E35" s="4" t="s">
        <v>157</v>
      </c>
      <c r="F35" s="4" t="s">
        <v>116</v>
      </c>
      <c r="G35" s="4" t="s">
        <v>28</v>
      </c>
      <c r="H35" s="4" t="s">
        <v>34</v>
      </c>
      <c r="I35" s="4" t="str">
        <f t="shared" si="0"/>
        <v>Robert Jones Dds</v>
      </c>
      <c r="J35" s="4" t="str">
        <f t="shared" si="1"/>
        <v>Tristanton</v>
      </c>
      <c r="K35" s="4" t="str">
        <f>IF(OR(G35="USA",G35="usa"),"USA",K38
                                                                                                                                                                                                                                                               IF(G35="United States of America","USA","USA"))</f>
        <v>USA</v>
      </c>
      <c r="L35" s="4" t="str">
        <f t="shared" si="2"/>
        <v>CUST1033</v>
      </c>
      <c r="M35" s="4" t="str">
        <f t="shared" si="3"/>
        <v>Platinum</v>
      </c>
      <c r="N35" s="4" t="str">
        <f t="shared" si="4"/>
        <v>Ok</v>
      </c>
    </row>
    <row r="36" spans="1:14" ht="15.75" customHeight="1">
      <c r="A36" s="3" t="s">
        <v>158</v>
      </c>
      <c r="B36" s="4" t="s">
        <v>159</v>
      </c>
      <c r="C36" s="4">
        <v>27</v>
      </c>
      <c r="D36" s="4" t="s">
        <v>31</v>
      </c>
      <c r="E36" s="4" t="s">
        <v>160</v>
      </c>
      <c r="F36" s="4" t="s">
        <v>161</v>
      </c>
      <c r="G36" s="4" t="s">
        <v>28</v>
      </c>
      <c r="H36" s="4" t="s">
        <v>34</v>
      </c>
      <c r="I36" s="4" t="str">
        <f t="shared" si="0"/>
        <v>Christopher Olson</v>
      </c>
      <c r="J36" s="4" t="str">
        <f t="shared" si="1"/>
        <v>West Richard</v>
      </c>
      <c r="K36" s="4" t="str">
        <f>IF(OR(G36="USA",G36="usa"),"USA",K39
                                                                                                                                                                                                                                                               IF(G36="United States of America","USA","USA"))</f>
        <v>USA</v>
      </c>
      <c r="L36" s="4" t="str">
        <f t="shared" si="2"/>
        <v>CUST1034</v>
      </c>
      <c r="M36" s="4" t="str">
        <f t="shared" si="3"/>
        <v>Platinum</v>
      </c>
      <c r="N36" s="4" t="str">
        <f t="shared" si="4"/>
        <v>Ok</v>
      </c>
    </row>
    <row r="37" spans="1:14" ht="15.75" customHeight="1">
      <c r="A37" s="3" t="s">
        <v>162</v>
      </c>
      <c r="B37" s="4" t="s">
        <v>163</v>
      </c>
      <c r="C37" s="4">
        <v>52</v>
      </c>
      <c r="D37" s="4" t="s">
        <v>25</v>
      </c>
      <c r="E37" s="4" t="s">
        <v>164</v>
      </c>
      <c r="F37" s="4" t="s">
        <v>33</v>
      </c>
      <c r="G37" s="4" t="s">
        <v>28</v>
      </c>
      <c r="H37" s="4" t="s">
        <v>50</v>
      </c>
      <c r="I37" s="4" t="str">
        <f t="shared" si="0"/>
        <v>Rachel Myers</v>
      </c>
      <c r="J37" s="4" t="str">
        <f t="shared" si="1"/>
        <v>Robertberg</v>
      </c>
      <c r="K37" s="4" t="str">
        <f>IF(OR(G37="USA",G37="usa"),"USA",K40
                                                                                                                                                                                                                                                               IF(G37="United States of America","USA","USA"))</f>
        <v>USA</v>
      </c>
      <c r="L37" s="4" t="str">
        <f t="shared" si="2"/>
        <v>CUST1035</v>
      </c>
      <c r="M37" s="4" t="str">
        <f t="shared" si="3"/>
        <v>Silver</v>
      </c>
      <c r="N37" s="4" t="str">
        <f t="shared" si="4"/>
        <v>Ok</v>
      </c>
    </row>
    <row r="38" spans="1:14" ht="15.75" customHeight="1">
      <c r="A38" s="3" t="s">
        <v>165</v>
      </c>
      <c r="B38" s="4" t="s">
        <v>166</v>
      </c>
      <c r="C38" s="4">
        <v>20</v>
      </c>
      <c r="D38" s="4" t="s">
        <v>31</v>
      </c>
      <c r="E38" s="4" t="s">
        <v>167</v>
      </c>
      <c r="F38" s="4" t="s">
        <v>101</v>
      </c>
      <c r="G38" s="4" t="s">
        <v>28</v>
      </c>
      <c r="H38" s="4" t="s">
        <v>67</v>
      </c>
      <c r="I38" s="4" t="str">
        <f t="shared" si="0"/>
        <v>Thomas Phillips</v>
      </c>
      <c r="J38" s="4" t="str">
        <f t="shared" si="1"/>
        <v>Luisfurt</v>
      </c>
      <c r="K38" s="4" t="str">
        <f>IF(OR(G38="USA",G38="usa"),"USA",K41
                                                                                                                                                                                                                                                               IF(G38="United States of America","USA","USA"))</f>
        <v>USA</v>
      </c>
      <c r="L38" s="4" t="str">
        <f t="shared" si="2"/>
        <v>CUST1036</v>
      </c>
      <c r="M38" s="4" t="str">
        <f t="shared" si="3"/>
        <v>Gold</v>
      </c>
      <c r="N38" s="4" t="str">
        <f t="shared" si="4"/>
        <v>Ok</v>
      </c>
    </row>
    <row r="39" spans="1:14" ht="15.75" customHeight="1">
      <c r="A39" s="3" t="s">
        <v>168</v>
      </c>
      <c r="B39" s="4" t="s">
        <v>169</v>
      </c>
      <c r="C39" s="4">
        <v>27</v>
      </c>
      <c r="D39" s="4" t="s">
        <v>31</v>
      </c>
      <c r="E39" s="4" t="s">
        <v>170</v>
      </c>
      <c r="F39" s="4" t="s">
        <v>58</v>
      </c>
      <c r="G39" s="4" t="s">
        <v>28</v>
      </c>
      <c r="H39" s="4"/>
      <c r="I39" s="4" t="str">
        <f t="shared" si="0"/>
        <v>Christopher Carter</v>
      </c>
      <c r="J39" s="4" t="str">
        <f t="shared" si="1"/>
        <v>Brendastad</v>
      </c>
      <c r="K39" s="4" t="str">
        <f>IF(OR(G39="USA",G39="usa"),"USA",K42
                                                                                                                                                                                                                                                               IF(G39="United States of America","USA","USA"))</f>
        <v>USA</v>
      </c>
      <c r="L39" s="4" t="str">
        <f t="shared" si="2"/>
        <v>CUST1037</v>
      </c>
      <c r="M39" s="4" t="str">
        <f t="shared" si="3"/>
        <v>Standard</v>
      </c>
      <c r="N39" s="4" t="str">
        <f t="shared" si="4"/>
        <v>Ok</v>
      </c>
    </row>
    <row r="40" spans="1:14" ht="15.75" customHeight="1">
      <c r="A40" s="3" t="s">
        <v>171</v>
      </c>
      <c r="B40" s="4" t="s">
        <v>172</v>
      </c>
      <c r="C40" s="4">
        <v>35</v>
      </c>
      <c r="D40" s="4" t="s">
        <v>31</v>
      </c>
      <c r="E40" s="4" t="s">
        <v>173</v>
      </c>
      <c r="F40" s="4" t="s">
        <v>33</v>
      </c>
      <c r="G40" s="4" t="s">
        <v>28</v>
      </c>
      <c r="H40" s="4" t="s">
        <v>44</v>
      </c>
      <c r="I40" s="4" t="str">
        <f t="shared" si="0"/>
        <v>Deanna Simpson</v>
      </c>
      <c r="J40" s="4" t="str">
        <f t="shared" si="1"/>
        <v>Brownport</v>
      </c>
      <c r="K40" s="4" t="str">
        <f>IF(OR(G40="USA",G40="usa"),"USA",K43
                                                                                                                                                                                                                                                               IF(G40="United States of America","USA","USA"))</f>
        <v>USA</v>
      </c>
      <c r="L40" s="4" t="str">
        <f t="shared" si="2"/>
        <v>CUST1038</v>
      </c>
      <c r="M40" s="4" t="str">
        <f t="shared" si="3"/>
        <v>Bronze</v>
      </c>
      <c r="N40" s="4" t="str">
        <f t="shared" si="4"/>
        <v>Ok</v>
      </c>
    </row>
    <row r="41" spans="1:14" ht="15.75" customHeight="1">
      <c r="A41" s="3" t="s">
        <v>174</v>
      </c>
      <c r="B41" s="4" t="s">
        <v>175</v>
      </c>
      <c r="C41" s="4">
        <v>55</v>
      </c>
      <c r="D41" s="4" t="s">
        <v>31</v>
      </c>
      <c r="E41" s="4" t="s">
        <v>176</v>
      </c>
      <c r="F41" s="4" t="s">
        <v>177</v>
      </c>
      <c r="G41" s="4" t="s">
        <v>28</v>
      </c>
      <c r="H41" s="4" t="s">
        <v>67</v>
      </c>
      <c r="I41" s="4" t="str">
        <f t="shared" si="0"/>
        <v>Tonya Reynolds</v>
      </c>
      <c r="J41" s="4" t="str">
        <f t="shared" si="1"/>
        <v>Darleneton</v>
      </c>
      <c r="K41" s="4" t="str">
        <f>IF(OR(G41="USA",G41="usa"),"USA",K44
                                                                                                                                                                                                                                                               IF(G41="United States of America","USA","USA"))</f>
        <v>USA</v>
      </c>
      <c r="L41" s="4" t="str">
        <f t="shared" si="2"/>
        <v>CUST1039</v>
      </c>
      <c r="M41" s="4" t="str">
        <f t="shared" si="3"/>
        <v>Gold</v>
      </c>
      <c r="N41" s="4" t="str">
        <f t="shared" si="4"/>
        <v>Ok</v>
      </c>
    </row>
    <row r="42" spans="1:14" ht="15.75" customHeight="1">
      <c r="A42" s="3" t="s">
        <v>178</v>
      </c>
      <c r="B42" s="4" t="s">
        <v>179</v>
      </c>
      <c r="C42" s="4">
        <v>50</v>
      </c>
      <c r="D42" s="4" t="s">
        <v>25</v>
      </c>
      <c r="E42" s="4" t="s">
        <v>180</v>
      </c>
      <c r="F42" s="4" t="s">
        <v>82</v>
      </c>
      <c r="G42" s="4" t="s">
        <v>28</v>
      </c>
      <c r="H42" s="4" t="s">
        <v>67</v>
      </c>
      <c r="I42" s="4" t="str">
        <f t="shared" si="0"/>
        <v>Eric Vega</v>
      </c>
      <c r="J42" s="4" t="str">
        <f t="shared" si="1"/>
        <v>Williamsonland</v>
      </c>
      <c r="K42" s="4" t="str">
        <f>IF(OR(G42="USA",G42="usa"),"USA",K45
                                                                                                                                                                                                                                                               IF(G42="United States of America","USA","USA"))</f>
        <v>USA</v>
      </c>
      <c r="L42" s="4" t="str">
        <f t="shared" si="2"/>
        <v>CUST1040</v>
      </c>
      <c r="M42" s="4" t="str">
        <f t="shared" si="3"/>
        <v>Gold</v>
      </c>
      <c r="N42" s="4" t="str">
        <f t="shared" si="4"/>
        <v>Ok</v>
      </c>
    </row>
    <row r="43" spans="1:14" ht="15.75" customHeight="1">
      <c r="A43" s="3" t="s">
        <v>181</v>
      </c>
      <c r="B43" s="4" t="s">
        <v>182</v>
      </c>
      <c r="C43" s="4">
        <v>21</v>
      </c>
      <c r="D43" s="4" t="s">
        <v>25</v>
      </c>
      <c r="E43" s="4" t="s">
        <v>183</v>
      </c>
      <c r="F43" s="4" t="s">
        <v>184</v>
      </c>
      <c r="G43" s="4" t="s">
        <v>28</v>
      </c>
      <c r="H43" s="4" t="s">
        <v>34</v>
      </c>
      <c r="I43" s="4" t="str">
        <f t="shared" si="0"/>
        <v>James Gibbs</v>
      </c>
      <c r="J43" s="4" t="str">
        <f t="shared" si="1"/>
        <v>Mooneyshire</v>
      </c>
      <c r="K43" s="4" t="str">
        <f>IF(OR(G43="USA",G43="usa"),"USA",K46
                                                                                                                                                                                                                                                               IF(G43="United States of America","USA","USA"))</f>
        <v>USA</v>
      </c>
      <c r="L43" s="4" t="str">
        <f t="shared" si="2"/>
        <v>CUST1041</v>
      </c>
      <c r="M43" s="4" t="str">
        <f t="shared" si="3"/>
        <v>Platinum</v>
      </c>
      <c r="N43" s="4" t="str">
        <f t="shared" si="4"/>
        <v>Ok</v>
      </c>
    </row>
    <row r="44" spans="1:14" ht="15.75" customHeight="1">
      <c r="A44" s="3" t="s">
        <v>185</v>
      </c>
      <c r="B44" s="4" t="s">
        <v>186</v>
      </c>
      <c r="C44" s="4">
        <v>19</v>
      </c>
      <c r="D44" s="4" t="s">
        <v>25</v>
      </c>
      <c r="E44" s="4" t="s">
        <v>187</v>
      </c>
      <c r="F44" s="4" t="s">
        <v>188</v>
      </c>
      <c r="G44" s="4" t="s">
        <v>28</v>
      </c>
      <c r="H44" s="4" t="s">
        <v>34</v>
      </c>
      <c r="I44" s="4" t="str">
        <f t="shared" si="0"/>
        <v>William Martin</v>
      </c>
      <c r="J44" s="4" t="str">
        <f t="shared" si="1"/>
        <v>Ryanburgh</v>
      </c>
      <c r="K44" s="4" t="str">
        <f>IF(OR(G44="USA",G44="usa"),"USA",K47
                                                                                                                                                                                                                                                               IF(G44="United States of America","USA","USA"))</f>
        <v>USA</v>
      </c>
      <c r="L44" s="4" t="str">
        <f t="shared" si="2"/>
        <v>CUST1042</v>
      </c>
      <c r="M44" s="4" t="str">
        <f t="shared" si="3"/>
        <v>Platinum</v>
      </c>
      <c r="N44" s="4" t="str">
        <f t="shared" si="4"/>
        <v>Ok</v>
      </c>
    </row>
    <row r="45" spans="1:14" ht="15.75" customHeight="1">
      <c r="A45" s="3" t="s">
        <v>189</v>
      </c>
      <c r="B45" s="4" t="s">
        <v>190</v>
      </c>
      <c r="C45" s="4">
        <v>45</v>
      </c>
      <c r="D45" s="4" t="s">
        <v>25</v>
      </c>
      <c r="E45" s="4" t="s">
        <v>191</v>
      </c>
      <c r="F45" s="4" t="s">
        <v>192</v>
      </c>
      <c r="G45" s="4" t="s">
        <v>28</v>
      </c>
      <c r="H45" s="4" t="s">
        <v>67</v>
      </c>
      <c r="I45" s="4" t="str">
        <f t="shared" si="0"/>
        <v>Joseph Snow</v>
      </c>
      <c r="J45" s="4" t="str">
        <f t="shared" si="1"/>
        <v>South Michaelfort</v>
      </c>
      <c r="K45" s="4" t="str">
        <f>IF(OR(G45="USA",G45="usa"),"USA",K48
                                                                                                                                                                                                                                                               IF(G45="United States of America","USA","USA"))</f>
        <v>USA</v>
      </c>
      <c r="L45" s="4" t="str">
        <f t="shared" si="2"/>
        <v>CUST1043</v>
      </c>
      <c r="M45" s="4" t="str">
        <f t="shared" si="3"/>
        <v>Gold</v>
      </c>
      <c r="N45" s="4" t="str">
        <f t="shared" si="4"/>
        <v>Ok</v>
      </c>
    </row>
    <row r="46" spans="1:14" ht="15.75" customHeight="1">
      <c r="A46" s="3" t="s">
        <v>193</v>
      </c>
      <c r="B46" s="4" t="s">
        <v>194</v>
      </c>
      <c r="C46" s="4">
        <v>34</v>
      </c>
      <c r="D46" s="4" t="s">
        <v>25</v>
      </c>
      <c r="E46" s="4" t="s">
        <v>195</v>
      </c>
      <c r="F46" s="4" t="s">
        <v>120</v>
      </c>
      <c r="G46" s="4" t="s">
        <v>28</v>
      </c>
      <c r="H46" s="4" t="s">
        <v>44</v>
      </c>
      <c r="I46" s="4" t="str">
        <f t="shared" si="0"/>
        <v>Denise Williams</v>
      </c>
      <c r="J46" s="4" t="str">
        <f t="shared" si="1"/>
        <v>Christianstad</v>
      </c>
      <c r="K46" s="4" t="str">
        <f>IF(OR(G46="USA",G46="usa"),"USA",K49
                                                                                                                                                                                                                                                               IF(G46="United States of America","USA","USA"))</f>
        <v>USA</v>
      </c>
      <c r="L46" s="4" t="str">
        <f t="shared" si="2"/>
        <v>CUST1044</v>
      </c>
      <c r="M46" s="4" t="str">
        <f t="shared" si="3"/>
        <v>Bronze</v>
      </c>
      <c r="N46" s="4" t="str">
        <f t="shared" si="4"/>
        <v>Ok</v>
      </c>
    </row>
    <row r="47" spans="1:14" ht="15.75" customHeight="1">
      <c r="A47" s="3" t="s">
        <v>196</v>
      </c>
      <c r="B47" s="4" t="s">
        <v>197</v>
      </c>
      <c r="C47" s="4">
        <v>54</v>
      </c>
      <c r="D47" s="4" t="s">
        <v>25</v>
      </c>
      <c r="E47" s="4" t="s">
        <v>198</v>
      </c>
      <c r="F47" s="4" t="s">
        <v>154</v>
      </c>
      <c r="G47" s="4" t="s">
        <v>28</v>
      </c>
      <c r="H47" s="4" t="s">
        <v>67</v>
      </c>
      <c r="I47" s="4" t="str">
        <f t="shared" si="0"/>
        <v>Jordan Jackson Dds</v>
      </c>
      <c r="J47" s="4" t="str">
        <f t="shared" si="1"/>
        <v>North Johnview</v>
      </c>
      <c r="K47" s="4" t="str">
        <f>IF(OR(G47="USA",G47="usa"),"USA",K50
                                                                                                                                                                                                                                                               IF(G47="United States of America","USA","USA"))</f>
        <v>USA</v>
      </c>
      <c r="L47" s="4" t="str">
        <f t="shared" si="2"/>
        <v>CUST1045</v>
      </c>
      <c r="M47" s="4" t="str">
        <f t="shared" si="3"/>
        <v>Gold</v>
      </c>
      <c r="N47" s="4" t="str">
        <f t="shared" si="4"/>
        <v>Ok</v>
      </c>
    </row>
    <row r="48" spans="1:14" ht="15.75" customHeight="1">
      <c r="A48" s="3" t="s">
        <v>199</v>
      </c>
      <c r="B48" s="4" t="s">
        <v>200</v>
      </c>
      <c r="C48" s="4">
        <v>55</v>
      </c>
      <c r="D48" s="4" t="s">
        <v>31</v>
      </c>
      <c r="E48" s="4" t="s">
        <v>201</v>
      </c>
      <c r="F48" s="4" t="s">
        <v>43</v>
      </c>
      <c r="G48" s="4" t="s">
        <v>28</v>
      </c>
      <c r="H48" s="4" t="s">
        <v>34</v>
      </c>
      <c r="I48" s="4" t="str">
        <f t="shared" si="0"/>
        <v>Michelle Garcia Dds</v>
      </c>
      <c r="J48" s="4" t="str">
        <f t="shared" si="1"/>
        <v>Perezbury</v>
      </c>
      <c r="K48" s="4" t="str">
        <f>IF(OR(G48="USA",G48="usa"),"USA",K51
                                                                                                                                                                                                                                                               IF(G48="United States of America","USA","USA"))</f>
        <v>USA</v>
      </c>
      <c r="L48" s="4" t="str">
        <f t="shared" si="2"/>
        <v>CUST1046</v>
      </c>
      <c r="M48" s="4" t="str">
        <f t="shared" si="3"/>
        <v>Platinum</v>
      </c>
      <c r="N48" s="4" t="str">
        <f t="shared" si="4"/>
        <v>Ok</v>
      </c>
    </row>
    <row r="49" spans="1:14" ht="15.75" customHeight="1">
      <c r="A49" s="3" t="s">
        <v>202</v>
      </c>
      <c r="B49" s="4" t="s">
        <v>203</v>
      </c>
      <c r="C49" s="4">
        <v>54</v>
      </c>
      <c r="D49" s="4" t="s">
        <v>31</v>
      </c>
      <c r="E49" s="4" t="s">
        <v>204</v>
      </c>
      <c r="F49" s="4" t="s">
        <v>205</v>
      </c>
      <c r="G49" s="4" t="s">
        <v>28</v>
      </c>
      <c r="H49" s="4" t="s">
        <v>50</v>
      </c>
      <c r="I49" s="4" t="str">
        <f t="shared" si="0"/>
        <v>Gina Knight</v>
      </c>
      <c r="J49" s="4" t="str">
        <f t="shared" si="1"/>
        <v>Lake Roberthaven</v>
      </c>
      <c r="K49" s="4" t="str">
        <f>IF(OR(G49="USA",G49="usa"),"USA",K52
                                                                                                                                                                                                                                                               IF(G49="United States of America","USA","USA"))</f>
        <v>USA</v>
      </c>
      <c r="L49" s="4" t="str">
        <f t="shared" si="2"/>
        <v>CUST1047</v>
      </c>
      <c r="M49" s="4" t="str">
        <f t="shared" si="3"/>
        <v>Silver</v>
      </c>
      <c r="N49" s="4" t="str">
        <f t="shared" si="4"/>
        <v>Ok</v>
      </c>
    </row>
    <row r="50" spans="1:14" ht="15.75" customHeight="1">
      <c r="A50" s="3" t="s">
        <v>206</v>
      </c>
      <c r="B50" s="4" t="s">
        <v>207</v>
      </c>
      <c r="C50" s="4">
        <v>54</v>
      </c>
      <c r="D50" s="4" t="s">
        <v>25</v>
      </c>
      <c r="E50" s="4" t="s">
        <v>208</v>
      </c>
      <c r="F50" s="4" t="s">
        <v>27</v>
      </c>
      <c r="G50" s="4" t="s">
        <v>28</v>
      </c>
      <c r="H50" s="4" t="s">
        <v>34</v>
      </c>
      <c r="I50" s="4" t="str">
        <f t="shared" si="0"/>
        <v>April Mullins</v>
      </c>
      <c r="J50" s="4" t="str">
        <f t="shared" si="1"/>
        <v>Dawsonbury</v>
      </c>
      <c r="K50" s="4" t="str">
        <f>IF(OR(G50="USA",G50="usa"),"USA",K53
                                                                                                                                                                                                                                                               IF(G50="United States of America","USA","USA"))</f>
        <v>USA</v>
      </c>
      <c r="L50" s="4" t="str">
        <f t="shared" si="2"/>
        <v>CUST1048</v>
      </c>
      <c r="M50" s="4" t="str">
        <f t="shared" si="3"/>
        <v>Platinum</v>
      </c>
      <c r="N50" s="4" t="str">
        <f t="shared" si="4"/>
        <v>Ok</v>
      </c>
    </row>
    <row r="51" spans="1:14" ht="15.75" customHeight="1">
      <c r="A51" s="3" t="s">
        <v>209</v>
      </c>
      <c r="B51" s="4" t="s">
        <v>210</v>
      </c>
      <c r="C51" s="4">
        <v>45</v>
      </c>
      <c r="D51" s="4" t="s">
        <v>31</v>
      </c>
      <c r="E51" s="4" t="s">
        <v>211</v>
      </c>
      <c r="F51" s="4" t="s">
        <v>43</v>
      </c>
      <c r="G51" s="4" t="s">
        <v>28</v>
      </c>
      <c r="H51" s="4" t="s">
        <v>67</v>
      </c>
      <c r="I51" s="4" t="str">
        <f t="shared" si="0"/>
        <v>Timothy Weaver</v>
      </c>
      <c r="J51" s="4" t="str">
        <f t="shared" si="1"/>
        <v>New Amy</v>
      </c>
      <c r="K51" s="4" t="str">
        <f>IF(OR(G51="USA",G51="usa"),"USA",K54
                                                                                                                                                                                                                                                               IF(G51="United States of America","USA","USA"))</f>
        <v>USA</v>
      </c>
      <c r="L51" s="4" t="str">
        <f t="shared" si="2"/>
        <v>CUST1049</v>
      </c>
      <c r="M51" s="4" t="str">
        <f t="shared" si="3"/>
        <v>Gold</v>
      </c>
      <c r="N51" s="4" t="str">
        <f t="shared" si="4"/>
        <v>Ok</v>
      </c>
    </row>
    <row r="52" spans="1:14" ht="15.75" customHeight="1">
      <c r="A52" s="3" t="s">
        <v>212</v>
      </c>
      <c r="B52" s="4" t="s">
        <v>213</v>
      </c>
      <c r="C52" s="4">
        <v>61</v>
      </c>
      <c r="D52" s="4" t="s">
        <v>31</v>
      </c>
      <c r="E52" s="4" t="s">
        <v>214</v>
      </c>
      <c r="F52" s="4" t="s">
        <v>215</v>
      </c>
      <c r="G52" s="4" t="s">
        <v>28</v>
      </c>
      <c r="H52" s="4" t="s">
        <v>67</v>
      </c>
      <c r="I52" s="4" t="str">
        <f t="shared" si="0"/>
        <v>Matthew Hunter Jr.</v>
      </c>
      <c r="J52" s="4" t="str">
        <f t="shared" si="1"/>
        <v>Gregoryview</v>
      </c>
      <c r="K52" s="4" t="str">
        <f>IF(OR(G52="USA",G52="usa"),"USA",K55
                                                                                                                                                                                                                                                               IF(G52="United States of America","USA","USA"))</f>
        <v>USA</v>
      </c>
      <c r="L52" s="4" t="str">
        <f t="shared" si="2"/>
        <v>CUST1050</v>
      </c>
      <c r="M52" s="4" t="str">
        <f t="shared" si="3"/>
        <v>Gold</v>
      </c>
      <c r="N52" s="4" t="str">
        <f t="shared" si="4"/>
        <v>Ok</v>
      </c>
    </row>
    <row r="53" spans="1:14" ht="15.75" customHeight="1">
      <c r="A53" s="3" t="s">
        <v>216</v>
      </c>
      <c r="B53" s="4" t="s">
        <v>217</v>
      </c>
      <c r="C53" s="4">
        <v>23</v>
      </c>
      <c r="D53" s="4" t="s">
        <v>31</v>
      </c>
      <c r="E53" s="4" t="s">
        <v>218</v>
      </c>
      <c r="F53" s="4" t="s">
        <v>62</v>
      </c>
      <c r="G53" s="4" t="s">
        <v>28</v>
      </c>
      <c r="H53" s="4" t="s">
        <v>67</v>
      </c>
      <c r="I53" s="4" t="str">
        <f t="shared" si="0"/>
        <v>Sarah Rodgers</v>
      </c>
      <c r="J53" s="4" t="str">
        <f t="shared" si="1"/>
        <v>New Julia</v>
      </c>
      <c r="K53" s="4" t="str">
        <f>IF(OR(G53="USA",G53="usa"),"USA",K56
                                                                                                                                                                                                                                                               IF(G53="United States of America","USA","USA"))</f>
        <v>USA</v>
      </c>
      <c r="L53" s="4" t="str">
        <f t="shared" si="2"/>
        <v>CUST1051</v>
      </c>
      <c r="M53" s="4" t="str">
        <f t="shared" si="3"/>
        <v>Gold</v>
      </c>
      <c r="N53" s="4" t="str">
        <f t="shared" si="4"/>
        <v>Ok</v>
      </c>
    </row>
    <row r="54" spans="1:14" ht="15.75" customHeight="1">
      <c r="A54" s="3" t="s">
        <v>219</v>
      </c>
      <c r="B54" s="4" t="s">
        <v>220</v>
      </c>
      <c r="C54" s="4">
        <v>55</v>
      </c>
      <c r="D54" s="4" t="s">
        <v>25</v>
      </c>
      <c r="E54" s="4" t="s">
        <v>221</v>
      </c>
      <c r="F54" s="4" t="s">
        <v>222</v>
      </c>
      <c r="G54" s="4" t="s">
        <v>28</v>
      </c>
      <c r="H54" s="4" t="s">
        <v>44</v>
      </c>
      <c r="I54" s="4" t="str">
        <f t="shared" si="0"/>
        <v>Debra Liu</v>
      </c>
      <c r="J54" s="4" t="str">
        <f t="shared" si="1"/>
        <v>South Timtown</v>
      </c>
      <c r="K54" s="4" t="str">
        <f>IF(OR(G54="USA",G54="usa"),"USA",K57
                                                                                                                                                                                                                                                               IF(G54="United States of America","USA","USA"))</f>
        <v>USA</v>
      </c>
      <c r="L54" s="4" t="str">
        <f t="shared" si="2"/>
        <v>CUST1052</v>
      </c>
      <c r="M54" s="4" t="str">
        <f t="shared" si="3"/>
        <v>Bronze</v>
      </c>
      <c r="N54" s="4" t="str">
        <f t="shared" si="4"/>
        <v>Ok</v>
      </c>
    </row>
    <row r="55" spans="1:14" ht="15.75" customHeight="1">
      <c r="A55" s="3" t="s">
        <v>223</v>
      </c>
      <c r="B55" s="4" t="s">
        <v>224</v>
      </c>
      <c r="C55" s="4">
        <v>37</v>
      </c>
      <c r="D55" s="4" t="s">
        <v>31</v>
      </c>
      <c r="E55" s="4" t="s">
        <v>225</v>
      </c>
      <c r="F55" s="4" t="s">
        <v>177</v>
      </c>
      <c r="G55" s="4" t="s">
        <v>28</v>
      </c>
      <c r="H55" s="4" t="s">
        <v>67</v>
      </c>
      <c r="I55" s="4" t="str">
        <f t="shared" si="0"/>
        <v>Sharon Brown</v>
      </c>
      <c r="J55" s="4" t="str">
        <f t="shared" si="1"/>
        <v>East Andrea</v>
      </c>
      <c r="K55" s="4" t="str">
        <f>IF(OR(G55="USA",G55="usa"),"USA",K58
                                                                                                                                                                                                                                                               IF(G55="United States of America","USA","USA"))</f>
        <v>USA</v>
      </c>
      <c r="L55" s="4" t="str">
        <f t="shared" si="2"/>
        <v>CUST1053</v>
      </c>
      <c r="M55" s="4" t="str">
        <f t="shared" si="3"/>
        <v>Gold</v>
      </c>
      <c r="N55" s="4" t="str">
        <f t="shared" si="4"/>
        <v>Ok</v>
      </c>
    </row>
    <row r="56" spans="1:14" ht="15.75" customHeight="1">
      <c r="A56" s="3" t="s">
        <v>226</v>
      </c>
      <c r="B56" s="4" t="s">
        <v>227</v>
      </c>
      <c r="C56" s="4">
        <v>24</v>
      </c>
      <c r="D56" s="4" t="s">
        <v>25</v>
      </c>
      <c r="E56" s="4" t="s">
        <v>228</v>
      </c>
      <c r="F56" s="4" t="s">
        <v>116</v>
      </c>
      <c r="G56" s="4" t="s">
        <v>28</v>
      </c>
      <c r="H56" s="4" t="s">
        <v>34</v>
      </c>
      <c r="I56" s="4" t="str">
        <f t="shared" si="0"/>
        <v>Katherine Dorsey</v>
      </c>
      <c r="J56" s="4" t="str">
        <f t="shared" si="1"/>
        <v>Christopherland</v>
      </c>
      <c r="K56" s="4" t="str">
        <f>IF(OR(G56="USA",G56="usa"),"USA",K59
                                                                                                                                                                                                                                                               IF(G56="United States of America","USA","USA"))</f>
        <v>USA</v>
      </c>
      <c r="L56" s="4" t="str">
        <f t="shared" si="2"/>
        <v>CUST1054</v>
      </c>
      <c r="M56" s="4" t="str">
        <f t="shared" si="3"/>
        <v>Platinum</v>
      </c>
      <c r="N56" s="4" t="str">
        <f t="shared" si="4"/>
        <v>Ok</v>
      </c>
    </row>
    <row r="57" spans="1:14" ht="15.75" customHeight="1">
      <c r="A57" s="3" t="s">
        <v>229</v>
      </c>
      <c r="B57" s="4" t="s">
        <v>230</v>
      </c>
      <c r="C57" s="4">
        <v>56</v>
      </c>
      <c r="D57" s="4" t="s">
        <v>31</v>
      </c>
      <c r="E57" s="4" t="s">
        <v>231</v>
      </c>
      <c r="F57" s="4" t="s">
        <v>222</v>
      </c>
      <c r="G57" s="4" t="s">
        <v>28</v>
      </c>
      <c r="H57" s="4" t="s">
        <v>44</v>
      </c>
      <c r="I57" s="4" t="str">
        <f t="shared" si="0"/>
        <v>Wayne Mcpherson</v>
      </c>
      <c r="J57" s="4" t="str">
        <f t="shared" si="1"/>
        <v>Edwardsfort</v>
      </c>
      <c r="K57" s="4" t="str">
        <f>IF(OR(G57="USA",G57="usa"),"USA",K60
                                                                                                                                                                                                                                                               IF(G57="United States of America","USA","USA"))</f>
        <v>USA</v>
      </c>
      <c r="L57" s="4" t="str">
        <f t="shared" si="2"/>
        <v>CUST1055</v>
      </c>
      <c r="M57" s="4" t="str">
        <f t="shared" si="3"/>
        <v>Bronze</v>
      </c>
      <c r="N57" s="4" t="str">
        <f t="shared" si="4"/>
        <v>Ok</v>
      </c>
    </row>
    <row r="58" spans="1:14" ht="15.75" customHeight="1">
      <c r="A58" s="3" t="s">
        <v>232</v>
      </c>
      <c r="B58" s="4" t="s">
        <v>233</v>
      </c>
      <c r="C58" s="4">
        <v>49</v>
      </c>
      <c r="D58" s="4" t="s">
        <v>31</v>
      </c>
      <c r="E58" s="4" t="s">
        <v>234</v>
      </c>
      <c r="F58" s="4" t="s">
        <v>71</v>
      </c>
      <c r="G58" s="4" t="s">
        <v>28</v>
      </c>
      <c r="H58" s="4" t="s">
        <v>67</v>
      </c>
      <c r="I58" s="4" t="str">
        <f t="shared" si="0"/>
        <v>Christopher Sutton</v>
      </c>
      <c r="J58" s="4" t="str">
        <f t="shared" si="1"/>
        <v>Deborahberg</v>
      </c>
      <c r="K58" s="4" t="str">
        <f>IF(OR(G58="USA",G58="usa"),"USA",K61
                                                                                                                                                                                                                                                               IF(G58="United States of America","USA","USA"))</f>
        <v>USA</v>
      </c>
      <c r="L58" s="4" t="str">
        <f t="shared" si="2"/>
        <v>CUST1056</v>
      </c>
      <c r="M58" s="4" t="str">
        <f t="shared" si="3"/>
        <v>Gold</v>
      </c>
      <c r="N58" s="4" t="str">
        <f t="shared" si="4"/>
        <v>Ok</v>
      </c>
    </row>
    <row r="59" spans="1:14" ht="15.75" customHeight="1">
      <c r="A59" s="3" t="s">
        <v>235</v>
      </c>
      <c r="B59" s="4" t="s">
        <v>236</v>
      </c>
      <c r="C59" s="4">
        <v>43</v>
      </c>
      <c r="D59" s="4" t="s">
        <v>31</v>
      </c>
      <c r="E59" s="4" t="s">
        <v>237</v>
      </c>
      <c r="F59" s="4" t="s">
        <v>238</v>
      </c>
      <c r="G59" s="4" t="s">
        <v>28</v>
      </c>
      <c r="H59" s="4" t="s">
        <v>34</v>
      </c>
      <c r="I59" s="4" t="str">
        <f t="shared" si="0"/>
        <v>Jay Patel</v>
      </c>
      <c r="J59" s="4" t="str">
        <f t="shared" si="1"/>
        <v>Morrisbury</v>
      </c>
      <c r="K59" s="4" t="str">
        <f>IF(OR(G59="USA",G59="usa"),"USA",K62
                                                                                                                                                                                                                                                               IF(G59="United States of America","USA","USA"))</f>
        <v>USA</v>
      </c>
      <c r="L59" s="4" t="str">
        <f t="shared" si="2"/>
        <v>CUST1057</v>
      </c>
      <c r="M59" s="4" t="str">
        <f t="shared" si="3"/>
        <v>Platinum</v>
      </c>
      <c r="N59" s="4" t="str">
        <f t="shared" si="4"/>
        <v>Ok</v>
      </c>
    </row>
    <row r="60" spans="1:14" ht="15.75" customHeight="1">
      <c r="A60" s="3" t="s">
        <v>239</v>
      </c>
      <c r="B60" s="4" t="s">
        <v>240</v>
      </c>
      <c r="C60" s="4">
        <v>51</v>
      </c>
      <c r="D60" s="4" t="s">
        <v>25</v>
      </c>
      <c r="E60" s="4" t="s">
        <v>241</v>
      </c>
      <c r="F60" s="4" t="s">
        <v>161</v>
      </c>
      <c r="G60" s="4" t="s">
        <v>28</v>
      </c>
      <c r="H60" s="4" t="s">
        <v>34</v>
      </c>
      <c r="I60" s="4" t="str">
        <f t="shared" si="0"/>
        <v>Cheryl Copeland</v>
      </c>
      <c r="J60" s="4" t="str">
        <f t="shared" si="1"/>
        <v>Snowmouth</v>
      </c>
      <c r="K60" s="4" t="str">
        <f>IF(OR(G60="USA",G60="usa"),"USA",K63
                                                                                                                                                                                                                                                               IF(G60="United States of America","USA","USA"))</f>
        <v>USA</v>
      </c>
      <c r="L60" s="4" t="str">
        <f t="shared" si="2"/>
        <v>CUST1058</v>
      </c>
      <c r="M60" s="4" t="str">
        <f t="shared" si="3"/>
        <v>Platinum</v>
      </c>
      <c r="N60" s="4" t="str">
        <f t="shared" si="4"/>
        <v>Ok</v>
      </c>
    </row>
    <row r="61" spans="1:14" ht="15.75" customHeight="1">
      <c r="A61" s="3" t="s">
        <v>242</v>
      </c>
      <c r="B61" s="4" t="s">
        <v>243</v>
      </c>
      <c r="C61" s="4">
        <v>53</v>
      </c>
      <c r="D61" s="4" t="s">
        <v>25</v>
      </c>
      <c r="E61" s="4" t="s">
        <v>244</v>
      </c>
      <c r="F61" s="4" t="s">
        <v>86</v>
      </c>
      <c r="G61" s="4" t="s">
        <v>28</v>
      </c>
      <c r="H61" s="4" t="s">
        <v>34</v>
      </c>
      <c r="I61" s="4" t="str">
        <f t="shared" si="0"/>
        <v>Alyssa Vargas</v>
      </c>
      <c r="J61" s="4" t="str">
        <f t="shared" si="1"/>
        <v>New Kathrynland</v>
      </c>
      <c r="K61" s="4" t="str">
        <f>IF(OR(G61="USA",G61="usa"),"USA",K64
                                                                                                                                                                                                                                                               IF(G61="United States of America","USA","USA"))</f>
        <v>USA</v>
      </c>
      <c r="L61" s="4" t="str">
        <f t="shared" si="2"/>
        <v>CUST1059</v>
      </c>
      <c r="M61" s="4" t="str">
        <f t="shared" si="3"/>
        <v>Platinum</v>
      </c>
      <c r="N61" s="4" t="str">
        <f t="shared" si="4"/>
        <v>Ok</v>
      </c>
    </row>
    <row r="62" spans="1:14" ht="15.75" customHeight="1">
      <c r="A62" s="3" t="s">
        <v>245</v>
      </c>
      <c r="B62" s="4" t="s">
        <v>246</v>
      </c>
      <c r="C62" s="4">
        <v>22</v>
      </c>
      <c r="D62" s="4" t="s">
        <v>31</v>
      </c>
      <c r="E62" s="4" t="s">
        <v>247</v>
      </c>
      <c r="F62" s="4" t="s">
        <v>184</v>
      </c>
      <c r="G62" s="4" t="s">
        <v>28</v>
      </c>
      <c r="H62" s="4" t="s">
        <v>50</v>
      </c>
      <c r="I62" s="4" t="str">
        <f t="shared" si="0"/>
        <v>Dr. David Smith</v>
      </c>
      <c r="J62" s="4" t="str">
        <f t="shared" si="1"/>
        <v>Schmidtchester</v>
      </c>
      <c r="K62" s="4" t="str">
        <f>IF(OR(G62="USA",G62="usa"),"USA",K65
                                                                                                                                                                                                                                                               IF(G62="United States of America","USA","USA"))</f>
        <v>USA</v>
      </c>
      <c r="L62" s="4" t="str">
        <f t="shared" si="2"/>
        <v>CUST1060</v>
      </c>
      <c r="M62" s="4" t="str">
        <f t="shared" si="3"/>
        <v>Silver</v>
      </c>
      <c r="N62" s="4" t="str">
        <f t="shared" si="4"/>
        <v>Ok</v>
      </c>
    </row>
    <row r="63" spans="1:14" ht="15.75" customHeight="1">
      <c r="A63" s="3" t="s">
        <v>248</v>
      </c>
      <c r="B63" s="4" t="s">
        <v>249</v>
      </c>
      <c r="C63" s="4">
        <v>23</v>
      </c>
      <c r="D63" s="4" t="s">
        <v>25</v>
      </c>
      <c r="E63" s="4" t="s">
        <v>250</v>
      </c>
      <c r="F63" s="4" t="s">
        <v>134</v>
      </c>
      <c r="G63" s="4" t="s">
        <v>28</v>
      </c>
      <c r="H63" s="4" t="s">
        <v>50</v>
      </c>
      <c r="I63" s="4" t="str">
        <f t="shared" si="0"/>
        <v>Kristin Stein</v>
      </c>
      <c r="J63" s="4" t="str">
        <f t="shared" si="1"/>
        <v>Jennifermouth</v>
      </c>
      <c r="K63" s="4" t="str">
        <f>IF(OR(G63="USA",G63="usa"),"USA",K66
                                                                                                                                                                                                                                                               IF(G63="United States of America","USA","USA"))</f>
        <v>USA</v>
      </c>
      <c r="L63" s="4" t="str">
        <f t="shared" si="2"/>
        <v>CUST1061</v>
      </c>
      <c r="M63" s="4" t="str">
        <f t="shared" si="3"/>
        <v>Silver</v>
      </c>
      <c r="N63" s="4" t="str">
        <f t="shared" si="4"/>
        <v>Ok</v>
      </c>
    </row>
    <row r="64" spans="1:14" ht="15.75" customHeight="1">
      <c r="A64" s="3" t="s">
        <v>251</v>
      </c>
      <c r="B64" s="4" t="s">
        <v>252</v>
      </c>
      <c r="C64" s="4">
        <v>50</v>
      </c>
      <c r="D64" s="4" t="s">
        <v>25</v>
      </c>
      <c r="E64" s="4" t="s">
        <v>253</v>
      </c>
      <c r="F64" s="4" t="s">
        <v>254</v>
      </c>
      <c r="G64" s="4" t="s">
        <v>28</v>
      </c>
      <c r="H64" s="4" t="s">
        <v>44</v>
      </c>
      <c r="I64" s="4" t="str">
        <f t="shared" si="0"/>
        <v>James Bean</v>
      </c>
      <c r="J64" s="4" t="str">
        <f t="shared" si="1"/>
        <v>Stevensonton</v>
      </c>
      <c r="K64" s="4" t="str">
        <f>IF(OR(G64="USA",G64="usa"),"USA",K67
                                                                                                                                                                                                                                                               IF(G64="United States of America","USA","USA"))</f>
        <v>USA</v>
      </c>
      <c r="L64" s="4" t="str">
        <f t="shared" si="2"/>
        <v>CUST1062</v>
      </c>
      <c r="M64" s="4" t="str">
        <f t="shared" si="3"/>
        <v>Bronze</v>
      </c>
      <c r="N64" s="4" t="str">
        <f t="shared" si="4"/>
        <v>Ok</v>
      </c>
    </row>
    <row r="65" spans="1:14" ht="15.75" customHeight="1">
      <c r="A65" s="3" t="s">
        <v>255</v>
      </c>
      <c r="B65" s="4" t="s">
        <v>256</v>
      </c>
      <c r="C65" s="4">
        <v>51</v>
      </c>
      <c r="D65" s="4" t="s">
        <v>25</v>
      </c>
      <c r="E65" s="4" t="s">
        <v>257</v>
      </c>
      <c r="F65" s="4" t="s">
        <v>258</v>
      </c>
      <c r="G65" s="4" t="s">
        <v>28</v>
      </c>
      <c r="H65" s="4" t="s">
        <v>34</v>
      </c>
      <c r="I65" s="4" t="str">
        <f t="shared" si="0"/>
        <v>Michael Daniel</v>
      </c>
      <c r="J65" s="4" t="str">
        <f t="shared" si="1"/>
        <v>New Jesse</v>
      </c>
      <c r="K65" s="4" t="str">
        <f>IF(OR(G65="USA",G65="usa"),"USA",K68
                                                                                                                                                                                                                                                               IF(G65="United States of America","USA","USA"))</f>
        <v>USA</v>
      </c>
      <c r="L65" s="4" t="str">
        <f t="shared" si="2"/>
        <v>CUST1063</v>
      </c>
      <c r="M65" s="4" t="str">
        <f t="shared" si="3"/>
        <v>Platinum</v>
      </c>
      <c r="N65" s="4" t="str">
        <f t="shared" si="4"/>
        <v>Ok</v>
      </c>
    </row>
    <row r="66" spans="1:14" ht="15.75" customHeight="1">
      <c r="A66" s="3" t="s">
        <v>259</v>
      </c>
      <c r="B66" s="4" t="s">
        <v>260</v>
      </c>
      <c r="C66" s="4">
        <v>33</v>
      </c>
      <c r="D66" s="4" t="s">
        <v>25</v>
      </c>
      <c r="E66" s="4" t="s">
        <v>261</v>
      </c>
      <c r="F66" s="4" t="s">
        <v>154</v>
      </c>
      <c r="G66" s="4" t="s">
        <v>28</v>
      </c>
      <c r="H66" s="4" t="s">
        <v>67</v>
      </c>
      <c r="I66" s="4" t="str">
        <f t="shared" ref="I66:I129" si="5">PROPER(TRIM(B66))</f>
        <v>Mr. Mason Butler</v>
      </c>
      <c r="J66" s="4" t="str">
        <f t="shared" ref="J66:J129" si="6">PROPER(TRIM(E66))</f>
        <v>Port Kathrynhaven</v>
      </c>
      <c r="K66" s="4" t="str">
        <f>IF(OR(G66="USA",G66="usa"),"USA",K69
                                                                                                                                                                                                                                                               IF(G66="United States of America","USA","USA"))</f>
        <v>USA</v>
      </c>
      <c r="L66" s="4" t="str">
        <f t="shared" ref="L66:L129" si="7">IF(LEFT(A66,1)="C","CUST"&amp;RIGHT(A66,4),A66)</f>
        <v>CUST1064</v>
      </c>
      <c r="M66" s="4" t="str">
        <f t="shared" ref="M66:M129" si="8">IF(H66="","Standard",H66)</f>
        <v>Gold</v>
      </c>
      <c r="N66" s="4" t="str">
        <f t="shared" ref="N66:N129" si="9">IF(OR(C66&lt;18,C66&gt;70),"Check Age","Ok")</f>
        <v>Ok</v>
      </c>
    </row>
    <row r="67" spans="1:14" ht="15.75" customHeight="1">
      <c r="A67" s="3" t="s">
        <v>262</v>
      </c>
      <c r="B67" s="4" t="s">
        <v>263</v>
      </c>
      <c r="C67" s="4">
        <v>21</v>
      </c>
      <c r="D67" s="4" t="s">
        <v>31</v>
      </c>
      <c r="E67" s="4" t="s">
        <v>264</v>
      </c>
      <c r="F67" s="4" t="s">
        <v>205</v>
      </c>
      <c r="G67" s="4" t="s">
        <v>28</v>
      </c>
      <c r="H67" s="4" t="s">
        <v>50</v>
      </c>
      <c r="I67" s="4" t="str">
        <f t="shared" si="5"/>
        <v>Michael Thomas</v>
      </c>
      <c r="J67" s="4" t="str">
        <f t="shared" si="6"/>
        <v>Woodmouth</v>
      </c>
      <c r="K67" s="4" t="str">
        <f>IF(OR(G67="USA",G67="usa"),"USA",K70
                                                                                                                                                                                                                                                               IF(G67="United States of America","USA","USA"))</f>
        <v>USA</v>
      </c>
      <c r="L67" s="4" t="str">
        <f t="shared" si="7"/>
        <v>CUST1065</v>
      </c>
      <c r="M67" s="4" t="str">
        <f t="shared" si="8"/>
        <v>Silver</v>
      </c>
      <c r="N67" s="4" t="str">
        <f t="shared" si="9"/>
        <v>Ok</v>
      </c>
    </row>
    <row r="68" spans="1:14" ht="15.75" customHeight="1">
      <c r="A68" s="3" t="s">
        <v>265</v>
      </c>
      <c r="B68" s="4" t="s">
        <v>266</v>
      </c>
      <c r="C68" s="4">
        <v>27</v>
      </c>
      <c r="D68" s="4" t="s">
        <v>31</v>
      </c>
      <c r="E68" s="4" t="s">
        <v>267</v>
      </c>
      <c r="F68" s="4" t="s">
        <v>66</v>
      </c>
      <c r="G68" s="4" t="s">
        <v>28</v>
      </c>
      <c r="H68" s="4" t="s">
        <v>50</v>
      </c>
      <c r="I68" s="4" t="str">
        <f t="shared" si="5"/>
        <v>Cody Diaz</v>
      </c>
      <c r="J68" s="4" t="str">
        <f t="shared" si="6"/>
        <v>South Aaronside</v>
      </c>
      <c r="K68" s="4" t="str">
        <f>IF(OR(G68="USA",G68="usa"),"USA",K71
                                                                                                                                                                                                                                                               IF(G68="United States of America","USA","USA"))</f>
        <v>USA</v>
      </c>
      <c r="L68" s="4" t="str">
        <f t="shared" si="7"/>
        <v>CUST1066</v>
      </c>
      <c r="M68" s="4" t="str">
        <f t="shared" si="8"/>
        <v>Silver</v>
      </c>
      <c r="N68" s="4" t="str">
        <f t="shared" si="9"/>
        <v>Ok</v>
      </c>
    </row>
    <row r="69" spans="1:14" ht="15.75" customHeight="1">
      <c r="A69" s="3" t="s">
        <v>268</v>
      </c>
      <c r="B69" s="4" t="s">
        <v>269</v>
      </c>
      <c r="C69" s="4">
        <v>58</v>
      </c>
      <c r="D69" s="4" t="s">
        <v>25</v>
      </c>
      <c r="E69" s="4" t="s">
        <v>270</v>
      </c>
      <c r="F69" s="4" t="s">
        <v>271</v>
      </c>
      <c r="G69" s="4" t="s">
        <v>28</v>
      </c>
      <c r="H69" s="4" t="s">
        <v>50</v>
      </c>
      <c r="I69" s="4" t="str">
        <f t="shared" si="5"/>
        <v>Amber Mcclain</v>
      </c>
      <c r="J69" s="4" t="str">
        <f t="shared" si="6"/>
        <v>Brendaburgh</v>
      </c>
      <c r="K69" s="4" t="str">
        <f>IF(OR(G69="USA",G69="usa"),"USA",K72
                                                                                                                                                                                                                                                               IF(G69="United States of America","USA","USA"))</f>
        <v>USA</v>
      </c>
      <c r="L69" s="4" t="str">
        <f t="shared" si="7"/>
        <v>CUST1067</v>
      </c>
      <c r="M69" s="4" t="str">
        <f t="shared" si="8"/>
        <v>Silver</v>
      </c>
      <c r="N69" s="4" t="str">
        <f t="shared" si="9"/>
        <v>Ok</v>
      </c>
    </row>
    <row r="70" spans="1:14" ht="15.75" customHeight="1">
      <c r="A70" s="3" t="s">
        <v>272</v>
      </c>
      <c r="B70" s="4" t="s">
        <v>273</v>
      </c>
      <c r="C70" s="4">
        <v>24</v>
      </c>
      <c r="D70" s="4" t="s">
        <v>31</v>
      </c>
      <c r="E70" s="4" t="s">
        <v>274</v>
      </c>
      <c r="F70" s="4" t="s">
        <v>275</v>
      </c>
      <c r="G70" s="4" t="s">
        <v>28</v>
      </c>
      <c r="H70" s="4" t="s">
        <v>50</v>
      </c>
      <c r="I70" s="4" t="str">
        <f t="shared" si="5"/>
        <v>Mr. Mark Beasley</v>
      </c>
      <c r="J70" s="4" t="str">
        <f t="shared" si="6"/>
        <v>West Johnchester</v>
      </c>
      <c r="K70" s="4" t="str">
        <f>IF(OR(G70="USA",G70="usa"),"USA",K73
                                                                                                                                                                                                                                                               IF(G70="United States of America","USA","USA"))</f>
        <v>USA</v>
      </c>
      <c r="L70" s="4" t="str">
        <f t="shared" si="7"/>
        <v>CUST1068</v>
      </c>
      <c r="M70" s="4" t="str">
        <f t="shared" si="8"/>
        <v>Silver</v>
      </c>
      <c r="N70" s="4" t="str">
        <f t="shared" si="9"/>
        <v>Ok</v>
      </c>
    </row>
    <row r="71" spans="1:14" ht="15.75" customHeight="1">
      <c r="A71" s="3" t="s">
        <v>276</v>
      </c>
      <c r="B71" s="4" t="s">
        <v>277</v>
      </c>
      <c r="C71" s="4">
        <v>24</v>
      </c>
      <c r="D71" s="4" t="s">
        <v>31</v>
      </c>
      <c r="E71" s="4" t="s">
        <v>278</v>
      </c>
      <c r="F71" s="4" t="s">
        <v>108</v>
      </c>
      <c r="G71" s="4" t="s">
        <v>28</v>
      </c>
      <c r="H71" s="4" t="s">
        <v>34</v>
      </c>
      <c r="I71" s="4" t="str">
        <f t="shared" si="5"/>
        <v>Roy Cole</v>
      </c>
      <c r="J71" s="4" t="str">
        <f t="shared" si="6"/>
        <v>North Cynthiatown</v>
      </c>
      <c r="K71" s="4" t="str">
        <f>IF(OR(G71="USA",G71="usa"),"USA",K74
                                                                                                                                                                                                                                                               IF(G71="United States of America","USA","USA"))</f>
        <v>USA</v>
      </c>
      <c r="L71" s="4" t="str">
        <f t="shared" si="7"/>
        <v>CUST1069</v>
      </c>
      <c r="M71" s="4" t="str">
        <f t="shared" si="8"/>
        <v>Platinum</v>
      </c>
      <c r="N71" s="4" t="str">
        <f t="shared" si="9"/>
        <v>Ok</v>
      </c>
    </row>
    <row r="72" spans="1:14" ht="15.75" customHeight="1">
      <c r="A72" s="3" t="s">
        <v>279</v>
      </c>
      <c r="B72" s="4" t="s">
        <v>280</v>
      </c>
      <c r="C72" s="4">
        <v>29</v>
      </c>
      <c r="D72" s="4" t="s">
        <v>31</v>
      </c>
      <c r="E72" s="4" t="s">
        <v>281</v>
      </c>
      <c r="F72" s="4" t="s">
        <v>254</v>
      </c>
      <c r="G72" s="4" t="s">
        <v>28</v>
      </c>
      <c r="H72" s="4" t="s">
        <v>67</v>
      </c>
      <c r="I72" s="4" t="str">
        <f t="shared" si="5"/>
        <v>Eric Singh</v>
      </c>
      <c r="J72" s="4" t="str">
        <f t="shared" si="6"/>
        <v>Port Lisa</v>
      </c>
      <c r="K72" s="4" t="str">
        <f>IF(OR(G72="USA",G72="usa"),"USA",K75
                                                                                                                                                                                                                                                               IF(G72="United States of America","USA","USA"))</f>
        <v>USA</v>
      </c>
      <c r="L72" s="4" t="str">
        <f t="shared" si="7"/>
        <v>CUST1070</v>
      </c>
      <c r="M72" s="4" t="str">
        <f t="shared" si="8"/>
        <v>Gold</v>
      </c>
      <c r="N72" s="4" t="str">
        <f t="shared" si="9"/>
        <v>Ok</v>
      </c>
    </row>
    <row r="73" spans="1:14" ht="15.75" customHeight="1">
      <c r="A73" s="3" t="s">
        <v>282</v>
      </c>
      <c r="B73" s="4" t="s">
        <v>283</v>
      </c>
      <c r="C73" s="4">
        <v>61</v>
      </c>
      <c r="D73" s="4" t="s">
        <v>31</v>
      </c>
      <c r="E73" s="4" t="s">
        <v>284</v>
      </c>
      <c r="F73" s="4" t="s">
        <v>254</v>
      </c>
      <c r="G73" s="4" t="s">
        <v>28</v>
      </c>
      <c r="H73" s="4" t="s">
        <v>67</v>
      </c>
      <c r="I73" s="4" t="str">
        <f t="shared" si="5"/>
        <v>Andrea Perez</v>
      </c>
      <c r="J73" s="4" t="str">
        <f t="shared" si="6"/>
        <v>South Shaun</v>
      </c>
      <c r="K73" s="4" t="str">
        <f>IF(OR(G73="USA",G73="usa"),"USA",K76
                                                                                                                                                                                                                                                               IF(G73="United States of America","USA","USA"))</f>
        <v>USA</v>
      </c>
      <c r="L73" s="4" t="str">
        <f t="shared" si="7"/>
        <v>CUST1071</v>
      </c>
      <c r="M73" s="4" t="str">
        <f t="shared" si="8"/>
        <v>Gold</v>
      </c>
      <c r="N73" s="4" t="str">
        <f t="shared" si="9"/>
        <v>Ok</v>
      </c>
    </row>
    <row r="74" spans="1:14" ht="15.75" customHeight="1">
      <c r="A74" s="3" t="s">
        <v>285</v>
      </c>
      <c r="B74" s="4" t="s">
        <v>286</v>
      </c>
      <c r="C74" s="4">
        <v>39</v>
      </c>
      <c r="D74" s="4" t="s">
        <v>31</v>
      </c>
      <c r="E74" s="4" t="s">
        <v>287</v>
      </c>
      <c r="F74" s="4" t="s">
        <v>288</v>
      </c>
      <c r="G74" s="4" t="s">
        <v>28</v>
      </c>
      <c r="H74" s="4" t="s">
        <v>67</v>
      </c>
      <c r="I74" s="4" t="str">
        <f t="shared" si="5"/>
        <v>Tonya Burch</v>
      </c>
      <c r="J74" s="4" t="str">
        <f t="shared" si="6"/>
        <v>Olsonhaven</v>
      </c>
      <c r="K74" s="4" t="str">
        <f>IF(OR(G74="USA",G74="usa"),"USA",K77
                                                                                                                                                                                                                                                               IF(G74="United States of America","USA","USA"))</f>
        <v>USA</v>
      </c>
      <c r="L74" s="4" t="str">
        <f t="shared" si="7"/>
        <v>CUST1072</v>
      </c>
      <c r="M74" s="4" t="str">
        <f t="shared" si="8"/>
        <v>Gold</v>
      </c>
      <c r="N74" s="4" t="str">
        <f t="shared" si="9"/>
        <v>Ok</v>
      </c>
    </row>
    <row r="75" spans="1:14" ht="15.75" customHeight="1">
      <c r="A75" s="3" t="s">
        <v>289</v>
      </c>
      <c r="B75" s="4" t="s">
        <v>290</v>
      </c>
      <c r="C75" s="4">
        <v>56</v>
      </c>
      <c r="D75" s="4" t="s">
        <v>31</v>
      </c>
      <c r="E75" s="4" t="s">
        <v>291</v>
      </c>
      <c r="F75" s="4" t="s">
        <v>62</v>
      </c>
      <c r="G75" s="4" t="s">
        <v>28</v>
      </c>
      <c r="H75" s="4" t="s">
        <v>50</v>
      </c>
      <c r="I75" s="4" t="str">
        <f t="shared" si="5"/>
        <v>Christopher Brown</v>
      </c>
      <c r="J75" s="4" t="str">
        <f t="shared" si="6"/>
        <v>Sandrastad</v>
      </c>
      <c r="K75" s="4" t="str">
        <f>IF(OR(G75="USA",G75="usa"),"USA",K78
                                                                                                                                                                                                                                                               IF(G75="United States of America","USA","USA"))</f>
        <v>USA</v>
      </c>
      <c r="L75" s="4" t="str">
        <f t="shared" si="7"/>
        <v>CUST1073</v>
      </c>
      <c r="M75" s="4" t="str">
        <f t="shared" si="8"/>
        <v>Silver</v>
      </c>
      <c r="N75" s="4" t="str">
        <f t="shared" si="9"/>
        <v>Ok</v>
      </c>
    </row>
    <row r="76" spans="1:14" ht="15.75" customHeight="1">
      <c r="A76" s="3" t="s">
        <v>292</v>
      </c>
      <c r="B76" s="4" t="s">
        <v>293</v>
      </c>
      <c r="C76" s="4">
        <v>58</v>
      </c>
      <c r="D76" s="4" t="s">
        <v>25</v>
      </c>
      <c r="E76" s="4" t="s">
        <v>294</v>
      </c>
      <c r="F76" s="4" t="s">
        <v>295</v>
      </c>
      <c r="G76" s="4" t="s">
        <v>28</v>
      </c>
      <c r="H76" s="4" t="s">
        <v>44</v>
      </c>
      <c r="I76" s="4" t="str">
        <f t="shared" si="5"/>
        <v>John Mayer</v>
      </c>
      <c r="J76" s="4" t="str">
        <f t="shared" si="6"/>
        <v>Longport</v>
      </c>
      <c r="K76" s="4" t="str">
        <f>IF(OR(G76="USA",G76="usa"),"USA",K79
                                                                                                                                                                                                                                                               IF(G76="United States of America","USA","USA"))</f>
        <v>USA</v>
      </c>
      <c r="L76" s="4" t="str">
        <f t="shared" si="7"/>
        <v>CUST1074</v>
      </c>
      <c r="M76" s="4" t="str">
        <f t="shared" si="8"/>
        <v>Bronze</v>
      </c>
      <c r="N76" s="4" t="str">
        <f t="shared" si="9"/>
        <v>Ok</v>
      </c>
    </row>
    <row r="77" spans="1:14" ht="15.75" customHeight="1">
      <c r="A77" s="3" t="s">
        <v>296</v>
      </c>
      <c r="B77" s="4" t="s">
        <v>297</v>
      </c>
      <c r="C77" s="4">
        <v>61</v>
      </c>
      <c r="D77" s="4" t="s">
        <v>31</v>
      </c>
      <c r="E77" s="4" t="s">
        <v>298</v>
      </c>
      <c r="F77" s="4" t="s">
        <v>49</v>
      </c>
      <c r="G77" s="4" t="s">
        <v>28</v>
      </c>
      <c r="H77" s="4" t="s">
        <v>67</v>
      </c>
      <c r="I77" s="4" t="str">
        <f t="shared" si="5"/>
        <v>Rhonda Morales</v>
      </c>
      <c r="J77" s="4" t="str">
        <f t="shared" si="6"/>
        <v>Lake Barryfurt</v>
      </c>
      <c r="K77" s="4" t="str">
        <f>IF(OR(G77="USA",G77="usa"),"USA",K80
                                                                                                                                                                                                                                                               IF(G77="United States of America","USA","USA"))</f>
        <v>USA</v>
      </c>
      <c r="L77" s="4" t="str">
        <f t="shared" si="7"/>
        <v>CUST1075</v>
      </c>
      <c r="M77" s="4" t="str">
        <f t="shared" si="8"/>
        <v>Gold</v>
      </c>
      <c r="N77" s="4" t="str">
        <f t="shared" si="9"/>
        <v>Ok</v>
      </c>
    </row>
    <row r="78" spans="1:14" ht="15.75" customHeight="1">
      <c r="A78" s="3" t="s">
        <v>299</v>
      </c>
      <c r="B78" s="4" t="s">
        <v>300</v>
      </c>
      <c r="C78" s="4">
        <v>37</v>
      </c>
      <c r="D78" s="4" t="s">
        <v>25</v>
      </c>
      <c r="E78" s="4" t="s">
        <v>301</v>
      </c>
      <c r="F78" s="4" t="s">
        <v>116</v>
      </c>
      <c r="G78" s="4" t="s">
        <v>28</v>
      </c>
      <c r="H78" s="4" t="s">
        <v>67</v>
      </c>
      <c r="I78" s="4" t="str">
        <f t="shared" si="5"/>
        <v>Nathan Campbell</v>
      </c>
      <c r="J78" s="4" t="str">
        <f t="shared" si="6"/>
        <v>Rodrigueztown</v>
      </c>
      <c r="K78" s="4" t="str">
        <f>IF(OR(G78="USA",G78="usa"),"USA",K81
                                                                                                                                                                                                                                                               IF(G78="United States of America","USA","USA"))</f>
        <v>USA</v>
      </c>
      <c r="L78" s="4" t="str">
        <f t="shared" si="7"/>
        <v>CUST1076</v>
      </c>
      <c r="M78" s="4" t="str">
        <f t="shared" si="8"/>
        <v>Gold</v>
      </c>
      <c r="N78" s="4" t="str">
        <f t="shared" si="9"/>
        <v>Ok</v>
      </c>
    </row>
    <row r="79" spans="1:14" ht="15.75" customHeight="1">
      <c r="A79" s="3" t="s">
        <v>302</v>
      </c>
      <c r="B79" s="4" t="s">
        <v>303</v>
      </c>
      <c r="C79" s="4">
        <v>29</v>
      </c>
      <c r="D79" s="4" t="s">
        <v>25</v>
      </c>
      <c r="E79" s="4" t="s">
        <v>304</v>
      </c>
      <c r="F79" s="4" t="s">
        <v>192</v>
      </c>
      <c r="G79" s="4" t="s">
        <v>28</v>
      </c>
      <c r="H79" s="4" t="s">
        <v>67</v>
      </c>
      <c r="I79" s="4" t="str">
        <f t="shared" si="5"/>
        <v>Katherine Young</v>
      </c>
      <c r="J79" s="4" t="str">
        <f t="shared" si="6"/>
        <v>North Valeriemouth</v>
      </c>
      <c r="K79" s="4" t="str">
        <f>IF(OR(G79="USA",G79="usa"),"USA",K82
                                                                                                                                                                                                                                                               IF(G79="United States of America","USA","USA"))</f>
        <v>USA</v>
      </c>
      <c r="L79" s="4" t="str">
        <f t="shared" si="7"/>
        <v>CUST1077</v>
      </c>
      <c r="M79" s="4" t="str">
        <f t="shared" si="8"/>
        <v>Gold</v>
      </c>
      <c r="N79" s="4" t="str">
        <f t="shared" si="9"/>
        <v>Ok</v>
      </c>
    </row>
    <row r="80" spans="1:14" ht="15.75" customHeight="1">
      <c r="A80" s="3" t="s">
        <v>305</v>
      </c>
      <c r="B80" s="4" t="s">
        <v>306</v>
      </c>
      <c r="C80" s="4">
        <v>21</v>
      </c>
      <c r="D80" s="4" t="s">
        <v>25</v>
      </c>
      <c r="E80" s="4" t="s">
        <v>307</v>
      </c>
      <c r="F80" s="4" t="s">
        <v>308</v>
      </c>
      <c r="G80" s="4" t="s">
        <v>28</v>
      </c>
      <c r="H80" s="4" t="s">
        <v>67</v>
      </c>
      <c r="I80" s="4" t="str">
        <f t="shared" si="5"/>
        <v>Cody Blake</v>
      </c>
      <c r="J80" s="4" t="str">
        <f t="shared" si="6"/>
        <v>North Scottport</v>
      </c>
      <c r="K80" s="4" t="str">
        <f>IF(OR(G80="USA",G80="usa"),"USA",K83
                                                                                                                                                                                                                                                               IF(G80="United States of America","USA","USA"))</f>
        <v>USA</v>
      </c>
      <c r="L80" s="4" t="str">
        <f t="shared" si="7"/>
        <v>CUST1078</v>
      </c>
      <c r="M80" s="4" t="str">
        <f t="shared" si="8"/>
        <v>Gold</v>
      </c>
      <c r="N80" s="4" t="str">
        <f t="shared" si="9"/>
        <v>Ok</v>
      </c>
    </row>
    <row r="81" spans="1:14" ht="15.75" customHeight="1">
      <c r="A81" s="3" t="s">
        <v>309</v>
      </c>
      <c r="B81" s="4" t="s">
        <v>310</v>
      </c>
      <c r="C81" s="4">
        <v>22</v>
      </c>
      <c r="D81" s="4" t="s">
        <v>31</v>
      </c>
      <c r="E81" s="4" t="s">
        <v>311</v>
      </c>
      <c r="F81" s="4" t="s">
        <v>312</v>
      </c>
      <c r="G81" s="4" t="s">
        <v>28</v>
      </c>
      <c r="H81" s="4" t="s">
        <v>34</v>
      </c>
      <c r="I81" s="4" t="str">
        <f t="shared" si="5"/>
        <v>Molly Gardner</v>
      </c>
      <c r="J81" s="4" t="str">
        <f t="shared" si="6"/>
        <v>Nicoleborough</v>
      </c>
      <c r="K81" s="4" t="str">
        <f>IF(OR(G81="USA",G81="usa"),"USA",K84
                                                                                                                                                                                                                                                               IF(G81="United States of America","USA","USA"))</f>
        <v>USA</v>
      </c>
      <c r="L81" s="4" t="str">
        <f t="shared" si="7"/>
        <v>CUST1079</v>
      </c>
      <c r="M81" s="4" t="str">
        <f t="shared" si="8"/>
        <v>Platinum</v>
      </c>
      <c r="N81" s="4" t="str">
        <f t="shared" si="9"/>
        <v>Ok</v>
      </c>
    </row>
    <row r="82" spans="1:14" ht="15.75" customHeight="1">
      <c r="A82" s="3" t="s">
        <v>313</v>
      </c>
      <c r="B82" s="4" t="s">
        <v>314</v>
      </c>
      <c r="C82" s="4">
        <v>61</v>
      </c>
      <c r="D82" s="4" t="s">
        <v>31</v>
      </c>
      <c r="E82" s="4" t="s">
        <v>315</v>
      </c>
      <c r="F82" s="4" t="s">
        <v>254</v>
      </c>
      <c r="G82" s="4" t="s">
        <v>28</v>
      </c>
      <c r="H82" s="4" t="s">
        <v>44</v>
      </c>
      <c r="I82" s="4" t="str">
        <f t="shared" si="5"/>
        <v>Jennifer Garcia</v>
      </c>
      <c r="J82" s="4" t="str">
        <f t="shared" si="6"/>
        <v>New Sean</v>
      </c>
      <c r="K82" s="4" t="str">
        <f>IF(OR(G82="USA",G82="usa"),"USA",K85
                                                                                                                                                                                                                                                               IF(G82="United States of America","USA","USA"))</f>
        <v>USA</v>
      </c>
      <c r="L82" s="4" t="str">
        <f t="shared" si="7"/>
        <v>CUST1080</v>
      </c>
      <c r="M82" s="4" t="str">
        <f t="shared" si="8"/>
        <v>Bronze</v>
      </c>
      <c r="N82" s="4" t="str">
        <f t="shared" si="9"/>
        <v>Ok</v>
      </c>
    </row>
    <row r="83" spans="1:14" ht="15.75" customHeight="1">
      <c r="A83" s="3" t="s">
        <v>316</v>
      </c>
      <c r="B83" s="4" t="s">
        <v>317</v>
      </c>
      <c r="C83" s="4">
        <v>34</v>
      </c>
      <c r="D83" s="4" t="s">
        <v>31</v>
      </c>
      <c r="E83" s="4" t="s">
        <v>318</v>
      </c>
      <c r="F83" s="4" t="s">
        <v>154</v>
      </c>
      <c r="G83" s="4" t="s">
        <v>28</v>
      </c>
      <c r="H83" s="4" t="s">
        <v>34</v>
      </c>
      <c r="I83" s="4" t="str">
        <f t="shared" si="5"/>
        <v>Krystal Ford</v>
      </c>
      <c r="J83" s="4" t="str">
        <f t="shared" si="6"/>
        <v>South David</v>
      </c>
      <c r="K83" s="4" t="str">
        <f>IF(OR(G83="USA",G83="usa"),"USA",K86
                                                                                                                                                                                                                                                               IF(G83="United States of America","USA","USA"))</f>
        <v>USA</v>
      </c>
      <c r="L83" s="4" t="str">
        <f t="shared" si="7"/>
        <v>CUST1081</v>
      </c>
      <c r="M83" s="4" t="str">
        <f t="shared" si="8"/>
        <v>Platinum</v>
      </c>
      <c r="N83" s="4" t="str">
        <f t="shared" si="9"/>
        <v>Ok</v>
      </c>
    </row>
    <row r="84" spans="1:14" ht="15.75" customHeight="1">
      <c r="A84" s="3" t="s">
        <v>319</v>
      </c>
      <c r="B84" s="4" t="s">
        <v>320</v>
      </c>
      <c r="C84" s="4">
        <v>53</v>
      </c>
      <c r="D84" s="4" t="s">
        <v>25</v>
      </c>
      <c r="E84" s="4" t="s">
        <v>321</v>
      </c>
      <c r="F84" s="4" t="s">
        <v>271</v>
      </c>
      <c r="G84" s="4" t="s">
        <v>28</v>
      </c>
      <c r="H84" s="4" t="s">
        <v>44</v>
      </c>
      <c r="I84" s="4" t="str">
        <f t="shared" si="5"/>
        <v>George Rosario</v>
      </c>
      <c r="J84" s="4" t="str">
        <f t="shared" si="6"/>
        <v>Leburgh</v>
      </c>
      <c r="K84" s="4" t="str">
        <f>IF(OR(G84="USA",G84="usa"),"USA",K87
                                                                                                                                                                                                                                                               IF(G84="United States of America","USA","USA"))</f>
        <v>USA</v>
      </c>
      <c r="L84" s="4" t="str">
        <f t="shared" si="7"/>
        <v>CUST1082</v>
      </c>
      <c r="M84" s="4" t="str">
        <f t="shared" si="8"/>
        <v>Bronze</v>
      </c>
      <c r="N84" s="4" t="str">
        <f t="shared" si="9"/>
        <v>Ok</v>
      </c>
    </row>
    <row r="85" spans="1:14" ht="15.75" customHeight="1">
      <c r="A85" s="3" t="s">
        <v>322</v>
      </c>
      <c r="B85" s="4" t="s">
        <v>323</v>
      </c>
      <c r="C85" s="4">
        <v>48</v>
      </c>
      <c r="D85" s="4" t="s">
        <v>31</v>
      </c>
      <c r="E85" s="4" t="s">
        <v>324</v>
      </c>
      <c r="F85" s="4" t="s">
        <v>101</v>
      </c>
      <c r="G85" s="4" t="s">
        <v>28</v>
      </c>
      <c r="H85" s="4" t="s">
        <v>44</v>
      </c>
      <c r="I85" s="4" t="str">
        <f t="shared" si="5"/>
        <v>Thomas Robinson</v>
      </c>
      <c r="J85" s="4" t="str">
        <f t="shared" si="6"/>
        <v>Nicholastown</v>
      </c>
      <c r="K85" s="4" t="str">
        <f>IF(OR(G85="USA",G85="usa"),"USA",K88
                                                                                                                                                                                                                                                               IF(G85="United States of America","USA","USA"))</f>
        <v>USA</v>
      </c>
      <c r="L85" s="4" t="str">
        <f t="shared" si="7"/>
        <v>CUST1083</v>
      </c>
      <c r="M85" s="4" t="str">
        <f t="shared" si="8"/>
        <v>Bronze</v>
      </c>
      <c r="N85" s="4" t="str">
        <f t="shared" si="9"/>
        <v>Ok</v>
      </c>
    </row>
    <row r="86" spans="1:14" ht="15.75" customHeight="1">
      <c r="A86" s="3" t="s">
        <v>325</v>
      </c>
      <c r="B86" s="4" t="s">
        <v>326</v>
      </c>
      <c r="C86" s="4">
        <v>26</v>
      </c>
      <c r="D86" s="4" t="s">
        <v>31</v>
      </c>
      <c r="E86" s="4" t="s">
        <v>327</v>
      </c>
      <c r="F86" s="4" t="s">
        <v>275</v>
      </c>
      <c r="G86" s="4" t="s">
        <v>28</v>
      </c>
      <c r="H86" s="4" t="s">
        <v>34</v>
      </c>
      <c r="I86" s="4" t="str">
        <f t="shared" si="5"/>
        <v>Christy Hoffman</v>
      </c>
      <c r="J86" s="4" t="str">
        <f t="shared" si="6"/>
        <v>Garyberg</v>
      </c>
      <c r="K86" s="4" t="str">
        <f>IF(OR(G86="USA",G86="usa"),"USA",K89
                                                                                                                                                                                                                                                               IF(G86="United States of America","USA","USA"))</f>
        <v>USA</v>
      </c>
      <c r="L86" s="4" t="str">
        <f t="shared" si="7"/>
        <v>CUST1084</v>
      </c>
      <c r="M86" s="4" t="str">
        <f t="shared" si="8"/>
        <v>Platinum</v>
      </c>
      <c r="N86" s="4" t="str">
        <f t="shared" si="9"/>
        <v>Ok</v>
      </c>
    </row>
    <row r="87" spans="1:14" ht="15.75" customHeight="1">
      <c r="A87" s="3" t="s">
        <v>328</v>
      </c>
      <c r="B87" s="4" t="s">
        <v>329</v>
      </c>
      <c r="C87" s="4">
        <v>36</v>
      </c>
      <c r="D87" s="4" t="s">
        <v>25</v>
      </c>
      <c r="E87" s="4" t="s">
        <v>330</v>
      </c>
      <c r="F87" s="4" t="s">
        <v>71</v>
      </c>
      <c r="G87" s="4" t="s">
        <v>28</v>
      </c>
      <c r="H87" s="4" t="s">
        <v>50</v>
      </c>
      <c r="I87" s="4" t="str">
        <f t="shared" si="5"/>
        <v>Richard Delgado</v>
      </c>
      <c r="J87" s="4" t="str">
        <f t="shared" si="6"/>
        <v>West Theodorechester</v>
      </c>
      <c r="K87" s="4" t="str">
        <f>IF(OR(G87="USA",G87="usa"),"USA",K90
                                                                                                                                                                                                                                                               IF(G87="United States of America","USA","USA"))</f>
        <v>USA</v>
      </c>
      <c r="L87" s="4" t="str">
        <f t="shared" si="7"/>
        <v>CUST1085</v>
      </c>
      <c r="M87" s="4" t="str">
        <f t="shared" si="8"/>
        <v>Silver</v>
      </c>
      <c r="N87" s="4" t="str">
        <f t="shared" si="9"/>
        <v>Ok</v>
      </c>
    </row>
    <row r="88" spans="1:14" ht="15.75" customHeight="1">
      <c r="A88" s="3" t="s">
        <v>331</v>
      </c>
      <c r="B88" s="4" t="s">
        <v>332</v>
      </c>
      <c r="C88" s="4">
        <v>19</v>
      </c>
      <c r="D88" s="4" t="s">
        <v>31</v>
      </c>
      <c r="E88" s="4" t="s">
        <v>333</v>
      </c>
      <c r="F88" s="4" t="s">
        <v>334</v>
      </c>
      <c r="G88" s="4" t="s">
        <v>28</v>
      </c>
      <c r="H88" s="4" t="s">
        <v>67</v>
      </c>
      <c r="I88" s="4" t="str">
        <f t="shared" si="5"/>
        <v>Tammy Miller Md</v>
      </c>
      <c r="J88" s="4" t="str">
        <f t="shared" si="6"/>
        <v>Austinfurt</v>
      </c>
      <c r="K88" s="4" t="str">
        <f>IF(OR(G88="USA",G88="usa"),"USA",K91
                                                                                                                                                                                                                                                               IF(G88="United States of America","USA","USA"))</f>
        <v>USA</v>
      </c>
      <c r="L88" s="4" t="str">
        <f t="shared" si="7"/>
        <v>CUST1086</v>
      </c>
      <c r="M88" s="4" t="str">
        <f t="shared" si="8"/>
        <v>Gold</v>
      </c>
      <c r="N88" s="4" t="str">
        <f t="shared" si="9"/>
        <v>Ok</v>
      </c>
    </row>
    <row r="89" spans="1:14" ht="15.75" customHeight="1">
      <c r="A89" s="3" t="s">
        <v>335</v>
      </c>
      <c r="B89" s="4" t="s">
        <v>336</v>
      </c>
      <c r="C89" s="4">
        <v>58</v>
      </c>
      <c r="D89" s="4" t="s">
        <v>31</v>
      </c>
      <c r="E89" s="4" t="s">
        <v>337</v>
      </c>
      <c r="F89" s="4" t="s">
        <v>338</v>
      </c>
      <c r="G89" s="4" t="s">
        <v>28</v>
      </c>
      <c r="H89" s="4" t="s">
        <v>44</v>
      </c>
      <c r="I89" s="4" t="str">
        <f t="shared" si="5"/>
        <v>Melissa Duffy Md</v>
      </c>
      <c r="J89" s="4" t="str">
        <f t="shared" si="6"/>
        <v>East Jenna</v>
      </c>
      <c r="K89" s="4" t="str">
        <f>IF(OR(G89="USA",G89="usa"),"USA",K92
                                                                                                                                                                                                                                                               IF(G89="United States of America","USA","USA"))</f>
        <v>USA</v>
      </c>
      <c r="L89" s="4" t="str">
        <f t="shared" si="7"/>
        <v>CUST1087</v>
      </c>
      <c r="M89" s="4" t="str">
        <f t="shared" si="8"/>
        <v>Bronze</v>
      </c>
      <c r="N89" s="4" t="str">
        <f t="shared" si="9"/>
        <v>Ok</v>
      </c>
    </row>
    <row r="90" spans="1:14" ht="15.75" customHeight="1">
      <c r="A90" s="3" t="s">
        <v>339</v>
      </c>
      <c r="B90" s="4" t="s">
        <v>340</v>
      </c>
      <c r="C90" s="4">
        <v>58</v>
      </c>
      <c r="D90" s="4" t="s">
        <v>25</v>
      </c>
      <c r="E90" s="4" t="s">
        <v>341</v>
      </c>
      <c r="F90" s="4" t="s">
        <v>312</v>
      </c>
      <c r="G90" s="4" t="s">
        <v>28</v>
      </c>
      <c r="H90" s="4" t="s">
        <v>50</v>
      </c>
      <c r="I90" s="4" t="str">
        <f t="shared" si="5"/>
        <v>Timothy Wright</v>
      </c>
      <c r="J90" s="4" t="str">
        <f t="shared" si="6"/>
        <v>Ashleystad</v>
      </c>
      <c r="K90" s="4" t="str">
        <f>IF(OR(G90="USA",G90="usa"),"USA",K93
                                                                                                                                                                                                                                                               IF(G90="United States of America","USA","USA"))</f>
        <v>USA</v>
      </c>
      <c r="L90" s="4" t="str">
        <f t="shared" si="7"/>
        <v>CUST1088</v>
      </c>
      <c r="M90" s="4" t="str">
        <f t="shared" si="8"/>
        <v>Silver</v>
      </c>
      <c r="N90" s="4" t="str">
        <f t="shared" si="9"/>
        <v>Ok</v>
      </c>
    </row>
    <row r="91" spans="1:14" ht="15.75" customHeight="1">
      <c r="A91" s="3" t="s">
        <v>342</v>
      </c>
      <c r="B91" s="4" t="s">
        <v>343</v>
      </c>
      <c r="C91" s="4">
        <v>43</v>
      </c>
      <c r="D91" s="4" t="s">
        <v>25</v>
      </c>
      <c r="E91" s="4" t="s">
        <v>344</v>
      </c>
      <c r="F91" s="4" t="s">
        <v>345</v>
      </c>
      <c r="G91" s="4" t="s">
        <v>28</v>
      </c>
      <c r="H91" s="4" t="s">
        <v>34</v>
      </c>
      <c r="I91" s="4" t="str">
        <f t="shared" si="5"/>
        <v>Jamie Yoder</v>
      </c>
      <c r="J91" s="4" t="str">
        <f t="shared" si="6"/>
        <v>New Gabrielleville</v>
      </c>
      <c r="K91" s="4" t="str">
        <f>IF(OR(G91="USA",G91="usa"),"USA",K94
                                                                                                                                                                                                                                                               IF(G91="United States of America","USA","USA"))</f>
        <v>USA</v>
      </c>
      <c r="L91" s="4" t="str">
        <f t="shared" si="7"/>
        <v>CUST1089</v>
      </c>
      <c r="M91" s="4" t="str">
        <f t="shared" si="8"/>
        <v>Platinum</v>
      </c>
      <c r="N91" s="4" t="str">
        <f t="shared" si="9"/>
        <v>Ok</v>
      </c>
    </row>
    <row r="92" spans="1:14" ht="15.75" customHeight="1">
      <c r="A92" s="3" t="s">
        <v>346</v>
      </c>
      <c r="B92" s="4" t="s">
        <v>347</v>
      </c>
      <c r="C92" s="4">
        <v>58</v>
      </c>
      <c r="D92" s="4" t="s">
        <v>31</v>
      </c>
      <c r="E92" s="4" t="s">
        <v>348</v>
      </c>
      <c r="F92" s="4" t="s">
        <v>349</v>
      </c>
      <c r="G92" s="4" t="s">
        <v>28</v>
      </c>
      <c r="H92" s="4" t="s">
        <v>34</v>
      </c>
      <c r="I92" s="4" t="str">
        <f t="shared" si="5"/>
        <v>Oscar Moon</v>
      </c>
      <c r="J92" s="4" t="str">
        <f t="shared" si="6"/>
        <v>West Cody</v>
      </c>
      <c r="K92" s="4" t="str">
        <f>IF(OR(G92="USA",G92="usa"),"USA",K95
                                                                                                                                                                                                                                                               IF(G92="United States of America","USA","USA"))</f>
        <v>USA</v>
      </c>
      <c r="L92" s="4" t="str">
        <f t="shared" si="7"/>
        <v>CUST1090</v>
      </c>
      <c r="M92" s="4" t="str">
        <f t="shared" si="8"/>
        <v>Platinum</v>
      </c>
      <c r="N92" s="4" t="str">
        <f t="shared" si="9"/>
        <v>Ok</v>
      </c>
    </row>
    <row r="93" spans="1:14" ht="15.75" customHeight="1">
      <c r="A93" s="3" t="s">
        <v>350</v>
      </c>
      <c r="B93" s="4" t="s">
        <v>351</v>
      </c>
      <c r="C93" s="4">
        <v>29</v>
      </c>
      <c r="D93" s="4" t="s">
        <v>31</v>
      </c>
      <c r="E93" s="4" t="s">
        <v>352</v>
      </c>
      <c r="F93" s="4" t="s">
        <v>154</v>
      </c>
      <c r="G93" s="4" t="s">
        <v>28</v>
      </c>
      <c r="H93" s="4" t="s">
        <v>50</v>
      </c>
      <c r="I93" s="4" t="str">
        <f t="shared" si="5"/>
        <v>Donna Gregory</v>
      </c>
      <c r="J93" s="4" t="str">
        <f t="shared" si="6"/>
        <v>South Amandahaven</v>
      </c>
      <c r="K93" s="4" t="str">
        <f>IF(OR(G93="USA",G93="usa"),"USA",K96
                                                                                                                                                                                                                                                               IF(G93="United States of America","USA","USA"))</f>
        <v>USA</v>
      </c>
      <c r="L93" s="4" t="str">
        <f t="shared" si="7"/>
        <v>CUST1091</v>
      </c>
      <c r="M93" s="4" t="str">
        <f t="shared" si="8"/>
        <v>Silver</v>
      </c>
      <c r="N93" s="4" t="str">
        <f t="shared" si="9"/>
        <v>Ok</v>
      </c>
    </row>
    <row r="94" spans="1:14" ht="15.75" customHeight="1">
      <c r="A94" s="3" t="s">
        <v>353</v>
      </c>
      <c r="B94" s="4" t="s">
        <v>354</v>
      </c>
      <c r="C94" s="4">
        <v>44</v>
      </c>
      <c r="D94" s="4" t="s">
        <v>31</v>
      </c>
      <c r="E94" s="4" t="s">
        <v>355</v>
      </c>
      <c r="F94" s="4" t="s">
        <v>258</v>
      </c>
      <c r="G94" s="4" t="s">
        <v>28</v>
      </c>
      <c r="H94" s="4" t="s">
        <v>34</v>
      </c>
      <c r="I94" s="4" t="str">
        <f t="shared" si="5"/>
        <v>Robert Jackson</v>
      </c>
      <c r="J94" s="4" t="str">
        <f t="shared" si="6"/>
        <v>Lake Brandy</v>
      </c>
      <c r="K94" s="4" t="str">
        <f>IF(OR(G94="USA",G94="usa"),"USA",K97
                                                                                                                                                                                                                                                               IF(G94="United States of America","USA","USA"))</f>
        <v>USA</v>
      </c>
      <c r="L94" s="4" t="str">
        <f t="shared" si="7"/>
        <v>CUST1092</v>
      </c>
      <c r="M94" s="4" t="str">
        <f t="shared" si="8"/>
        <v>Platinum</v>
      </c>
      <c r="N94" s="4" t="str">
        <f t="shared" si="9"/>
        <v>Ok</v>
      </c>
    </row>
    <row r="95" spans="1:14" ht="15.75" customHeight="1">
      <c r="A95" s="3" t="s">
        <v>356</v>
      </c>
      <c r="B95" s="4" t="s">
        <v>357</v>
      </c>
      <c r="C95" s="4">
        <v>28</v>
      </c>
      <c r="D95" s="4" t="s">
        <v>31</v>
      </c>
      <c r="E95" s="4" t="s">
        <v>358</v>
      </c>
      <c r="F95" s="4" t="s">
        <v>338</v>
      </c>
      <c r="G95" s="4" t="s">
        <v>28</v>
      </c>
      <c r="H95" s="4" t="s">
        <v>67</v>
      </c>
      <c r="I95" s="4" t="str">
        <f t="shared" si="5"/>
        <v>Christy Vasquez</v>
      </c>
      <c r="J95" s="4" t="str">
        <f t="shared" si="6"/>
        <v>Port Travisstad</v>
      </c>
      <c r="K95" s="4" t="str">
        <f>IF(OR(G95="USA",G95="usa"),"USA",K98
                                                                                                                                                                                                                                                               IF(G95="United States of America","USA","USA"))</f>
        <v>USA</v>
      </c>
      <c r="L95" s="4" t="str">
        <f t="shared" si="7"/>
        <v>CUST1093</v>
      </c>
      <c r="M95" s="4" t="str">
        <f t="shared" si="8"/>
        <v>Gold</v>
      </c>
      <c r="N95" s="4" t="str">
        <f t="shared" si="9"/>
        <v>Ok</v>
      </c>
    </row>
    <row r="96" spans="1:14" ht="15.75" customHeight="1">
      <c r="A96" s="3" t="s">
        <v>359</v>
      </c>
      <c r="B96" s="4" t="s">
        <v>360</v>
      </c>
      <c r="C96" s="4">
        <v>43</v>
      </c>
      <c r="D96" s="4" t="s">
        <v>31</v>
      </c>
      <c r="E96" s="4" t="s">
        <v>361</v>
      </c>
      <c r="F96" s="4" t="s">
        <v>205</v>
      </c>
      <c r="G96" s="4" t="s">
        <v>28</v>
      </c>
      <c r="H96" s="4" t="s">
        <v>67</v>
      </c>
      <c r="I96" s="4" t="str">
        <f t="shared" si="5"/>
        <v>David Patterson</v>
      </c>
      <c r="J96" s="4" t="str">
        <f t="shared" si="6"/>
        <v>New Amyport</v>
      </c>
      <c r="K96" s="4" t="str">
        <f>IF(OR(G96="USA",G96="usa"),"USA",K99
                                                                                                                                                                                                                                                               IF(G96="United States of America","USA","USA"))</f>
        <v>USA</v>
      </c>
      <c r="L96" s="4" t="str">
        <f t="shared" si="7"/>
        <v>CUST1094</v>
      </c>
      <c r="M96" s="4" t="str">
        <f t="shared" si="8"/>
        <v>Gold</v>
      </c>
      <c r="N96" s="4" t="str">
        <f t="shared" si="9"/>
        <v>Ok</v>
      </c>
    </row>
    <row r="97" spans="1:14" ht="15.75" customHeight="1">
      <c r="A97" s="3" t="s">
        <v>362</v>
      </c>
      <c r="B97" s="4" t="s">
        <v>363</v>
      </c>
      <c r="C97" s="4">
        <v>62</v>
      </c>
      <c r="D97" s="4" t="s">
        <v>31</v>
      </c>
      <c r="E97" s="4" t="s">
        <v>364</v>
      </c>
      <c r="F97" s="4" t="s">
        <v>78</v>
      </c>
      <c r="G97" s="4" t="s">
        <v>28</v>
      </c>
      <c r="H97" s="4" t="s">
        <v>34</v>
      </c>
      <c r="I97" s="4" t="str">
        <f t="shared" si="5"/>
        <v>Amy Fowler</v>
      </c>
      <c r="J97" s="4" t="str">
        <f t="shared" si="6"/>
        <v>West Bobbyshire</v>
      </c>
      <c r="K97" s="4" t="str">
        <f>IF(OR(G97="USA",G97="usa"),"USA",K100
                                                                                                                                                                                                                                                               IF(G97="United States of America","USA","USA"))</f>
        <v>USA</v>
      </c>
      <c r="L97" s="4" t="str">
        <f t="shared" si="7"/>
        <v>CUST1095</v>
      </c>
      <c r="M97" s="4" t="str">
        <f t="shared" si="8"/>
        <v>Platinum</v>
      </c>
      <c r="N97" s="4" t="str">
        <f t="shared" si="9"/>
        <v>Ok</v>
      </c>
    </row>
    <row r="98" spans="1:14" ht="15.75" customHeight="1">
      <c r="A98" s="3" t="s">
        <v>365</v>
      </c>
      <c r="B98" s="4" t="s">
        <v>366</v>
      </c>
      <c r="C98" s="4">
        <v>30</v>
      </c>
      <c r="D98" s="4" t="s">
        <v>31</v>
      </c>
      <c r="E98" s="4" t="s">
        <v>367</v>
      </c>
      <c r="F98" s="4" t="s">
        <v>349</v>
      </c>
      <c r="G98" s="4" t="s">
        <v>28</v>
      </c>
      <c r="H98" s="4" t="s">
        <v>34</v>
      </c>
      <c r="I98" s="4" t="str">
        <f t="shared" si="5"/>
        <v>Samantha Walker</v>
      </c>
      <c r="J98" s="4" t="str">
        <f t="shared" si="6"/>
        <v>Timothyburgh</v>
      </c>
      <c r="K98" s="4" t="str">
        <f>IF(OR(G98="USA",G98="usa"),"USA",K101
                                                                                                                                                                                                                                                               IF(G98="United States of America","USA","USA"))</f>
        <v>USA</v>
      </c>
      <c r="L98" s="4" t="str">
        <f t="shared" si="7"/>
        <v>CUST1096</v>
      </c>
      <c r="M98" s="4" t="str">
        <f t="shared" si="8"/>
        <v>Platinum</v>
      </c>
      <c r="N98" s="4" t="str">
        <f t="shared" si="9"/>
        <v>Ok</v>
      </c>
    </row>
    <row r="99" spans="1:14" ht="15.75" customHeight="1">
      <c r="A99" s="3" t="s">
        <v>368</v>
      </c>
      <c r="B99" s="4" t="s">
        <v>369</v>
      </c>
      <c r="C99" s="4">
        <v>36</v>
      </c>
      <c r="D99" s="4" t="s">
        <v>25</v>
      </c>
      <c r="E99" s="4" t="s">
        <v>370</v>
      </c>
      <c r="F99" s="4" t="s">
        <v>58</v>
      </c>
      <c r="G99" s="4" t="s">
        <v>28</v>
      </c>
      <c r="H99" s="4" t="s">
        <v>50</v>
      </c>
      <c r="I99" s="4" t="str">
        <f t="shared" si="5"/>
        <v>David Cobb</v>
      </c>
      <c r="J99" s="4" t="str">
        <f t="shared" si="6"/>
        <v>Lake Thomas</v>
      </c>
      <c r="K99" s="4" t="str">
        <f>IF(OR(G99="USA",G99="usa"),"USA",K102
                                                                                                                                                                                                                                                               IF(G99="United States of America","USA","USA"))</f>
        <v>USA</v>
      </c>
      <c r="L99" s="4" t="str">
        <f t="shared" si="7"/>
        <v>CUST1097</v>
      </c>
      <c r="M99" s="4" t="str">
        <f t="shared" si="8"/>
        <v>Silver</v>
      </c>
      <c r="N99" s="4" t="str">
        <f t="shared" si="9"/>
        <v>Ok</v>
      </c>
    </row>
    <row r="100" spans="1:14" ht="15.75" customHeight="1">
      <c r="A100" s="3" t="s">
        <v>371</v>
      </c>
      <c r="B100" s="4" t="s">
        <v>372</v>
      </c>
      <c r="C100" s="4">
        <v>24</v>
      </c>
      <c r="D100" s="4" t="s">
        <v>25</v>
      </c>
      <c r="E100" s="4" t="s">
        <v>373</v>
      </c>
      <c r="F100" s="4" t="s">
        <v>184</v>
      </c>
      <c r="G100" s="4" t="s">
        <v>28</v>
      </c>
      <c r="H100" s="4" t="s">
        <v>67</v>
      </c>
      <c r="I100" s="4" t="str">
        <f t="shared" si="5"/>
        <v>Brittney Morgan</v>
      </c>
      <c r="J100" s="4" t="str">
        <f t="shared" si="6"/>
        <v>Lake Kaylahaven</v>
      </c>
      <c r="K100" s="4" t="str">
        <f>IF(OR(G100="USA",G100="usa"),"USA",K103
                                                                                                                                                                                                                                                               IF(G100="United States of America","USA","USA"))</f>
        <v>USA</v>
      </c>
      <c r="L100" s="4" t="str">
        <f t="shared" si="7"/>
        <v>CUST1098</v>
      </c>
      <c r="M100" s="4" t="str">
        <f t="shared" si="8"/>
        <v>Gold</v>
      </c>
      <c r="N100" s="4" t="str">
        <f t="shared" si="9"/>
        <v>Ok</v>
      </c>
    </row>
    <row r="101" spans="1:14" ht="15.75" customHeight="1">
      <c r="A101" s="3" t="s">
        <v>374</v>
      </c>
      <c r="B101" s="4" t="s">
        <v>375</v>
      </c>
      <c r="C101" s="4">
        <v>35</v>
      </c>
      <c r="D101" s="4" t="s">
        <v>25</v>
      </c>
      <c r="E101" s="4" t="s">
        <v>376</v>
      </c>
      <c r="F101" s="4" t="s">
        <v>258</v>
      </c>
      <c r="G101" s="4" t="s">
        <v>28</v>
      </c>
      <c r="H101" s="4" t="s">
        <v>50</v>
      </c>
      <c r="I101" s="4" t="str">
        <f t="shared" si="5"/>
        <v>Sheila Wilson</v>
      </c>
      <c r="J101" s="4" t="str">
        <f t="shared" si="6"/>
        <v>South Dustin</v>
      </c>
      <c r="K101" s="4" t="str">
        <f>IF(OR(G101="USA",G101="usa"),"USA",K104
                                                                                                                                                                                                                                                               IF(G101="United States of America","USA","USA"))</f>
        <v>USA</v>
      </c>
      <c r="L101" s="4" t="str">
        <f t="shared" si="7"/>
        <v>CUST1099</v>
      </c>
      <c r="M101" s="4" t="str">
        <f t="shared" si="8"/>
        <v>Silver</v>
      </c>
      <c r="N101" s="4" t="str">
        <f t="shared" si="9"/>
        <v>Ok</v>
      </c>
    </row>
    <row r="102" spans="1:14" ht="15.75" customHeight="1">
      <c r="A102" s="3" t="s">
        <v>377</v>
      </c>
      <c r="B102" s="4" t="s">
        <v>378</v>
      </c>
      <c r="C102" s="4">
        <v>53</v>
      </c>
      <c r="D102" s="4" t="s">
        <v>31</v>
      </c>
      <c r="E102" s="4" t="s">
        <v>379</v>
      </c>
      <c r="F102" s="4" t="s">
        <v>380</v>
      </c>
      <c r="G102" s="4" t="s">
        <v>28</v>
      </c>
      <c r="H102" s="4" t="s">
        <v>34</v>
      </c>
      <c r="I102" s="4" t="str">
        <f t="shared" si="5"/>
        <v>Diane Watson</v>
      </c>
      <c r="J102" s="4" t="str">
        <f t="shared" si="6"/>
        <v>North Codyport</v>
      </c>
      <c r="K102" s="4" t="str">
        <f>IF(OR(G102="USA",G102="usa"),"USA",K105
                                                                                                                                                                                                                                                               IF(G102="United States of America","USA","USA"))</f>
        <v>USA</v>
      </c>
      <c r="L102" s="4" t="str">
        <f t="shared" si="7"/>
        <v>CUST1100</v>
      </c>
      <c r="M102" s="4" t="str">
        <f t="shared" si="8"/>
        <v>Platinum</v>
      </c>
      <c r="N102" s="4" t="str">
        <f t="shared" si="9"/>
        <v>Ok</v>
      </c>
    </row>
    <row r="103" spans="1:14" ht="15.75" customHeight="1">
      <c r="A103" s="3" t="s">
        <v>381</v>
      </c>
      <c r="B103" s="4" t="s">
        <v>382</v>
      </c>
      <c r="C103" s="4">
        <v>29</v>
      </c>
      <c r="D103" s="4" t="s">
        <v>25</v>
      </c>
      <c r="E103" s="4" t="s">
        <v>383</v>
      </c>
      <c r="F103" s="4" t="s">
        <v>138</v>
      </c>
      <c r="G103" s="4" t="s">
        <v>28</v>
      </c>
      <c r="H103" s="4" t="s">
        <v>67</v>
      </c>
      <c r="I103" s="4" t="str">
        <f t="shared" si="5"/>
        <v>Colleen Maynard</v>
      </c>
      <c r="J103" s="4" t="str">
        <f t="shared" si="6"/>
        <v>Singletonmouth</v>
      </c>
      <c r="K103" s="4" t="str">
        <f>IF(OR(G103="USA",G103="usa"),"USA",K106
                                                                                                                                                                                                                                                               IF(G103="United States of America","USA","USA"))</f>
        <v>USA</v>
      </c>
      <c r="L103" s="4" t="str">
        <f t="shared" si="7"/>
        <v>CUST1101</v>
      </c>
      <c r="M103" s="4" t="str">
        <f t="shared" si="8"/>
        <v>Gold</v>
      </c>
      <c r="N103" s="4" t="str">
        <f t="shared" si="9"/>
        <v>Ok</v>
      </c>
    </row>
    <row r="104" spans="1:14" ht="15.75" customHeight="1">
      <c r="A104" s="3" t="s">
        <v>384</v>
      </c>
      <c r="B104" s="4" t="s">
        <v>385</v>
      </c>
      <c r="C104" s="4">
        <v>34</v>
      </c>
      <c r="D104" s="4" t="s">
        <v>31</v>
      </c>
      <c r="E104" s="4" t="s">
        <v>386</v>
      </c>
      <c r="F104" s="4" t="s">
        <v>71</v>
      </c>
      <c r="G104" s="4" t="s">
        <v>28</v>
      </c>
      <c r="H104" s="4" t="s">
        <v>44</v>
      </c>
      <c r="I104" s="4" t="str">
        <f t="shared" si="5"/>
        <v>Sarah Schneider</v>
      </c>
      <c r="J104" s="4" t="str">
        <f t="shared" si="6"/>
        <v>Port Joshuachester</v>
      </c>
      <c r="K104" s="4" t="str">
        <f>IF(OR(G104="USA",G104="usa"),"USA",K107
                                                                                                                                                                                                                                                               IF(G104="United States of America","USA","USA"))</f>
        <v>USA</v>
      </c>
      <c r="L104" s="4" t="str">
        <f t="shared" si="7"/>
        <v>CUST1102</v>
      </c>
      <c r="M104" s="4" t="str">
        <f t="shared" si="8"/>
        <v>Bronze</v>
      </c>
      <c r="N104" s="4" t="str">
        <f t="shared" si="9"/>
        <v>Ok</v>
      </c>
    </row>
    <row r="105" spans="1:14" ht="15.75" customHeight="1">
      <c r="A105" s="3" t="s">
        <v>387</v>
      </c>
      <c r="B105" s="4" t="s">
        <v>388</v>
      </c>
      <c r="C105" s="4">
        <v>21</v>
      </c>
      <c r="D105" s="4" t="s">
        <v>25</v>
      </c>
      <c r="E105" s="4" t="s">
        <v>389</v>
      </c>
      <c r="F105" s="4" t="s">
        <v>188</v>
      </c>
      <c r="G105" s="4" t="s">
        <v>28</v>
      </c>
      <c r="H105" s="4" t="s">
        <v>44</v>
      </c>
      <c r="I105" s="4" t="str">
        <f t="shared" si="5"/>
        <v>Steven Stein</v>
      </c>
      <c r="J105" s="4" t="str">
        <f t="shared" si="6"/>
        <v>West Lauren</v>
      </c>
      <c r="K105" s="4" t="str">
        <f>IF(OR(G105="USA",G105="usa"),"USA",K108
                                                                                                                                                                                                                                                               IF(G105="United States of America","USA","USA"))</f>
        <v>USA</v>
      </c>
      <c r="L105" s="4" t="str">
        <f t="shared" si="7"/>
        <v>CUST1103</v>
      </c>
      <c r="M105" s="4" t="str">
        <f t="shared" si="8"/>
        <v>Bronze</v>
      </c>
      <c r="N105" s="4" t="str">
        <f t="shared" si="9"/>
        <v>Ok</v>
      </c>
    </row>
    <row r="106" spans="1:14" ht="15.75" customHeight="1">
      <c r="A106" s="3" t="s">
        <v>390</v>
      </c>
      <c r="B106" s="4" t="s">
        <v>391</v>
      </c>
      <c r="C106" s="4">
        <v>64</v>
      </c>
      <c r="D106" s="4" t="s">
        <v>25</v>
      </c>
      <c r="E106" s="4" t="s">
        <v>392</v>
      </c>
      <c r="F106" s="4" t="s">
        <v>101</v>
      </c>
      <c r="G106" s="4" t="s">
        <v>28</v>
      </c>
      <c r="H106" s="4" t="s">
        <v>50</v>
      </c>
      <c r="I106" s="4" t="str">
        <f t="shared" si="5"/>
        <v>Christopher Lester</v>
      </c>
      <c r="J106" s="4" t="str">
        <f t="shared" si="6"/>
        <v>South Jenniferville</v>
      </c>
      <c r="K106" s="4" t="str">
        <f>IF(OR(G106="USA",G106="usa"),"USA",K109
                                                                                                                                                                                                                                                               IF(G106="United States of America","USA","USA"))</f>
        <v>USA</v>
      </c>
      <c r="L106" s="4" t="str">
        <f t="shared" si="7"/>
        <v>CUST1104</v>
      </c>
      <c r="M106" s="4" t="str">
        <f t="shared" si="8"/>
        <v>Silver</v>
      </c>
      <c r="N106" s="4" t="str">
        <f t="shared" si="9"/>
        <v>Ok</v>
      </c>
    </row>
    <row r="107" spans="1:14" ht="15.75" customHeight="1">
      <c r="A107" s="3" t="s">
        <v>393</v>
      </c>
      <c r="B107" s="4" t="s">
        <v>394</v>
      </c>
      <c r="C107" s="4">
        <v>50</v>
      </c>
      <c r="D107" s="4" t="s">
        <v>31</v>
      </c>
      <c r="E107" s="4" t="s">
        <v>395</v>
      </c>
      <c r="F107" s="4" t="s">
        <v>271</v>
      </c>
      <c r="G107" s="4" t="s">
        <v>28</v>
      </c>
      <c r="H107" s="4" t="s">
        <v>67</v>
      </c>
      <c r="I107" s="4" t="str">
        <f t="shared" si="5"/>
        <v>Lance Baker</v>
      </c>
      <c r="J107" s="4" t="str">
        <f t="shared" si="6"/>
        <v>Port Victoria</v>
      </c>
      <c r="K107" s="4" t="str">
        <f>IF(OR(G107="USA",G107="usa"),"USA",K110
                                                                                                                                                                                                                                                               IF(G107="United States of America","USA","USA"))</f>
        <v>USA</v>
      </c>
      <c r="L107" s="4" t="str">
        <f t="shared" si="7"/>
        <v>CUST1105</v>
      </c>
      <c r="M107" s="4" t="str">
        <f t="shared" si="8"/>
        <v>Gold</v>
      </c>
      <c r="N107" s="4" t="str">
        <f t="shared" si="9"/>
        <v>Ok</v>
      </c>
    </row>
    <row r="108" spans="1:14" ht="15.75" customHeight="1">
      <c r="A108" s="3" t="s">
        <v>396</v>
      </c>
      <c r="B108" s="4" t="s">
        <v>397</v>
      </c>
      <c r="C108" s="4">
        <v>53</v>
      </c>
      <c r="D108" s="4" t="s">
        <v>31</v>
      </c>
      <c r="E108" s="4" t="s">
        <v>398</v>
      </c>
      <c r="F108" s="4" t="s">
        <v>238</v>
      </c>
      <c r="G108" s="4" t="s">
        <v>28</v>
      </c>
      <c r="H108" s="4" t="s">
        <v>44</v>
      </c>
      <c r="I108" s="4" t="str">
        <f t="shared" si="5"/>
        <v>Howard Summers</v>
      </c>
      <c r="J108" s="4" t="str">
        <f t="shared" si="6"/>
        <v>East Linda</v>
      </c>
      <c r="K108" s="4" t="str">
        <f>IF(OR(G108="USA",G108="usa"),"USA",K111
                                                                                                                                                                                                                                                               IF(G108="United States of America","USA","USA"))</f>
        <v>USA</v>
      </c>
      <c r="L108" s="4" t="str">
        <f t="shared" si="7"/>
        <v>CUST1106</v>
      </c>
      <c r="M108" s="4" t="str">
        <f t="shared" si="8"/>
        <v>Bronze</v>
      </c>
      <c r="N108" s="4" t="str">
        <f t="shared" si="9"/>
        <v>Ok</v>
      </c>
    </row>
    <row r="109" spans="1:14" ht="15.75" customHeight="1">
      <c r="A109" s="3" t="s">
        <v>399</v>
      </c>
      <c r="B109" s="4" t="s">
        <v>400</v>
      </c>
      <c r="C109" s="4">
        <v>62</v>
      </c>
      <c r="D109" s="4" t="s">
        <v>31</v>
      </c>
      <c r="E109" s="4" t="s">
        <v>401</v>
      </c>
      <c r="F109" s="4" t="s">
        <v>33</v>
      </c>
      <c r="G109" s="4" t="s">
        <v>28</v>
      </c>
      <c r="H109" s="4" t="s">
        <v>34</v>
      </c>
      <c r="I109" s="4" t="str">
        <f t="shared" si="5"/>
        <v>Erica Carney</v>
      </c>
      <c r="J109" s="4" t="str">
        <f t="shared" si="6"/>
        <v>North Justin</v>
      </c>
      <c r="K109" s="4" t="str">
        <f>IF(OR(G109="USA",G109="usa"),"USA",K112
                                                                                                                                                                                                                                                               IF(G109="United States of America","USA","USA"))</f>
        <v>USA</v>
      </c>
      <c r="L109" s="4" t="str">
        <f t="shared" si="7"/>
        <v>CUST1107</v>
      </c>
      <c r="M109" s="4" t="str">
        <f t="shared" si="8"/>
        <v>Platinum</v>
      </c>
      <c r="N109" s="4" t="str">
        <f t="shared" si="9"/>
        <v>Ok</v>
      </c>
    </row>
    <row r="110" spans="1:14" ht="15.75" customHeight="1">
      <c r="A110" s="3" t="s">
        <v>402</v>
      </c>
      <c r="B110" s="4" t="s">
        <v>403</v>
      </c>
      <c r="C110" s="4">
        <v>38</v>
      </c>
      <c r="D110" s="4" t="s">
        <v>25</v>
      </c>
      <c r="E110" s="4" t="s">
        <v>404</v>
      </c>
      <c r="F110" s="4" t="s">
        <v>66</v>
      </c>
      <c r="G110" s="4" t="s">
        <v>28</v>
      </c>
      <c r="H110" s="4" t="s">
        <v>44</v>
      </c>
      <c r="I110" s="4" t="str">
        <f t="shared" si="5"/>
        <v>Travis Holland</v>
      </c>
      <c r="J110" s="4" t="str">
        <f t="shared" si="6"/>
        <v>Webstermouth</v>
      </c>
      <c r="K110" s="4" t="str">
        <f>IF(OR(G110="USA",G110="usa"),"USA",K113
                                                                                                                                                                                                                                                               IF(G110="United States of America","USA","USA"))</f>
        <v>USA</v>
      </c>
      <c r="L110" s="4" t="str">
        <f t="shared" si="7"/>
        <v>CUST1108</v>
      </c>
      <c r="M110" s="4" t="str">
        <f t="shared" si="8"/>
        <v>Bronze</v>
      </c>
      <c r="N110" s="4" t="str">
        <f t="shared" si="9"/>
        <v>Ok</v>
      </c>
    </row>
    <row r="111" spans="1:14" ht="15.75" customHeight="1">
      <c r="A111" s="3" t="s">
        <v>405</v>
      </c>
      <c r="B111" s="4" t="s">
        <v>406</v>
      </c>
      <c r="C111" s="4">
        <v>27</v>
      </c>
      <c r="D111" s="4" t="s">
        <v>25</v>
      </c>
      <c r="E111" s="4" t="s">
        <v>407</v>
      </c>
      <c r="F111" s="4" t="s">
        <v>62</v>
      </c>
      <c r="G111" s="4" t="s">
        <v>28</v>
      </c>
      <c r="H111" s="4" t="s">
        <v>50</v>
      </c>
      <c r="I111" s="4" t="str">
        <f t="shared" si="5"/>
        <v>Amy Walker</v>
      </c>
      <c r="J111" s="4" t="str">
        <f t="shared" si="6"/>
        <v>Smithland</v>
      </c>
      <c r="K111" s="4" t="str">
        <f>IF(OR(G111="USA",G111="usa"),"USA",K114
                                                                                                                                                                                                                                                               IF(G111="United States of America","USA","USA"))</f>
        <v>USA</v>
      </c>
      <c r="L111" s="4" t="str">
        <f t="shared" si="7"/>
        <v>CUST1109</v>
      </c>
      <c r="M111" s="4" t="str">
        <f t="shared" si="8"/>
        <v>Silver</v>
      </c>
      <c r="N111" s="4" t="str">
        <f t="shared" si="9"/>
        <v>Ok</v>
      </c>
    </row>
    <row r="112" spans="1:14" ht="15.75" customHeight="1">
      <c r="A112" s="3" t="s">
        <v>408</v>
      </c>
      <c r="B112" s="4" t="s">
        <v>409</v>
      </c>
      <c r="C112" s="4">
        <v>40</v>
      </c>
      <c r="D112" s="4" t="s">
        <v>31</v>
      </c>
      <c r="E112" s="4" t="s">
        <v>410</v>
      </c>
      <c r="F112" s="4" t="s">
        <v>161</v>
      </c>
      <c r="G112" s="4" t="s">
        <v>28</v>
      </c>
      <c r="H112" s="4" t="s">
        <v>67</v>
      </c>
      <c r="I112" s="4" t="str">
        <f t="shared" si="5"/>
        <v>Ashley Griffin</v>
      </c>
      <c r="J112" s="4" t="str">
        <f t="shared" si="6"/>
        <v>New Dawnton</v>
      </c>
      <c r="K112" s="4" t="str">
        <f>IF(OR(G112="USA",G112="usa"),"USA",K115
                                                                                                                                                                                                                                                               IF(G112="United States of America","USA","USA"))</f>
        <v>USA</v>
      </c>
      <c r="L112" s="4" t="str">
        <f t="shared" si="7"/>
        <v>CUST1110</v>
      </c>
      <c r="M112" s="4" t="str">
        <f t="shared" si="8"/>
        <v>Gold</v>
      </c>
      <c r="N112" s="4" t="str">
        <f t="shared" si="9"/>
        <v>Ok</v>
      </c>
    </row>
    <row r="113" spans="1:14" ht="15.75" customHeight="1">
      <c r="A113" s="3" t="s">
        <v>411</v>
      </c>
      <c r="B113" s="4" t="s">
        <v>412</v>
      </c>
      <c r="C113" s="4">
        <v>18</v>
      </c>
      <c r="D113" s="4" t="s">
        <v>31</v>
      </c>
      <c r="E113" s="4" t="s">
        <v>413</v>
      </c>
      <c r="F113" s="4" t="s">
        <v>154</v>
      </c>
      <c r="G113" s="4" t="s">
        <v>28</v>
      </c>
      <c r="H113" s="4" t="s">
        <v>34</v>
      </c>
      <c r="I113" s="4" t="str">
        <f t="shared" si="5"/>
        <v>Julie Farmer</v>
      </c>
      <c r="J113" s="4" t="str">
        <f t="shared" si="6"/>
        <v>Rodriguezmouth</v>
      </c>
      <c r="K113" s="4" t="str">
        <f>IF(OR(G113="USA",G113="usa"),"USA",K116
                                                                                                                                                                                                                                                               IF(G113="United States of America","USA","USA"))</f>
        <v>USA</v>
      </c>
      <c r="L113" s="4" t="str">
        <f t="shared" si="7"/>
        <v>CUST1111</v>
      </c>
      <c r="M113" s="4" t="str">
        <f t="shared" si="8"/>
        <v>Platinum</v>
      </c>
      <c r="N113" s="4" t="str">
        <f t="shared" si="9"/>
        <v>Ok</v>
      </c>
    </row>
    <row r="114" spans="1:14" ht="15.75" customHeight="1">
      <c r="A114" s="3" t="s">
        <v>414</v>
      </c>
      <c r="B114" s="4" t="s">
        <v>415</v>
      </c>
      <c r="C114" s="4">
        <v>27</v>
      </c>
      <c r="D114" s="4" t="s">
        <v>31</v>
      </c>
      <c r="E114" s="4" t="s">
        <v>416</v>
      </c>
      <c r="F114" s="4" t="s">
        <v>177</v>
      </c>
      <c r="G114" s="4" t="s">
        <v>28</v>
      </c>
      <c r="H114" s="4" t="s">
        <v>50</v>
      </c>
      <c r="I114" s="4" t="str">
        <f t="shared" si="5"/>
        <v>David Cole</v>
      </c>
      <c r="J114" s="4" t="str">
        <f t="shared" si="6"/>
        <v>Lake Michael</v>
      </c>
      <c r="K114" s="4" t="str">
        <f>IF(OR(G114="USA",G114="usa"),"USA",K117
                                                                                                                                                                                                                                                               IF(G114="United States of America","USA","USA"))</f>
        <v>USA</v>
      </c>
      <c r="L114" s="4" t="str">
        <f t="shared" si="7"/>
        <v>CUST1112</v>
      </c>
      <c r="M114" s="4" t="str">
        <f t="shared" si="8"/>
        <v>Silver</v>
      </c>
      <c r="N114" s="4" t="str">
        <f t="shared" si="9"/>
        <v>Ok</v>
      </c>
    </row>
    <row r="115" spans="1:14" ht="15.75" customHeight="1">
      <c r="A115" s="3" t="s">
        <v>417</v>
      </c>
      <c r="B115" s="4" t="s">
        <v>418</v>
      </c>
      <c r="C115" s="4">
        <v>51</v>
      </c>
      <c r="D115" s="4" t="s">
        <v>25</v>
      </c>
      <c r="E115" s="4" t="s">
        <v>419</v>
      </c>
      <c r="F115" s="4" t="s">
        <v>254</v>
      </c>
      <c r="G115" s="4" t="s">
        <v>28</v>
      </c>
      <c r="H115" s="4" t="s">
        <v>67</v>
      </c>
      <c r="I115" s="4" t="str">
        <f t="shared" si="5"/>
        <v>Edward Hall</v>
      </c>
      <c r="J115" s="4" t="str">
        <f t="shared" si="6"/>
        <v>New William</v>
      </c>
      <c r="K115" s="4" t="str">
        <f>IF(OR(G115="USA",G115="usa"),"USA",K118
                                                                                                                                                                                                                                                               IF(G115="United States of America","USA","USA"))</f>
        <v>USA</v>
      </c>
      <c r="L115" s="4" t="str">
        <f t="shared" si="7"/>
        <v>CUST1113</v>
      </c>
      <c r="M115" s="4" t="str">
        <f t="shared" si="8"/>
        <v>Gold</v>
      </c>
      <c r="N115" s="4" t="str">
        <f t="shared" si="9"/>
        <v>Ok</v>
      </c>
    </row>
    <row r="116" spans="1:14" ht="15.75" customHeight="1">
      <c r="A116" s="3" t="s">
        <v>420</v>
      </c>
      <c r="B116" s="4" t="s">
        <v>421</v>
      </c>
      <c r="C116" s="4">
        <v>30</v>
      </c>
      <c r="D116" s="4" t="s">
        <v>25</v>
      </c>
      <c r="E116" s="4" t="s">
        <v>422</v>
      </c>
      <c r="F116" s="4" t="s">
        <v>205</v>
      </c>
      <c r="G116" s="4" t="s">
        <v>28</v>
      </c>
      <c r="H116" s="4" t="s">
        <v>44</v>
      </c>
      <c r="I116" s="4" t="str">
        <f t="shared" si="5"/>
        <v>Ryan Hernandez</v>
      </c>
      <c r="J116" s="4" t="str">
        <f t="shared" si="6"/>
        <v>East Donna</v>
      </c>
      <c r="K116" s="4" t="str">
        <f>IF(OR(G116="USA",G116="usa"),"USA",K119
                                                                                                                                                                                                                                                               IF(G116="United States of America","USA","USA"))</f>
        <v>USA</v>
      </c>
      <c r="L116" s="4" t="str">
        <f t="shared" si="7"/>
        <v>CUST1114</v>
      </c>
      <c r="M116" s="4" t="str">
        <f t="shared" si="8"/>
        <v>Bronze</v>
      </c>
      <c r="N116" s="4" t="str">
        <f t="shared" si="9"/>
        <v>Ok</v>
      </c>
    </row>
    <row r="117" spans="1:14" ht="15.75" customHeight="1">
      <c r="A117" s="3" t="s">
        <v>423</v>
      </c>
      <c r="B117" s="4" t="s">
        <v>424</v>
      </c>
      <c r="C117" s="4">
        <v>53</v>
      </c>
      <c r="D117" s="4" t="s">
        <v>31</v>
      </c>
      <c r="E117" s="4" t="s">
        <v>425</v>
      </c>
      <c r="F117" s="4" t="s">
        <v>33</v>
      </c>
      <c r="G117" s="4" t="s">
        <v>28</v>
      </c>
      <c r="H117" s="4" t="s">
        <v>34</v>
      </c>
      <c r="I117" s="4" t="str">
        <f t="shared" si="5"/>
        <v>Tyler Conrad</v>
      </c>
      <c r="J117" s="4" t="str">
        <f t="shared" si="6"/>
        <v>North Curtischester</v>
      </c>
      <c r="K117" s="4" t="str">
        <f>IF(OR(G117="USA",G117="usa"),"USA",K120
                                                                                                                                                                                                                                                               IF(G117="United States of America","USA","USA"))</f>
        <v>USA</v>
      </c>
      <c r="L117" s="4" t="str">
        <f t="shared" si="7"/>
        <v>CUST1115</v>
      </c>
      <c r="M117" s="4" t="str">
        <f t="shared" si="8"/>
        <v>Platinum</v>
      </c>
      <c r="N117" s="4" t="str">
        <f t="shared" si="9"/>
        <v>Ok</v>
      </c>
    </row>
    <row r="118" spans="1:14" ht="15.75" customHeight="1">
      <c r="A118" s="3" t="s">
        <v>426</v>
      </c>
      <c r="B118" s="4" t="s">
        <v>427</v>
      </c>
      <c r="C118" s="4">
        <v>18</v>
      </c>
      <c r="D118" s="4" t="s">
        <v>31</v>
      </c>
      <c r="E118" s="4" t="s">
        <v>428</v>
      </c>
      <c r="F118" s="4" t="s">
        <v>238</v>
      </c>
      <c r="G118" s="4" t="s">
        <v>28</v>
      </c>
      <c r="H118" s="4" t="s">
        <v>34</v>
      </c>
      <c r="I118" s="4" t="str">
        <f t="shared" si="5"/>
        <v>Anthony Phillips</v>
      </c>
      <c r="J118" s="4" t="str">
        <f t="shared" si="6"/>
        <v>North Davidport</v>
      </c>
      <c r="K118" s="4" t="str">
        <f>IF(OR(G118="USA",G118="usa"),"USA",K121
                                                                                                                                                                                                                                                               IF(G118="United States of America","USA","USA"))</f>
        <v>USA</v>
      </c>
      <c r="L118" s="4" t="str">
        <f t="shared" si="7"/>
        <v>CUST1116</v>
      </c>
      <c r="M118" s="4" t="str">
        <f t="shared" si="8"/>
        <v>Platinum</v>
      </c>
      <c r="N118" s="4" t="str">
        <f t="shared" si="9"/>
        <v>Ok</v>
      </c>
    </row>
    <row r="119" spans="1:14" ht="15.75" customHeight="1">
      <c r="A119" s="3" t="s">
        <v>429</v>
      </c>
      <c r="B119" s="4" t="s">
        <v>430</v>
      </c>
      <c r="C119" s="4">
        <v>21</v>
      </c>
      <c r="D119" s="4" t="s">
        <v>31</v>
      </c>
      <c r="E119" s="4" t="s">
        <v>431</v>
      </c>
      <c r="F119" s="4" t="s">
        <v>94</v>
      </c>
      <c r="G119" s="4" t="s">
        <v>28</v>
      </c>
      <c r="H119" s="4" t="s">
        <v>34</v>
      </c>
      <c r="I119" s="4" t="str">
        <f t="shared" si="5"/>
        <v>Colleen Mccarthy</v>
      </c>
      <c r="J119" s="4" t="str">
        <f t="shared" si="6"/>
        <v>North Katherine</v>
      </c>
      <c r="K119" s="4" t="str">
        <f>IF(OR(G119="USA",G119="usa"),"USA",K122
                                                                                                                                                                                                                                                               IF(G119="United States of America","USA","USA"))</f>
        <v>USA</v>
      </c>
      <c r="L119" s="4" t="str">
        <f t="shared" si="7"/>
        <v>CUST1117</v>
      </c>
      <c r="M119" s="4" t="str">
        <f t="shared" si="8"/>
        <v>Platinum</v>
      </c>
      <c r="N119" s="4" t="str">
        <f t="shared" si="9"/>
        <v>Ok</v>
      </c>
    </row>
    <row r="120" spans="1:14" ht="15.75" customHeight="1">
      <c r="A120" s="3" t="s">
        <v>432</v>
      </c>
      <c r="B120" s="4" t="s">
        <v>433</v>
      </c>
      <c r="C120" s="4">
        <v>36</v>
      </c>
      <c r="D120" s="4" t="s">
        <v>25</v>
      </c>
      <c r="E120" s="4" t="s">
        <v>434</v>
      </c>
      <c r="F120" s="4" t="s">
        <v>90</v>
      </c>
      <c r="G120" s="4" t="s">
        <v>28</v>
      </c>
      <c r="H120" s="4" t="s">
        <v>34</v>
      </c>
      <c r="I120" s="4" t="str">
        <f t="shared" si="5"/>
        <v>Earl Allen</v>
      </c>
      <c r="J120" s="4" t="str">
        <f t="shared" si="6"/>
        <v>New Jenniferburgh</v>
      </c>
      <c r="K120" s="4" t="str">
        <f>IF(OR(G120="USA",G120="usa"),"USA",K123
                                                                                                                                                                                                                                                               IF(G120="United States of America","USA","USA"))</f>
        <v>USA</v>
      </c>
      <c r="L120" s="4" t="str">
        <f t="shared" si="7"/>
        <v>CUST1118</v>
      </c>
      <c r="M120" s="4" t="str">
        <f t="shared" si="8"/>
        <v>Platinum</v>
      </c>
      <c r="N120" s="4" t="str">
        <f t="shared" si="9"/>
        <v>Ok</v>
      </c>
    </row>
    <row r="121" spans="1:14" ht="15.75" customHeight="1">
      <c r="A121" s="3" t="s">
        <v>435</v>
      </c>
      <c r="B121" s="4" t="s">
        <v>436</v>
      </c>
      <c r="C121" s="4">
        <v>40</v>
      </c>
      <c r="D121" s="4" t="s">
        <v>25</v>
      </c>
      <c r="E121" s="4" t="s">
        <v>437</v>
      </c>
      <c r="F121" s="4" t="s">
        <v>258</v>
      </c>
      <c r="G121" s="4" t="s">
        <v>28</v>
      </c>
      <c r="H121" s="4" t="s">
        <v>44</v>
      </c>
      <c r="I121" s="4" t="str">
        <f t="shared" si="5"/>
        <v>Michael Jones</v>
      </c>
      <c r="J121" s="4" t="str">
        <f t="shared" si="6"/>
        <v>North Edwardton</v>
      </c>
      <c r="K121" s="4" t="str">
        <f>IF(OR(G121="USA",G121="usa"),"USA",K124
                                                                                                                                                                                                                                                               IF(G121="United States of America","USA","USA"))</f>
        <v>USA</v>
      </c>
      <c r="L121" s="4" t="str">
        <f t="shared" si="7"/>
        <v>CUST1119</v>
      </c>
      <c r="M121" s="4" t="str">
        <f t="shared" si="8"/>
        <v>Bronze</v>
      </c>
      <c r="N121" s="4" t="str">
        <f t="shared" si="9"/>
        <v>Ok</v>
      </c>
    </row>
    <row r="122" spans="1:14" ht="15.75" customHeight="1">
      <c r="A122" s="3" t="s">
        <v>438</v>
      </c>
      <c r="B122" s="4" t="s">
        <v>439</v>
      </c>
      <c r="C122" s="4">
        <v>44</v>
      </c>
      <c r="D122" s="4" t="s">
        <v>31</v>
      </c>
      <c r="E122" s="4" t="s">
        <v>440</v>
      </c>
      <c r="F122" s="4" t="s">
        <v>71</v>
      </c>
      <c r="G122" s="4" t="s">
        <v>28</v>
      </c>
      <c r="H122" s="4" t="s">
        <v>34</v>
      </c>
      <c r="I122" s="4" t="str">
        <f t="shared" si="5"/>
        <v>Jacob Hopkins</v>
      </c>
      <c r="J122" s="4" t="str">
        <f t="shared" si="6"/>
        <v>Lake Tylerfort</v>
      </c>
      <c r="K122" s="4" t="str">
        <f>IF(OR(G122="USA",G122="usa"),"USA",K125
                                                                                                                                                                                                                                                               IF(G122="United States of America","USA","USA"))</f>
        <v>USA</v>
      </c>
      <c r="L122" s="4" t="str">
        <f t="shared" si="7"/>
        <v>CUST1120</v>
      </c>
      <c r="M122" s="4" t="str">
        <f t="shared" si="8"/>
        <v>Platinum</v>
      </c>
      <c r="N122" s="4" t="str">
        <f t="shared" si="9"/>
        <v>Ok</v>
      </c>
    </row>
    <row r="123" spans="1:14" ht="15.75" customHeight="1">
      <c r="A123" s="3" t="s">
        <v>441</v>
      </c>
      <c r="B123" s="4" t="s">
        <v>442</v>
      </c>
      <c r="C123" s="4">
        <v>62</v>
      </c>
      <c r="D123" s="4" t="s">
        <v>25</v>
      </c>
      <c r="E123" s="4" t="s">
        <v>443</v>
      </c>
      <c r="F123" s="4" t="s">
        <v>120</v>
      </c>
      <c r="G123" s="4" t="s">
        <v>28</v>
      </c>
      <c r="H123" s="4" t="s">
        <v>34</v>
      </c>
      <c r="I123" s="4" t="str">
        <f t="shared" si="5"/>
        <v>Joel Robinson</v>
      </c>
      <c r="J123" s="4" t="str">
        <f t="shared" si="6"/>
        <v>Lake Danielport</v>
      </c>
      <c r="K123" s="4" t="str">
        <f>IF(OR(G123="USA",G123="usa"),"USA",K126
                                                                                                                                                                                                                                                               IF(G123="United States of America","USA","USA"))</f>
        <v>USA</v>
      </c>
      <c r="L123" s="4" t="str">
        <f t="shared" si="7"/>
        <v>CUST1121</v>
      </c>
      <c r="M123" s="4" t="str">
        <f t="shared" si="8"/>
        <v>Platinum</v>
      </c>
      <c r="N123" s="4" t="str">
        <f t="shared" si="9"/>
        <v>Ok</v>
      </c>
    </row>
    <row r="124" spans="1:14" ht="15.75" customHeight="1">
      <c r="A124" s="3" t="s">
        <v>444</v>
      </c>
      <c r="B124" s="4" t="s">
        <v>445</v>
      </c>
      <c r="C124" s="4">
        <v>50</v>
      </c>
      <c r="D124" s="4" t="s">
        <v>25</v>
      </c>
      <c r="E124" s="4" t="s">
        <v>446</v>
      </c>
      <c r="F124" s="4" t="s">
        <v>27</v>
      </c>
      <c r="G124" s="4" t="s">
        <v>28</v>
      </c>
      <c r="H124" s="4" t="s">
        <v>34</v>
      </c>
      <c r="I124" s="4" t="str">
        <f t="shared" si="5"/>
        <v>Michael Chang</v>
      </c>
      <c r="J124" s="4" t="str">
        <f t="shared" si="6"/>
        <v>Kathrynport</v>
      </c>
      <c r="K124" s="4" t="str">
        <f>IF(OR(G124="USA",G124="usa"),"USA",K127
                                                                                                                                                                                                                                                               IF(G124="United States of America","USA","USA"))</f>
        <v>USA</v>
      </c>
      <c r="L124" s="4" t="str">
        <f t="shared" si="7"/>
        <v>CUST1122</v>
      </c>
      <c r="M124" s="4" t="str">
        <f t="shared" si="8"/>
        <v>Platinum</v>
      </c>
      <c r="N124" s="4" t="str">
        <f t="shared" si="9"/>
        <v>Ok</v>
      </c>
    </row>
    <row r="125" spans="1:14" ht="15.75" customHeight="1">
      <c r="A125" s="3" t="s">
        <v>447</v>
      </c>
      <c r="B125" s="4" t="s">
        <v>448</v>
      </c>
      <c r="C125" s="4">
        <v>40</v>
      </c>
      <c r="D125" s="4" t="s">
        <v>25</v>
      </c>
      <c r="E125" s="4" t="s">
        <v>449</v>
      </c>
      <c r="F125" s="4" t="s">
        <v>288</v>
      </c>
      <c r="G125" s="4" t="s">
        <v>28</v>
      </c>
      <c r="H125" s="4" t="s">
        <v>50</v>
      </c>
      <c r="I125" s="4" t="str">
        <f t="shared" si="5"/>
        <v>Erin Hopkins</v>
      </c>
      <c r="J125" s="4" t="str">
        <f t="shared" si="6"/>
        <v>North Sabrina</v>
      </c>
      <c r="K125" s="4" t="str">
        <f>IF(OR(G125="USA",G125="usa"),"USA",K128
                                                                                                                                                                                                                                                               IF(G125="United States of America","USA","USA"))</f>
        <v>USA</v>
      </c>
      <c r="L125" s="4" t="str">
        <f t="shared" si="7"/>
        <v>CUST1123</v>
      </c>
      <c r="M125" s="4" t="str">
        <f t="shared" si="8"/>
        <v>Silver</v>
      </c>
      <c r="N125" s="4" t="str">
        <f t="shared" si="9"/>
        <v>Ok</v>
      </c>
    </row>
    <row r="126" spans="1:14" ht="15.75" customHeight="1">
      <c r="A126" s="3" t="s">
        <v>450</v>
      </c>
      <c r="B126" s="4" t="s">
        <v>451</v>
      </c>
      <c r="C126" s="4">
        <v>26</v>
      </c>
      <c r="D126" s="4" t="s">
        <v>25</v>
      </c>
      <c r="E126" s="4" t="s">
        <v>452</v>
      </c>
      <c r="F126" s="4" t="s">
        <v>215</v>
      </c>
      <c r="G126" s="4" t="s">
        <v>28</v>
      </c>
      <c r="H126" s="4" t="s">
        <v>44</v>
      </c>
      <c r="I126" s="4" t="str">
        <f t="shared" si="5"/>
        <v>Donald Lee</v>
      </c>
      <c r="J126" s="4" t="str">
        <f t="shared" si="6"/>
        <v>Wongberg</v>
      </c>
      <c r="K126" s="4" t="str">
        <f>IF(OR(G126="USA",G126="usa"),"USA",K129
                                                                                                                                                                                                                                                               IF(G126="United States of America","USA","USA"))</f>
        <v>USA</v>
      </c>
      <c r="L126" s="4" t="str">
        <f t="shared" si="7"/>
        <v>CUST1124</v>
      </c>
      <c r="M126" s="4" t="str">
        <f t="shared" si="8"/>
        <v>Bronze</v>
      </c>
      <c r="N126" s="4" t="str">
        <f t="shared" si="9"/>
        <v>Ok</v>
      </c>
    </row>
    <row r="127" spans="1:14" ht="15.75" customHeight="1">
      <c r="A127" s="3" t="s">
        <v>453</v>
      </c>
      <c r="B127" s="4" t="s">
        <v>454</v>
      </c>
      <c r="C127" s="4">
        <v>64</v>
      </c>
      <c r="D127" s="4" t="s">
        <v>31</v>
      </c>
      <c r="E127" s="4" t="s">
        <v>455</v>
      </c>
      <c r="F127" s="4" t="s">
        <v>456</v>
      </c>
      <c r="G127" s="4" t="s">
        <v>28</v>
      </c>
      <c r="H127" s="4" t="s">
        <v>34</v>
      </c>
      <c r="I127" s="4" t="str">
        <f t="shared" si="5"/>
        <v>Keith Miller</v>
      </c>
      <c r="J127" s="4" t="str">
        <f t="shared" si="6"/>
        <v>West Jameston</v>
      </c>
      <c r="K127" s="4" t="str">
        <f>IF(OR(G127="USA",G127="usa"),"USA",K130
                                                                                                                                                                                                                                                               IF(G127="United States of America","USA","USA"))</f>
        <v>USA</v>
      </c>
      <c r="L127" s="4" t="str">
        <f t="shared" si="7"/>
        <v>CUST1125</v>
      </c>
      <c r="M127" s="4" t="str">
        <f t="shared" si="8"/>
        <v>Platinum</v>
      </c>
      <c r="N127" s="4" t="str">
        <f t="shared" si="9"/>
        <v>Ok</v>
      </c>
    </row>
    <row r="128" spans="1:14" ht="15.75" customHeight="1">
      <c r="A128" s="3" t="s">
        <v>457</v>
      </c>
      <c r="B128" s="4" t="s">
        <v>458</v>
      </c>
      <c r="C128" s="4">
        <v>62</v>
      </c>
      <c r="D128" s="4" t="s">
        <v>31</v>
      </c>
      <c r="E128" s="4" t="s">
        <v>459</v>
      </c>
      <c r="F128" s="4" t="s">
        <v>154</v>
      </c>
      <c r="G128" s="4" t="s">
        <v>28</v>
      </c>
      <c r="H128" s="4" t="s">
        <v>67</v>
      </c>
      <c r="I128" s="4" t="str">
        <f t="shared" si="5"/>
        <v>James Wolfe</v>
      </c>
      <c r="J128" s="4" t="str">
        <f t="shared" si="6"/>
        <v>Benjaminton</v>
      </c>
      <c r="K128" s="4" t="str">
        <f>IF(OR(G128="USA",G128="usa"),"USA",K131
                                                                                                                                                                                                                                                               IF(G128="United States of America","USA","USA"))</f>
        <v>USA</v>
      </c>
      <c r="L128" s="4" t="str">
        <f t="shared" si="7"/>
        <v>CUST1126</v>
      </c>
      <c r="M128" s="4" t="str">
        <f t="shared" si="8"/>
        <v>Gold</v>
      </c>
      <c r="N128" s="4" t="str">
        <f t="shared" si="9"/>
        <v>Ok</v>
      </c>
    </row>
    <row r="129" spans="1:14" ht="15.75" customHeight="1">
      <c r="A129" s="3" t="s">
        <v>460</v>
      </c>
      <c r="B129" s="4" t="s">
        <v>461</v>
      </c>
      <c r="C129" s="4">
        <v>39</v>
      </c>
      <c r="D129" s="4" t="s">
        <v>25</v>
      </c>
      <c r="E129" s="4" t="s">
        <v>462</v>
      </c>
      <c r="F129" s="4" t="s">
        <v>192</v>
      </c>
      <c r="G129" s="4" t="s">
        <v>28</v>
      </c>
      <c r="H129" s="4" t="s">
        <v>34</v>
      </c>
      <c r="I129" s="4" t="str">
        <f t="shared" si="5"/>
        <v>John Mcknight</v>
      </c>
      <c r="J129" s="4" t="str">
        <f t="shared" si="6"/>
        <v>South Nathan</v>
      </c>
      <c r="K129" s="4" t="str">
        <f>IF(OR(G129="USA",G129="usa"),"USA",K132
                                                                                                                                                                                                                                                               IF(G129="United States of America","USA","USA"))</f>
        <v>USA</v>
      </c>
      <c r="L129" s="4" t="str">
        <f t="shared" si="7"/>
        <v>CUST1127</v>
      </c>
      <c r="M129" s="4" t="str">
        <f t="shared" si="8"/>
        <v>Platinum</v>
      </c>
      <c r="N129" s="4" t="str">
        <f t="shared" si="9"/>
        <v>Ok</v>
      </c>
    </row>
    <row r="130" spans="1:14" ht="15.75" customHeight="1">
      <c r="A130" s="3" t="s">
        <v>463</v>
      </c>
      <c r="B130" s="4" t="s">
        <v>464</v>
      </c>
      <c r="C130" s="4">
        <v>45</v>
      </c>
      <c r="D130" s="4" t="s">
        <v>25</v>
      </c>
      <c r="E130" s="4" t="s">
        <v>465</v>
      </c>
      <c r="F130" s="4" t="s">
        <v>312</v>
      </c>
      <c r="G130" s="4" t="s">
        <v>28</v>
      </c>
      <c r="H130" s="4" t="s">
        <v>50</v>
      </c>
      <c r="I130" s="4" t="str">
        <f t="shared" ref="I130:I193" si="10">PROPER(TRIM(B130))</f>
        <v>Susan Mcdonald</v>
      </c>
      <c r="J130" s="4" t="str">
        <f t="shared" ref="J130:J193" si="11">PROPER(TRIM(E130))</f>
        <v>East Ellen</v>
      </c>
      <c r="K130" s="4" t="str">
        <f>IF(OR(G130="USA",G130="usa"),"USA",K133
                                                                                                                                                                                                                                                               IF(G130="United States of America","USA","USA"))</f>
        <v>USA</v>
      </c>
      <c r="L130" s="4" t="str">
        <f t="shared" ref="L130:L193" si="12">IF(LEFT(A130,1)="C","CUST"&amp;RIGHT(A130,4),A130)</f>
        <v>CUST1128</v>
      </c>
      <c r="M130" s="4" t="str">
        <f t="shared" ref="M130:M193" si="13">IF(H130="","Standard",H130)</f>
        <v>Silver</v>
      </c>
      <c r="N130" s="4" t="str">
        <f t="shared" ref="N130:N193" si="14">IF(OR(C130&lt;18,C130&gt;70),"Check Age","Ok")</f>
        <v>Ok</v>
      </c>
    </row>
    <row r="131" spans="1:14" ht="15.75" customHeight="1">
      <c r="A131" s="3" t="s">
        <v>466</v>
      </c>
      <c r="B131" s="4" t="s">
        <v>467</v>
      </c>
      <c r="C131" s="4">
        <v>43</v>
      </c>
      <c r="D131" s="4" t="s">
        <v>31</v>
      </c>
      <c r="E131" s="4" t="s">
        <v>468</v>
      </c>
      <c r="F131" s="4" t="s">
        <v>58</v>
      </c>
      <c r="G131" s="4" t="s">
        <v>28</v>
      </c>
      <c r="H131" s="4" t="s">
        <v>50</v>
      </c>
      <c r="I131" s="4" t="str">
        <f t="shared" si="10"/>
        <v>Jessica Mitchell</v>
      </c>
      <c r="J131" s="4" t="str">
        <f t="shared" si="11"/>
        <v>Matthewbury</v>
      </c>
      <c r="K131" s="4" t="str">
        <f>IF(OR(G131="USA",G131="usa"),"USA",K134
                                                                                                                                                                                                                                                               IF(G131="United States of America","USA","USA"))</f>
        <v>USA</v>
      </c>
      <c r="L131" s="4" t="str">
        <f t="shared" si="12"/>
        <v>CUST1129</v>
      </c>
      <c r="M131" s="4" t="str">
        <f t="shared" si="13"/>
        <v>Silver</v>
      </c>
      <c r="N131" s="4" t="str">
        <f t="shared" si="14"/>
        <v>Ok</v>
      </c>
    </row>
    <row r="132" spans="1:14" ht="15.75" customHeight="1">
      <c r="A132" s="3" t="s">
        <v>469</v>
      </c>
      <c r="B132" s="4" t="s">
        <v>470</v>
      </c>
      <c r="C132" s="4">
        <v>29</v>
      </c>
      <c r="D132" s="4" t="s">
        <v>25</v>
      </c>
      <c r="E132" s="4" t="s">
        <v>471</v>
      </c>
      <c r="F132" s="4" t="s">
        <v>188</v>
      </c>
      <c r="G132" s="4" t="s">
        <v>472</v>
      </c>
      <c r="H132" s="4" t="s">
        <v>34</v>
      </c>
      <c r="I132" s="4" t="str">
        <f t="shared" si="10"/>
        <v>Jamie Reyes</v>
      </c>
      <c r="J132" s="4" t="str">
        <f t="shared" si="11"/>
        <v>Jonesbury</v>
      </c>
      <c r="K132" s="4" t="e">
        <f ca="1">IF(OR(G132="USA",G132="usa"),"USA",K135
                                                                                                                                                                                                                                                               IF(G132="United States of America","USA","USA"))</f>
        <v>#VALUE!</v>
      </c>
      <c r="L132" s="4" t="str">
        <f t="shared" si="12"/>
        <v>CUST1130</v>
      </c>
      <c r="M132" s="4" t="str">
        <f t="shared" si="13"/>
        <v>Platinum</v>
      </c>
      <c r="N132" s="4" t="str">
        <f t="shared" si="14"/>
        <v>Ok</v>
      </c>
    </row>
    <row r="133" spans="1:14" ht="15.75" customHeight="1">
      <c r="A133" s="3" t="s">
        <v>473</v>
      </c>
      <c r="B133" s="4" t="s">
        <v>474</v>
      </c>
      <c r="C133" s="4">
        <v>34</v>
      </c>
      <c r="D133" s="4" t="s">
        <v>31</v>
      </c>
      <c r="E133" s="4" t="s">
        <v>475</v>
      </c>
      <c r="F133" s="4" t="s">
        <v>38</v>
      </c>
      <c r="G133" s="4" t="s">
        <v>28</v>
      </c>
      <c r="H133" s="4" t="s">
        <v>44</v>
      </c>
      <c r="I133" s="4" t="str">
        <f t="shared" si="10"/>
        <v>Joseph Richards</v>
      </c>
      <c r="J133" s="4" t="str">
        <f t="shared" si="11"/>
        <v>Wigginsville</v>
      </c>
      <c r="K133" s="4" t="str">
        <f>IF(OR(G133="USA",G133="usa"),"USA",K136
                                                                                                                                                                                                                                                               IF(G133="United States of America","USA","USA"))</f>
        <v>USA</v>
      </c>
      <c r="L133" s="4" t="str">
        <f t="shared" si="12"/>
        <v>CUST1131</v>
      </c>
      <c r="M133" s="4" t="str">
        <f t="shared" si="13"/>
        <v>Bronze</v>
      </c>
      <c r="N133" s="4" t="str">
        <f t="shared" si="14"/>
        <v>Ok</v>
      </c>
    </row>
    <row r="134" spans="1:14" ht="15.75" customHeight="1">
      <c r="A134" s="3" t="s">
        <v>476</v>
      </c>
      <c r="B134" s="4" t="s">
        <v>477</v>
      </c>
      <c r="C134" s="4">
        <v>57</v>
      </c>
      <c r="D134" s="4" t="s">
        <v>31</v>
      </c>
      <c r="E134" s="4" t="s">
        <v>478</v>
      </c>
      <c r="F134" s="4" t="s">
        <v>43</v>
      </c>
      <c r="G134" s="4" t="s">
        <v>28</v>
      </c>
      <c r="H134" s="4" t="s">
        <v>67</v>
      </c>
      <c r="I134" s="4" t="str">
        <f t="shared" si="10"/>
        <v>Miguel Reynolds</v>
      </c>
      <c r="J134" s="4" t="str">
        <f t="shared" si="11"/>
        <v>Taylorberg</v>
      </c>
      <c r="K134" s="4" t="str">
        <f>IF(OR(G134="USA",G134="usa"),"USA",K137
                                                                                                                                                                                                                                                               IF(G134="United States of America","USA","USA"))</f>
        <v>USA</v>
      </c>
      <c r="L134" s="4" t="str">
        <f t="shared" si="12"/>
        <v>CUST1132</v>
      </c>
      <c r="M134" s="4" t="str">
        <f t="shared" si="13"/>
        <v>Gold</v>
      </c>
      <c r="N134" s="4" t="str">
        <f t="shared" si="14"/>
        <v>Ok</v>
      </c>
    </row>
    <row r="135" spans="1:14" ht="15.75" customHeight="1">
      <c r="A135" s="3" t="s">
        <v>479</v>
      </c>
      <c r="B135" s="4" t="s">
        <v>480</v>
      </c>
      <c r="C135" s="4">
        <v>62</v>
      </c>
      <c r="D135" s="4" t="s">
        <v>31</v>
      </c>
      <c r="E135" s="4" t="s">
        <v>481</v>
      </c>
      <c r="F135" s="4" t="s">
        <v>271</v>
      </c>
      <c r="G135" s="4" t="s">
        <v>28</v>
      </c>
      <c r="H135" s="4" t="s">
        <v>44</v>
      </c>
      <c r="I135" s="4" t="str">
        <f t="shared" si="10"/>
        <v>Hayley Pope</v>
      </c>
      <c r="J135" s="4" t="str">
        <f t="shared" si="11"/>
        <v>West Stephenville</v>
      </c>
      <c r="K135" s="4" t="str">
        <f>IF(OR(G135="USA",G135="usa"),"USA",K138
                                                                                                                                                                                                                                                               IF(G135="United States of America","USA","USA"))</f>
        <v>USA</v>
      </c>
      <c r="L135" s="4" t="str">
        <f t="shared" si="12"/>
        <v>CUST1133</v>
      </c>
      <c r="M135" s="4" t="str">
        <f t="shared" si="13"/>
        <v>Bronze</v>
      </c>
      <c r="N135" s="4" t="str">
        <f t="shared" si="14"/>
        <v>Ok</v>
      </c>
    </row>
    <row r="136" spans="1:14" ht="15.75" customHeight="1">
      <c r="A136" s="3" t="s">
        <v>482</v>
      </c>
      <c r="B136" s="4" t="s">
        <v>483</v>
      </c>
      <c r="C136" s="4">
        <v>54</v>
      </c>
      <c r="D136" s="4" t="s">
        <v>25</v>
      </c>
      <c r="E136" s="4" t="s">
        <v>484</v>
      </c>
      <c r="F136" s="4" t="s">
        <v>94</v>
      </c>
      <c r="G136" s="4" t="s">
        <v>28</v>
      </c>
      <c r="H136" s="4" t="s">
        <v>67</v>
      </c>
      <c r="I136" s="4" t="str">
        <f t="shared" si="10"/>
        <v>Morgan Bowen</v>
      </c>
      <c r="J136" s="4" t="str">
        <f t="shared" si="11"/>
        <v>Parksfort</v>
      </c>
      <c r="K136" s="4" t="str">
        <f>IF(OR(G136="USA",G136="usa"),"USA",K139
                                                                                                                                                                                                                                                               IF(G136="United States of America","USA","USA"))</f>
        <v>USA</v>
      </c>
      <c r="L136" s="4" t="str">
        <f t="shared" si="12"/>
        <v>CUST1134</v>
      </c>
      <c r="M136" s="4" t="str">
        <f t="shared" si="13"/>
        <v>Gold</v>
      </c>
      <c r="N136" s="4" t="str">
        <f t="shared" si="14"/>
        <v>Ok</v>
      </c>
    </row>
    <row r="137" spans="1:14" ht="15.75" customHeight="1">
      <c r="A137" s="3" t="s">
        <v>485</v>
      </c>
      <c r="B137" s="4" t="s">
        <v>486</v>
      </c>
      <c r="C137" s="4">
        <v>33</v>
      </c>
      <c r="D137" s="4" t="s">
        <v>31</v>
      </c>
      <c r="E137" s="4" t="s">
        <v>487</v>
      </c>
      <c r="F137" s="4" t="s">
        <v>177</v>
      </c>
      <c r="G137" s="4" t="s">
        <v>28</v>
      </c>
      <c r="H137" s="4" t="s">
        <v>34</v>
      </c>
      <c r="I137" s="4" t="str">
        <f t="shared" si="10"/>
        <v>Matthew Hanna</v>
      </c>
      <c r="J137" s="4" t="str">
        <f t="shared" si="11"/>
        <v>Gonzalezbury</v>
      </c>
      <c r="K137" s="4" t="str">
        <f>IF(OR(G137="USA",G137="usa"),"USA",K140
                                                                                                                                                                                                                                                               IF(G137="United States of America","USA","USA"))</f>
        <v>USA</v>
      </c>
      <c r="L137" s="4" t="str">
        <f t="shared" si="12"/>
        <v>CUST1135</v>
      </c>
      <c r="M137" s="4" t="str">
        <f t="shared" si="13"/>
        <v>Platinum</v>
      </c>
      <c r="N137" s="4" t="str">
        <f t="shared" si="14"/>
        <v>Ok</v>
      </c>
    </row>
    <row r="138" spans="1:14" ht="15.75" customHeight="1">
      <c r="A138" s="3" t="s">
        <v>488</v>
      </c>
      <c r="B138" s="4" t="s">
        <v>489</v>
      </c>
      <c r="C138" s="4">
        <v>29</v>
      </c>
      <c r="D138" s="4" t="s">
        <v>25</v>
      </c>
      <c r="E138" s="4" t="s">
        <v>490</v>
      </c>
      <c r="F138" s="4" t="s">
        <v>90</v>
      </c>
      <c r="G138" s="4" t="s">
        <v>28</v>
      </c>
      <c r="H138" s="4" t="s">
        <v>50</v>
      </c>
      <c r="I138" s="4" t="str">
        <f t="shared" si="10"/>
        <v>Patrick Coleman</v>
      </c>
      <c r="J138" s="4" t="str">
        <f t="shared" si="11"/>
        <v>New Jeffrey</v>
      </c>
      <c r="K138" s="4" t="str">
        <f>IF(OR(G138="USA",G138="usa"),"USA",K141
                                                                                                                                                                                                                                                               IF(G138="United States of America","USA","USA"))</f>
        <v>USA</v>
      </c>
      <c r="L138" s="4" t="str">
        <f t="shared" si="12"/>
        <v>CUST1136</v>
      </c>
      <c r="M138" s="4" t="str">
        <f t="shared" si="13"/>
        <v>Silver</v>
      </c>
      <c r="N138" s="4" t="str">
        <f t="shared" si="14"/>
        <v>Ok</v>
      </c>
    </row>
    <row r="139" spans="1:14" ht="15.75" customHeight="1">
      <c r="A139" s="3" t="s">
        <v>491</v>
      </c>
      <c r="B139" s="4" t="s">
        <v>492</v>
      </c>
      <c r="C139" s="4">
        <v>55</v>
      </c>
      <c r="D139" s="4" t="s">
        <v>31</v>
      </c>
      <c r="E139" s="4" t="s">
        <v>493</v>
      </c>
      <c r="F139" s="4" t="s">
        <v>43</v>
      </c>
      <c r="G139" s="4" t="s">
        <v>28</v>
      </c>
      <c r="H139" s="4" t="s">
        <v>34</v>
      </c>
      <c r="I139" s="4" t="str">
        <f t="shared" si="10"/>
        <v>Rick Dominguez</v>
      </c>
      <c r="J139" s="4" t="str">
        <f t="shared" si="11"/>
        <v>North Johnbury</v>
      </c>
      <c r="K139" s="4" t="str">
        <f>IF(OR(G139="USA",G139="usa"),"USA",K142
                                                                                                                                                                                                                                                               IF(G139="United States of America","USA","USA"))</f>
        <v>USA</v>
      </c>
      <c r="L139" s="4" t="str">
        <f t="shared" si="12"/>
        <v>CUST1137</v>
      </c>
      <c r="M139" s="4" t="str">
        <f t="shared" si="13"/>
        <v>Platinum</v>
      </c>
      <c r="N139" s="4" t="str">
        <f t="shared" si="14"/>
        <v>Ok</v>
      </c>
    </row>
    <row r="140" spans="1:14" ht="15.75" customHeight="1">
      <c r="A140" s="3" t="s">
        <v>494</v>
      </c>
      <c r="B140" s="4" t="s">
        <v>495</v>
      </c>
      <c r="C140" s="4">
        <v>43</v>
      </c>
      <c r="D140" s="4" t="s">
        <v>25</v>
      </c>
      <c r="E140" s="4" t="s">
        <v>416</v>
      </c>
      <c r="F140" s="4" t="s">
        <v>308</v>
      </c>
      <c r="G140" s="4" t="s">
        <v>28</v>
      </c>
      <c r="H140" s="4" t="s">
        <v>67</v>
      </c>
      <c r="I140" s="4" t="str">
        <f t="shared" si="10"/>
        <v>Sean Roth</v>
      </c>
      <c r="J140" s="4" t="str">
        <f t="shared" si="11"/>
        <v>Lake Michael</v>
      </c>
      <c r="K140" s="4" t="str">
        <f>IF(OR(G140="USA",G140="usa"),"USA",K143
                                                                                                                                                                                                                                                               IF(G140="United States of America","USA","USA"))</f>
        <v>USA</v>
      </c>
      <c r="L140" s="4" t="str">
        <f t="shared" si="12"/>
        <v>CUST1138</v>
      </c>
      <c r="M140" s="4" t="str">
        <f t="shared" si="13"/>
        <v>Gold</v>
      </c>
      <c r="N140" s="4" t="str">
        <f t="shared" si="14"/>
        <v>Ok</v>
      </c>
    </row>
    <row r="141" spans="1:14" ht="15.75" customHeight="1">
      <c r="A141" s="3" t="s">
        <v>496</v>
      </c>
      <c r="B141" s="4" t="s">
        <v>497</v>
      </c>
      <c r="C141" s="4">
        <v>32</v>
      </c>
      <c r="D141" s="4" t="s">
        <v>25</v>
      </c>
      <c r="E141" s="4" t="s">
        <v>498</v>
      </c>
      <c r="F141" s="4" t="s">
        <v>138</v>
      </c>
      <c r="G141" s="4" t="s">
        <v>28</v>
      </c>
      <c r="H141" s="4" t="s">
        <v>44</v>
      </c>
      <c r="I141" s="4" t="str">
        <f t="shared" si="10"/>
        <v>Brian Holder</v>
      </c>
      <c r="J141" s="4" t="str">
        <f t="shared" si="11"/>
        <v>Port Travis</v>
      </c>
      <c r="K141" s="4" t="str">
        <f>IF(OR(G141="USA",G141="usa"),"USA",K144
                                                                                                                                                                                                                                                               IF(G141="United States of America","USA","USA"))</f>
        <v>USA</v>
      </c>
      <c r="L141" s="4" t="str">
        <f t="shared" si="12"/>
        <v>CUST1139</v>
      </c>
      <c r="M141" s="4" t="str">
        <f t="shared" si="13"/>
        <v>Bronze</v>
      </c>
      <c r="N141" s="4" t="str">
        <f t="shared" si="14"/>
        <v>Ok</v>
      </c>
    </row>
    <row r="142" spans="1:14" ht="15.75" customHeight="1">
      <c r="A142" s="3" t="s">
        <v>499</v>
      </c>
      <c r="B142" s="4" t="s">
        <v>500</v>
      </c>
      <c r="C142" s="4">
        <v>63</v>
      </c>
      <c r="D142" s="4" t="s">
        <v>31</v>
      </c>
      <c r="E142" s="4" t="s">
        <v>501</v>
      </c>
      <c r="F142" s="4" t="s">
        <v>71</v>
      </c>
      <c r="G142" s="4" t="s">
        <v>28</v>
      </c>
      <c r="H142" s="4" t="s">
        <v>67</v>
      </c>
      <c r="I142" s="4" t="str">
        <f t="shared" si="10"/>
        <v>Patty Francis</v>
      </c>
      <c r="J142" s="4" t="str">
        <f t="shared" si="11"/>
        <v>South Brooke</v>
      </c>
      <c r="K142" s="4" t="str">
        <f>IF(OR(G142="USA",G142="usa"),"USA",K145
                                                                                                                                                                                                                                                               IF(G142="United States of America","USA","USA"))</f>
        <v>USA</v>
      </c>
      <c r="L142" s="4" t="str">
        <f t="shared" si="12"/>
        <v>CUST1140</v>
      </c>
      <c r="M142" s="4" t="str">
        <f t="shared" si="13"/>
        <v>Gold</v>
      </c>
      <c r="N142" s="4" t="str">
        <f t="shared" si="14"/>
        <v>Ok</v>
      </c>
    </row>
    <row r="143" spans="1:14" ht="15.75" customHeight="1">
      <c r="A143" s="3" t="s">
        <v>502</v>
      </c>
      <c r="B143" s="4" t="s">
        <v>503</v>
      </c>
      <c r="C143" s="4">
        <v>30</v>
      </c>
      <c r="D143" s="4" t="s">
        <v>25</v>
      </c>
      <c r="E143" s="4" t="s">
        <v>504</v>
      </c>
      <c r="F143" s="4" t="s">
        <v>49</v>
      </c>
      <c r="G143" s="4" t="s">
        <v>472</v>
      </c>
      <c r="H143" s="4" t="s">
        <v>44</v>
      </c>
      <c r="I143" s="4" t="str">
        <f t="shared" si="10"/>
        <v>Cristian Wright</v>
      </c>
      <c r="J143" s="4" t="str">
        <f t="shared" si="11"/>
        <v>Port Denise</v>
      </c>
      <c r="K143" s="4" t="e">
        <f ca="1">IF(OR(G143="USA",G143="usa"),"USA",K146
                                                                                                                                                                                                                                                               IF(G143="United States of America","USA","USA"))</f>
        <v>#VALUE!</v>
      </c>
      <c r="L143" s="4" t="str">
        <f t="shared" si="12"/>
        <v>CUST1141</v>
      </c>
      <c r="M143" s="4" t="str">
        <f t="shared" si="13"/>
        <v>Bronze</v>
      </c>
      <c r="N143" s="4" t="str">
        <f t="shared" si="14"/>
        <v>Ok</v>
      </c>
    </row>
    <row r="144" spans="1:14" ht="15.75" customHeight="1">
      <c r="A144" s="3" t="s">
        <v>505</v>
      </c>
      <c r="B144" s="4" t="s">
        <v>506</v>
      </c>
      <c r="C144" s="4">
        <v>37</v>
      </c>
      <c r="D144" s="4" t="s">
        <v>25</v>
      </c>
      <c r="E144" s="4" t="s">
        <v>507</v>
      </c>
      <c r="F144" s="4" t="s">
        <v>86</v>
      </c>
      <c r="G144" s="4" t="s">
        <v>28</v>
      </c>
      <c r="H144" s="4" t="s">
        <v>44</v>
      </c>
      <c r="I144" s="4" t="str">
        <f t="shared" si="10"/>
        <v>Maria Ramirez</v>
      </c>
      <c r="J144" s="4" t="str">
        <f t="shared" si="11"/>
        <v>West Brandon</v>
      </c>
      <c r="K144" s="4" t="str">
        <f>IF(OR(G144="USA",G144="usa"),"USA",K147
                                                                                                                                                                                                                                                               IF(G144="United States of America","USA","USA"))</f>
        <v>USA</v>
      </c>
      <c r="L144" s="4" t="str">
        <f t="shared" si="12"/>
        <v>CUST1142</v>
      </c>
      <c r="M144" s="4" t="str">
        <f t="shared" si="13"/>
        <v>Bronze</v>
      </c>
      <c r="N144" s="4" t="str">
        <f t="shared" si="14"/>
        <v>Ok</v>
      </c>
    </row>
    <row r="145" spans="1:14" ht="15.75" customHeight="1">
      <c r="A145" s="3" t="s">
        <v>508</v>
      </c>
      <c r="B145" s="4" t="s">
        <v>509</v>
      </c>
      <c r="C145" s="4">
        <v>46</v>
      </c>
      <c r="D145" s="4" t="s">
        <v>25</v>
      </c>
      <c r="E145" s="4" t="s">
        <v>510</v>
      </c>
      <c r="F145" s="4" t="s">
        <v>38</v>
      </c>
      <c r="G145" s="4" t="s">
        <v>28</v>
      </c>
      <c r="H145" s="4" t="s">
        <v>44</v>
      </c>
      <c r="I145" s="4" t="str">
        <f t="shared" si="10"/>
        <v>Carlos Skinner</v>
      </c>
      <c r="J145" s="4" t="str">
        <f t="shared" si="11"/>
        <v>Dwaynemouth</v>
      </c>
      <c r="K145" s="4" t="str">
        <f>IF(OR(G145="USA",G145="usa"),"USA",K148
                                                                                                                                                                                                                                                               IF(G145="United States of America","USA","USA"))</f>
        <v>USA</v>
      </c>
      <c r="L145" s="4" t="str">
        <f t="shared" si="12"/>
        <v>CUST1143</v>
      </c>
      <c r="M145" s="4" t="str">
        <f t="shared" si="13"/>
        <v>Bronze</v>
      </c>
      <c r="N145" s="4" t="str">
        <f t="shared" si="14"/>
        <v>Ok</v>
      </c>
    </row>
    <row r="146" spans="1:14" ht="15.75" customHeight="1">
      <c r="A146" s="3" t="s">
        <v>511</v>
      </c>
      <c r="B146" s="4" t="s">
        <v>512</v>
      </c>
      <c r="C146" s="4">
        <v>62</v>
      </c>
      <c r="D146" s="4" t="s">
        <v>31</v>
      </c>
      <c r="E146" s="4" t="s">
        <v>513</v>
      </c>
      <c r="F146" s="4" t="s">
        <v>205</v>
      </c>
      <c r="G146" s="4" t="s">
        <v>28</v>
      </c>
      <c r="H146" s="4" t="s">
        <v>44</v>
      </c>
      <c r="I146" s="4" t="str">
        <f t="shared" si="10"/>
        <v>Justin Cross</v>
      </c>
      <c r="J146" s="4" t="str">
        <f t="shared" si="11"/>
        <v>North Anthonychester</v>
      </c>
      <c r="K146" s="4" t="str">
        <f>IF(OR(G146="USA",G146="usa"),"USA",K149
                                                                                                                                                                                                                                                               IF(G146="United States of America","USA","USA"))</f>
        <v>USA</v>
      </c>
      <c r="L146" s="4" t="str">
        <f t="shared" si="12"/>
        <v>CUST1144</v>
      </c>
      <c r="M146" s="4" t="str">
        <f t="shared" si="13"/>
        <v>Bronze</v>
      </c>
      <c r="N146" s="4" t="str">
        <f t="shared" si="14"/>
        <v>Ok</v>
      </c>
    </row>
    <row r="147" spans="1:14" ht="15.75" customHeight="1">
      <c r="A147" s="3" t="s">
        <v>514</v>
      </c>
      <c r="B147" s="4" t="s">
        <v>515</v>
      </c>
      <c r="C147" s="4">
        <v>46</v>
      </c>
      <c r="D147" s="4" t="s">
        <v>25</v>
      </c>
      <c r="E147" s="4" t="s">
        <v>516</v>
      </c>
      <c r="F147" s="4" t="s">
        <v>275</v>
      </c>
      <c r="G147" s="4" t="s">
        <v>28</v>
      </c>
      <c r="H147" s="4" t="s">
        <v>34</v>
      </c>
      <c r="I147" s="4" t="str">
        <f t="shared" si="10"/>
        <v>Cameron Simpson</v>
      </c>
      <c r="J147" s="4" t="str">
        <f t="shared" si="11"/>
        <v>Michaelfort</v>
      </c>
      <c r="K147" s="4" t="str">
        <f>IF(OR(G147="USA",G147="usa"),"USA",K150
                                                                                                                                                                                                                                                               IF(G147="United States of America","USA","USA"))</f>
        <v>USA</v>
      </c>
      <c r="L147" s="4" t="str">
        <f t="shared" si="12"/>
        <v>CUST1145</v>
      </c>
      <c r="M147" s="4" t="str">
        <f t="shared" si="13"/>
        <v>Platinum</v>
      </c>
      <c r="N147" s="4" t="str">
        <f t="shared" si="14"/>
        <v>Ok</v>
      </c>
    </row>
    <row r="148" spans="1:14" ht="15.75" customHeight="1">
      <c r="A148" s="3" t="s">
        <v>517</v>
      </c>
      <c r="B148" s="4" t="s">
        <v>518</v>
      </c>
      <c r="C148" s="4">
        <v>32</v>
      </c>
      <c r="D148" s="4" t="s">
        <v>31</v>
      </c>
      <c r="E148" s="4" t="s">
        <v>519</v>
      </c>
      <c r="F148" s="4" t="s">
        <v>338</v>
      </c>
      <c r="G148" s="4" t="s">
        <v>28</v>
      </c>
      <c r="H148" s="4" t="s">
        <v>67</v>
      </c>
      <c r="I148" s="4" t="str">
        <f t="shared" si="10"/>
        <v>Edward Rivera</v>
      </c>
      <c r="J148" s="4" t="str">
        <f t="shared" si="11"/>
        <v>Chungmouth</v>
      </c>
      <c r="K148" s="4" t="str">
        <f>IF(OR(G148="USA",G148="usa"),"USA",K151
                                                                                                                                                                                                                                                               IF(G148="United States of America","USA","USA"))</f>
        <v>USA</v>
      </c>
      <c r="L148" s="4" t="str">
        <f t="shared" si="12"/>
        <v>CUST1146</v>
      </c>
      <c r="M148" s="4" t="str">
        <f t="shared" si="13"/>
        <v>Gold</v>
      </c>
      <c r="N148" s="4" t="str">
        <f t="shared" si="14"/>
        <v>Ok</v>
      </c>
    </row>
    <row r="149" spans="1:14" ht="15.75" customHeight="1">
      <c r="A149" s="3" t="s">
        <v>520</v>
      </c>
      <c r="B149" s="4" t="s">
        <v>521</v>
      </c>
      <c r="C149" s="4">
        <v>49</v>
      </c>
      <c r="D149" s="4" t="s">
        <v>31</v>
      </c>
      <c r="E149" s="4" t="s">
        <v>522</v>
      </c>
      <c r="F149" s="4" t="s">
        <v>184</v>
      </c>
      <c r="G149" s="4" t="s">
        <v>28</v>
      </c>
      <c r="H149" s="4" t="s">
        <v>34</v>
      </c>
      <c r="I149" s="4" t="str">
        <f t="shared" si="10"/>
        <v>Rhonda Young</v>
      </c>
      <c r="J149" s="4" t="str">
        <f t="shared" si="11"/>
        <v>Lake Nathanfort</v>
      </c>
      <c r="K149" s="4" t="str">
        <f>IF(OR(G149="USA",G149="usa"),"USA",K152
                                                                                                                                                                                                                                                               IF(G149="United States of America","USA","USA"))</f>
        <v>USA</v>
      </c>
      <c r="L149" s="4" t="str">
        <f t="shared" si="12"/>
        <v>CUST1147</v>
      </c>
      <c r="M149" s="4" t="str">
        <f t="shared" si="13"/>
        <v>Platinum</v>
      </c>
      <c r="N149" s="4" t="str">
        <f t="shared" si="14"/>
        <v>Ok</v>
      </c>
    </row>
    <row r="150" spans="1:14" ht="15.75" customHeight="1">
      <c r="A150" s="3" t="s">
        <v>523</v>
      </c>
      <c r="B150" s="4" t="s">
        <v>524</v>
      </c>
      <c r="C150" s="4">
        <v>42</v>
      </c>
      <c r="D150" s="4" t="s">
        <v>31</v>
      </c>
      <c r="E150" s="4" t="s">
        <v>525</v>
      </c>
      <c r="F150" s="4" t="s">
        <v>345</v>
      </c>
      <c r="G150" s="4" t="s">
        <v>28</v>
      </c>
      <c r="H150" s="4" t="s">
        <v>44</v>
      </c>
      <c r="I150" s="4" t="str">
        <f t="shared" si="10"/>
        <v>Theresa Campbell</v>
      </c>
      <c r="J150" s="4" t="str">
        <f t="shared" si="11"/>
        <v>New Brian</v>
      </c>
      <c r="K150" s="4" t="str">
        <f>IF(OR(G150="USA",G150="usa"),"USA",K153
                                                                                                                                                                                                                                                               IF(G150="United States of America","USA","USA"))</f>
        <v>USA</v>
      </c>
      <c r="L150" s="4" t="str">
        <f t="shared" si="12"/>
        <v>CUST1148</v>
      </c>
      <c r="M150" s="4" t="str">
        <f t="shared" si="13"/>
        <v>Bronze</v>
      </c>
      <c r="N150" s="4" t="str">
        <f t="shared" si="14"/>
        <v>Ok</v>
      </c>
    </row>
    <row r="151" spans="1:14" ht="15.75" customHeight="1">
      <c r="A151" s="3" t="s">
        <v>526</v>
      </c>
      <c r="B151" s="4" t="s">
        <v>527</v>
      </c>
      <c r="C151" s="4">
        <v>33</v>
      </c>
      <c r="D151" s="4" t="s">
        <v>25</v>
      </c>
      <c r="E151" s="4" t="s">
        <v>528</v>
      </c>
      <c r="F151" s="4" t="s">
        <v>271</v>
      </c>
      <c r="G151" s="4" t="s">
        <v>28</v>
      </c>
      <c r="H151" s="4" t="s">
        <v>34</v>
      </c>
      <c r="I151" s="4" t="str">
        <f t="shared" si="10"/>
        <v>Denise Griffin</v>
      </c>
      <c r="J151" s="4" t="str">
        <f t="shared" si="11"/>
        <v>West Markhaven</v>
      </c>
      <c r="K151" s="4" t="str">
        <f>IF(OR(G151="USA",G151="usa"),"USA",K154
                                                                                                                                                                                                                                                               IF(G151="United States of America","USA","USA"))</f>
        <v>USA</v>
      </c>
      <c r="L151" s="4" t="str">
        <f t="shared" si="12"/>
        <v>CUST1149</v>
      </c>
      <c r="M151" s="4" t="str">
        <f t="shared" si="13"/>
        <v>Platinum</v>
      </c>
      <c r="N151" s="4" t="str">
        <f t="shared" si="14"/>
        <v>Ok</v>
      </c>
    </row>
    <row r="152" spans="1:14" ht="15.75" customHeight="1">
      <c r="A152" s="3" t="s">
        <v>529</v>
      </c>
      <c r="B152" s="4" t="s">
        <v>530</v>
      </c>
      <c r="C152" s="4">
        <v>24</v>
      </c>
      <c r="D152" s="4" t="s">
        <v>25</v>
      </c>
      <c r="E152" s="4" t="s">
        <v>531</v>
      </c>
      <c r="F152" s="4" t="s">
        <v>334</v>
      </c>
      <c r="G152" s="4" t="s">
        <v>28</v>
      </c>
      <c r="H152" s="4" t="s">
        <v>67</v>
      </c>
      <c r="I152" s="4" t="str">
        <f t="shared" si="10"/>
        <v>Stephanie Conway</v>
      </c>
      <c r="J152" s="4" t="str">
        <f t="shared" si="11"/>
        <v>Port Frankmouth</v>
      </c>
      <c r="K152" s="4" t="str">
        <f>IF(OR(G152="USA",G152="usa"),"USA",K155
                                                                                                                                                                                                                                                               IF(G152="United States of America","USA","USA"))</f>
        <v>USA</v>
      </c>
      <c r="L152" s="4" t="str">
        <f t="shared" si="12"/>
        <v>CUST1150</v>
      </c>
      <c r="M152" s="4" t="str">
        <f t="shared" si="13"/>
        <v>Gold</v>
      </c>
      <c r="N152" s="4" t="str">
        <f t="shared" si="14"/>
        <v>Ok</v>
      </c>
    </row>
    <row r="153" spans="1:14" ht="15.75" customHeight="1">
      <c r="A153" s="3" t="s">
        <v>532</v>
      </c>
      <c r="B153" s="4" t="s">
        <v>533</v>
      </c>
      <c r="C153" s="4">
        <v>25</v>
      </c>
      <c r="D153" s="4" t="s">
        <v>31</v>
      </c>
      <c r="E153" s="4" t="s">
        <v>534</v>
      </c>
      <c r="F153" s="4" t="s">
        <v>54</v>
      </c>
      <c r="G153" s="4" t="s">
        <v>28</v>
      </c>
      <c r="H153" s="4" t="s">
        <v>67</v>
      </c>
      <c r="I153" s="4" t="str">
        <f t="shared" si="10"/>
        <v>Michael Davies</v>
      </c>
      <c r="J153" s="4" t="str">
        <f t="shared" si="11"/>
        <v>Lake Stevenfort</v>
      </c>
      <c r="K153" s="4" t="str">
        <f>IF(OR(G153="USA",G153="usa"),"USA",K156
                                                                                                                                                                                                                                                               IF(G153="United States of America","USA","USA"))</f>
        <v>USA</v>
      </c>
      <c r="L153" s="4" t="str">
        <f t="shared" si="12"/>
        <v>CUST1151</v>
      </c>
      <c r="M153" s="4" t="str">
        <f t="shared" si="13"/>
        <v>Gold</v>
      </c>
      <c r="N153" s="4" t="str">
        <f t="shared" si="14"/>
        <v>Ok</v>
      </c>
    </row>
    <row r="154" spans="1:14" ht="15.75" customHeight="1">
      <c r="A154" s="3" t="s">
        <v>535</v>
      </c>
      <c r="B154" s="4" t="s">
        <v>536</v>
      </c>
      <c r="C154" s="4">
        <v>41</v>
      </c>
      <c r="D154" s="4" t="s">
        <v>31</v>
      </c>
      <c r="E154" s="4" t="s">
        <v>537</v>
      </c>
      <c r="F154" s="4" t="s">
        <v>134</v>
      </c>
      <c r="G154" s="4" t="s">
        <v>28</v>
      </c>
      <c r="H154" s="4" t="s">
        <v>34</v>
      </c>
      <c r="I154" s="4" t="str">
        <f t="shared" si="10"/>
        <v>Patrick Roberts</v>
      </c>
      <c r="J154" s="4" t="str">
        <f t="shared" si="11"/>
        <v>Jaredville</v>
      </c>
      <c r="K154" s="4" t="str">
        <f>IF(OR(G154="USA",G154="usa"),"USA",K157
                                                                                                                                                                                                                                                               IF(G154="United States of America","USA","USA"))</f>
        <v>USA</v>
      </c>
      <c r="L154" s="4" t="str">
        <f t="shared" si="12"/>
        <v>CUST1152</v>
      </c>
      <c r="M154" s="4" t="str">
        <f t="shared" si="13"/>
        <v>Platinum</v>
      </c>
      <c r="N154" s="4" t="str">
        <f t="shared" si="14"/>
        <v>Ok</v>
      </c>
    </row>
    <row r="155" spans="1:14" ht="15.75" customHeight="1">
      <c r="A155" s="3" t="s">
        <v>538</v>
      </c>
      <c r="B155" s="4" t="s">
        <v>539</v>
      </c>
      <c r="C155" s="4">
        <v>31</v>
      </c>
      <c r="D155" s="4" t="s">
        <v>25</v>
      </c>
      <c r="E155" s="4" t="s">
        <v>540</v>
      </c>
      <c r="F155" s="4" t="s">
        <v>33</v>
      </c>
      <c r="G155" s="4" t="s">
        <v>28</v>
      </c>
      <c r="H155" s="4" t="s">
        <v>44</v>
      </c>
      <c r="I155" s="4" t="str">
        <f t="shared" si="10"/>
        <v>Joseph Faulkner</v>
      </c>
      <c r="J155" s="4" t="str">
        <f t="shared" si="11"/>
        <v>New Leahfurt</v>
      </c>
      <c r="K155" s="4" t="str">
        <f>IF(OR(G155="USA",G155="usa"),"USA",K158
                                                                                                                                                                                                                                                               IF(G155="United States of America","USA","USA"))</f>
        <v>USA</v>
      </c>
      <c r="L155" s="4" t="str">
        <f t="shared" si="12"/>
        <v>CUST1153</v>
      </c>
      <c r="M155" s="4" t="str">
        <f t="shared" si="13"/>
        <v>Bronze</v>
      </c>
      <c r="N155" s="4" t="str">
        <f t="shared" si="14"/>
        <v>Ok</v>
      </c>
    </row>
    <row r="156" spans="1:14" ht="15.75" customHeight="1">
      <c r="A156" s="3" t="s">
        <v>541</v>
      </c>
      <c r="B156" s="4" t="s">
        <v>542</v>
      </c>
      <c r="C156" s="4">
        <v>35</v>
      </c>
      <c r="D156" s="4" t="s">
        <v>31</v>
      </c>
      <c r="E156" s="4" t="s">
        <v>543</v>
      </c>
      <c r="F156" s="4" t="s">
        <v>192</v>
      </c>
      <c r="G156" s="4" t="s">
        <v>28</v>
      </c>
      <c r="H156" s="4" t="s">
        <v>67</v>
      </c>
      <c r="I156" s="4" t="str">
        <f t="shared" si="10"/>
        <v>Julie Hale</v>
      </c>
      <c r="J156" s="4" t="str">
        <f t="shared" si="11"/>
        <v>Owensview</v>
      </c>
      <c r="K156" s="4" t="str">
        <f>IF(OR(G156="USA",G156="usa"),"USA",K159
                                                                                                                                                                                                                                                               IF(G156="United States of America","USA","USA"))</f>
        <v>USA</v>
      </c>
      <c r="L156" s="4" t="str">
        <f t="shared" si="12"/>
        <v>CUST1154</v>
      </c>
      <c r="M156" s="4" t="str">
        <f t="shared" si="13"/>
        <v>Gold</v>
      </c>
      <c r="N156" s="4" t="str">
        <f t="shared" si="14"/>
        <v>Ok</v>
      </c>
    </row>
    <row r="157" spans="1:14" ht="15.75" customHeight="1">
      <c r="A157" s="3" t="s">
        <v>544</v>
      </c>
      <c r="B157" s="4" t="s">
        <v>545</v>
      </c>
      <c r="C157" s="4">
        <v>60</v>
      </c>
      <c r="D157" s="4" t="s">
        <v>31</v>
      </c>
      <c r="E157" s="4" t="s">
        <v>546</v>
      </c>
      <c r="F157" s="4" t="s">
        <v>288</v>
      </c>
      <c r="G157" s="4" t="s">
        <v>28</v>
      </c>
      <c r="H157" s="4" t="s">
        <v>67</v>
      </c>
      <c r="I157" s="4" t="str">
        <f t="shared" si="10"/>
        <v>Curtis Haynes</v>
      </c>
      <c r="J157" s="4" t="str">
        <f t="shared" si="11"/>
        <v>Estradaside</v>
      </c>
      <c r="K157" s="4" t="str">
        <f>IF(OR(G157="USA",G157="usa"),"USA",K160
                                                                                                                                                                                                                                                               IF(G157="United States of America","USA","USA"))</f>
        <v>USA</v>
      </c>
      <c r="L157" s="4" t="str">
        <f t="shared" si="12"/>
        <v>CUST1155</v>
      </c>
      <c r="M157" s="4" t="str">
        <f t="shared" si="13"/>
        <v>Gold</v>
      </c>
      <c r="N157" s="4" t="str">
        <f t="shared" si="14"/>
        <v>Ok</v>
      </c>
    </row>
    <row r="158" spans="1:14" ht="15.75" customHeight="1">
      <c r="A158" s="3" t="s">
        <v>547</v>
      </c>
      <c r="B158" s="4" t="s">
        <v>548</v>
      </c>
      <c r="C158" s="4">
        <v>46</v>
      </c>
      <c r="D158" s="4" t="s">
        <v>25</v>
      </c>
      <c r="E158" s="4" t="s">
        <v>549</v>
      </c>
      <c r="F158" s="4" t="s">
        <v>33</v>
      </c>
      <c r="G158" s="4" t="s">
        <v>28</v>
      </c>
      <c r="H158" s="4" t="s">
        <v>44</v>
      </c>
      <c r="I158" s="4" t="str">
        <f t="shared" si="10"/>
        <v>Maria Sanchez</v>
      </c>
      <c r="J158" s="4" t="str">
        <f t="shared" si="11"/>
        <v>East Peterbury</v>
      </c>
      <c r="K158" s="4" t="str">
        <f>IF(OR(G158="USA",G158="usa"),"USA",K161
                                                                                                                                                                                                                                                               IF(G158="United States of America","USA","USA"))</f>
        <v>USA</v>
      </c>
      <c r="L158" s="4" t="str">
        <f t="shared" si="12"/>
        <v>CUST1156</v>
      </c>
      <c r="M158" s="4" t="str">
        <f t="shared" si="13"/>
        <v>Bronze</v>
      </c>
      <c r="N158" s="4" t="str">
        <f t="shared" si="14"/>
        <v>Ok</v>
      </c>
    </row>
    <row r="159" spans="1:14" ht="15.75" customHeight="1">
      <c r="A159" s="3" t="s">
        <v>550</v>
      </c>
      <c r="B159" s="4" t="s">
        <v>551</v>
      </c>
      <c r="C159" s="4">
        <v>59</v>
      </c>
      <c r="D159" s="4" t="s">
        <v>25</v>
      </c>
      <c r="E159" s="4" t="s">
        <v>552</v>
      </c>
      <c r="F159" s="4" t="s">
        <v>33</v>
      </c>
      <c r="G159" s="4" t="s">
        <v>28</v>
      </c>
      <c r="H159" s="4" t="s">
        <v>34</v>
      </c>
      <c r="I159" s="4" t="str">
        <f t="shared" si="10"/>
        <v>Paul Zamora</v>
      </c>
      <c r="J159" s="4" t="str">
        <f t="shared" si="11"/>
        <v>North Larryfurt</v>
      </c>
      <c r="K159" s="4" t="str">
        <f>IF(OR(G159="USA",G159="usa"),"USA",K162
                                                                                                                                                                                                                                                               IF(G159="United States of America","USA","USA"))</f>
        <v>USA</v>
      </c>
      <c r="L159" s="4" t="str">
        <f t="shared" si="12"/>
        <v>CUST1157</v>
      </c>
      <c r="M159" s="4" t="str">
        <f t="shared" si="13"/>
        <v>Platinum</v>
      </c>
      <c r="N159" s="4" t="str">
        <f t="shared" si="14"/>
        <v>Ok</v>
      </c>
    </row>
    <row r="160" spans="1:14" ht="15.75" customHeight="1">
      <c r="A160" s="3" t="s">
        <v>553</v>
      </c>
      <c r="B160" s="4" t="s">
        <v>554</v>
      </c>
      <c r="C160" s="4">
        <v>43</v>
      </c>
      <c r="D160" s="4" t="s">
        <v>25</v>
      </c>
      <c r="E160" s="4" t="s">
        <v>555</v>
      </c>
      <c r="F160" s="4" t="s">
        <v>192</v>
      </c>
      <c r="G160" s="4" t="s">
        <v>28</v>
      </c>
      <c r="H160" s="4" t="s">
        <v>44</v>
      </c>
      <c r="I160" s="4" t="str">
        <f t="shared" si="10"/>
        <v>Sean Powell</v>
      </c>
      <c r="J160" s="4" t="str">
        <f t="shared" si="11"/>
        <v>South Kevin</v>
      </c>
      <c r="K160" s="4" t="str">
        <f>IF(OR(G160="USA",G160="usa"),"USA",K163
                                                                                                                                                                                                                                                               IF(G160="United States of America","USA","USA"))</f>
        <v>USA</v>
      </c>
      <c r="L160" s="4" t="str">
        <f t="shared" si="12"/>
        <v>CUST1158</v>
      </c>
      <c r="M160" s="4" t="str">
        <f t="shared" si="13"/>
        <v>Bronze</v>
      </c>
      <c r="N160" s="4" t="str">
        <f t="shared" si="14"/>
        <v>Ok</v>
      </c>
    </row>
    <row r="161" spans="1:14" ht="15.75" customHeight="1">
      <c r="A161" s="3" t="s">
        <v>556</v>
      </c>
      <c r="B161" s="4" t="s">
        <v>557</v>
      </c>
      <c r="C161" s="4">
        <v>46</v>
      </c>
      <c r="D161" s="4" t="s">
        <v>31</v>
      </c>
      <c r="E161" s="4" t="s">
        <v>558</v>
      </c>
      <c r="F161" s="4" t="s">
        <v>108</v>
      </c>
      <c r="G161" s="4" t="s">
        <v>28</v>
      </c>
      <c r="H161" s="4" t="s">
        <v>67</v>
      </c>
      <c r="I161" s="4" t="str">
        <f t="shared" si="10"/>
        <v>Brian Choi</v>
      </c>
      <c r="J161" s="4" t="str">
        <f t="shared" si="11"/>
        <v>Floydton</v>
      </c>
      <c r="K161" s="4" t="str">
        <f>IF(OR(G161="USA",G161="usa"),"USA",K164
                                                                                                                                                                                                                                                               IF(G161="United States of America","USA","USA"))</f>
        <v>USA</v>
      </c>
      <c r="L161" s="4" t="str">
        <f t="shared" si="12"/>
        <v>CUST1159</v>
      </c>
      <c r="M161" s="4" t="str">
        <f t="shared" si="13"/>
        <v>Gold</v>
      </c>
      <c r="N161" s="4" t="str">
        <f t="shared" si="14"/>
        <v>Ok</v>
      </c>
    </row>
    <row r="162" spans="1:14" ht="15.75" customHeight="1">
      <c r="A162" s="3" t="s">
        <v>559</v>
      </c>
      <c r="B162" s="4" t="s">
        <v>560</v>
      </c>
      <c r="C162" s="4">
        <v>41</v>
      </c>
      <c r="D162" s="4" t="s">
        <v>31</v>
      </c>
      <c r="E162" s="4" t="s">
        <v>561</v>
      </c>
      <c r="F162" s="4" t="s">
        <v>27</v>
      </c>
      <c r="G162" s="4" t="s">
        <v>28</v>
      </c>
      <c r="H162" s="4" t="s">
        <v>34</v>
      </c>
      <c r="I162" s="4" t="str">
        <f t="shared" si="10"/>
        <v>John Lawson</v>
      </c>
      <c r="J162" s="4" t="str">
        <f t="shared" si="11"/>
        <v>New Juliemouth</v>
      </c>
      <c r="K162" s="4" t="str">
        <f>IF(OR(G162="USA",G162="usa"),"USA",K165
                                                                                                                                                                                                                                                               IF(G162="United States of America","USA","USA"))</f>
        <v>USA</v>
      </c>
      <c r="L162" s="4" t="str">
        <f t="shared" si="12"/>
        <v>CUST1160</v>
      </c>
      <c r="M162" s="4" t="str">
        <f t="shared" si="13"/>
        <v>Platinum</v>
      </c>
      <c r="N162" s="4" t="str">
        <f t="shared" si="14"/>
        <v>Ok</v>
      </c>
    </row>
    <row r="163" spans="1:14" ht="15.75" customHeight="1">
      <c r="A163" s="3" t="s">
        <v>562</v>
      </c>
      <c r="B163" s="4" t="s">
        <v>563</v>
      </c>
      <c r="C163" s="4">
        <v>18</v>
      </c>
      <c r="D163" s="4" t="s">
        <v>31</v>
      </c>
      <c r="E163" s="4" t="s">
        <v>564</v>
      </c>
      <c r="F163" s="4" t="s">
        <v>154</v>
      </c>
      <c r="G163" s="4" t="s">
        <v>28</v>
      </c>
      <c r="H163" s="4" t="s">
        <v>50</v>
      </c>
      <c r="I163" s="4" t="str">
        <f t="shared" si="10"/>
        <v>Cynthia Morris</v>
      </c>
      <c r="J163" s="4" t="str">
        <f t="shared" si="11"/>
        <v>Hessmouth</v>
      </c>
      <c r="K163" s="4" t="str">
        <f>IF(OR(G163="USA",G163="usa"),"USA",K166
                                                                                                                                                                                                                                                               IF(G163="United States of America","USA","USA"))</f>
        <v>USA</v>
      </c>
      <c r="L163" s="4" t="str">
        <f t="shared" si="12"/>
        <v>CUST1161</v>
      </c>
      <c r="M163" s="4" t="str">
        <f t="shared" si="13"/>
        <v>Silver</v>
      </c>
      <c r="N163" s="4" t="str">
        <f t="shared" si="14"/>
        <v>Ok</v>
      </c>
    </row>
    <row r="164" spans="1:14" ht="15.75" customHeight="1">
      <c r="A164" s="3" t="s">
        <v>565</v>
      </c>
      <c r="B164" s="4" t="s">
        <v>566</v>
      </c>
      <c r="C164" s="4">
        <v>37</v>
      </c>
      <c r="D164" s="4" t="s">
        <v>25</v>
      </c>
      <c r="E164" s="4" t="s">
        <v>567</v>
      </c>
      <c r="F164" s="4" t="s">
        <v>258</v>
      </c>
      <c r="G164" s="4" t="s">
        <v>472</v>
      </c>
      <c r="H164" s="4" t="s">
        <v>50</v>
      </c>
      <c r="I164" s="4" t="str">
        <f t="shared" si="10"/>
        <v>Mariah Brown</v>
      </c>
      <c r="J164" s="4" t="str">
        <f t="shared" si="11"/>
        <v>Palmerbury</v>
      </c>
      <c r="K164" s="4" t="e">
        <f ca="1">IF(OR(G164="USA",G164="usa"),"USA",K167
                                                                                                                                                                                                                                                               IF(G164="United States of America","USA","USA"))</f>
        <v>#VALUE!</v>
      </c>
      <c r="L164" s="4" t="str">
        <f t="shared" si="12"/>
        <v>CUST1162</v>
      </c>
      <c r="M164" s="4" t="str">
        <f t="shared" si="13"/>
        <v>Silver</v>
      </c>
      <c r="N164" s="4" t="str">
        <f t="shared" si="14"/>
        <v>Ok</v>
      </c>
    </row>
    <row r="165" spans="1:14" ht="15.75" customHeight="1">
      <c r="A165" s="3" t="s">
        <v>568</v>
      </c>
      <c r="B165" s="4" t="s">
        <v>569</v>
      </c>
      <c r="C165" s="4">
        <v>21</v>
      </c>
      <c r="D165" s="4" t="s">
        <v>25</v>
      </c>
      <c r="E165" s="4" t="s">
        <v>570</v>
      </c>
      <c r="F165" s="4" t="s">
        <v>215</v>
      </c>
      <c r="G165" s="4" t="s">
        <v>28</v>
      </c>
      <c r="H165" s="4" t="s">
        <v>44</v>
      </c>
      <c r="I165" s="4" t="str">
        <f t="shared" si="10"/>
        <v>Joseph Jones</v>
      </c>
      <c r="J165" s="4" t="str">
        <f t="shared" si="11"/>
        <v>North Matthew</v>
      </c>
      <c r="K165" s="4" t="str">
        <f>IF(OR(G165="USA",G165="usa"),"USA",K168
                                                                                                                                                                                                                                                               IF(G165="United States of America","USA","USA"))</f>
        <v>USA</v>
      </c>
      <c r="L165" s="4" t="str">
        <f t="shared" si="12"/>
        <v>CUST1163</v>
      </c>
      <c r="M165" s="4" t="str">
        <f t="shared" si="13"/>
        <v>Bronze</v>
      </c>
      <c r="N165" s="4" t="str">
        <f t="shared" si="14"/>
        <v>Ok</v>
      </c>
    </row>
    <row r="166" spans="1:14" ht="15.75" customHeight="1">
      <c r="A166" s="3" t="s">
        <v>571</v>
      </c>
      <c r="B166" s="4" t="s">
        <v>572</v>
      </c>
      <c r="C166" s="4">
        <v>39</v>
      </c>
      <c r="D166" s="4" t="s">
        <v>31</v>
      </c>
      <c r="E166" s="4" t="s">
        <v>573</v>
      </c>
      <c r="F166" s="4" t="s">
        <v>101</v>
      </c>
      <c r="G166" s="4" t="s">
        <v>28</v>
      </c>
      <c r="H166" s="4" t="s">
        <v>50</v>
      </c>
      <c r="I166" s="4" t="str">
        <f t="shared" si="10"/>
        <v>Daniel Rivas</v>
      </c>
      <c r="J166" s="4" t="str">
        <f t="shared" si="11"/>
        <v>Dominiquefort</v>
      </c>
      <c r="K166" s="4" t="str">
        <f>IF(OR(G166="USA",G166="usa"),"USA",K169
                                                                                                                                                                                                                                                               IF(G166="United States of America","USA","USA"))</f>
        <v>USA</v>
      </c>
      <c r="L166" s="4" t="str">
        <f t="shared" si="12"/>
        <v>CUST1164</v>
      </c>
      <c r="M166" s="4" t="str">
        <f t="shared" si="13"/>
        <v>Silver</v>
      </c>
      <c r="N166" s="4" t="str">
        <f t="shared" si="14"/>
        <v>Ok</v>
      </c>
    </row>
    <row r="167" spans="1:14" ht="15.75" customHeight="1">
      <c r="A167" s="3" t="s">
        <v>574</v>
      </c>
      <c r="B167" s="4" t="s">
        <v>575</v>
      </c>
      <c r="C167" s="4">
        <v>47</v>
      </c>
      <c r="D167" s="4" t="s">
        <v>31</v>
      </c>
      <c r="E167" s="4" t="s">
        <v>576</v>
      </c>
      <c r="F167" s="4" t="s">
        <v>215</v>
      </c>
      <c r="G167" s="4" t="s">
        <v>28</v>
      </c>
      <c r="H167" s="4" t="s">
        <v>34</v>
      </c>
      <c r="I167" s="4" t="str">
        <f t="shared" si="10"/>
        <v>Jason Wheeler</v>
      </c>
      <c r="J167" s="4" t="str">
        <f t="shared" si="11"/>
        <v>Carolview</v>
      </c>
      <c r="K167" s="4" t="str">
        <f>IF(OR(G167="USA",G167="usa"),"USA",K170
                                                                                                                                                                                                                                                               IF(G167="United States of America","USA","USA"))</f>
        <v>USA</v>
      </c>
      <c r="L167" s="4" t="str">
        <f t="shared" si="12"/>
        <v>CUST1165</v>
      </c>
      <c r="M167" s="4" t="str">
        <f t="shared" si="13"/>
        <v>Platinum</v>
      </c>
      <c r="N167" s="4" t="str">
        <f t="shared" si="14"/>
        <v>Ok</v>
      </c>
    </row>
    <row r="168" spans="1:14" ht="15.75" customHeight="1">
      <c r="A168" s="3" t="s">
        <v>577</v>
      </c>
      <c r="B168" s="4" t="s">
        <v>578</v>
      </c>
      <c r="C168" s="4">
        <v>25</v>
      </c>
      <c r="D168" s="4" t="s">
        <v>31</v>
      </c>
      <c r="E168" s="4" t="s">
        <v>579</v>
      </c>
      <c r="F168" s="4" t="s">
        <v>177</v>
      </c>
      <c r="G168" s="4" t="s">
        <v>28</v>
      </c>
      <c r="H168" s="4" t="s">
        <v>50</v>
      </c>
      <c r="I168" s="4" t="str">
        <f t="shared" si="10"/>
        <v>Patricia Gardner</v>
      </c>
      <c r="J168" s="4" t="str">
        <f t="shared" si="11"/>
        <v>South Ashleyton</v>
      </c>
      <c r="K168" s="4" t="str">
        <f>IF(OR(G168="USA",G168="usa"),"USA",K171
                                                                                                                                                                                                                                                               IF(G168="United States of America","USA","USA"))</f>
        <v>USA</v>
      </c>
      <c r="L168" s="4" t="str">
        <f t="shared" si="12"/>
        <v>CUST1166</v>
      </c>
      <c r="M168" s="4" t="str">
        <f t="shared" si="13"/>
        <v>Silver</v>
      </c>
      <c r="N168" s="4" t="str">
        <f t="shared" si="14"/>
        <v>Ok</v>
      </c>
    </row>
    <row r="169" spans="1:14" ht="15.75" customHeight="1">
      <c r="A169" s="3" t="s">
        <v>580</v>
      </c>
      <c r="B169" s="4" t="s">
        <v>581</v>
      </c>
      <c r="C169" s="4">
        <v>36</v>
      </c>
      <c r="D169" s="4" t="s">
        <v>31</v>
      </c>
      <c r="E169" s="4" t="s">
        <v>582</v>
      </c>
      <c r="F169" s="4" t="s">
        <v>258</v>
      </c>
      <c r="G169" s="4" t="s">
        <v>28</v>
      </c>
      <c r="H169" s="4" t="s">
        <v>67</v>
      </c>
      <c r="I169" s="4" t="str">
        <f t="shared" si="10"/>
        <v>Antonio Wade</v>
      </c>
      <c r="J169" s="4" t="str">
        <f t="shared" si="11"/>
        <v>New Jasonmouth</v>
      </c>
      <c r="K169" s="4" t="str">
        <f>IF(OR(G169="USA",G169="usa"),"USA",K172
                                                                                                                                                                                                                                                               IF(G169="United States of America","USA","USA"))</f>
        <v>USA</v>
      </c>
      <c r="L169" s="4" t="str">
        <f t="shared" si="12"/>
        <v>CUST1167</v>
      </c>
      <c r="M169" s="4" t="str">
        <f t="shared" si="13"/>
        <v>Gold</v>
      </c>
      <c r="N169" s="4" t="str">
        <f t="shared" si="14"/>
        <v>Ok</v>
      </c>
    </row>
    <row r="170" spans="1:14" ht="15.75" customHeight="1">
      <c r="A170" s="3" t="s">
        <v>583</v>
      </c>
      <c r="B170" s="4" t="s">
        <v>584</v>
      </c>
      <c r="C170" s="4">
        <v>36</v>
      </c>
      <c r="D170" s="4" t="s">
        <v>31</v>
      </c>
      <c r="E170" s="4" t="s">
        <v>585</v>
      </c>
      <c r="F170" s="4" t="s">
        <v>271</v>
      </c>
      <c r="G170" s="4" t="s">
        <v>28</v>
      </c>
      <c r="H170" s="4" t="s">
        <v>34</v>
      </c>
      <c r="I170" s="4" t="str">
        <f t="shared" si="10"/>
        <v>Daniel Contreras</v>
      </c>
      <c r="J170" s="4" t="str">
        <f t="shared" si="11"/>
        <v>Robertview</v>
      </c>
      <c r="K170" s="4" t="str">
        <f>IF(OR(G170="USA",G170="usa"),"USA",K173
                                                                                                                                                                                                                                                               IF(G170="United States of America","USA","USA"))</f>
        <v>USA</v>
      </c>
      <c r="L170" s="4" t="str">
        <f t="shared" si="12"/>
        <v>CUST1168</v>
      </c>
      <c r="M170" s="4" t="str">
        <f t="shared" si="13"/>
        <v>Platinum</v>
      </c>
      <c r="N170" s="4" t="str">
        <f t="shared" si="14"/>
        <v>Ok</v>
      </c>
    </row>
    <row r="171" spans="1:14" ht="15.75" customHeight="1">
      <c r="A171" s="3" t="s">
        <v>586</v>
      </c>
      <c r="B171" s="4" t="s">
        <v>587</v>
      </c>
      <c r="C171" s="4">
        <v>64</v>
      </c>
      <c r="D171" s="4" t="s">
        <v>25</v>
      </c>
      <c r="E171" s="4" t="s">
        <v>588</v>
      </c>
      <c r="F171" s="4" t="s">
        <v>66</v>
      </c>
      <c r="G171" s="4" t="s">
        <v>28</v>
      </c>
      <c r="H171" s="4" t="s">
        <v>44</v>
      </c>
      <c r="I171" s="4" t="str">
        <f t="shared" si="10"/>
        <v>Steve Mclaughlin</v>
      </c>
      <c r="J171" s="4" t="str">
        <f t="shared" si="11"/>
        <v>Josephmouth</v>
      </c>
      <c r="K171" s="4" t="str">
        <f>IF(OR(G171="USA",G171="usa"),"USA",K174
                                                                                                                                                                                                                                                               IF(G171="United States of America","USA","USA"))</f>
        <v>USA</v>
      </c>
      <c r="L171" s="4" t="str">
        <f t="shared" si="12"/>
        <v>CUST1169</v>
      </c>
      <c r="M171" s="4" t="str">
        <f t="shared" si="13"/>
        <v>Bronze</v>
      </c>
      <c r="N171" s="4" t="str">
        <f t="shared" si="14"/>
        <v>Ok</v>
      </c>
    </row>
    <row r="172" spans="1:14" ht="15.75" customHeight="1">
      <c r="A172" s="3" t="s">
        <v>589</v>
      </c>
      <c r="B172" s="4" t="s">
        <v>590</v>
      </c>
      <c r="C172" s="4">
        <v>18</v>
      </c>
      <c r="D172" s="4" t="s">
        <v>25</v>
      </c>
      <c r="E172" s="4" t="s">
        <v>591</v>
      </c>
      <c r="F172" s="4" t="s">
        <v>134</v>
      </c>
      <c r="G172" s="4" t="s">
        <v>28</v>
      </c>
      <c r="H172" s="4" t="s">
        <v>67</v>
      </c>
      <c r="I172" s="4" t="str">
        <f t="shared" si="10"/>
        <v>Christopher Garcia Dds</v>
      </c>
      <c r="J172" s="4" t="str">
        <f t="shared" si="11"/>
        <v>New Joseph</v>
      </c>
      <c r="K172" s="4" t="str">
        <f>IF(OR(G172="USA",G172="usa"),"USA",K175
                                                                                                                                                                                                                                                               IF(G172="United States of America","USA","USA"))</f>
        <v>USA</v>
      </c>
      <c r="L172" s="4" t="str">
        <f t="shared" si="12"/>
        <v>CUST1170</v>
      </c>
      <c r="M172" s="4" t="str">
        <f t="shared" si="13"/>
        <v>Gold</v>
      </c>
      <c r="N172" s="4" t="str">
        <f t="shared" si="14"/>
        <v>Ok</v>
      </c>
    </row>
    <row r="173" spans="1:14" ht="15.75" customHeight="1">
      <c r="A173" s="3" t="s">
        <v>592</v>
      </c>
      <c r="B173" s="4" t="s">
        <v>593</v>
      </c>
      <c r="C173" s="4">
        <v>44</v>
      </c>
      <c r="D173" s="4" t="s">
        <v>31</v>
      </c>
      <c r="E173" s="4" t="s">
        <v>594</v>
      </c>
      <c r="F173" s="4" t="s">
        <v>275</v>
      </c>
      <c r="G173" s="4" t="s">
        <v>28</v>
      </c>
      <c r="H173" s="4" t="s">
        <v>34</v>
      </c>
      <c r="I173" s="4" t="str">
        <f t="shared" si="10"/>
        <v>Amy Wilson</v>
      </c>
      <c r="J173" s="4" t="str">
        <f t="shared" si="11"/>
        <v>Morrisburgh</v>
      </c>
      <c r="K173" s="4" t="str">
        <f>IF(OR(G173="USA",G173="usa"),"USA",K176
                                                                                                                                                                                                                                                               IF(G173="United States of America","USA","USA"))</f>
        <v>USA</v>
      </c>
      <c r="L173" s="4" t="str">
        <f t="shared" si="12"/>
        <v>CUST1171</v>
      </c>
      <c r="M173" s="4" t="str">
        <f t="shared" si="13"/>
        <v>Platinum</v>
      </c>
      <c r="N173" s="4" t="str">
        <f t="shared" si="14"/>
        <v>Ok</v>
      </c>
    </row>
    <row r="174" spans="1:14" ht="15.75" customHeight="1">
      <c r="A174" s="3" t="s">
        <v>595</v>
      </c>
      <c r="B174" s="4" t="s">
        <v>596</v>
      </c>
      <c r="C174" s="4">
        <v>41</v>
      </c>
      <c r="D174" s="4" t="s">
        <v>31</v>
      </c>
      <c r="E174" s="4" t="s">
        <v>597</v>
      </c>
      <c r="F174" s="4" t="s">
        <v>62</v>
      </c>
      <c r="G174" s="4" t="s">
        <v>28</v>
      </c>
      <c r="H174" s="4" t="s">
        <v>44</v>
      </c>
      <c r="I174" s="4" t="str">
        <f t="shared" si="10"/>
        <v>Thomas Rhodes</v>
      </c>
      <c r="J174" s="4" t="str">
        <f t="shared" si="11"/>
        <v>Port Richard</v>
      </c>
      <c r="K174" s="4" t="str">
        <f>IF(OR(G174="USA",G174="usa"),"USA",K177
                                                                                                                                                                                                                                                               IF(G174="United States of America","USA","USA"))</f>
        <v>USA</v>
      </c>
      <c r="L174" s="4" t="str">
        <f t="shared" si="12"/>
        <v>CUST1172</v>
      </c>
      <c r="M174" s="4" t="str">
        <f t="shared" si="13"/>
        <v>Bronze</v>
      </c>
      <c r="N174" s="4" t="str">
        <f t="shared" si="14"/>
        <v>Ok</v>
      </c>
    </row>
    <row r="175" spans="1:14" ht="15.75" customHeight="1">
      <c r="A175" s="3" t="s">
        <v>598</v>
      </c>
      <c r="B175" s="4" t="s">
        <v>599</v>
      </c>
      <c r="C175" s="4">
        <v>41</v>
      </c>
      <c r="D175" s="4" t="s">
        <v>31</v>
      </c>
      <c r="E175" s="4" t="s">
        <v>419</v>
      </c>
      <c r="F175" s="4" t="s">
        <v>288</v>
      </c>
      <c r="G175" s="4" t="s">
        <v>600</v>
      </c>
      <c r="H175" s="4" t="s">
        <v>34</v>
      </c>
      <c r="I175" s="4" t="str">
        <f t="shared" si="10"/>
        <v>Teresa Stokes</v>
      </c>
      <c r="J175" s="4" t="str">
        <f t="shared" si="11"/>
        <v>New William</v>
      </c>
      <c r="K175" s="4" t="str">
        <f>IF(OR(G175="USA",G175="usa"),"USA",K178
                                                                                                                                                                                                                                                               IF(G175="United States of America","USA","USA"))</f>
        <v>USA</v>
      </c>
      <c r="L175" s="4" t="str">
        <f t="shared" si="12"/>
        <v>CUST1173</v>
      </c>
      <c r="M175" s="4" t="str">
        <f t="shared" si="13"/>
        <v>Platinum</v>
      </c>
      <c r="N175" s="4" t="str">
        <f t="shared" si="14"/>
        <v>Ok</v>
      </c>
    </row>
    <row r="176" spans="1:14" ht="15.75" customHeight="1">
      <c r="A176" s="3" t="s">
        <v>601</v>
      </c>
      <c r="B176" s="4" t="s">
        <v>602</v>
      </c>
      <c r="C176" s="4">
        <v>26</v>
      </c>
      <c r="D176" s="4" t="s">
        <v>31</v>
      </c>
      <c r="E176" s="4" t="s">
        <v>603</v>
      </c>
      <c r="F176" s="4" t="s">
        <v>192</v>
      </c>
      <c r="G176" s="4" t="s">
        <v>28</v>
      </c>
      <c r="H176" s="4" t="s">
        <v>67</v>
      </c>
      <c r="I176" s="4" t="str">
        <f t="shared" si="10"/>
        <v>Maria Davis</v>
      </c>
      <c r="J176" s="4" t="str">
        <f t="shared" si="11"/>
        <v>Avilahaven</v>
      </c>
      <c r="K176" s="4" t="str">
        <f>IF(OR(G176="USA",G176="usa"),"USA",K179
                                                                                                                                                                                                                                                               IF(G176="United States of America","USA","USA"))</f>
        <v>USA</v>
      </c>
      <c r="L176" s="4" t="str">
        <f t="shared" si="12"/>
        <v>CUST1174</v>
      </c>
      <c r="M176" s="4" t="str">
        <f t="shared" si="13"/>
        <v>Gold</v>
      </c>
      <c r="N176" s="4" t="str">
        <f t="shared" si="14"/>
        <v>Ok</v>
      </c>
    </row>
    <row r="177" spans="1:14" ht="15.75" customHeight="1">
      <c r="A177" s="3" t="s">
        <v>604</v>
      </c>
      <c r="B177" s="4" t="s">
        <v>605</v>
      </c>
      <c r="C177" s="4">
        <v>56</v>
      </c>
      <c r="D177" s="4" t="s">
        <v>25</v>
      </c>
      <c r="E177" s="4" t="s">
        <v>606</v>
      </c>
      <c r="F177" s="4" t="s">
        <v>120</v>
      </c>
      <c r="G177" s="4" t="s">
        <v>28</v>
      </c>
      <c r="H177" s="4" t="s">
        <v>34</v>
      </c>
      <c r="I177" s="4" t="str">
        <f t="shared" si="10"/>
        <v>Michelle Rogers</v>
      </c>
      <c r="J177" s="4" t="str">
        <f t="shared" si="11"/>
        <v>East Jessicaborough</v>
      </c>
      <c r="K177" s="4" t="str">
        <f>IF(OR(G177="USA",G177="usa"),"USA",K180
                                                                                                                                                                                                                                                               IF(G177="United States of America","USA","USA"))</f>
        <v>USA</v>
      </c>
      <c r="L177" s="4" t="str">
        <f t="shared" si="12"/>
        <v>CUST1175</v>
      </c>
      <c r="M177" s="4" t="str">
        <f t="shared" si="13"/>
        <v>Platinum</v>
      </c>
      <c r="N177" s="4" t="str">
        <f t="shared" si="14"/>
        <v>Ok</v>
      </c>
    </row>
    <row r="178" spans="1:14" ht="15.75" customHeight="1">
      <c r="A178" s="3" t="s">
        <v>607</v>
      </c>
      <c r="B178" s="4" t="s">
        <v>608</v>
      </c>
      <c r="C178" s="4">
        <v>48</v>
      </c>
      <c r="D178" s="4" t="s">
        <v>25</v>
      </c>
      <c r="E178" s="4" t="s">
        <v>609</v>
      </c>
      <c r="F178" s="4" t="s">
        <v>192</v>
      </c>
      <c r="G178" s="4" t="s">
        <v>28</v>
      </c>
      <c r="H178" s="4" t="s">
        <v>50</v>
      </c>
      <c r="I178" s="4" t="str">
        <f t="shared" si="10"/>
        <v>John Bradford</v>
      </c>
      <c r="J178" s="4" t="str">
        <f t="shared" si="11"/>
        <v>Anabury</v>
      </c>
      <c r="K178" s="4" t="str">
        <f>IF(OR(G178="USA",G178="usa"),"USA",K181
                                                                                                                                                                                                                                                               IF(G178="United States of America","USA","USA"))</f>
        <v>USA</v>
      </c>
      <c r="L178" s="4" t="str">
        <f t="shared" si="12"/>
        <v>CUST1176</v>
      </c>
      <c r="M178" s="4" t="str">
        <f t="shared" si="13"/>
        <v>Silver</v>
      </c>
      <c r="N178" s="4" t="str">
        <f t="shared" si="14"/>
        <v>Ok</v>
      </c>
    </row>
    <row r="179" spans="1:14" ht="15.75" customHeight="1">
      <c r="A179" s="3" t="s">
        <v>610</v>
      </c>
      <c r="B179" s="4" t="s">
        <v>611</v>
      </c>
      <c r="C179" s="4">
        <v>55</v>
      </c>
      <c r="D179" s="4" t="s">
        <v>25</v>
      </c>
      <c r="E179" s="4" t="s">
        <v>612</v>
      </c>
      <c r="F179" s="4" t="s">
        <v>613</v>
      </c>
      <c r="G179" s="4" t="s">
        <v>28</v>
      </c>
      <c r="H179" s="4" t="s">
        <v>34</v>
      </c>
      <c r="I179" s="4" t="str">
        <f t="shared" si="10"/>
        <v>Curtis Lam</v>
      </c>
      <c r="J179" s="4" t="str">
        <f t="shared" si="11"/>
        <v>Butlerberg</v>
      </c>
      <c r="K179" s="4" t="str">
        <f>IF(OR(G179="USA",G179="usa"),"USA",K182
                                                                                                                                                                                                                                                               IF(G179="United States of America","USA","USA"))</f>
        <v>USA</v>
      </c>
      <c r="L179" s="4" t="str">
        <f t="shared" si="12"/>
        <v>CUST1177</v>
      </c>
      <c r="M179" s="4" t="str">
        <f t="shared" si="13"/>
        <v>Platinum</v>
      </c>
      <c r="N179" s="4" t="str">
        <f t="shared" si="14"/>
        <v>Ok</v>
      </c>
    </row>
    <row r="180" spans="1:14" ht="15.75" customHeight="1">
      <c r="A180" s="3" t="s">
        <v>614</v>
      </c>
      <c r="B180" s="4" t="s">
        <v>615</v>
      </c>
      <c r="C180" s="4">
        <v>33</v>
      </c>
      <c r="D180" s="4" t="s">
        <v>31</v>
      </c>
      <c r="E180" s="4" t="s">
        <v>616</v>
      </c>
      <c r="F180" s="4" t="s">
        <v>338</v>
      </c>
      <c r="G180" s="4" t="s">
        <v>28</v>
      </c>
      <c r="H180" s="4" t="s">
        <v>44</v>
      </c>
      <c r="I180" s="4" t="str">
        <f t="shared" si="10"/>
        <v>Michelle Myers</v>
      </c>
      <c r="J180" s="4" t="str">
        <f t="shared" si="11"/>
        <v>West Daniel</v>
      </c>
      <c r="K180" s="4" t="str">
        <f>IF(OR(G180="USA",G180="usa"),"USA",K183
                                                                                                                                                                                                                                                               IF(G180="United States of America","USA","USA"))</f>
        <v>USA</v>
      </c>
      <c r="L180" s="4" t="str">
        <f t="shared" si="12"/>
        <v>CUST1178</v>
      </c>
      <c r="M180" s="4" t="str">
        <f t="shared" si="13"/>
        <v>Bronze</v>
      </c>
      <c r="N180" s="4" t="str">
        <f t="shared" si="14"/>
        <v>Ok</v>
      </c>
    </row>
    <row r="181" spans="1:14" ht="15.75" customHeight="1">
      <c r="A181" s="3" t="s">
        <v>617</v>
      </c>
      <c r="B181" s="4" t="s">
        <v>618</v>
      </c>
      <c r="C181" s="4">
        <v>43</v>
      </c>
      <c r="D181" s="4" t="s">
        <v>31</v>
      </c>
      <c r="E181" s="4" t="s">
        <v>619</v>
      </c>
      <c r="F181" s="4" t="s">
        <v>138</v>
      </c>
      <c r="G181" s="4" t="s">
        <v>28</v>
      </c>
      <c r="H181" s="4" t="s">
        <v>50</v>
      </c>
      <c r="I181" s="4" t="str">
        <f t="shared" si="10"/>
        <v>Nicholas Bradshaw</v>
      </c>
      <c r="J181" s="4" t="str">
        <f t="shared" si="11"/>
        <v>Murphyfurt</v>
      </c>
      <c r="K181" s="4" t="str">
        <f>IF(OR(G181="USA",G181="usa"),"USA",K184
                                                                                                                                                                                                                                                               IF(G181="United States of America","USA","USA"))</f>
        <v>USA</v>
      </c>
      <c r="L181" s="4" t="str">
        <f t="shared" si="12"/>
        <v>CUST1179</v>
      </c>
      <c r="M181" s="4" t="str">
        <f t="shared" si="13"/>
        <v>Silver</v>
      </c>
      <c r="N181" s="4" t="str">
        <f t="shared" si="14"/>
        <v>Ok</v>
      </c>
    </row>
    <row r="182" spans="1:14" ht="15.75" customHeight="1">
      <c r="A182" s="3" t="s">
        <v>620</v>
      </c>
      <c r="B182" s="4" t="s">
        <v>621</v>
      </c>
      <c r="C182" s="4">
        <v>38</v>
      </c>
      <c r="D182" s="4" t="s">
        <v>25</v>
      </c>
      <c r="E182" s="4" t="s">
        <v>622</v>
      </c>
      <c r="F182" s="4" t="s">
        <v>456</v>
      </c>
      <c r="G182" s="4" t="s">
        <v>28</v>
      </c>
      <c r="H182" s="4" t="s">
        <v>44</v>
      </c>
      <c r="I182" s="4" t="str">
        <f t="shared" si="10"/>
        <v>Wesley Thompson</v>
      </c>
      <c r="J182" s="4" t="str">
        <f t="shared" si="11"/>
        <v>East Davidmouth</v>
      </c>
      <c r="K182" s="4" t="str">
        <f>IF(OR(G182="USA",G182="usa"),"USA",K185
                                                                                                                                                                                                                                                               IF(G182="United States of America","USA","USA"))</f>
        <v>USA</v>
      </c>
      <c r="L182" s="4" t="str">
        <f t="shared" si="12"/>
        <v>CUST1180</v>
      </c>
      <c r="M182" s="4" t="str">
        <f t="shared" si="13"/>
        <v>Bronze</v>
      </c>
      <c r="N182" s="4" t="str">
        <f t="shared" si="14"/>
        <v>Ok</v>
      </c>
    </row>
    <row r="183" spans="1:14" ht="15.75" customHeight="1">
      <c r="A183" s="3" t="s">
        <v>623</v>
      </c>
      <c r="B183" s="4" t="s">
        <v>624</v>
      </c>
      <c r="C183" s="4">
        <v>60</v>
      </c>
      <c r="D183" s="4" t="s">
        <v>25</v>
      </c>
      <c r="E183" s="4" t="s">
        <v>625</v>
      </c>
      <c r="F183" s="4" t="s">
        <v>78</v>
      </c>
      <c r="G183" s="4" t="s">
        <v>28</v>
      </c>
      <c r="H183" s="4" t="s">
        <v>44</v>
      </c>
      <c r="I183" s="4" t="str">
        <f t="shared" si="10"/>
        <v>Erin Ward</v>
      </c>
      <c r="J183" s="4" t="str">
        <f t="shared" si="11"/>
        <v>New Brianchester</v>
      </c>
      <c r="K183" s="4" t="str">
        <f>IF(OR(G183="USA",G183="usa"),"USA",K186
                                                                                                                                                                                                                                                               IF(G183="United States of America","USA","USA"))</f>
        <v>USA</v>
      </c>
      <c r="L183" s="4" t="str">
        <f t="shared" si="12"/>
        <v>CUST1181</v>
      </c>
      <c r="M183" s="4" t="str">
        <f t="shared" si="13"/>
        <v>Bronze</v>
      </c>
      <c r="N183" s="4" t="str">
        <f t="shared" si="14"/>
        <v>Ok</v>
      </c>
    </row>
    <row r="184" spans="1:14" ht="15.75" customHeight="1">
      <c r="A184" s="3" t="s">
        <v>626</v>
      </c>
      <c r="B184" s="4" t="s">
        <v>627</v>
      </c>
      <c r="C184" s="4">
        <v>23</v>
      </c>
      <c r="D184" s="4" t="s">
        <v>31</v>
      </c>
      <c r="E184" s="4" t="s">
        <v>628</v>
      </c>
      <c r="F184" s="4" t="s">
        <v>116</v>
      </c>
      <c r="G184" s="4" t="s">
        <v>28</v>
      </c>
      <c r="H184" s="4" t="s">
        <v>50</v>
      </c>
      <c r="I184" s="4" t="str">
        <f t="shared" si="10"/>
        <v>Melissa Hamilton</v>
      </c>
      <c r="J184" s="4" t="str">
        <f t="shared" si="11"/>
        <v>Hutchinsonville</v>
      </c>
      <c r="K184" s="4" t="str">
        <f>IF(OR(G184="USA",G184="usa"),"USA",K187
                                                                                                                                                                                                                                                               IF(G184="United States of America","USA","USA"))</f>
        <v>USA</v>
      </c>
      <c r="L184" s="4" t="str">
        <f t="shared" si="12"/>
        <v>CUST1182</v>
      </c>
      <c r="M184" s="4" t="str">
        <f t="shared" si="13"/>
        <v>Silver</v>
      </c>
      <c r="N184" s="4" t="str">
        <f t="shared" si="14"/>
        <v>Ok</v>
      </c>
    </row>
    <row r="185" spans="1:14" ht="15.75" customHeight="1">
      <c r="A185" s="3" t="s">
        <v>629</v>
      </c>
      <c r="B185" s="4" t="s">
        <v>630</v>
      </c>
      <c r="C185" s="4">
        <v>18</v>
      </c>
      <c r="D185" s="4" t="s">
        <v>25</v>
      </c>
      <c r="E185" s="4" t="s">
        <v>631</v>
      </c>
      <c r="F185" s="4" t="s">
        <v>78</v>
      </c>
      <c r="G185" s="4" t="s">
        <v>28</v>
      </c>
      <c r="H185" s="4" t="s">
        <v>34</v>
      </c>
      <c r="I185" s="4" t="str">
        <f t="shared" si="10"/>
        <v>Mario Jacobs</v>
      </c>
      <c r="J185" s="4" t="str">
        <f t="shared" si="11"/>
        <v>Port James</v>
      </c>
      <c r="K185" s="4" t="str">
        <f>IF(OR(G185="USA",G185="usa"),"USA",K188
                                                                                                                                                                                                                                                               IF(G185="United States of America","USA","USA"))</f>
        <v>USA</v>
      </c>
      <c r="L185" s="4" t="str">
        <f t="shared" si="12"/>
        <v>CUST1183</v>
      </c>
      <c r="M185" s="4" t="str">
        <f t="shared" si="13"/>
        <v>Platinum</v>
      </c>
      <c r="N185" s="4" t="str">
        <f t="shared" si="14"/>
        <v>Ok</v>
      </c>
    </row>
    <row r="186" spans="1:14" ht="15.75" customHeight="1">
      <c r="A186" s="3" t="s">
        <v>632</v>
      </c>
      <c r="B186" s="4" t="s">
        <v>633</v>
      </c>
      <c r="C186" s="4">
        <v>46</v>
      </c>
      <c r="D186" s="4" t="s">
        <v>31</v>
      </c>
      <c r="E186" s="4" t="s">
        <v>634</v>
      </c>
      <c r="F186" s="4" t="s">
        <v>33</v>
      </c>
      <c r="G186" s="4" t="s">
        <v>28</v>
      </c>
      <c r="H186" s="4" t="s">
        <v>50</v>
      </c>
      <c r="I186" s="4" t="str">
        <f t="shared" si="10"/>
        <v>Leonard Cochran</v>
      </c>
      <c r="J186" s="4" t="str">
        <f t="shared" si="11"/>
        <v>Port Sherryview</v>
      </c>
      <c r="K186" s="4" t="str">
        <f>IF(OR(G186="USA",G186="usa"),"USA",K189
                                                                                                                                                                                                                                                               IF(G186="United States of America","USA","USA"))</f>
        <v>USA</v>
      </c>
      <c r="L186" s="4" t="str">
        <f t="shared" si="12"/>
        <v>CUST1184</v>
      </c>
      <c r="M186" s="4" t="str">
        <f t="shared" si="13"/>
        <v>Silver</v>
      </c>
      <c r="N186" s="4" t="str">
        <f t="shared" si="14"/>
        <v>Ok</v>
      </c>
    </row>
    <row r="187" spans="1:14" ht="15.75" customHeight="1">
      <c r="A187" s="3" t="s">
        <v>635</v>
      </c>
      <c r="B187" s="4" t="s">
        <v>636</v>
      </c>
      <c r="C187" s="4">
        <v>54</v>
      </c>
      <c r="D187" s="4" t="s">
        <v>31</v>
      </c>
      <c r="E187" s="4" t="s">
        <v>637</v>
      </c>
      <c r="F187" s="4" t="s">
        <v>108</v>
      </c>
      <c r="G187" s="4" t="s">
        <v>28</v>
      </c>
      <c r="H187" s="4" t="s">
        <v>34</v>
      </c>
      <c r="I187" s="4" t="str">
        <f t="shared" si="10"/>
        <v>Brent Rivas</v>
      </c>
      <c r="J187" s="4" t="str">
        <f t="shared" si="11"/>
        <v>North Kellyberg</v>
      </c>
      <c r="K187" s="4" t="str">
        <f>IF(OR(G187="USA",G187="usa"),"USA",K190
                                                                                                                                                                                                                                                               IF(G187="United States of America","USA","USA"))</f>
        <v>USA</v>
      </c>
      <c r="L187" s="4" t="str">
        <f t="shared" si="12"/>
        <v>CUST1185</v>
      </c>
      <c r="M187" s="4" t="str">
        <f t="shared" si="13"/>
        <v>Platinum</v>
      </c>
      <c r="N187" s="4" t="str">
        <f t="shared" si="14"/>
        <v>Ok</v>
      </c>
    </row>
    <row r="188" spans="1:14" ht="15.75" customHeight="1">
      <c r="A188" s="3" t="s">
        <v>638</v>
      </c>
      <c r="B188" s="4" t="s">
        <v>639</v>
      </c>
      <c r="C188" s="4">
        <v>53</v>
      </c>
      <c r="D188" s="4" t="s">
        <v>25</v>
      </c>
      <c r="E188" s="4" t="s">
        <v>640</v>
      </c>
      <c r="F188" s="4" t="s">
        <v>134</v>
      </c>
      <c r="G188" s="4" t="s">
        <v>28</v>
      </c>
      <c r="H188" s="4" t="s">
        <v>50</v>
      </c>
      <c r="I188" s="4" t="str">
        <f t="shared" si="10"/>
        <v>Jennifer Pruitt</v>
      </c>
      <c r="J188" s="4" t="str">
        <f t="shared" si="11"/>
        <v>East Justin</v>
      </c>
      <c r="K188" s="4" t="str">
        <f>IF(OR(G188="USA",G188="usa"),"USA",K191
                                                                                                                                                                                                                                                               IF(G188="United States of America","USA","USA"))</f>
        <v>USA</v>
      </c>
      <c r="L188" s="4" t="str">
        <f t="shared" si="12"/>
        <v>CUST1186</v>
      </c>
      <c r="M188" s="4" t="str">
        <f t="shared" si="13"/>
        <v>Silver</v>
      </c>
      <c r="N188" s="4" t="str">
        <f t="shared" si="14"/>
        <v>Ok</v>
      </c>
    </row>
    <row r="189" spans="1:14" ht="15.75" customHeight="1">
      <c r="A189" s="3" t="s">
        <v>641</v>
      </c>
      <c r="B189" s="4" t="s">
        <v>642</v>
      </c>
      <c r="C189" s="4">
        <v>60</v>
      </c>
      <c r="D189" s="4" t="s">
        <v>31</v>
      </c>
      <c r="E189" s="4" t="s">
        <v>643</v>
      </c>
      <c r="F189" s="4" t="s">
        <v>38</v>
      </c>
      <c r="G189" s="4" t="s">
        <v>28</v>
      </c>
      <c r="H189" s="4" t="s">
        <v>34</v>
      </c>
      <c r="I189" s="4" t="str">
        <f t="shared" si="10"/>
        <v>Dr. Suzanne Bullock</v>
      </c>
      <c r="J189" s="4" t="str">
        <f t="shared" si="11"/>
        <v>Lake Blaketon</v>
      </c>
      <c r="K189" s="4" t="str">
        <f>IF(OR(G189="USA",G189="usa"),"USA",K192
                                                                                                                                                                                                                                                               IF(G189="United States of America","USA","USA"))</f>
        <v>USA</v>
      </c>
      <c r="L189" s="4" t="str">
        <f t="shared" si="12"/>
        <v>CUST1187</v>
      </c>
      <c r="M189" s="4" t="str">
        <f t="shared" si="13"/>
        <v>Platinum</v>
      </c>
      <c r="N189" s="4" t="str">
        <f t="shared" si="14"/>
        <v>Ok</v>
      </c>
    </row>
    <row r="190" spans="1:14" ht="15.75" customHeight="1">
      <c r="A190" s="3" t="s">
        <v>644</v>
      </c>
      <c r="B190" s="4" t="s">
        <v>645</v>
      </c>
      <c r="C190" s="4">
        <v>42</v>
      </c>
      <c r="D190" s="4" t="s">
        <v>25</v>
      </c>
      <c r="E190" s="4" t="s">
        <v>646</v>
      </c>
      <c r="F190" s="4" t="s">
        <v>254</v>
      </c>
      <c r="G190" s="4" t="s">
        <v>28</v>
      </c>
      <c r="H190" s="4" t="s">
        <v>50</v>
      </c>
      <c r="I190" s="4" t="str">
        <f t="shared" si="10"/>
        <v>Kimberly Brooks</v>
      </c>
      <c r="J190" s="4" t="str">
        <f t="shared" si="11"/>
        <v>Kingfort</v>
      </c>
      <c r="K190" s="4" t="str">
        <f>IF(OR(G190="USA",G190="usa"),"USA",K193
                                                                                                                                                                                                                                                               IF(G190="United States of America","USA","USA"))</f>
        <v>USA</v>
      </c>
      <c r="L190" s="4" t="str">
        <f t="shared" si="12"/>
        <v>CUST1188</v>
      </c>
      <c r="M190" s="4" t="str">
        <f t="shared" si="13"/>
        <v>Silver</v>
      </c>
      <c r="N190" s="4" t="str">
        <f t="shared" si="14"/>
        <v>Ok</v>
      </c>
    </row>
    <row r="191" spans="1:14" ht="15.75" customHeight="1">
      <c r="A191" s="3" t="s">
        <v>647</v>
      </c>
      <c r="B191" s="4" t="s">
        <v>648</v>
      </c>
      <c r="C191" s="4">
        <v>29</v>
      </c>
      <c r="D191" s="4" t="s">
        <v>25</v>
      </c>
      <c r="E191" s="4" t="s">
        <v>649</v>
      </c>
      <c r="F191" s="4" t="s">
        <v>613</v>
      </c>
      <c r="G191" s="4" t="s">
        <v>28</v>
      </c>
      <c r="H191" s="4" t="s">
        <v>67</v>
      </c>
      <c r="I191" s="4" t="str">
        <f t="shared" si="10"/>
        <v>Daniel Austin</v>
      </c>
      <c r="J191" s="4" t="str">
        <f t="shared" si="11"/>
        <v>Lake Howardberg</v>
      </c>
      <c r="K191" s="4" t="str">
        <f>IF(OR(G191="USA",G191="usa"),"USA",K194
                                                                                                                                                                                                                                                               IF(G191="United States of America","USA","USA"))</f>
        <v>USA</v>
      </c>
      <c r="L191" s="4" t="str">
        <f t="shared" si="12"/>
        <v>CUST1189</v>
      </c>
      <c r="M191" s="4" t="str">
        <f t="shared" si="13"/>
        <v>Gold</v>
      </c>
      <c r="N191" s="4" t="str">
        <f t="shared" si="14"/>
        <v>Ok</v>
      </c>
    </row>
    <row r="192" spans="1:14" ht="15.75" customHeight="1">
      <c r="A192" s="3" t="s">
        <v>650</v>
      </c>
      <c r="B192" s="4" t="s">
        <v>651</v>
      </c>
      <c r="C192" s="4">
        <v>21</v>
      </c>
      <c r="D192" s="4" t="s">
        <v>25</v>
      </c>
      <c r="E192" s="4" t="s">
        <v>652</v>
      </c>
      <c r="F192" s="4" t="s">
        <v>78</v>
      </c>
      <c r="G192" s="4" t="s">
        <v>28</v>
      </c>
      <c r="H192" s="4" t="s">
        <v>44</v>
      </c>
      <c r="I192" s="4" t="str">
        <f t="shared" si="10"/>
        <v>Christopher Stewart</v>
      </c>
      <c r="J192" s="4" t="str">
        <f t="shared" si="11"/>
        <v>Amandaside</v>
      </c>
      <c r="K192" s="4" t="str">
        <f>IF(OR(G192="USA",G192="usa"),"USA",K195
                                                                                                                                                                                                                                                               IF(G192="United States of America","USA","USA"))</f>
        <v>USA</v>
      </c>
      <c r="L192" s="4" t="str">
        <f t="shared" si="12"/>
        <v>CUST1190</v>
      </c>
      <c r="M192" s="4" t="str">
        <f t="shared" si="13"/>
        <v>Bronze</v>
      </c>
      <c r="N192" s="4" t="str">
        <f t="shared" si="14"/>
        <v>Ok</v>
      </c>
    </row>
    <row r="193" spans="1:14" ht="15.75" customHeight="1">
      <c r="A193" s="3" t="s">
        <v>653</v>
      </c>
      <c r="B193" s="4" t="s">
        <v>654</v>
      </c>
      <c r="C193" s="4">
        <v>29</v>
      </c>
      <c r="D193" s="4" t="s">
        <v>31</v>
      </c>
      <c r="E193" s="4" t="s">
        <v>655</v>
      </c>
      <c r="F193" s="4" t="s">
        <v>43</v>
      </c>
      <c r="G193" s="4" t="s">
        <v>28</v>
      </c>
      <c r="H193" s="4" t="s">
        <v>44</v>
      </c>
      <c r="I193" s="4" t="str">
        <f t="shared" si="10"/>
        <v>Todd Poole</v>
      </c>
      <c r="J193" s="4" t="str">
        <f t="shared" si="11"/>
        <v>Johnsonshire</v>
      </c>
      <c r="K193" s="4" t="str">
        <f>IF(OR(G193="USA",G193="usa"),"USA",K196
                                                                                                                                                                                                                                                               IF(G193="United States of America","USA","USA"))</f>
        <v>USA</v>
      </c>
      <c r="L193" s="4" t="str">
        <f t="shared" si="12"/>
        <v>CUST1191</v>
      </c>
      <c r="M193" s="4" t="str">
        <f t="shared" si="13"/>
        <v>Bronze</v>
      </c>
      <c r="N193" s="4" t="str">
        <f t="shared" si="14"/>
        <v>Ok</v>
      </c>
    </row>
    <row r="194" spans="1:14" ht="15.75" customHeight="1">
      <c r="A194" s="3" t="s">
        <v>656</v>
      </c>
      <c r="B194" s="4" t="s">
        <v>657</v>
      </c>
      <c r="C194" s="4">
        <v>26</v>
      </c>
      <c r="D194" s="4" t="s">
        <v>25</v>
      </c>
      <c r="E194" s="4" t="s">
        <v>658</v>
      </c>
      <c r="F194" s="4" t="s">
        <v>127</v>
      </c>
      <c r="G194" s="4" t="s">
        <v>28</v>
      </c>
      <c r="H194" s="4" t="s">
        <v>67</v>
      </c>
      <c r="I194" s="4" t="str">
        <f t="shared" ref="I194:I257" si="15">PROPER(TRIM(B194))</f>
        <v>Jacob Wood</v>
      </c>
      <c r="J194" s="4" t="str">
        <f t="shared" ref="J194:J257" si="16">PROPER(TRIM(E194))</f>
        <v>Lake Samanthafort</v>
      </c>
      <c r="K194" s="4" t="str">
        <f>IF(OR(G194="USA",G194="usa"),"USA",K197
                                                                                                                                                                                                                                                               IF(G194="United States of America","USA","USA"))</f>
        <v>USA</v>
      </c>
      <c r="L194" s="4" t="str">
        <f t="shared" ref="L194:L257" si="17">IF(LEFT(A194,1)="C","CUST"&amp;RIGHT(A194,4),A194)</f>
        <v>CUST1192</v>
      </c>
      <c r="M194" s="4" t="str">
        <f t="shared" ref="M194:M257" si="18">IF(H194="","Standard",H194)</f>
        <v>Gold</v>
      </c>
      <c r="N194" s="4" t="str">
        <f t="shared" ref="N194:N257" si="19">IF(OR(C194&lt;18,C194&gt;70),"Check Age","Ok")</f>
        <v>Ok</v>
      </c>
    </row>
    <row r="195" spans="1:14" ht="15.75" customHeight="1">
      <c r="A195" s="3" t="s">
        <v>659</v>
      </c>
      <c r="B195" s="4" t="s">
        <v>660</v>
      </c>
      <c r="C195" s="4">
        <v>38</v>
      </c>
      <c r="D195" s="4" t="s">
        <v>25</v>
      </c>
      <c r="E195" s="4" t="s">
        <v>661</v>
      </c>
      <c r="F195" s="4" t="s">
        <v>101</v>
      </c>
      <c r="G195" s="4" t="s">
        <v>28</v>
      </c>
      <c r="H195" s="4" t="s">
        <v>67</v>
      </c>
      <c r="I195" s="4" t="str">
        <f t="shared" si="15"/>
        <v>David Roberts</v>
      </c>
      <c r="J195" s="4" t="str">
        <f t="shared" si="16"/>
        <v>Port Amanda</v>
      </c>
      <c r="K195" s="4" t="str">
        <f>IF(OR(G195="USA",G195="usa"),"USA",K198
                                                                                                                                                                                                                                                               IF(G195="United States of America","USA","USA"))</f>
        <v>USA</v>
      </c>
      <c r="L195" s="4" t="str">
        <f t="shared" si="17"/>
        <v>CUST1193</v>
      </c>
      <c r="M195" s="4" t="str">
        <f t="shared" si="18"/>
        <v>Gold</v>
      </c>
      <c r="N195" s="4" t="str">
        <f t="shared" si="19"/>
        <v>Ok</v>
      </c>
    </row>
    <row r="196" spans="1:14" ht="15.75" customHeight="1">
      <c r="A196" s="3" t="s">
        <v>662</v>
      </c>
      <c r="B196" s="4" t="s">
        <v>663</v>
      </c>
      <c r="C196" s="4">
        <v>46</v>
      </c>
      <c r="D196" s="4" t="s">
        <v>25</v>
      </c>
      <c r="E196" s="4" t="s">
        <v>664</v>
      </c>
      <c r="F196" s="4" t="s">
        <v>71</v>
      </c>
      <c r="G196" s="4" t="s">
        <v>28</v>
      </c>
      <c r="H196" s="4" t="s">
        <v>67</v>
      </c>
      <c r="I196" s="4" t="str">
        <f t="shared" si="15"/>
        <v>Ashley Ferguson</v>
      </c>
      <c r="J196" s="4" t="str">
        <f t="shared" si="16"/>
        <v>Sarahmouth</v>
      </c>
      <c r="K196" s="4" t="str">
        <f>IF(OR(G196="USA",G196="usa"),"USA",K199
                                                                                                                                                                                                                                                               IF(G196="United States of America","USA","USA"))</f>
        <v>USA</v>
      </c>
      <c r="L196" s="4" t="str">
        <f t="shared" si="17"/>
        <v>CUST1194</v>
      </c>
      <c r="M196" s="4" t="str">
        <f t="shared" si="18"/>
        <v>Gold</v>
      </c>
      <c r="N196" s="4" t="str">
        <f t="shared" si="19"/>
        <v>Ok</v>
      </c>
    </row>
    <row r="197" spans="1:14" ht="15.75" customHeight="1">
      <c r="A197" s="3" t="s">
        <v>665</v>
      </c>
      <c r="B197" s="4" t="s">
        <v>666</v>
      </c>
      <c r="C197" s="4">
        <v>60</v>
      </c>
      <c r="D197" s="4" t="s">
        <v>25</v>
      </c>
      <c r="E197" s="4" t="s">
        <v>667</v>
      </c>
      <c r="F197" s="4" t="s">
        <v>154</v>
      </c>
      <c r="G197" s="4" t="s">
        <v>28</v>
      </c>
      <c r="H197" s="4" t="s">
        <v>50</v>
      </c>
      <c r="I197" s="4" t="str">
        <f t="shared" si="15"/>
        <v>Anthony Garcia</v>
      </c>
      <c r="J197" s="4" t="str">
        <f t="shared" si="16"/>
        <v>Taraberg</v>
      </c>
      <c r="K197" s="4" t="str">
        <f>IF(OR(G197="USA",G197="usa"),"USA",K200
                                                                                                                                                                                                                                                               IF(G197="United States of America","USA","USA"))</f>
        <v>USA</v>
      </c>
      <c r="L197" s="4" t="str">
        <f t="shared" si="17"/>
        <v>CUST1195</v>
      </c>
      <c r="M197" s="4" t="str">
        <f t="shared" si="18"/>
        <v>Silver</v>
      </c>
      <c r="N197" s="4" t="str">
        <f t="shared" si="19"/>
        <v>Ok</v>
      </c>
    </row>
    <row r="198" spans="1:14" ht="15.75" customHeight="1">
      <c r="A198" s="3" t="s">
        <v>668</v>
      </c>
      <c r="B198" s="4" t="s">
        <v>669</v>
      </c>
      <c r="C198" s="4">
        <v>18</v>
      </c>
      <c r="D198" s="4" t="s">
        <v>31</v>
      </c>
      <c r="E198" s="4" t="s">
        <v>670</v>
      </c>
      <c r="F198" s="4" t="s">
        <v>184</v>
      </c>
      <c r="G198" s="4" t="s">
        <v>28</v>
      </c>
      <c r="H198" s="4" t="s">
        <v>34</v>
      </c>
      <c r="I198" s="4" t="str">
        <f t="shared" si="15"/>
        <v>Megan Greer</v>
      </c>
      <c r="J198" s="4" t="str">
        <f t="shared" si="16"/>
        <v>West John</v>
      </c>
      <c r="K198" s="4" t="str">
        <f>IF(OR(G198="USA",G198="usa"),"USA",K201
                                                                                                                                                                                                                                                               IF(G198="United States of America","USA","USA"))</f>
        <v>USA</v>
      </c>
      <c r="L198" s="4" t="str">
        <f t="shared" si="17"/>
        <v>CUST1196</v>
      </c>
      <c r="M198" s="4" t="str">
        <f t="shared" si="18"/>
        <v>Platinum</v>
      </c>
      <c r="N198" s="4" t="str">
        <f t="shared" si="19"/>
        <v>Ok</v>
      </c>
    </row>
    <row r="199" spans="1:14" ht="15.75" customHeight="1">
      <c r="A199" s="3" t="s">
        <v>671</v>
      </c>
      <c r="B199" s="4" t="s">
        <v>672</v>
      </c>
      <c r="C199" s="4">
        <v>45</v>
      </c>
      <c r="D199" s="4" t="s">
        <v>31</v>
      </c>
      <c r="E199" s="4" t="s">
        <v>228</v>
      </c>
      <c r="F199" s="4" t="s">
        <v>222</v>
      </c>
      <c r="G199" s="4" t="s">
        <v>28</v>
      </c>
      <c r="H199" s="4" t="s">
        <v>34</v>
      </c>
      <c r="I199" s="4" t="str">
        <f t="shared" si="15"/>
        <v>Andrea Jacobs</v>
      </c>
      <c r="J199" s="4" t="str">
        <f t="shared" si="16"/>
        <v>Christopherland</v>
      </c>
      <c r="K199" s="4" t="str">
        <f>IF(OR(G199="USA",G199="usa"),"USA",K202
                                                                                                                                                                                                                                                               IF(G199="United States of America","USA","USA"))</f>
        <v>USA</v>
      </c>
      <c r="L199" s="4" t="str">
        <f t="shared" si="17"/>
        <v>CUST1197</v>
      </c>
      <c r="M199" s="4" t="str">
        <f t="shared" si="18"/>
        <v>Platinum</v>
      </c>
      <c r="N199" s="4" t="str">
        <f t="shared" si="19"/>
        <v>Ok</v>
      </c>
    </row>
    <row r="200" spans="1:14" ht="15.75" customHeight="1">
      <c r="A200" s="3" t="s">
        <v>673</v>
      </c>
      <c r="B200" s="4" t="s">
        <v>674</v>
      </c>
      <c r="C200" s="4">
        <v>54</v>
      </c>
      <c r="D200" s="4" t="s">
        <v>25</v>
      </c>
      <c r="E200" s="4" t="s">
        <v>675</v>
      </c>
      <c r="F200" s="4" t="s">
        <v>192</v>
      </c>
      <c r="G200" s="4" t="s">
        <v>28</v>
      </c>
      <c r="H200" s="4" t="s">
        <v>44</v>
      </c>
      <c r="I200" s="4" t="str">
        <f t="shared" si="15"/>
        <v>Wanda Snyder</v>
      </c>
      <c r="J200" s="4" t="str">
        <f t="shared" si="16"/>
        <v>Frostmouth</v>
      </c>
      <c r="K200" s="4" t="str">
        <f>IF(OR(G200="USA",G200="usa"),"USA",K203
                                                                                                                                                                                                                                                               IF(G200="United States of America","USA","USA"))</f>
        <v>USA</v>
      </c>
      <c r="L200" s="4" t="str">
        <f t="shared" si="17"/>
        <v>CUST1198</v>
      </c>
      <c r="M200" s="4" t="str">
        <f t="shared" si="18"/>
        <v>Bronze</v>
      </c>
      <c r="N200" s="4" t="str">
        <f t="shared" si="19"/>
        <v>Ok</v>
      </c>
    </row>
    <row r="201" spans="1:14" ht="15.75" customHeight="1">
      <c r="A201" s="3" t="s">
        <v>676</v>
      </c>
      <c r="B201" s="4" t="s">
        <v>677</v>
      </c>
      <c r="C201" s="4">
        <v>46</v>
      </c>
      <c r="D201" s="4" t="s">
        <v>25</v>
      </c>
      <c r="E201" s="4" t="s">
        <v>678</v>
      </c>
      <c r="F201" s="4" t="s">
        <v>258</v>
      </c>
      <c r="G201" s="4" t="s">
        <v>28</v>
      </c>
      <c r="H201" s="4" t="s">
        <v>44</v>
      </c>
      <c r="I201" s="4" t="str">
        <f t="shared" si="15"/>
        <v>Carmen Price</v>
      </c>
      <c r="J201" s="4" t="str">
        <f t="shared" si="16"/>
        <v>North Briannamouth</v>
      </c>
      <c r="K201" s="4" t="str">
        <f>IF(OR(G201="USA",G201="usa"),"USA",K204
                                                                                                                                                                                                                                                               IF(G201="United States of America","USA","USA"))</f>
        <v>USA</v>
      </c>
      <c r="L201" s="4" t="str">
        <f t="shared" si="17"/>
        <v>CUST1199</v>
      </c>
      <c r="M201" s="4" t="str">
        <f t="shared" si="18"/>
        <v>Bronze</v>
      </c>
      <c r="N201" s="4" t="str">
        <f t="shared" si="19"/>
        <v>Ok</v>
      </c>
    </row>
    <row r="202" spans="1:14" ht="15.75" customHeight="1">
      <c r="A202" s="3" t="s">
        <v>679</v>
      </c>
      <c r="B202" s="4" t="s">
        <v>680</v>
      </c>
      <c r="C202" s="4">
        <v>30</v>
      </c>
      <c r="D202" s="4" t="s">
        <v>25</v>
      </c>
      <c r="E202" s="4" t="s">
        <v>681</v>
      </c>
      <c r="F202" s="4" t="s">
        <v>456</v>
      </c>
      <c r="G202" s="4" t="s">
        <v>28</v>
      </c>
      <c r="H202" s="4" t="s">
        <v>34</v>
      </c>
      <c r="I202" s="4" t="str">
        <f t="shared" si="15"/>
        <v>Anna Perez</v>
      </c>
      <c r="J202" s="4" t="str">
        <f t="shared" si="16"/>
        <v>South Jerry</v>
      </c>
      <c r="K202" s="4" t="str">
        <f>IF(OR(G202="USA",G202="usa"),"USA",K205
                                                                                                                                                                                                                                                               IF(G202="United States of America","USA","USA"))</f>
        <v>USA</v>
      </c>
      <c r="L202" s="4" t="str">
        <f t="shared" si="17"/>
        <v>CUST1200</v>
      </c>
      <c r="M202" s="4" t="str">
        <f t="shared" si="18"/>
        <v>Platinum</v>
      </c>
      <c r="N202" s="4" t="str">
        <f t="shared" si="19"/>
        <v>Ok</v>
      </c>
    </row>
    <row r="203" spans="1:14" ht="15.75" customHeight="1">
      <c r="A203" s="3" t="s">
        <v>682</v>
      </c>
      <c r="B203" s="4" t="s">
        <v>683</v>
      </c>
      <c r="C203" s="4">
        <v>25</v>
      </c>
      <c r="D203" s="4" t="s">
        <v>31</v>
      </c>
      <c r="E203" s="4" t="s">
        <v>684</v>
      </c>
      <c r="F203" s="4" t="s">
        <v>177</v>
      </c>
      <c r="G203" s="4" t="s">
        <v>28</v>
      </c>
      <c r="H203" s="4" t="s">
        <v>44</v>
      </c>
      <c r="I203" s="4" t="str">
        <f t="shared" si="15"/>
        <v>Mary Boyd</v>
      </c>
      <c r="J203" s="4" t="str">
        <f t="shared" si="16"/>
        <v>New Logan</v>
      </c>
      <c r="K203" s="4" t="str">
        <f>IF(OR(G203="USA",G203="usa"),"USA",K206
                                                                                                                                                                                                                                                               IF(G203="United States of America","USA","USA"))</f>
        <v>USA</v>
      </c>
      <c r="L203" s="4" t="str">
        <f t="shared" si="17"/>
        <v>CUST1201</v>
      </c>
      <c r="M203" s="4" t="str">
        <f t="shared" si="18"/>
        <v>Bronze</v>
      </c>
      <c r="N203" s="4" t="str">
        <f t="shared" si="19"/>
        <v>Ok</v>
      </c>
    </row>
    <row r="204" spans="1:14" ht="15.75" customHeight="1">
      <c r="A204" s="3" t="s">
        <v>685</v>
      </c>
      <c r="B204" s="4" t="s">
        <v>686</v>
      </c>
      <c r="C204" s="4">
        <v>37</v>
      </c>
      <c r="D204" s="4" t="s">
        <v>31</v>
      </c>
      <c r="E204" s="4" t="s">
        <v>687</v>
      </c>
      <c r="F204" s="4" t="s">
        <v>82</v>
      </c>
      <c r="G204" s="4" t="s">
        <v>28</v>
      </c>
      <c r="H204" s="4" t="s">
        <v>34</v>
      </c>
      <c r="I204" s="4" t="str">
        <f t="shared" si="15"/>
        <v>Christina Garcia</v>
      </c>
      <c r="J204" s="4" t="str">
        <f t="shared" si="16"/>
        <v>Clarkeside</v>
      </c>
      <c r="K204" s="4" t="str">
        <f>IF(OR(G204="USA",G204="usa"),"USA",K207
                                                                                                                                                                                                                                                               IF(G204="United States of America","USA","USA"))</f>
        <v>USA</v>
      </c>
      <c r="L204" s="4" t="str">
        <f t="shared" si="17"/>
        <v>CUST1202</v>
      </c>
      <c r="M204" s="4" t="str">
        <f t="shared" si="18"/>
        <v>Platinum</v>
      </c>
      <c r="N204" s="4" t="str">
        <f t="shared" si="19"/>
        <v>Ok</v>
      </c>
    </row>
    <row r="205" spans="1:14" ht="15.75" customHeight="1">
      <c r="A205" s="3" t="s">
        <v>688</v>
      </c>
      <c r="B205" s="4" t="s">
        <v>689</v>
      </c>
      <c r="C205" s="4">
        <v>47</v>
      </c>
      <c r="D205" s="4" t="s">
        <v>25</v>
      </c>
      <c r="E205" s="4" t="s">
        <v>690</v>
      </c>
      <c r="F205" s="4" t="s">
        <v>288</v>
      </c>
      <c r="G205" s="4" t="s">
        <v>28</v>
      </c>
      <c r="H205" s="4" t="s">
        <v>34</v>
      </c>
      <c r="I205" s="4" t="str">
        <f t="shared" si="15"/>
        <v>Sarah Brady</v>
      </c>
      <c r="J205" s="4" t="str">
        <f t="shared" si="16"/>
        <v>Johnsonland</v>
      </c>
      <c r="K205" s="4" t="str">
        <f>IF(OR(G205="USA",G205="usa"),"USA",K208
                                                                                                                                                                                                                                                               IF(G205="United States of America","USA","USA"))</f>
        <v>USA</v>
      </c>
      <c r="L205" s="4" t="str">
        <f t="shared" si="17"/>
        <v>CUST1203</v>
      </c>
      <c r="M205" s="4" t="str">
        <f t="shared" si="18"/>
        <v>Platinum</v>
      </c>
      <c r="N205" s="4" t="str">
        <f t="shared" si="19"/>
        <v>Ok</v>
      </c>
    </row>
    <row r="206" spans="1:14" ht="15.75" customHeight="1">
      <c r="A206" s="3" t="s">
        <v>691</v>
      </c>
      <c r="B206" s="4" t="s">
        <v>692</v>
      </c>
      <c r="C206" s="4">
        <v>52</v>
      </c>
      <c r="D206" s="4" t="s">
        <v>25</v>
      </c>
      <c r="E206" s="4" t="s">
        <v>693</v>
      </c>
      <c r="F206" s="4" t="s">
        <v>308</v>
      </c>
      <c r="G206" s="4" t="s">
        <v>28</v>
      </c>
      <c r="H206" s="4" t="s">
        <v>34</v>
      </c>
      <c r="I206" s="4" t="str">
        <f t="shared" si="15"/>
        <v>Tiffany Herrera</v>
      </c>
      <c r="J206" s="4" t="str">
        <f t="shared" si="16"/>
        <v>New Dianebury</v>
      </c>
      <c r="K206" s="4" t="str">
        <f>IF(OR(G206="USA",G206="usa"),"USA",K209
                                                                                                                                                                                                                                                               IF(G206="United States of America","USA","USA"))</f>
        <v>USA</v>
      </c>
      <c r="L206" s="4" t="str">
        <f t="shared" si="17"/>
        <v>CUST1204</v>
      </c>
      <c r="M206" s="4" t="str">
        <f t="shared" si="18"/>
        <v>Platinum</v>
      </c>
      <c r="N206" s="4" t="str">
        <f t="shared" si="19"/>
        <v>Ok</v>
      </c>
    </row>
    <row r="207" spans="1:14" ht="15.75" customHeight="1">
      <c r="A207" s="3" t="s">
        <v>694</v>
      </c>
      <c r="B207" s="4" t="s">
        <v>695</v>
      </c>
      <c r="C207" s="4">
        <v>44</v>
      </c>
      <c r="D207" s="4" t="s">
        <v>31</v>
      </c>
      <c r="E207" s="4" t="s">
        <v>696</v>
      </c>
      <c r="F207" s="4" t="s">
        <v>108</v>
      </c>
      <c r="G207" s="4" t="s">
        <v>28</v>
      </c>
      <c r="H207" s="4" t="s">
        <v>67</v>
      </c>
      <c r="I207" s="4" t="str">
        <f t="shared" si="15"/>
        <v>Michelle Carpenter</v>
      </c>
      <c r="J207" s="4" t="str">
        <f t="shared" si="16"/>
        <v>Lake Danielleton</v>
      </c>
      <c r="K207" s="4" t="str">
        <f>IF(OR(G207="USA",G207="usa"),"USA",K210
                                                                                                                                                                                                                                                               IF(G207="United States of America","USA","USA"))</f>
        <v>USA</v>
      </c>
      <c r="L207" s="4" t="str">
        <f t="shared" si="17"/>
        <v>CUST1205</v>
      </c>
      <c r="M207" s="4" t="str">
        <f t="shared" si="18"/>
        <v>Gold</v>
      </c>
      <c r="N207" s="4" t="str">
        <f t="shared" si="19"/>
        <v>Ok</v>
      </c>
    </row>
    <row r="208" spans="1:14" ht="15.75" customHeight="1">
      <c r="A208" s="3" t="s">
        <v>697</v>
      </c>
      <c r="B208" s="4" t="s">
        <v>698</v>
      </c>
      <c r="C208" s="4">
        <v>26</v>
      </c>
      <c r="D208" s="4" t="s">
        <v>31</v>
      </c>
      <c r="E208" s="4" t="s">
        <v>699</v>
      </c>
      <c r="F208" s="4" t="s">
        <v>258</v>
      </c>
      <c r="G208" s="4" t="s">
        <v>28</v>
      </c>
      <c r="H208" s="4" t="s">
        <v>50</v>
      </c>
      <c r="I208" s="4" t="str">
        <f t="shared" si="15"/>
        <v>Ronald Jones</v>
      </c>
      <c r="J208" s="4" t="str">
        <f t="shared" si="16"/>
        <v>Brownshire</v>
      </c>
      <c r="K208" s="4" t="str">
        <f>IF(OR(G208="USA",G208="usa"),"USA",K211
                                                                                                                                                                                                                                                               IF(G208="United States of America","USA","USA"))</f>
        <v>USA</v>
      </c>
      <c r="L208" s="4" t="str">
        <f t="shared" si="17"/>
        <v>CUST1206</v>
      </c>
      <c r="M208" s="4" t="str">
        <f t="shared" si="18"/>
        <v>Silver</v>
      </c>
      <c r="N208" s="4" t="str">
        <f t="shared" si="19"/>
        <v>Ok</v>
      </c>
    </row>
    <row r="209" spans="1:14" ht="15.75" customHeight="1">
      <c r="A209" s="3" t="s">
        <v>700</v>
      </c>
      <c r="B209" s="4" t="s">
        <v>701</v>
      </c>
      <c r="C209" s="4">
        <v>28</v>
      </c>
      <c r="D209" s="4" t="s">
        <v>31</v>
      </c>
      <c r="E209" s="4" t="s">
        <v>702</v>
      </c>
      <c r="F209" s="4" t="s">
        <v>108</v>
      </c>
      <c r="G209" s="4" t="s">
        <v>28</v>
      </c>
      <c r="H209" s="4" t="s">
        <v>44</v>
      </c>
      <c r="I209" s="4" t="str">
        <f t="shared" si="15"/>
        <v>Jacqueline Pacheco</v>
      </c>
      <c r="J209" s="4" t="str">
        <f t="shared" si="16"/>
        <v>South Emily</v>
      </c>
      <c r="K209" s="4" t="str">
        <f>IF(OR(G209="USA",G209="usa"),"USA",K212
                                                                                                                                                                                                                                                               IF(G209="United States of America","USA","USA"))</f>
        <v>USA</v>
      </c>
      <c r="L209" s="4" t="str">
        <f t="shared" si="17"/>
        <v>CUST1207</v>
      </c>
      <c r="M209" s="4" t="str">
        <f t="shared" si="18"/>
        <v>Bronze</v>
      </c>
      <c r="N209" s="4" t="str">
        <f t="shared" si="19"/>
        <v>Ok</v>
      </c>
    </row>
    <row r="210" spans="1:14" ht="15.75" customHeight="1">
      <c r="A210" s="3" t="s">
        <v>703</v>
      </c>
      <c r="B210" s="4" t="s">
        <v>704</v>
      </c>
      <c r="C210" s="4">
        <v>54</v>
      </c>
      <c r="D210" s="4" t="s">
        <v>25</v>
      </c>
      <c r="E210" s="4" t="s">
        <v>705</v>
      </c>
      <c r="F210" s="4" t="s">
        <v>349</v>
      </c>
      <c r="G210" s="4" t="s">
        <v>28</v>
      </c>
      <c r="H210" s="4" t="s">
        <v>34</v>
      </c>
      <c r="I210" s="4" t="str">
        <f t="shared" si="15"/>
        <v>John Perez</v>
      </c>
      <c r="J210" s="4" t="str">
        <f t="shared" si="16"/>
        <v>Kathrynview</v>
      </c>
      <c r="K210" s="4" t="str">
        <f>IF(OR(G210="USA",G210="usa"),"USA",K213
                                                                                                                                                                                                                                                               IF(G210="United States of America","USA","USA"))</f>
        <v>USA</v>
      </c>
      <c r="L210" s="4" t="str">
        <f t="shared" si="17"/>
        <v>CUST1208</v>
      </c>
      <c r="M210" s="4" t="str">
        <f t="shared" si="18"/>
        <v>Platinum</v>
      </c>
      <c r="N210" s="4" t="str">
        <f t="shared" si="19"/>
        <v>Ok</v>
      </c>
    </row>
    <row r="211" spans="1:14" ht="15.75" customHeight="1">
      <c r="A211" s="3" t="s">
        <v>706</v>
      </c>
      <c r="B211" s="4" t="s">
        <v>707</v>
      </c>
      <c r="C211" s="4">
        <v>50</v>
      </c>
      <c r="D211" s="4" t="s">
        <v>31</v>
      </c>
      <c r="E211" s="4" t="s">
        <v>708</v>
      </c>
      <c r="F211" s="4" t="s">
        <v>456</v>
      </c>
      <c r="G211" s="4" t="s">
        <v>28</v>
      </c>
      <c r="H211" s="4" t="s">
        <v>34</v>
      </c>
      <c r="I211" s="4" t="str">
        <f t="shared" si="15"/>
        <v>Joan Johnson</v>
      </c>
      <c r="J211" s="4" t="str">
        <f t="shared" si="16"/>
        <v>Lake Josephport</v>
      </c>
      <c r="K211" s="4" t="str">
        <f>IF(OR(G211="USA",G211="usa"),"USA",K214
                                                                                                                                                                                                                                                               IF(G211="United States of America","USA","USA"))</f>
        <v>USA</v>
      </c>
      <c r="L211" s="4" t="str">
        <f t="shared" si="17"/>
        <v>CUST1209</v>
      </c>
      <c r="M211" s="4" t="str">
        <f t="shared" si="18"/>
        <v>Platinum</v>
      </c>
      <c r="N211" s="4" t="str">
        <f t="shared" si="19"/>
        <v>Ok</v>
      </c>
    </row>
    <row r="212" spans="1:14" ht="15.75" customHeight="1">
      <c r="A212" s="3" t="s">
        <v>709</v>
      </c>
      <c r="B212" s="4" t="s">
        <v>710</v>
      </c>
      <c r="C212" s="4">
        <v>48</v>
      </c>
      <c r="D212" s="4" t="s">
        <v>25</v>
      </c>
      <c r="E212" s="4" t="s">
        <v>711</v>
      </c>
      <c r="F212" s="4" t="s">
        <v>101</v>
      </c>
      <c r="G212" s="4" t="s">
        <v>28</v>
      </c>
      <c r="H212" s="4" t="s">
        <v>50</v>
      </c>
      <c r="I212" s="4" t="str">
        <f t="shared" si="15"/>
        <v>Antonio Jones</v>
      </c>
      <c r="J212" s="4" t="str">
        <f t="shared" si="16"/>
        <v>Matthewborough</v>
      </c>
      <c r="K212" s="4" t="str">
        <f>IF(OR(G212="USA",G212="usa"),"USA",K215
                                                                                                                                                                                                                                                               IF(G212="United States of America","USA","USA"))</f>
        <v>USA</v>
      </c>
      <c r="L212" s="4" t="str">
        <f t="shared" si="17"/>
        <v>CUST1210</v>
      </c>
      <c r="M212" s="4" t="str">
        <f t="shared" si="18"/>
        <v>Silver</v>
      </c>
      <c r="N212" s="4" t="str">
        <f t="shared" si="19"/>
        <v>Ok</v>
      </c>
    </row>
    <row r="213" spans="1:14" ht="15.75" customHeight="1">
      <c r="A213" s="3" t="s">
        <v>712</v>
      </c>
      <c r="B213" s="4" t="s">
        <v>713</v>
      </c>
      <c r="C213" s="4">
        <v>20</v>
      </c>
      <c r="D213" s="4" t="s">
        <v>31</v>
      </c>
      <c r="E213" s="4" t="s">
        <v>714</v>
      </c>
      <c r="F213" s="4" t="s">
        <v>112</v>
      </c>
      <c r="G213" s="4" t="s">
        <v>28</v>
      </c>
      <c r="H213" s="4" t="s">
        <v>50</v>
      </c>
      <c r="I213" s="4" t="str">
        <f t="shared" si="15"/>
        <v>Rodney Huffman</v>
      </c>
      <c r="J213" s="4" t="str">
        <f t="shared" si="16"/>
        <v>Garzafort</v>
      </c>
      <c r="K213" s="4" t="str">
        <f>IF(OR(G213="USA",G213="usa"),"USA",K216
                                                                                                                                                                                                                                                               IF(G213="United States of America","USA","USA"))</f>
        <v>USA</v>
      </c>
      <c r="L213" s="4" t="str">
        <f t="shared" si="17"/>
        <v>CUST1211</v>
      </c>
      <c r="M213" s="4" t="str">
        <f t="shared" si="18"/>
        <v>Silver</v>
      </c>
      <c r="N213" s="4" t="str">
        <f t="shared" si="19"/>
        <v>Ok</v>
      </c>
    </row>
    <row r="214" spans="1:14" ht="15.75" customHeight="1">
      <c r="A214" s="3" t="s">
        <v>715</v>
      </c>
      <c r="B214" s="4" t="s">
        <v>716</v>
      </c>
      <c r="C214" s="4">
        <v>63</v>
      </c>
      <c r="D214" s="4" t="s">
        <v>31</v>
      </c>
      <c r="E214" s="4" t="s">
        <v>717</v>
      </c>
      <c r="F214" s="4" t="s">
        <v>94</v>
      </c>
      <c r="G214" s="4" t="s">
        <v>28</v>
      </c>
      <c r="H214" s="4" t="s">
        <v>34</v>
      </c>
      <c r="I214" s="4" t="str">
        <f t="shared" si="15"/>
        <v>Blake Harrison</v>
      </c>
      <c r="J214" s="4" t="str">
        <f t="shared" si="16"/>
        <v>Lyonsfort</v>
      </c>
      <c r="K214" s="4" t="str">
        <f>IF(OR(G214="USA",G214="usa"),"USA",K217
                                                                                                                                                                                                                                                               IF(G214="United States of America","USA","USA"))</f>
        <v>USA</v>
      </c>
      <c r="L214" s="4" t="str">
        <f t="shared" si="17"/>
        <v>CUST1212</v>
      </c>
      <c r="M214" s="4" t="str">
        <f t="shared" si="18"/>
        <v>Platinum</v>
      </c>
      <c r="N214" s="4" t="str">
        <f t="shared" si="19"/>
        <v>Ok</v>
      </c>
    </row>
    <row r="215" spans="1:14" ht="15.75" customHeight="1">
      <c r="A215" s="3" t="s">
        <v>718</v>
      </c>
      <c r="B215" s="4" t="s">
        <v>719</v>
      </c>
      <c r="C215" s="4">
        <v>42</v>
      </c>
      <c r="D215" s="4" t="s">
        <v>31</v>
      </c>
      <c r="E215" s="4" t="s">
        <v>720</v>
      </c>
      <c r="F215" s="4" t="s">
        <v>33</v>
      </c>
      <c r="G215" s="4" t="s">
        <v>28</v>
      </c>
      <c r="H215" s="4" t="s">
        <v>34</v>
      </c>
      <c r="I215" s="4" t="str">
        <f t="shared" si="15"/>
        <v>Stuart Johnson</v>
      </c>
      <c r="J215" s="4" t="str">
        <f t="shared" si="16"/>
        <v>West Markport</v>
      </c>
      <c r="K215" s="4" t="str">
        <f>IF(OR(G215="USA",G215="usa"),"USA",K218
                                                                                                                                                                                                                                                               IF(G215="United States of America","USA","USA"))</f>
        <v>USA</v>
      </c>
      <c r="L215" s="4" t="str">
        <f t="shared" si="17"/>
        <v>CUST1213</v>
      </c>
      <c r="M215" s="4" t="str">
        <f t="shared" si="18"/>
        <v>Platinum</v>
      </c>
      <c r="N215" s="4" t="str">
        <f t="shared" si="19"/>
        <v>Ok</v>
      </c>
    </row>
    <row r="216" spans="1:14" ht="15.75" customHeight="1">
      <c r="A216" s="3" t="s">
        <v>721</v>
      </c>
      <c r="B216" s="4" t="s">
        <v>722</v>
      </c>
      <c r="C216" s="4">
        <v>61</v>
      </c>
      <c r="D216" s="4" t="s">
        <v>25</v>
      </c>
      <c r="E216" s="4" t="s">
        <v>723</v>
      </c>
      <c r="F216" s="4" t="s">
        <v>86</v>
      </c>
      <c r="G216" s="4" t="s">
        <v>28</v>
      </c>
      <c r="H216" s="4" t="s">
        <v>67</v>
      </c>
      <c r="I216" s="4" t="str">
        <f t="shared" si="15"/>
        <v>Eric Todd</v>
      </c>
      <c r="J216" s="4" t="str">
        <f t="shared" si="16"/>
        <v>Danielstad</v>
      </c>
      <c r="K216" s="4" t="str">
        <f>IF(OR(G216="USA",G216="usa"),"USA",K219
                                                                                                                                                                                                                                                               IF(G216="United States of America","USA","USA"))</f>
        <v>USA</v>
      </c>
      <c r="L216" s="4" t="str">
        <f t="shared" si="17"/>
        <v>CUST1214</v>
      </c>
      <c r="M216" s="4" t="str">
        <f t="shared" si="18"/>
        <v>Gold</v>
      </c>
      <c r="N216" s="4" t="str">
        <f t="shared" si="19"/>
        <v>Ok</v>
      </c>
    </row>
    <row r="217" spans="1:14" ht="15.75" customHeight="1">
      <c r="A217" s="3" t="s">
        <v>724</v>
      </c>
      <c r="B217" s="4" t="s">
        <v>725</v>
      </c>
      <c r="C217" s="4">
        <v>50</v>
      </c>
      <c r="D217" s="4" t="s">
        <v>31</v>
      </c>
      <c r="E217" s="4" t="s">
        <v>726</v>
      </c>
      <c r="F217" s="4" t="s">
        <v>54</v>
      </c>
      <c r="G217" s="4" t="s">
        <v>28</v>
      </c>
      <c r="H217" s="4" t="s">
        <v>67</v>
      </c>
      <c r="I217" s="4" t="str">
        <f t="shared" si="15"/>
        <v>Steve Medina</v>
      </c>
      <c r="J217" s="4" t="str">
        <f t="shared" si="16"/>
        <v>East Josephside</v>
      </c>
      <c r="K217" s="4" t="str">
        <f>IF(OR(G217="USA",G217="usa"),"USA",K220
                                                                                                                                                                                                                                                               IF(G217="United States of America","USA","USA"))</f>
        <v>USA</v>
      </c>
      <c r="L217" s="4" t="str">
        <f t="shared" si="17"/>
        <v>CUST1215</v>
      </c>
      <c r="M217" s="4" t="str">
        <f t="shared" si="18"/>
        <v>Gold</v>
      </c>
      <c r="N217" s="4" t="str">
        <f t="shared" si="19"/>
        <v>Ok</v>
      </c>
    </row>
    <row r="218" spans="1:14" ht="15.75" customHeight="1">
      <c r="A218" s="3" t="s">
        <v>727</v>
      </c>
      <c r="B218" s="4" t="s">
        <v>728</v>
      </c>
      <c r="C218" s="4">
        <v>44</v>
      </c>
      <c r="D218" s="4" t="s">
        <v>25</v>
      </c>
      <c r="E218" s="4" t="s">
        <v>729</v>
      </c>
      <c r="F218" s="4" t="s">
        <v>49</v>
      </c>
      <c r="G218" s="4" t="s">
        <v>28</v>
      </c>
      <c r="H218" s="4" t="s">
        <v>34</v>
      </c>
      <c r="I218" s="4" t="str">
        <f t="shared" si="15"/>
        <v>Kathryn Garcia</v>
      </c>
      <c r="J218" s="4" t="str">
        <f t="shared" si="16"/>
        <v>Morrismouth</v>
      </c>
      <c r="K218" s="4" t="str">
        <f>IF(OR(G218="USA",G218="usa"),"USA",K221
                                                                                                                                                                                                                                                               IF(G218="United States of America","USA","USA"))</f>
        <v>USA</v>
      </c>
      <c r="L218" s="4" t="str">
        <f t="shared" si="17"/>
        <v>CUST1216</v>
      </c>
      <c r="M218" s="4" t="str">
        <f t="shared" si="18"/>
        <v>Platinum</v>
      </c>
      <c r="N218" s="4" t="str">
        <f t="shared" si="19"/>
        <v>Ok</v>
      </c>
    </row>
    <row r="219" spans="1:14" ht="15.75" customHeight="1">
      <c r="A219" s="3" t="s">
        <v>730</v>
      </c>
      <c r="B219" s="4" t="s">
        <v>731</v>
      </c>
      <c r="C219" s="4">
        <v>42</v>
      </c>
      <c r="D219" s="4" t="s">
        <v>25</v>
      </c>
      <c r="E219" s="4" t="s">
        <v>732</v>
      </c>
      <c r="F219" s="4" t="s">
        <v>134</v>
      </c>
      <c r="G219" s="4" t="s">
        <v>28</v>
      </c>
      <c r="H219" s="4" t="s">
        <v>50</v>
      </c>
      <c r="I219" s="4" t="str">
        <f t="shared" si="15"/>
        <v>Kathy Copeland</v>
      </c>
      <c r="J219" s="4" t="str">
        <f t="shared" si="16"/>
        <v>North Christinemouth</v>
      </c>
      <c r="K219" s="4" t="str">
        <f>IF(OR(G219="USA",G219="usa"),"USA",K222
                                                                                                                                                                                                                                                               IF(G219="United States of America","USA","USA"))</f>
        <v>USA</v>
      </c>
      <c r="L219" s="4" t="str">
        <f t="shared" si="17"/>
        <v>CUST1217</v>
      </c>
      <c r="M219" s="4" t="str">
        <f t="shared" si="18"/>
        <v>Silver</v>
      </c>
      <c r="N219" s="4" t="str">
        <f t="shared" si="19"/>
        <v>Ok</v>
      </c>
    </row>
    <row r="220" spans="1:14" ht="15.75" customHeight="1">
      <c r="A220" s="3" t="s">
        <v>733</v>
      </c>
      <c r="B220" s="4" t="s">
        <v>734</v>
      </c>
      <c r="C220" s="4">
        <v>46</v>
      </c>
      <c r="D220" s="4" t="s">
        <v>25</v>
      </c>
      <c r="E220" s="4" t="s">
        <v>735</v>
      </c>
      <c r="F220" s="4" t="s">
        <v>49</v>
      </c>
      <c r="G220" s="4" t="s">
        <v>28</v>
      </c>
      <c r="H220" s="4" t="s">
        <v>34</v>
      </c>
      <c r="I220" s="4" t="str">
        <f t="shared" si="15"/>
        <v>Julia Jackson</v>
      </c>
      <c r="J220" s="4" t="str">
        <f t="shared" si="16"/>
        <v>Edwardland</v>
      </c>
      <c r="K220" s="4" t="str">
        <f>IF(OR(G220="USA",G220="usa"),"USA",K223
                                                                                                                                                                                                                                                               IF(G220="United States of America","USA","USA"))</f>
        <v>USA</v>
      </c>
      <c r="L220" s="4" t="str">
        <f t="shared" si="17"/>
        <v>CUST1218</v>
      </c>
      <c r="M220" s="4" t="str">
        <f t="shared" si="18"/>
        <v>Platinum</v>
      </c>
      <c r="N220" s="4" t="str">
        <f t="shared" si="19"/>
        <v>Ok</v>
      </c>
    </row>
    <row r="221" spans="1:14" ht="15.75" customHeight="1">
      <c r="A221" s="3" t="s">
        <v>736</v>
      </c>
      <c r="B221" s="4" t="s">
        <v>737</v>
      </c>
      <c r="C221" s="4">
        <v>47</v>
      </c>
      <c r="D221" s="4" t="s">
        <v>31</v>
      </c>
      <c r="E221" s="4" t="s">
        <v>738</v>
      </c>
      <c r="F221" s="4" t="s">
        <v>108</v>
      </c>
      <c r="G221" s="4" t="s">
        <v>28</v>
      </c>
      <c r="H221" s="4" t="s">
        <v>67</v>
      </c>
      <c r="I221" s="4" t="str">
        <f t="shared" si="15"/>
        <v>Jordan Wells</v>
      </c>
      <c r="J221" s="4" t="str">
        <f t="shared" si="16"/>
        <v>Phillipschester</v>
      </c>
      <c r="K221" s="4" t="str">
        <f>IF(OR(G221="USA",G221="usa"),"USA",K224
                                                                                                                                                                                                                                                               IF(G221="United States of America","USA","USA"))</f>
        <v>USA</v>
      </c>
      <c r="L221" s="4" t="str">
        <f t="shared" si="17"/>
        <v>CUST1219</v>
      </c>
      <c r="M221" s="4" t="str">
        <f t="shared" si="18"/>
        <v>Gold</v>
      </c>
      <c r="N221" s="4" t="str">
        <f t="shared" si="19"/>
        <v>Ok</v>
      </c>
    </row>
    <row r="222" spans="1:14" ht="15.75" customHeight="1">
      <c r="A222" s="3" t="s">
        <v>739</v>
      </c>
      <c r="B222" s="4" t="s">
        <v>740</v>
      </c>
      <c r="C222" s="4">
        <v>50</v>
      </c>
      <c r="D222" s="4" t="s">
        <v>31</v>
      </c>
      <c r="E222" s="4" t="s">
        <v>741</v>
      </c>
      <c r="F222" s="4" t="s">
        <v>742</v>
      </c>
      <c r="G222" s="4" t="s">
        <v>600</v>
      </c>
      <c r="H222" s="4" t="s">
        <v>44</v>
      </c>
      <c r="I222" s="4" t="str">
        <f t="shared" si="15"/>
        <v>George Davis</v>
      </c>
      <c r="J222" s="4" t="str">
        <f t="shared" si="16"/>
        <v>Lake Lisa</v>
      </c>
      <c r="K222" s="4" t="str">
        <f>IF(OR(G222="USA",G222="usa"),"USA",K225
                                                                                                                                                                                                                                                               IF(G222="United States of America","USA","USA"))</f>
        <v>USA</v>
      </c>
      <c r="L222" s="4" t="str">
        <f t="shared" si="17"/>
        <v>CUST1220</v>
      </c>
      <c r="M222" s="4" t="str">
        <f t="shared" si="18"/>
        <v>Bronze</v>
      </c>
      <c r="N222" s="4" t="str">
        <f t="shared" si="19"/>
        <v>Ok</v>
      </c>
    </row>
    <row r="223" spans="1:14" ht="15.75" customHeight="1">
      <c r="A223" s="3" t="s">
        <v>743</v>
      </c>
      <c r="B223" s="4" t="s">
        <v>744</v>
      </c>
      <c r="C223" s="4">
        <v>38</v>
      </c>
      <c r="D223" s="4" t="s">
        <v>25</v>
      </c>
      <c r="E223" s="4" t="s">
        <v>745</v>
      </c>
      <c r="F223" s="4" t="s">
        <v>101</v>
      </c>
      <c r="G223" s="4" t="s">
        <v>28</v>
      </c>
      <c r="H223" s="4" t="s">
        <v>34</v>
      </c>
      <c r="I223" s="4" t="str">
        <f t="shared" si="15"/>
        <v>Lisa Young</v>
      </c>
      <c r="J223" s="4" t="str">
        <f t="shared" si="16"/>
        <v>Maybury</v>
      </c>
      <c r="K223" s="4" t="str">
        <f>IF(OR(G223="USA",G223="usa"),"USA",K226
                                                                                                                                                                                                                                                               IF(G223="United States of America","USA","USA"))</f>
        <v>USA</v>
      </c>
      <c r="L223" s="4" t="str">
        <f t="shared" si="17"/>
        <v>CUST1221</v>
      </c>
      <c r="M223" s="4" t="str">
        <f t="shared" si="18"/>
        <v>Platinum</v>
      </c>
      <c r="N223" s="4" t="str">
        <f t="shared" si="19"/>
        <v>Ok</v>
      </c>
    </row>
    <row r="224" spans="1:14" ht="15.75" customHeight="1">
      <c r="A224" s="3" t="s">
        <v>746</v>
      </c>
      <c r="B224" s="4" t="s">
        <v>747</v>
      </c>
      <c r="C224" s="4">
        <v>35</v>
      </c>
      <c r="D224" s="4" t="s">
        <v>25</v>
      </c>
      <c r="E224" s="4" t="s">
        <v>748</v>
      </c>
      <c r="F224" s="4" t="s">
        <v>254</v>
      </c>
      <c r="G224" s="4" t="s">
        <v>28</v>
      </c>
      <c r="H224" s="4" t="s">
        <v>34</v>
      </c>
      <c r="I224" s="4" t="str">
        <f t="shared" si="15"/>
        <v>Alejandro Doyle</v>
      </c>
      <c r="J224" s="4" t="str">
        <f t="shared" si="16"/>
        <v>East Crystalton</v>
      </c>
      <c r="K224" s="4" t="str">
        <f>IF(OR(G224="USA",G224="usa"),"USA",K227
                                                                                                                                                                                                                                                               IF(G224="United States of America","USA","USA"))</f>
        <v>USA</v>
      </c>
      <c r="L224" s="4" t="str">
        <f t="shared" si="17"/>
        <v>CUST1222</v>
      </c>
      <c r="M224" s="4" t="str">
        <f t="shared" si="18"/>
        <v>Platinum</v>
      </c>
      <c r="N224" s="4" t="str">
        <f t="shared" si="19"/>
        <v>Ok</v>
      </c>
    </row>
    <row r="225" spans="1:14" ht="15.75" customHeight="1">
      <c r="A225" s="3" t="s">
        <v>749</v>
      </c>
      <c r="B225" s="4" t="s">
        <v>750</v>
      </c>
      <c r="C225" s="4">
        <v>50</v>
      </c>
      <c r="D225" s="4" t="s">
        <v>25</v>
      </c>
      <c r="E225" s="4" t="s">
        <v>751</v>
      </c>
      <c r="F225" s="4" t="s">
        <v>288</v>
      </c>
      <c r="G225" s="4" t="s">
        <v>28</v>
      </c>
      <c r="H225" s="4" t="s">
        <v>34</v>
      </c>
      <c r="I225" s="4" t="str">
        <f t="shared" si="15"/>
        <v>Robert Harris</v>
      </c>
      <c r="J225" s="4" t="str">
        <f t="shared" si="16"/>
        <v>East Jeremy</v>
      </c>
      <c r="K225" s="4" t="str">
        <f>IF(OR(G225="USA",G225="usa"),"USA",K228
                                                                                                                                                                                                                                                               IF(G225="United States of America","USA","USA"))</f>
        <v>USA</v>
      </c>
      <c r="L225" s="4" t="str">
        <f t="shared" si="17"/>
        <v>CUST1223</v>
      </c>
      <c r="M225" s="4" t="str">
        <f t="shared" si="18"/>
        <v>Platinum</v>
      </c>
      <c r="N225" s="4" t="str">
        <f t="shared" si="19"/>
        <v>Ok</v>
      </c>
    </row>
    <row r="226" spans="1:14" ht="15.75" customHeight="1">
      <c r="A226" s="3" t="s">
        <v>752</v>
      </c>
      <c r="B226" s="4" t="s">
        <v>753</v>
      </c>
      <c r="C226" s="4">
        <v>29</v>
      </c>
      <c r="D226" s="4" t="s">
        <v>25</v>
      </c>
      <c r="E226" s="4" t="s">
        <v>754</v>
      </c>
      <c r="F226" s="4" t="s">
        <v>134</v>
      </c>
      <c r="G226" s="4" t="s">
        <v>28</v>
      </c>
      <c r="H226" s="4" t="s">
        <v>50</v>
      </c>
      <c r="I226" s="4" t="str">
        <f t="shared" si="15"/>
        <v>Anthony Morgan</v>
      </c>
      <c r="J226" s="4" t="str">
        <f t="shared" si="16"/>
        <v>New Anthonyfurt</v>
      </c>
      <c r="K226" s="4" t="str">
        <f>IF(OR(G226="USA",G226="usa"),"USA",K229
                                                                                                                                                                                                                                                               IF(G226="United States of America","USA","USA"))</f>
        <v>USA</v>
      </c>
      <c r="L226" s="4" t="str">
        <f t="shared" si="17"/>
        <v>CUST1224</v>
      </c>
      <c r="M226" s="4" t="str">
        <f t="shared" si="18"/>
        <v>Silver</v>
      </c>
      <c r="N226" s="4" t="str">
        <f t="shared" si="19"/>
        <v>Ok</v>
      </c>
    </row>
    <row r="227" spans="1:14" ht="15.75" customHeight="1">
      <c r="A227" s="3" t="s">
        <v>755</v>
      </c>
      <c r="B227" s="4" t="s">
        <v>756</v>
      </c>
      <c r="C227" s="4">
        <v>46</v>
      </c>
      <c r="D227" s="4" t="s">
        <v>31</v>
      </c>
      <c r="E227" s="4" t="s">
        <v>757</v>
      </c>
      <c r="F227" s="4" t="s">
        <v>138</v>
      </c>
      <c r="G227" s="4" t="s">
        <v>28</v>
      </c>
      <c r="H227" s="4" t="s">
        <v>34</v>
      </c>
      <c r="I227" s="4" t="str">
        <f t="shared" si="15"/>
        <v>Elizabeth Stanley</v>
      </c>
      <c r="J227" s="4" t="str">
        <f t="shared" si="16"/>
        <v>Bethanyton</v>
      </c>
      <c r="K227" s="4" t="str">
        <f>IF(OR(G227="USA",G227="usa"),"USA",K230
                                                                                                                                                                                                                                                               IF(G227="United States of America","USA","USA"))</f>
        <v>USA</v>
      </c>
      <c r="L227" s="4" t="str">
        <f t="shared" si="17"/>
        <v>CUST1225</v>
      </c>
      <c r="M227" s="4" t="str">
        <f t="shared" si="18"/>
        <v>Platinum</v>
      </c>
      <c r="N227" s="4" t="str">
        <f t="shared" si="19"/>
        <v>Ok</v>
      </c>
    </row>
    <row r="228" spans="1:14" ht="15.75" customHeight="1">
      <c r="A228" s="3" t="s">
        <v>758</v>
      </c>
      <c r="B228" s="4" t="s">
        <v>759</v>
      </c>
      <c r="C228" s="4">
        <v>54</v>
      </c>
      <c r="D228" s="4" t="s">
        <v>25</v>
      </c>
      <c r="E228" s="4" t="s">
        <v>237</v>
      </c>
      <c r="F228" s="4" t="s">
        <v>184</v>
      </c>
      <c r="G228" s="4" t="s">
        <v>28</v>
      </c>
      <c r="H228" s="4" t="s">
        <v>67</v>
      </c>
      <c r="I228" s="4" t="str">
        <f t="shared" si="15"/>
        <v>Alexis Castaneda</v>
      </c>
      <c r="J228" s="4" t="str">
        <f t="shared" si="16"/>
        <v>Morrisbury</v>
      </c>
      <c r="K228" s="4" t="str">
        <f>IF(OR(G228="USA",G228="usa"),"USA",K231
                                                                                                                                                                                                                                                               IF(G228="United States of America","USA","USA"))</f>
        <v>USA</v>
      </c>
      <c r="L228" s="4" t="str">
        <f t="shared" si="17"/>
        <v>CUST1226</v>
      </c>
      <c r="M228" s="4" t="str">
        <f t="shared" si="18"/>
        <v>Gold</v>
      </c>
      <c r="N228" s="4" t="str">
        <f t="shared" si="19"/>
        <v>Ok</v>
      </c>
    </row>
    <row r="229" spans="1:14" ht="15.75" customHeight="1">
      <c r="A229" s="3" t="s">
        <v>760</v>
      </c>
      <c r="B229" s="4" t="s">
        <v>761</v>
      </c>
      <c r="C229" s="4">
        <v>63</v>
      </c>
      <c r="D229" s="4" t="s">
        <v>31</v>
      </c>
      <c r="E229" s="4" t="s">
        <v>762</v>
      </c>
      <c r="F229" s="4" t="s">
        <v>82</v>
      </c>
      <c r="G229" s="4" t="s">
        <v>28</v>
      </c>
      <c r="H229" s="4" t="s">
        <v>67</v>
      </c>
      <c r="I229" s="4" t="str">
        <f t="shared" si="15"/>
        <v>Gregory Pham</v>
      </c>
      <c r="J229" s="4" t="str">
        <f t="shared" si="16"/>
        <v>Pollardton</v>
      </c>
      <c r="K229" s="4" t="str">
        <f>IF(OR(G229="USA",G229="usa"),"USA",K232
                                                                                                                                                                                                                                                               IF(G229="United States of America","USA","USA"))</f>
        <v>USA</v>
      </c>
      <c r="L229" s="4" t="str">
        <f t="shared" si="17"/>
        <v>CUST1227</v>
      </c>
      <c r="M229" s="4" t="str">
        <f t="shared" si="18"/>
        <v>Gold</v>
      </c>
      <c r="N229" s="4" t="str">
        <f t="shared" si="19"/>
        <v>Ok</v>
      </c>
    </row>
    <row r="230" spans="1:14" ht="15.75" customHeight="1">
      <c r="A230" s="3" t="s">
        <v>763</v>
      </c>
      <c r="B230" s="4" t="s">
        <v>764</v>
      </c>
      <c r="C230" s="4">
        <v>52</v>
      </c>
      <c r="D230" s="4" t="s">
        <v>31</v>
      </c>
      <c r="E230" s="4" t="s">
        <v>416</v>
      </c>
      <c r="F230" s="4" t="s">
        <v>138</v>
      </c>
      <c r="G230" s="4" t="s">
        <v>28</v>
      </c>
      <c r="H230" s="4" t="s">
        <v>67</v>
      </c>
      <c r="I230" s="4" t="str">
        <f t="shared" si="15"/>
        <v>Casey Flores</v>
      </c>
      <c r="J230" s="4" t="str">
        <f t="shared" si="16"/>
        <v>Lake Michael</v>
      </c>
      <c r="K230" s="4" t="str">
        <f>IF(OR(G230="USA",G230="usa"),"USA",K233
                                                                                                                                                                                                                                                               IF(G230="United States of America","USA","USA"))</f>
        <v>USA</v>
      </c>
      <c r="L230" s="4" t="str">
        <f t="shared" si="17"/>
        <v>CUST1228</v>
      </c>
      <c r="M230" s="4" t="str">
        <f t="shared" si="18"/>
        <v>Gold</v>
      </c>
      <c r="N230" s="4" t="str">
        <f t="shared" si="19"/>
        <v>Ok</v>
      </c>
    </row>
    <row r="231" spans="1:14" ht="15.75" customHeight="1">
      <c r="A231" s="3" t="s">
        <v>765</v>
      </c>
      <c r="B231" s="4" t="s">
        <v>766</v>
      </c>
      <c r="C231" s="4">
        <v>32</v>
      </c>
      <c r="D231" s="4" t="s">
        <v>31</v>
      </c>
      <c r="E231" s="4" t="s">
        <v>767</v>
      </c>
      <c r="F231" s="4" t="s">
        <v>161</v>
      </c>
      <c r="G231" s="4" t="s">
        <v>28</v>
      </c>
      <c r="H231" s="4" t="s">
        <v>44</v>
      </c>
      <c r="I231" s="4" t="str">
        <f t="shared" si="15"/>
        <v>Tanner Thompson</v>
      </c>
      <c r="J231" s="4" t="str">
        <f t="shared" si="16"/>
        <v>Port Lisashire</v>
      </c>
      <c r="K231" s="4" t="str">
        <f>IF(OR(G231="USA",G231="usa"),"USA",K234
                                                                                                                                                                                                                                                               IF(G231="United States of America","USA","USA"))</f>
        <v>USA</v>
      </c>
      <c r="L231" s="4" t="str">
        <f t="shared" si="17"/>
        <v>CUST1229</v>
      </c>
      <c r="M231" s="4" t="str">
        <f t="shared" si="18"/>
        <v>Bronze</v>
      </c>
      <c r="N231" s="4" t="str">
        <f t="shared" si="19"/>
        <v>Ok</v>
      </c>
    </row>
    <row r="232" spans="1:14" ht="15.75" customHeight="1">
      <c r="A232" s="3" t="s">
        <v>768</v>
      </c>
      <c r="B232" s="4" t="s">
        <v>769</v>
      </c>
      <c r="C232" s="4">
        <v>29</v>
      </c>
      <c r="D232" s="4" t="s">
        <v>25</v>
      </c>
      <c r="E232" s="4" t="s">
        <v>770</v>
      </c>
      <c r="F232" s="4" t="s">
        <v>271</v>
      </c>
      <c r="G232" s="4" t="s">
        <v>28</v>
      </c>
      <c r="H232" s="4" t="s">
        <v>44</v>
      </c>
      <c r="I232" s="4" t="str">
        <f t="shared" si="15"/>
        <v>Timothy Sanders</v>
      </c>
      <c r="J232" s="4" t="str">
        <f t="shared" si="16"/>
        <v>Aaronmouth</v>
      </c>
      <c r="K232" s="4" t="str">
        <f>IF(OR(G232="USA",G232="usa"),"USA",K235
                                                                                                                                                                                                                                                               IF(G232="United States of America","USA","USA"))</f>
        <v>USA</v>
      </c>
      <c r="L232" s="4" t="str">
        <f t="shared" si="17"/>
        <v>CUST1230</v>
      </c>
      <c r="M232" s="4" t="str">
        <f t="shared" si="18"/>
        <v>Bronze</v>
      </c>
      <c r="N232" s="4" t="str">
        <f t="shared" si="19"/>
        <v>Ok</v>
      </c>
    </row>
    <row r="233" spans="1:14" ht="15.75" customHeight="1">
      <c r="A233" s="3" t="s">
        <v>771</v>
      </c>
      <c r="B233" s="4" t="s">
        <v>772</v>
      </c>
      <c r="C233" s="4">
        <v>22</v>
      </c>
      <c r="D233" s="4" t="s">
        <v>31</v>
      </c>
      <c r="E233" s="4" t="s">
        <v>773</v>
      </c>
      <c r="F233" s="4" t="s">
        <v>338</v>
      </c>
      <c r="G233" s="4" t="s">
        <v>28</v>
      </c>
      <c r="H233" s="4" t="s">
        <v>44</v>
      </c>
      <c r="I233" s="4" t="str">
        <f t="shared" si="15"/>
        <v>Timothy Juarez</v>
      </c>
      <c r="J233" s="4" t="str">
        <f t="shared" si="16"/>
        <v>Grahamstad</v>
      </c>
      <c r="K233" s="4" t="str">
        <f>IF(OR(G233="USA",G233="usa"),"USA",K236
                                                                                                                                                                                                                                                               IF(G233="United States of America","USA","USA"))</f>
        <v>USA</v>
      </c>
      <c r="L233" s="4" t="str">
        <f t="shared" si="17"/>
        <v>CUST1231</v>
      </c>
      <c r="M233" s="4" t="str">
        <f t="shared" si="18"/>
        <v>Bronze</v>
      </c>
      <c r="N233" s="4" t="str">
        <f t="shared" si="19"/>
        <v>Ok</v>
      </c>
    </row>
    <row r="234" spans="1:14" ht="15.75" customHeight="1">
      <c r="A234" s="3" t="s">
        <v>774</v>
      </c>
      <c r="B234" s="4" t="s">
        <v>775</v>
      </c>
      <c r="C234" s="4">
        <v>27</v>
      </c>
      <c r="D234" s="4" t="s">
        <v>31</v>
      </c>
      <c r="E234" s="4" t="s">
        <v>776</v>
      </c>
      <c r="F234" s="4" t="s">
        <v>108</v>
      </c>
      <c r="G234" s="4" t="s">
        <v>28</v>
      </c>
      <c r="H234" s="4" t="s">
        <v>34</v>
      </c>
      <c r="I234" s="4" t="str">
        <f t="shared" si="15"/>
        <v>Christy Hill</v>
      </c>
      <c r="J234" s="4" t="str">
        <f t="shared" si="16"/>
        <v>Tammyton</v>
      </c>
      <c r="K234" s="4" t="str">
        <f>IF(OR(G234="USA",G234="usa"),"USA",K237
                                                                                                                                                                                                                                                               IF(G234="United States of America","USA","USA"))</f>
        <v>USA</v>
      </c>
      <c r="L234" s="4" t="str">
        <f t="shared" si="17"/>
        <v>CUST1232</v>
      </c>
      <c r="M234" s="4" t="str">
        <f t="shared" si="18"/>
        <v>Platinum</v>
      </c>
      <c r="N234" s="4" t="str">
        <f t="shared" si="19"/>
        <v>Ok</v>
      </c>
    </row>
    <row r="235" spans="1:14" ht="15.75" customHeight="1">
      <c r="A235" s="3" t="s">
        <v>777</v>
      </c>
      <c r="B235" s="4" t="s">
        <v>778</v>
      </c>
      <c r="C235" s="4">
        <v>59</v>
      </c>
      <c r="D235" s="4" t="s">
        <v>25</v>
      </c>
      <c r="E235" s="4" t="s">
        <v>779</v>
      </c>
      <c r="F235" s="4" t="s">
        <v>62</v>
      </c>
      <c r="G235" s="4" t="s">
        <v>28</v>
      </c>
      <c r="H235" s="4" t="s">
        <v>50</v>
      </c>
      <c r="I235" s="4" t="str">
        <f t="shared" si="15"/>
        <v>Michelle Gonzalez</v>
      </c>
      <c r="J235" s="4" t="str">
        <f t="shared" si="16"/>
        <v>Clarkport</v>
      </c>
      <c r="K235" s="4" t="str">
        <f>IF(OR(G235="USA",G235="usa"),"USA",K238
                                                                                                                                                                                                                                                               IF(G235="United States of America","USA","USA"))</f>
        <v>USA</v>
      </c>
      <c r="L235" s="4" t="str">
        <f t="shared" si="17"/>
        <v>CUST1233</v>
      </c>
      <c r="M235" s="4" t="str">
        <f t="shared" si="18"/>
        <v>Silver</v>
      </c>
      <c r="N235" s="4" t="str">
        <f t="shared" si="19"/>
        <v>Ok</v>
      </c>
    </row>
    <row r="236" spans="1:14" ht="15.75" customHeight="1">
      <c r="A236" s="3" t="s">
        <v>780</v>
      </c>
      <c r="B236" s="4" t="s">
        <v>781</v>
      </c>
      <c r="C236" s="4">
        <v>43</v>
      </c>
      <c r="D236" s="4" t="s">
        <v>31</v>
      </c>
      <c r="E236" s="4" t="s">
        <v>782</v>
      </c>
      <c r="F236" s="4" t="s">
        <v>82</v>
      </c>
      <c r="G236" s="4" t="s">
        <v>28</v>
      </c>
      <c r="H236" s="4" t="s">
        <v>67</v>
      </c>
      <c r="I236" s="4" t="str">
        <f t="shared" si="15"/>
        <v>Nathaniel Hill</v>
      </c>
      <c r="J236" s="4" t="str">
        <f t="shared" si="16"/>
        <v>Lake Mark</v>
      </c>
      <c r="K236" s="4" t="str">
        <f>IF(OR(G236="USA",G236="usa"),"USA",K239
                                                                                                                                                                                                                                                               IF(G236="United States of America","USA","USA"))</f>
        <v>USA</v>
      </c>
      <c r="L236" s="4" t="str">
        <f t="shared" si="17"/>
        <v>CUST1234</v>
      </c>
      <c r="M236" s="4" t="str">
        <f t="shared" si="18"/>
        <v>Gold</v>
      </c>
      <c r="N236" s="4" t="str">
        <f t="shared" si="19"/>
        <v>Ok</v>
      </c>
    </row>
    <row r="237" spans="1:14" ht="15.75" customHeight="1">
      <c r="A237" s="3" t="s">
        <v>783</v>
      </c>
      <c r="B237" s="4" t="s">
        <v>784</v>
      </c>
      <c r="C237" s="4">
        <v>28</v>
      </c>
      <c r="D237" s="4" t="s">
        <v>31</v>
      </c>
      <c r="E237" s="4" t="s">
        <v>785</v>
      </c>
      <c r="F237" s="4" t="s">
        <v>112</v>
      </c>
      <c r="G237" s="4" t="s">
        <v>28</v>
      </c>
      <c r="H237" s="4" t="s">
        <v>44</v>
      </c>
      <c r="I237" s="4" t="str">
        <f t="shared" si="15"/>
        <v>Jon Ortiz</v>
      </c>
      <c r="J237" s="4" t="str">
        <f t="shared" si="16"/>
        <v>South Angelaport</v>
      </c>
      <c r="K237" s="4" t="str">
        <f>IF(OR(G237="USA",G237="usa"),"USA",K240
                                                                                                                                                                                                                                                               IF(G237="United States of America","USA","USA"))</f>
        <v>USA</v>
      </c>
      <c r="L237" s="4" t="str">
        <f t="shared" si="17"/>
        <v>CUST1235</v>
      </c>
      <c r="M237" s="4" t="str">
        <f t="shared" si="18"/>
        <v>Bronze</v>
      </c>
      <c r="N237" s="4" t="str">
        <f t="shared" si="19"/>
        <v>Ok</v>
      </c>
    </row>
    <row r="238" spans="1:14" ht="15.75" customHeight="1">
      <c r="A238" s="3" t="s">
        <v>786</v>
      </c>
      <c r="B238" s="4" t="s">
        <v>787</v>
      </c>
      <c r="C238" s="4">
        <v>42</v>
      </c>
      <c r="D238" s="4" t="s">
        <v>31</v>
      </c>
      <c r="E238" s="4" t="s">
        <v>788</v>
      </c>
      <c r="F238" s="4" t="s">
        <v>308</v>
      </c>
      <c r="G238" s="4" t="s">
        <v>28</v>
      </c>
      <c r="H238" s="4" t="s">
        <v>44</v>
      </c>
      <c r="I238" s="4" t="str">
        <f t="shared" si="15"/>
        <v>Joshua Wilson</v>
      </c>
      <c r="J238" s="4" t="str">
        <f t="shared" si="16"/>
        <v>North Larryport</v>
      </c>
      <c r="K238" s="4" t="str">
        <f>IF(OR(G238="USA",G238="usa"),"USA",K241
                                                                                                                                                                                                                                                               IF(G238="United States of America","USA","USA"))</f>
        <v>USA</v>
      </c>
      <c r="L238" s="4" t="str">
        <f t="shared" si="17"/>
        <v>CUST1236</v>
      </c>
      <c r="M238" s="4" t="str">
        <f t="shared" si="18"/>
        <v>Bronze</v>
      </c>
      <c r="N238" s="4" t="str">
        <f t="shared" si="19"/>
        <v>Ok</v>
      </c>
    </row>
    <row r="239" spans="1:14" ht="15.75" customHeight="1">
      <c r="A239" s="3" t="s">
        <v>789</v>
      </c>
      <c r="B239" s="4" t="s">
        <v>790</v>
      </c>
      <c r="C239" s="4">
        <v>41</v>
      </c>
      <c r="D239" s="4" t="s">
        <v>31</v>
      </c>
      <c r="E239" s="4" t="s">
        <v>791</v>
      </c>
      <c r="F239" s="4" t="s">
        <v>86</v>
      </c>
      <c r="G239" s="4" t="s">
        <v>28</v>
      </c>
      <c r="H239" s="4" t="s">
        <v>67</v>
      </c>
      <c r="I239" s="4" t="str">
        <f t="shared" si="15"/>
        <v>Wesley Short</v>
      </c>
      <c r="J239" s="4" t="str">
        <f t="shared" si="16"/>
        <v>Susanstad</v>
      </c>
      <c r="K239" s="4" t="str">
        <f>IF(OR(G239="USA",G239="usa"),"USA",K242
                                                                                                                                                                                                                                                               IF(G239="United States of America","USA","USA"))</f>
        <v>USA</v>
      </c>
      <c r="L239" s="4" t="str">
        <f t="shared" si="17"/>
        <v>CUST1237</v>
      </c>
      <c r="M239" s="4" t="str">
        <f t="shared" si="18"/>
        <v>Gold</v>
      </c>
      <c r="N239" s="4" t="str">
        <f t="shared" si="19"/>
        <v>Ok</v>
      </c>
    </row>
    <row r="240" spans="1:14" ht="15.75" customHeight="1">
      <c r="A240" s="3" t="s">
        <v>792</v>
      </c>
      <c r="B240" s="4" t="s">
        <v>793</v>
      </c>
      <c r="C240" s="4">
        <v>40</v>
      </c>
      <c r="D240" s="4" t="s">
        <v>25</v>
      </c>
      <c r="E240" s="4" t="s">
        <v>794</v>
      </c>
      <c r="F240" s="4" t="s">
        <v>62</v>
      </c>
      <c r="G240" s="4" t="s">
        <v>28</v>
      </c>
      <c r="H240" s="4" t="s">
        <v>34</v>
      </c>
      <c r="I240" s="4" t="str">
        <f t="shared" si="15"/>
        <v>Steven Smith</v>
      </c>
      <c r="J240" s="4" t="str">
        <f t="shared" si="16"/>
        <v>Port Krista</v>
      </c>
      <c r="K240" s="4" t="str">
        <f>IF(OR(G240="USA",G240="usa"),"USA",K243
                                                                                                                                                                                                                                                               IF(G240="United States of America","USA","USA"))</f>
        <v>USA</v>
      </c>
      <c r="L240" s="4" t="str">
        <f t="shared" si="17"/>
        <v>CUST1238</v>
      </c>
      <c r="M240" s="4" t="str">
        <f t="shared" si="18"/>
        <v>Platinum</v>
      </c>
      <c r="N240" s="4" t="str">
        <f t="shared" si="19"/>
        <v>Ok</v>
      </c>
    </row>
    <row r="241" spans="1:14" ht="15.75" customHeight="1">
      <c r="A241" s="3" t="s">
        <v>795</v>
      </c>
      <c r="B241" s="4" t="s">
        <v>796</v>
      </c>
      <c r="C241" s="4">
        <v>58</v>
      </c>
      <c r="D241" s="4" t="s">
        <v>31</v>
      </c>
      <c r="E241" s="4" t="s">
        <v>797</v>
      </c>
      <c r="F241" s="4" t="s">
        <v>205</v>
      </c>
      <c r="G241" s="4" t="s">
        <v>28</v>
      </c>
      <c r="H241" s="4" t="s">
        <v>34</v>
      </c>
      <c r="I241" s="4" t="str">
        <f t="shared" si="15"/>
        <v>Maria Hill</v>
      </c>
      <c r="J241" s="4" t="str">
        <f t="shared" si="16"/>
        <v>Zamoraborough</v>
      </c>
      <c r="K241" s="4" t="str">
        <f>IF(OR(G241="USA",G241="usa"),"USA",K244
                                                                                                                                                                                                                                                               IF(G241="United States of America","USA","USA"))</f>
        <v>USA</v>
      </c>
      <c r="L241" s="4" t="str">
        <f t="shared" si="17"/>
        <v>CUST1239</v>
      </c>
      <c r="M241" s="4" t="str">
        <f t="shared" si="18"/>
        <v>Platinum</v>
      </c>
      <c r="N241" s="4" t="str">
        <f t="shared" si="19"/>
        <v>Ok</v>
      </c>
    </row>
    <row r="242" spans="1:14" ht="15.75" customHeight="1">
      <c r="A242" s="3" t="s">
        <v>798</v>
      </c>
      <c r="B242" s="4" t="s">
        <v>799</v>
      </c>
      <c r="C242" s="4">
        <v>59</v>
      </c>
      <c r="D242" s="4" t="s">
        <v>31</v>
      </c>
      <c r="E242" s="4" t="s">
        <v>800</v>
      </c>
      <c r="F242" s="4" t="s">
        <v>177</v>
      </c>
      <c r="G242" s="4" t="s">
        <v>28</v>
      </c>
      <c r="H242" s="4" t="s">
        <v>34</v>
      </c>
      <c r="I242" s="4" t="str">
        <f t="shared" si="15"/>
        <v>William Hull</v>
      </c>
      <c r="J242" s="4" t="str">
        <f t="shared" si="16"/>
        <v>Heathfort</v>
      </c>
      <c r="K242" s="4" t="str">
        <f>IF(OR(G242="USA",G242="usa"),"USA",K245
                                                                                                                                                                                                                                                               IF(G242="United States of America","USA","USA"))</f>
        <v>USA</v>
      </c>
      <c r="L242" s="4" t="str">
        <f t="shared" si="17"/>
        <v>CUST1240</v>
      </c>
      <c r="M242" s="4" t="str">
        <f t="shared" si="18"/>
        <v>Platinum</v>
      </c>
      <c r="N242" s="4" t="str">
        <f t="shared" si="19"/>
        <v>Ok</v>
      </c>
    </row>
    <row r="243" spans="1:14" ht="15.75" customHeight="1">
      <c r="A243" s="3" t="s">
        <v>801</v>
      </c>
      <c r="B243" s="4" t="s">
        <v>802</v>
      </c>
      <c r="C243" s="4">
        <v>31</v>
      </c>
      <c r="D243" s="4" t="s">
        <v>25</v>
      </c>
      <c r="E243" s="4" t="s">
        <v>803</v>
      </c>
      <c r="F243" s="4" t="s">
        <v>308</v>
      </c>
      <c r="G243" s="4" t="s">
        <v>28</v>
      </c>
      <c r="H243" s="4" t="s">
        <v>34</v>
      </c>
      <c r="I243" s="4" t="str">
        <f t="shared" si="15"/>
        <v>Mr. William Horton</v>
      </c>
      <c r="J243" s="4" t="str">
        <f t="shared" si="16"/>
        <v>Dawsonchester</v>
      </c>
      <c r="K243" s="4" t="str">
        <f>IF(OR(G243="USA",G243="usa"),"USA",K246
                                                                                                                                                                                                                                                               IF(G243="United States of America","USA","USA"))</f>
        <v>USA</v>
      </c>
      <c r="L243" s="4" t="str">
        <f t="shared" si="17"/>
        <v>CUST1241</v>
      </c>
      <c r="M243" s="4" t="str">
        <f t="shared" si="18"/>
        <v>Platinum</v>
      </c>
      <c r="N243" s="4" t="str">
        <f t="shared" si="19"/>
        <v>Ok</v>
      </c>
    </row>
    <row r="244" spans="1:14" ht="15.75" customHeight="1">
      <c r="A244" s="3" t="s">
        <v>804</v>
      </c>
      <c r="B244" s="4" t="s">
        <v>805</v>
      </c>
      <c r="C244" s="4">
        <v>58</v>
      </c>
      <c r="D244" s="4" t="s">
        <v>31</v>
      </c>
      <c r="E244" s="4" t="s">
        <v>806</v>
      </c>
      <c r="F244" s="4" t="s">
        <v>188</v>
      </c>
      <c r="G244" s="4" t="s">
        <v>28</v>
      </c>
      <c r="H244" s="4" t="s">
        <v>50</v>
      </c>
      <c r="I244" s="4" t="str">
        <f t="shared" si="15"/>
        <v>William Jackson</v>
      </c>
      <c r="J244" s="4" t="str">
        <f t="shared" si="16"/>
        <v>New Tina</v>
      </c>
      <c r="K244" s="4" t="str">
        <f>IF(OR(G244="USA",G244="usa"),"USA",K247
                                                                                                                                                                                                                                                               IF(G244="United States of America","USA","USA"))</f>
        <v>USA</v>
      </c>
      <c r="L244" s="4" t="str">
        <f t="shared" si="17"/>
        <v>CUST1242</v>
      </c>
      <c r="M244" s="4" t="str">
        <f t="shared" si="18"/>
        <v>Silver</v>
      </c>
      <c r="N244" s="4" t="str">
        <f t="shared" si="19"/>
        <v>Ok</v>
      </c>
    </row>
    <row r="245" spans="1:14" ht="15.75" customHeight="1">
      <c r="A245" s="3" t="s">
        <v>807</v>
      </c>
      <c r="B245" s="4" t="s">
        <v>808</v>
      </c>
      <c r="C245" s="4">
        <v>56</v>
      </c>
      <c r="D245" s="4" t="s">
        <v>31</v>
      </c>
      <c r="E245" s="4" t="s">
        <v>809</v>
      </c>
      <c r="F245" s="4" t="s">
        <v>380</v>
      </c>
      <c r="G245" s="4" t="s">
        <v>28</v>
      </c>
      <c r="H245" s="4" t="s">
        <v>67</v>
      </c>
      <c r="I245" s="4" t="str">
        <f t="shared" si="15"/>
        <v>Brian Hammond</v>
      </c>
      <c r="J245" s="4" t="str">
        <f t="shared" si="16"/>
        <v>North Nicholas</v>
      </c>
      <c r="K245" s="4" t="str">
        <f>IF(OR(G245="USA",G245="usa"),"USA",K248
                                                                                                                                                                                                                                                               IF(G245="United States of America","USA","USA"))</f>
        <v>USA</v>
      </c>
      <c r="L245" s="4" t="str">
        <f t="shared" si="17"/>
        <v>CUST1243</v>
      </c>
      <c r="M245" s="4" t="str">
        <f t="shared" si="18"/>
        <v>Gold</v>
      </c>
      <c r="N245" s="4" t="str">
        <f t="shared" si="19"/>
        <v>Ok</v>
      </c>
    </row>
    <row r="246" spans="1:14" ht="15.75" customHeight="1">
      <c r="A246" s="3" t="s">
        <v>810</v>
      </c>
      <c r="B246" s="4" t="s">
        <v>811</v>
      </c>
      <c r="C246" s="4">
        <v>19</v>
      </c>
      <c r="D246" s="4" t="s">
        <v>25</v>
      </c>
      <c r="E246" s="4" t="s">
        <v>812</v>
      </c>
      <c r="F246" s="4" t="s">
        <v>138</v>
      </c>
      <c r="G246" s="4" t="s">
        <v>28</v>
      </c>
      <c r="H246" s="4" t="s">
        <v>44</v>
      </c>
      <c r="I246" s="4" t="str">
        <f t="shared" si="15"/>
        <v>Nancy Page</v>
      </c>
      <c r="J246" s="4" t="str">
        <f t="shared" si="16"/>
        <v>West Julia</v>
      </c>
      <c r="K246" s="4" t="str">
        <f>IF(OR(G246="USA",G246="usa"),"USA",K249
                                                                                                                                                                                                                                                               IF(G246="United States of America","USA","USA"))</f>
        <v>USA</v>
      </c>
      <c r="L246" s="4" t="str">
        <f t="shared" si="17"/>
        <v>CUST1244</v>
      </c>
      <c r="M246" s="4" t="str">
        <f t="shared" si="18"/>
        <v>Bronze</v>
      </c>
      <c r="N246" s="4" t="str">
        <f t="shared" si="19"/>
        <v>Ok</v>
      </c>
    </row>
    <row r="247" spans="1:14" ht="15.75" customHeight="1">
      <c r="A247" s="3" t="s">
        <v>813</v>
      </c>
      <c r="B247" s="4" t="s">
        <v>814</v>
      </c>
      <c r="C247" s="4">
        <v>57</v>
      </c>
      <c r="D247" s="4" t="s">
        <v>31</v>
      </c>
      <c r="E247" s="4" t="s">
        <v>815</v>
      </c>
      <c r="F247" s="4" t="s">
        <v>177</v>
      </c>
      <c r="G247" s="4" t="s">
        <v>28</v>
      </c>
      <c r="H247" s="4" t="s">
        <v>34</v>
      </c>
      <c r="I247" s="4" t="str">
        <f t="shared" si="15"/>
        <v>Laura Soto</v>
      </c>
      <c r="J247" s="4" t="str">
        <f t="shared" si="16"/>
        <v>Rodriguezton</v>
      </c>
      <c r="K247" s="4" t="str">
        <f>IF(OR(G247="USA",G247="usa"),"USA",K250
                                                                                                                                                                                                                                                               IF(G247="United States of America","USA","USA"))</f>
        <v>USA</v>
      </c>
      <c r="L247" s="4" t="str">
        <f t="shared" si="17"/>
        <v>CUST1245</v>
      </c>
      <c r="M247" s="4" t="str">
        <f t="shared" si="18"/>
        <v>Platinum</v>
      </c>
      <c r="N247" s="4" t="str">
        <f t="shared" si="19"/>
        <v>Ok</v>
      </c>
    </row>
    <row r="248" spans="1:14" ht="15.75" customHeight="1">
      <c r="A248" s="3" t="s">
        <v>816</v>
      </c>
      <c r="B248" s="4" t="s">
        <v>817</v>
      </c>
      <c r="C248" s="4">
        <v>58</v>
      </c>
      <c r="D248" s="4" t="s">
        <v>25</v>
      </c>
      <c r="E248" s="4" t="s">
        <v>818</v>
      </c>
      <c r="F248" s="4" t="s">
        <v>312</v>
      </c>
      <c r="G248" s="4" t="s">
        <v>28</v>
      </c>
      <c r="H248" s="4" t="s">
        <v>44</v>
      </c>
      <c r="I248" s="4" t="str">
        <f t="shared" si="15"/>
        <v>Mary Russell</v>
      </c>
      <c r="J248" s="4" t="str">
        <f t="shared" si="16"/>
        <v>South Regina</v>
      </c>
      <c r="K248" s="4" t="str">
        <f>IF(OR(G248="USA",G248="usa"),"USA",K251
                                                                                                                                                                                                                                                               IF(G248="United States of America","USA","USA"))</f>
        <v>USA</v>
      </c>
      <c r="L248" s="4" t="str">
        <f t="shared" si="17"/>
        <v>CUST1246</v>
      </c>
      <c r="M248" s="4" t="str">
        <f t="shared" si="18"/>
        <v>Bronze</v>
      </c>
      <c r="N248" s="4" t="str">
        <f t="shared" si="19"/>
        <v>Ok</v>
      </c>
    </row>
    <row r="249" spans="1:14" ht="15.75" customHeight="1">
      <c r="A249" s="3" t="s">
        <v>819</v>
      </c>
      <c r="B249" s="4" t="s">
        <v>820</v>
      </c>
      <c r="C249" s="4">
        <v>32</v>
      </c>
      <c r="D249" s="4" t="s">
        <v>25</v>
      </c>
      <c r="E249" s="4" t="s">
        <v>821</v>
      </c>
      <c r="F249" s="4" t="s">
        <v>66</v>
      </c>
      <c r="G249" s="4" t="s">
        <v>28</v>
      </c>
      <c r="H249" s="4" t="s">
        <v>34</v>
      </c>
      <c r="I249" s="4" t="str">
        <f t="shared" si="15"/>
        <v>Douglas Rhodes</v>
      </c>
      <c r="J249" s="4" t="str">
        <f t="shared" si="16"/>
        <v>Mikehaven</v>
      </c>
      <c r="K249" s="4" t="str">
        <f>IF(OR(G249="USA",G249="usa"),"USA",K252
                                                                                                                                                                                                                                                               IF(G249="United States of America","USA","USA"))</f>
        <v>USA</v>
      </c>
      <c r="L249" s="4" t="str">
        <f t="shared" si="17"/>
        <v>CUST1247</v>
      </c>
      <c r="M249" s="4" t="str">
        <f t="shared" si="18"/>
        <v>Platinum</v>
      </c>
      <c r="N249" s="4" t="str">
        <f t="shared" si="19"/>
        <v>Ok</v>
      </c>
    </row>
    <row r="250" spans="1:14" ht="15.75" customHeight="1">
      <c r="A250" s="3" t="s">
        <v>822</v>
      </c>
      <c r="B250" s="4" t="s">
        <v>823</v>
      </c>
      <c r="C250" s="4">
        <v>19</v>
      </c>
      <c r="D250" s="4" t="s">
        <v>25</v>
      </c>
      <c r="E250" s="4" t="s">
        <v>824</v>
      </c>
      <c r="F250" s="4" t="s">
        <v>205</v>
      </c>
      <c r="G250" s="4" t="s">
        <v>28</v>
      </c>
      <c r="H250" s="4" t="s">
        <v>67</v>
      </c>
      <c r="I250" s="4" t="str">
        <f t="shared" si="15"/>
        <v>Nicholas Webb</v>
      </c>
      <c r="J250" s="4" t="str">
        <f t="shared" si="16"/>
        <v>Lake Timothy</v>
      </c>
      <c r="K250" s="4" t="str">
        <f>IF(OR(G250="USA",G250="usa"),"USA",K253
                                                                                                                                                                                                                                                               IF(G250="United States of America","USA","USA"))</f>
        <v>USA</v>
      </c>
      <c r="L250" s="4" t="str">
        <f t="shared" si="17"/>
        <v>CUST1248</v>
      </c>
      <c r="M250" s="4" t="str">
        <f t="shared" si="18"/>
        <v>Gold</v>
      </c>
      <c r="N250" s="4" t="str">
        <f t="shared" si="19"/>
        <v>Ok</v>
      </c>
    </row>
    <row r="251" spans="1:14" ht="15.75" customHeight="1">
      <c r="A251" s="3" t="s">
        <v>825</v>
      </c>
      <c r="B251" s="4" t="s">
        <v>826</v>
      </c>
      <c r="C251" s="4">
        <v>41</v>
      </c>
      <c r="D251" s="4" t="s">
        <v>31</v>
      </c>
      <c r="E251" s="4" t="s">
        <v>827</v>
      </c>
      <c r="F251" s="4" t="s">
        <v>78</v>
      </c>
      <c r="G251" s="4" t="s">
        <v>28</v>
      </c>
      <c r="H251" s="4" t="s">
        <v>67</v>
      </c>
      <c r="I251" s="4" t="str">
        <f t="shared" si="15"/>
        <v>Lauren George</v>
      </c>
      <c r="J251" s="4" t="str">
        <f t="shared" si="16"/>
        <v>Garciamouth</v>
      </c>
      <c r="K251" s="4" t="str">
        <f>IF(OR(G251="USA",G251="usa"),"USA",K254
                                                                                                                                                                                                                                                               IF(G251="United States of America","USA","USA"))</f>
        <v>USA</v>
      </c>
      <c r="L251" s="4" t="str">
        <f t="shared" si="17"/>
        <v>CUST1249</v>
      </c>
      <c r="M251" s="4" t="str">
        <f t="shared" si="18"/>
        <v>Gold</v>
      </c>
      <c r="N251" s="4" t="str">
        <f t="shared" si="19"/>
        <v>Ok</v>
      </c>
    </row>
    <row r="252" spans="1:14" ht="15.75" customHeight="1">
      <c r="A252" s="3" t="s">
        <v>828</v>
      </c>
      <c r="B252" s="4" t="s">
        <v>829</v>
      </c>
      <c r="C252" s="4">
        <v>48</v>
      </c>
      <c r="D252" s="4" t="s">
        <v>25</v>
      </c>
      <c r="E252" s="4" t="s">
        <v>830</v>
      </c>
      <c r="F252" s="4" t="s">
        <v>112</v>
      </c>
      <c r="G252" s="4" t="s">
        <v>28</v>
      </c>
      <c r="H252" s="4" t="s">
        <v>34</v>
      </c>
      <c r="I252" s="4" t="str">
        <f t="shared" si="15"/>
        <v>Veronica Newman</v>
      </c>
      <c r="J252" s="4" t="str">
        <f t="shared" si="16"/>
        <v>New Daniel</v>
      </c>
      <c r="K252" s="4" t="str">
        <f>IF(OR(G252="USA",G252="usa"),"USA",K255
                                                                                                                                                                                                                                                               IF(G252="United States of America","USA","USA"))</f>
        <v>USA</v>
      </c>
      <c r="L252" s="4" t="str">
        <f t="shared" si="17"/>
        <v>CUST1250</v>
      </c>
      <c r="M252" s="4" t="str">
        <f t="shared" si="18"/>
        <v>Platinum</v>
      </c>
      <c r="N252" s="4" t="str">
        <f t="shared" si="19"/>
        <v>Ok</v>
      </c>
    </row>
    <row r="253" spans="1:14" ht="15.75" customHeight="1">
      <c r="A253" s="3" t="s">
        <v>831</v>
      </c>
      <c r="B253" s="4" t="s">
        <v>832</v>
      </c>
      <c r="C253" s="4">
        <v>64</v>
      </c>
      <c r="D253" s="4" t="s">
        <v>25</v>
      </c>
      <c r="E253" s="4" t="s">
        <v>833</v>
      </c>
      <c r="F253" s="4" t="s">
        <v>38</v>
      </c>
      <c r="G253" s="4" t="s">
        <v>28</v>
      </c>
      <c r="H253" s="4" t="s">
        <v>50</v>
      </c>
      <c r="I253" s="4" t="str">
        <f t="shared" si="15"/>
        <v>Tyler Garner</v>
      </c>
      <c r="J253" s="4" t="str">
        <f t="shared" si="16"/>
        <v>Port Coreyfort</v>
      </c>
      <c r="K253" s="4" t="str">
        <f>IF(OR(G253="USA",G253="usa"),"USA",K256
                                                                                                                                                                                                                                                               IF(G253="United States of America","USA","USA"))</f>
        <v>USA</v>
      </c>
      <c r="L253" s="4" t="str">
        <f t="shared" si="17"/>
        <v>CUST1251</v>
      </c>
      <c r="M253" s="4" t="str">
        <f t="shared" si="18"/>
        <v>Silver</v>
      </c>
      <c r="N253" s="4" t="str">
        <f t="shared" si="19"/>
        <v>Ok</v>
      </c>
    </row>
    <row r="254" spans="1:14" ht="15.75" customHeight="1">
      <c r="A254" s="3" t="s">
        <v>834</v>
      </c>
      <c r="B254" s="4" t="s">
        <v>835</v>
      </c>
      <c r="C254" s="4">
        <v>26</v>
      </c>
      <c r="D254" s="4" t="s">
        <v>25</v>
      </c>
      <c r="E254" s="4" t="s">
        <v>836</v>
      </c>
      <c r="F254" s="4" t="s">
        <v>58</v>
      </c>
      <c r="G254" s="4" t="s">
        <v>28</v>
      </c>
      <c r="H254" s="4" t="s">
        <v>50</v>
      </c>
      <c r="I254" s="4" t="str">
        <f t="shared" si="15"/>
        <v>John Mccoy</v>
      </c>
      <c r="J254" s="4" t="str">
        <f t="shared" si="16"/>
        <v>Robinborough</v>
      </c>
      <c r="K254" s="4" t="str">
        <f>IF(OR(G254="USA",G254="usa"),"USA",K257
                                                                                                                                                                                                                                                               IF(G254="United States of America","USA","USA"))</f>
        <v>USA</v>
      </c>
      <c r="L254" s="4" t="str">
        <f t="shared" si="17"/>
        <v>CUST1252</v>
      </c>
      <c r="M254" s="4" t="str">
        <f t="shared" si="18"/>
        <v>Silver</v>
      </c>
      <c r="N254" s="4" t="str">
        <f t="shared" si="19"/>
        <v>Ok</v>
      </c>
    </row>
    <row r="255" spans="1:14" ht="15.75" customHeight="1">
      <c r="A255" s="3" t="s">
        <v>837</v>
      </c>
      <c r="B255" s="4" t="s">
        <v>838</v>
      </c>
      <c r="C255" s="4">
        <v>32</v>
      </c>
      <c r="D255" s="4" t="s">
        <v>25</v>
      </c>
      <c r="E255" s="4" t="s">
        <v>839</v>
      </c>
      <c r="F255" s="4" t="s">
        <v>345</v>
      </c>
      <c r="G255" s="4" t="s">
        <v>28</v>
      </c>
      <c r="H255" s="4" t="s">
        <v>44</v>
      </c>
      <c r="I255" s="4" t="str">
        <f t="shared" si="15"/>
        <v>Dr. Ashley Yates Md</v>
      </c>
      <c r="J255" s="4" t="str">
        <f t="shared" si="16"/>
        <v>New Maria</v>
      </c>
      <c r="K255" s="4" t="str">
        <f>IF(OR(G255="USA",G255="usa"),"USA",K258
                                                                                                                                                                                                                                                               IF(G255="United States of America","USA","USA"))</f>
        <v>USA</v>
      </c>
      <c r="L255" s="4" t="str">
        <f t="shared" si="17"/>
        <v>CUST1253</v>
      </c>
      <c r="M255" s="4" t="str">
        <f t="shared" si="18"/>
        <v>Bronze</v>
      </c>
      <c r="N255" s="4" t="str">
        <f t="shared" si="19"/>
        <v>Ok</v>
      </c>
    </row>
    <row r="256" spans="1:14" ht="15.75" customHeight="1">
      <c r="A256" s="3" t="s">
        <v>840</v>
      </c>
      <c r="B256" s="4" t="s">
        <v>841</v>
      </c>
      <c r="C256" s="4">
        <v>34</v>
      </c>
      <c r="D256" s="4" t="s">
        <v>25</v>
      </c>
      <c r="E256" s="4" t="s">
        <v>842</v>
      </c>
      <c r="F256" s="4" t="s">
        <v>184</v>
      </c>
      <c r="G256" s="4" t="s">
        <v>28</v>
      </c>
      <c r="H256" s="4" t="s">
        <v>50</v>
      </c>
      <c r="I256" s="4" t="str">
        <f t="shared" si="15"/>
        <v>Linda Kline</v>
      </c>
      <c r="J256" s="4" t="str">
        <f t="shared" si="16"/>
        <v>Masseyland</v>
      </c>
      <c r="K256" s="4" t="str">
        <f>IF(OR(G256="USA",G256="usa"),"USA",K259
                                                                                                                                                                                                                                                               IF(G256="United States of America","USA","USA"))</f>
        <v>USA</v>
      </c>
      <c r="L256" s="4" t="str">
        <f t="shared" si="17"/>
        <v>CUST1254</v>
      </c>
      <c r="M256" s="4" t="str">
        <f t="shared" si="18"/>
        <v>Silver</v>
      </c>
      <c r="N256" s="4" t="str">
        <f t="shared" si="19"/>
        <v>Ok</v>
      </c>
    </row>
    <row r="257" spans="1:14" ht="15.75" customHeight="1">
      <c r="A257" s="3" t="s">
        <v>843</v>
      </c>
      <c r="B257" s="4" t="s">
        <v>844</v>
      </c>
      <c r="C257" s="4">
        <v>21</v>
      </c>
      <c r="D257" s="4" t="s">
        <v>25</v>
      </c>
      <c r="E257" s="4" t="s">
        <v>845</v>
      </c>
      <c r="F257" s="4" t="s">
        <v>43</v>
      </c>
      <c r="G257" s="4" t="s">
        <v>28</v>
      </c>
      <c r="H257" s="4" t="s">
        <v>67</v>
      </c>
      <c r="I257" s="4" t="str">
        <f t="shared" si="15"/>
        <v>Damon Perez</v>
      </c>
      <c r="J257" s="4" t="str">
        <f t="shared" si="16"/>
        <v>Jasonton</v>
      </c>
      <c r="K257" s="4" t="str">
        <f>IF(OR(G257="USA",G257="usa"),"USA",K260
                                                                                                                                                                                                                                                               IF(G257="United States of America","USA","USA"))</f>
        <v>USA</v>
      </c>
      <c r="L257" s="4" t="str">
        <f t="shared" si="17"/>
        <v>CUST1255</v>
      </c>
      <c r="M257" s="4" t="str">
        <f t="shared" si="18"/>
        <v>Gold</v>
      </c>
      <c r="N257" s="4" t="str">
        <f t="shared" si="19"/>
        <v>Ok</v>
      </c>
    </row>
    <row r="258" spans="1:14" ht="15.75" customHeight="1">
      <c r="A258" s="3" t="s">
        <v>846</v>
      </c>
      <c r="B258" s="4" t="s">
        <v>847</v>
      </c>
      <c r="C258" s="4">
        <v>57</v>
      </c>
      <c r="D258" s="4" t="s">
        <v>25</v>
      </c>
      <c r="E258" s="4" t="s">
        <v>848</v>
      </c>
      <c r="F258" s="4" t="s">
        <v>312</v>
      </c>
      <c r="G258" s="4" t="s">
        <v>28</v>
      </c>
      <c r="H258" s="4" t="s">
        <v>34</v>
      </c>
      <c r="I258" s="4" t="str">
        <f t="shared" ref="I258:I321" si="20">PROPER(TRIM(B258))</f>
        <v>Kristen Fischer</v>
      </c>
      <c r="J258" s="4" t="str">
        <f t="shared" ref="J258:J321" si="21">PROPER(TRIM(E258))</f>
        <v>Lake Christopher</v>
      </c>
      <c r="K258" s="4" t="str">
        <f>IF(OR(G258="USA",G258="usa"),"USA",K261
                                                                                                                                                                                                                                                               IF(G258="United States of America","USA","USA"))</f>
        <v>USA</v>
      </c>
      <c r="L258" s="4" t="str">
        <f t="shared" ref="L258:L321" si="22">IF(LEFT(A258,1)="C","CUST"&amp;RIGHT(A258,4),A258)</f>
        <v>CUST1256</v>
      </c>
      <c r="M258" s="4" t="str">
        <f t="shared" ref="M258:M321" si="23">IF(H258="","Standard",H258)</f>
        <v>Platinum</v>
      </c>
      <c r="N258" s="4" t="str">
        <f t="shared" ref="N258:N321" si="24">IF(OR(C258&lt;18,C258&gt;70),"Check Age","Ok")</f>
        <v>Ok</v>
      </c>
    </row>
    <row r="259" spans="1:14" ht="15.75" customHeight="1">
      <c r="A259" s="3" t="s">
        <v>849</v>
      </c>
      <c r="B259" s="4" t="s">
        <v>850</v>
      </c>
      <c r="C259" s="4">
        <v>42</v>
      </c>
      <c r="D259" s="4" t="s">
        <v>25</v>
      </c>
      <c r="E259" s="4" t="s">
        <v>851</v>
      </c>
      <c r="F259" s="4" t="s">
        <v>742</v>
      </c>
      <c r="G259" s="4" t="s">
        <v>28</v>
      </c>
      <c r="H259" s="4" t="s">
        <v>50</v>
      </c>
      <c r="I259" s="4" t="str">
        <f t="shared" si="20"/>
        <v>Christopher David</v>
      </c>
      <c r="J259" s="4" t="str">
        <f t="shared" si="21"/>
        <v>Karenmouth</v>
      </c>
      <c r="K259" s="4" t="str">
        <f>IF(OR(G259="USA",G259="usa"),"USA",K262
                                                                                                                                                                                                                                                               IF(G259="United States of America","USA","USA"))</f>
        <v>USA</v>
      </c>
      <c r="L259" s="4" t="str">
        <f t="shared" si="22"/>
        <v>CUST1257</v>
      </c>
      <c r="M259" s="4" t="str">
        <f t="shared" si="23"/>
        <v>Silver</v>
      </c>
      <c r="N259" s="4" t="str">
        <f t="shared" si="24"/>
        <v>Ok</v>
      </c>
    </row>
    <row r="260" spans="1:14" ht="15.75" customHeight="1">
      <c r="A260" s="3" t="s">
        <v>852</v>
      </c>
      <c r="B260" s="4" t="s">
        <v>853</v>
      </c>
      <c r="C260" s="4">
        <v>24</v>
      </c>
      <c r="D260" s="4" t="s">
        <v>31</v>
      </c>
      <c r="E260" s="4" t="s">
        <v>854</v>
      </c>
      <c r="F260" s="4" t="s">
        <v>380</v>
      </c>
      <c r="G260" s="4" t="s">
        <v>28</v>
      </c>
      <c r="H260" s="4" t="s">
        <v>34</v>
      </c>
      <c r="I260" s="4" t="str">
        <f t="shared" si="20"/>
        <v>Sarah Stewart</v>
      </c>
      <c r="J260" s="4" t="str">
        <f t="shared" si="21"/>
        <v>East Richard</v>
      </c>
      <c r="K260" s="4" t="str">
        <f>IF(OR(G260="USA",G260="usa"),"USA",K263
                                                                                                                                                                                                                                                               IF(G260="United States of America","USA","USA"))</f>
        <v>USA</v>
      </c>
      <c r="L260" s="4" t="str">
        <f t="shared" si="22"/>
        <v>CUST1258</v>
      </c>
      <c r="M260" s="4" t="str">
        <f t="shared" si="23"/>
        <v>Platinum</v>
      </c>
      <c r="N260" s="4" t="str">
        <f t="shared" si="24"/>
        <v>Ok</v>
      </c>
    </row>
    <row r="261" spans="1:14" ht="15.75" customHeight="1">
      <c r="A261" s="3" t="s">
        <v>855</v>
      </c>
      <c r="B261" s="4" t="s">
        <v>856</v>
      </c>
      <c r="C261" s="4">
        <v>32</v>
      </c>
      <c r="D261" s="4" t="s">
        <v>31</v>
      </c>
      <c r="E261" s="4" t="s">
        <v>857</v>
      </c>
      <c r="F261" s="4" t="s">
        <v>116</v>
      </c>
      <c r="G261" s="4" t="s">
        <v>28</v>
      </c>
      <c r="H261" s="4" t="s">
        <v>50</v>
      </c>
      <c r="I261" s="4" t="str">
        <f t="shared" si="20"/>
        <v>Beth Allen</v>
      </c>
      <c r="J261" s="4" t="str">
        <f t="shared" si="21"/>
        <v>South Kathrynmouth</v>
      </c>
      <c r="K261" s="4" t="str">
        <f>IF(OR(G261="USA",G261="usa"),"USA",K264
                                                                                                                                                                                                                                                               IF(G261="United States of America","USA","USA"))</f>
        <v>USA</v>
      </c>
      <c r="L261" s="4" t="str">
        <f t="shared" si="22"/>
        <v>CUST1259</v>
      </c>
      <c r="M261" s="4" t="str">
        <f t="shared" si="23"/>
        <v>Silver</v>
      </c>
      <c r="N261" s="4" t="str">
        <f t="shared" si="24"/>
        <v>Ok</v>
      </c>
    </row>
    <row r="262" spans="1:14" ht="15.75" customHeight="1">
      <c r="A262" s="3" t="s">
        <v>858</v>
      </c>
      <c r="B262" s="4" t="s">
        <v>859</v>
      </c>
      <c r="C262" s="4">
        <v>63</v>
      </c>
      <c r="D262" s="4" t="s">
        <v>31</v>
      </c>
      <c r="E262" s="4" t="s">
        <v>860</v>
      </c>
      <c r="F262" s="4" t="s">
        <v>154</v>
      </c>
      <c r="G262" s="4" t="s">
        <v>28</v>
      </c>
      <c r="H262" s="4" t="s">
        <v>34</v>
      </c>
      <c r="I262" s="4" t="str">
        <f t="shared" si="20"/>
        <v>Russell Lamb</v>
      </c>
      <c r="J262" s="4" t="str">
        <f t="shared" si="21"/>
        <v>North Jonathon</v>
      </c>
      <c r="K262" s="4" t="str">
        <f>IF(OR(G262="USA",G262="usa"),"USA",K265
                                                                                                                                                                                                                                                               IF(G262="United States of America","USA","USA"))</f>
        <v>USA</v>
      </c>
      <c r="L262" s="4" t="str">
        <f t="shared" si="22"/>
        <v>CUST1260</v>
      </c>
      <c r="M262" s="4" t="str">
        <f t="shared" si="23"/>
        <v>Platinum</v>
      </c>
      <c r="N262" s="4" t="str">
        <f t="shared" si="24"/>
        <v>Ok</v>
      </c>
    </row>
    <row r="263" spans="1:14" ht="15.75" customHeight="1">
      <c r="A263" s="3" t="s">
        <v>861</v>
      </c>
      <c r="B263" s="4" t="s">
        <v>862</v>
      </c>
      <c r="C263" s="4">
        <v>27</v>
      </c>
      <c r="D263" s="4" t="s">
        <v>31</v>
      </c>
      <c r="E263" s="4" t="s">
        <v>863</v>
      </c>
      <c r="F263" s="4" t="s">
        <v>54</v>
      </c>
      <c r="G263" s="4" t="s">
        <v>28</v>
      </c>
      <c r="H263" s="4" t="s">
        <v>50</v>
      </c>
      <c r="I263" s="4" t="str">
        <f t="shared" si="20"/>
        <v>Carol Bishop</v>
      </c>
      <c r="J263" s="4" t="str">
        <f t="shared" si="21"/>
        <v>Lake Saramouth</v>
      </c>
      <c r="K263" s="4" t="str">
        <f>IF(OR(G263="USA",G263="usa"),"USA",K266
                                                                                                                                                                                                                                                               IF(G263="United States of America","USA","USA"))</f>
        <v>USA</v>
      </c>
      <c r="L263" s="4" t="str">
        <f t="shared" si="22"/>
        <v>CUST1261</v>
      </c>
      <c r="M263" s="4" t="str">
        <f t="shared" si="23"/>
        <v>Silver</v>
      </c>
      <c r="N263" s="4" t="str">
        <f t="shared" si="24"/>
        <v>Ok</v>
      </c>
    </row>
    <row r="264" spans="1:14" ht="15.75" customHeight="1">
      <c r="A264" s="3" t="s">
        <v>864</v>
      </c>
      <c r="B264" s="4" t="s">
        <v>865</v>
      </c>
      <c r="C264" s="4">
        <v>60</v>
      </c>
      <c r="D264" s="4" t="s">
        <v>31</v>
      </c>
      <c r="E264" s="4" t="s">
        <v>866</v>
      </c>
      <c r="F264" s="4" t="s">
        <v>86</v>
      </c>
      <c r="G264" s="4" t="s">
        <v>28</v>
      </c>
      <c r="H264" s="4" t="s">
        <v>50</v>
      </c>
      <c r="I264" s="4" t="str">
        <f t="shared" si="20"/>
        <v>Katherine Cowan</v>
      </c>
      <c r="J264" s="4" t="str">
        <f t="shared" si="21"/>
        <v>New Ana</v>
      </c>
      <c r="K264" s="4" t="str">
        <f>IF(OR(G264="USA",G264="usa"),"USA",K267
                                                                                                                                                                                                                                                               IF(G264="United States of America","USA","USA"))</f>
        <v>USA</v>
      </c>
      <c r="L264" s="4" t="str">
        <f t="shared" si="22"/>
        <v>CUST1262</v>
      </c>
      <c r="M264" s="4" t="str">
        <f t="shared" si="23"/>
        <v>Silver</v>
      </c>
      <c r="N264" s="4" t="str">
        <f t="shared" si="24"/>
        <v>Ok</v>
      </c>
    </row>
    <row r="265" spans="1:14" ht="15.75" customHeight="1">
      <c r="A265" s="3" t="s">
        <v>867</v>
      </c>
      <c r="B265" s="4" t="s">
        <v>868</v>
      </c>
      <c r="C265" s="4">
        <v>50</v>
      </c>
      <c r="D265" s="4" t="s">
        <v>25</v>
      </c>
      <c r="E265" s="4" t="s">
        <v>869</v>
      </c>
      <c r="F265" s="4" t="s">
        <v>349</v>
      </c>
      <c r="G265" s="4" t="s">
        <v>28</v>
      </c>
      <c r="H265" s="4" t="s">
        <v>44</v>
      </c>
      <c r="I265" s="4" t="str">
        <f t="shared" si="20"/>
        <v>Crystal Davis</v>
      </c>
      <c r="J265" s="4" t="str">
        <f t="shared" si="21"/>
        <v>Sallymouth</v>
      </c>
      <c r="K265" s="4" t="str">
        <f>IF(OR(G265="USA",G265="usa"),"USA",K268
                                                                                                                                                                                                                                                               IF(G265="United States of America","USA","USA"))</f>
        <v>USA</v>
      </c>
      <c r="L265" s="4" t="str">
        <f t="shared" si="22"/>
        <v>CUST1263</v>
      </c>
      <c r="M265" s="4" t="str">
        <f t="shared" si="23"/>
        <v>Bronze</v>
      </c>
      <c r="N265" s="4" t="str">
        <f t="shared" si="24"/>
        <v>Ok</v>
      </c>
    </row>
    <row r="266" spans="1:14" ht="15.75" customHeight="1">
      <c r="A266" s="3" t="s">
        <v>870</v>
      </c>
      <c r="B266" s="4" t="s">
        <v>871</v>
      </c>
      <c r="C266" s="4">
        <v>25</v>
      </c>
      <c r="D266" s="4" t="s">
        <v>25</v>
      </c>
      <c r="E266" s="4" t="s">
        <v>872</v>
      </c>
      <c r="F266" s="4" t="s">
        <v>873</v>
      </c>
      <c r="G266" s="4" t="s">
        <v>28</v>
      </c>
      <c r="H266" s="4" t="s">
        <v>67</v>
      </c>
      <c r="I266" s="4" t="str">
        <f t="shared" si="20"/>
        <v>Matthew Payne</v>
      </c>
      <c r="J266" s="4" t="str">
        <f t="shared" si="21"/>
        <v>Grahamfurt</v>
      </c>
      <c r="K266" s="4" t="str">
        <f>IF(OR(G266="USA",G266="usa"),"USA",K269
                                                                                                                                                                                                                                                               IF(G266="United States of America","USA","USA"))</f>
        <v>USA</v>
      </c>
      <c r="L266" s="4" t="str">
        <f t="shared" si="22"/>
        <v>CUST1264</v>
      </c>
      <c r="M266" s="4" t="str">
        <f t="shared" si="23"/>
        <v>Gold</v>
      </c>
      <c r="N266" s="4" t="str">
        <f t="shared" si="24"/>
        <v>Ok</v>
      </c>
    </row>
    <row r="267" spans="1:14" ht="15.75" customHeight="1">
      <c r="A267" s="3" t="s">
        <v>874</v>
      </c>
      <c r="B267" s="4" t="s">
        <v>875</v>
      </c>
      <c r="C267" s="4">
        <v>38</v>
      </c>
      <c r="D267" s="4" t="s">
        <v>25</v>
      </c>
      <c r="E267" s="4" t="s">
        <v>876</v>
      </c>
      <c r="F267" s="4" t="s">
        <v>258</v>
      </c>
      <c r="G267" s="4" t="s">
        <v>28</v>
      </c>
      <c r="H267" s="4" t="s">
        <v>50</v>
      </c>
      <c r="I267" s="4" t="str">
        <f t="shared" si="20"/>
        <v>Tracy Kelly</v>
      </c>
      <c r="J267" s="4" t="str">
        <f t="shared" si="21"/>
        <v>West Jamieport</v>
      </c>
      <c r="K267" s="4" t="str">
        <f>IF(OR(G267="USA",G267="usa"),"USA",K270
                                                                                                                                                                                                                                                               IF(G267="United States of America","USA","USA"))</f>
        <v>USA</v>
      </c>
      <c r="L267" s="4" t="str">
        <f t="shared" si="22"/>
        <v>CUST1265</v>
      </c>
      <c r="M267" s="4" t="str">
        <f t="shared" si="23"/>
        <v>Silver</v>
      </c>
      <c r="N267" s="4" t="str">
        <f t="shared" si="24"/>
        <v>Ok</v>
      </c>
    </row>
    <row r="268" spans="1:14" ht="15.75" customHeight="1">
      <c r="A268" s="3" t="s">
        <v>877</v>
      </c>
      <c r="B268" s="4" t="s">
        <v>878</v>
      </c>
      <c r="C268" s="4">
        <v>32</v>
      </c>
      <c r="D268" s="4" t="s">
        <v>31</v>
      </c>
      <c r="E268" s="4" t="s">
        <v>879</v>
      </c>
      <c r="F268" s="4" t="s">
        <v>613</v>
      </c>
      <c r="G268" s="4" t="s">
        <v>28</v>
      </c>
      <c r="H268" s="4" t="s">
        <v>44</v>
      </c>
      <c r="I268" s="4" t="str">
        <f t="shared" si="20"/>
        <v>Cynthia Payne</v>
      </c>
      <c r="J268" s="4" t="str">
        <f t="shared" si="21"/>
        <v>South Gina</v>
      </c>
      <c r="K268" s="4" t="str">
        <f>IF(OR(G268="USA",G268="usa"),"USA",K271
                                                                                                                                                                                                                                                               IF(G268="United States of America","USA","USA"))</f>
        <v>USA</v>
      </c>
      <c r="L268" s="4" t="str">
        <f t="shared" si="22"/>
        <v>CUST1266</v>
      </c>
      <c r="M268" s="4" t="str">
        <f t="shared" si="23"/>
        <v>Bronze</v>
      </c>
      <c r="N268" s="4" t="str">
        <f t="shared" si="24"/>
        <v>Ok</v>
      </c>
    </row>
    <row r="269" spans="1:14" ht="15.75" customHeight="1">
      <c r="A269" s="3" t="s">
        <v>880</v>
      </c>
      <c r="B269" s="4" t="s">
        <v>881</v>
      </c>
      <c r="C269" s="4">
        <v>18</v>
      </c>
      <c r="D269" s="4" t="s">
        <v>25</v>
      </c>
      <c r="E269" s="4" t="s">
        <v>809</v>
      </c>
      <c r="F269" s="4" t="s">
        <v>86</v>
      </c>
      <c r="G269" s="4" t="s">
        <v>28</v>
      </c>
      <c r="H269" s="4" t="s">
        <v>44</v>
      </c>
      <c r="I269" s="4" t="str">
        <f t="shared" si="20"/>
        <v>Zachary Shelton</v>
      </c>
      <c r="J269" s="4" t="str">
        <f t="shared" si="21"/>
        <v>North Nicholas</v>
      </c>
      <c r="K269" s="4" t="str">
        <f>IF(OR(G269="USA",G269="usa"),"USA",K272
                                                                                                                                                                                                                                                               IF(G269="United States of America","USA","USA"))</f>
        <v>USA</v>
      </c>
      <c r="L269" s="4" t="str">
        <f t="shared" si="22"/>
        <v>CUST1267</v>
      </c>
      <c r="M269" s="4" t="str">
        <f t="shared" si="23"/>
        <v>Bronze</v>
      </c>
      <c r="N269" s="4" t="str">
        <f t="shared" si="24"/>
        <v>Ok</v>
      </c>
    </row>
    <row r="270" spans="1:14" ht="15.75" customHeight="1">
      <c r="A270" s="3" t="s">
        <v>882</v>
      </c>
      <c r="B270" s="4" t="s">
        <v>883</v>
      </c>
      <c r="C270" s="4">
        <v>53</v>
      </c>
      <c r="D270" s="4" t="s">
        <v>31</v>
      </c>
      <c r="E270" s="4" t="s">
        <v>884</v>
      </c>
      <c r="F270" s="4" t="s">
        <v>222</v>
      </c>
      <c r="G270" s="4" t="s">
        <v>28</v>
      </c>
      <c r="H270" s="4" t="s">
        <v>44</v>
      </c>
      <c r="I270" s="4" t="str">
        <f t="shared" si="20"/>
        <v>Kevin Orr</v>
      </c>
      <c r="J270" s="4" t="str">
        <f t="shared" si="21"/>
        <v>Ryanberg</v>
      </c>
      <c r="K270" s="4" t="str">
        <f>IF(OR(G270="USA",G270="usa"),"USA",K273
                                                                                                                                                                                                                                                               IF(G270="United States of America","USA","USA"))</f>
        <v>USA</v>
      </c>
      <c r="L270" s="4" t="str">
        <f t="shared" si="22"/>
        <v>CUST1268</v>
      </c>
      <c r="M270" s="4" t="str">
        <f t="shared" si="23"/>
        <v>Bronze</v>
      </c>
      <c r="N270" s="4" t="str">
        <f t="shared" si="24"/>
        <v>Ok</v>
      </c>
    </row>
    <row r="271" spans="1:14" ht="15.75" customHeight="1">
      <c r="A271" s="3" t="s">
        <v>885</v>
      </c>
      <c r="B271" s="4" t="s">
        <v>886</v>
      </c>
      <c r="C271" s="4">
        <v>45</v>
      </c>
      <c r="D271" s="4" t="s">
        <v>31</v>
      </c>
      <c r="E271" s="4" t="s">
        <v>887</v>
      </c>
      <c r="F271" s="4" t="s">
        <v>49</v>
      </c>
      <c r="G271" s="4" t="s">
        <v>28</v>
      </c>
      <c r="H271" s="4" t="s">
        <v>50</v>
      </c>
      <c r="I271" s="4" t="str">
        <f t="shared" si="20"/>
        <v>Tyrone Olson</v>
      </c>
      <c r="J271" s="4" t="str">
        <f t="shared" si="21"/>
        <v>Emilytown</v>
      </c>
      <c r="K271" s="4" t="str">
        <f>IF(OR(G271="USA",G271="usa"),"USA",K274
                                                                                                                                                                                                                                                               IF(G271="United States of America","USA","USA"))</f>
        <v>USA</v>
      </c>
      <c r="L271" s="4" t="str">
        <f t="shared" si="22"/>
        <v>CUST1269</v>
      </c>
      <c r="M271" s="4" t="str">
        <f t="shared" si="23"/>
        <v>Silver</v>
      </c>
      <c r="N271" s="4" t="str">
        <f t="shared" si="24"/>
        <v>Ok</v>
      </c>
    </row>
    <row r="272" spans="1:14" ht="15.75" customHeight="1">
      <c r="A272" s="3" t="s">
        <v>888</v>
      </c>
      <c r="B272" s="4" t="s">
        <v>889</v>
      </c>
      <c r="C272" s="4">
        <v>31</v>
      </c>
      <c r="D272" s="4" t="s">
        <v>31</v>
      </c>
      <c r="E272" s="4" t="s">
        <v>890</v>
      </c>
      <c r="F272" s="4" t="s">
        <v>349</v>
      </c>
      <c r="G272" s="4" t="s">
        <v>28</v>
      </c>
      <c r="H272" s="4" t="s">
        <v>67</v>
      </c>
      <c r="I272" s="4" t="str">
        <f t="shared" si="20"/>
        <v>Brian Garcia</v>
      </c>
      <c r="J272" s="4" t="str">
        <f t="shared" si="21"/>
        <v>Ramosmouth</v>
      </c>
      <c r="K272" s="4" t="str">
        <f>IF(OR(G272="USA",G272="usa"),"USA",K275
                                                                                                                                                                                                                                                               IF(G272="United States of America","USA","USA"))</f>
        <v>USA</v>
      </c>
      <c r="L272" s="4" t="str">
        <f t="shared" si="22"/>
        <v>CUST1270</v>
      </c>
      <c r="M272" s="4" t="str">
        <f t="shared" si="23"/>
        <v>Gold</v>
      </c>
      <c r="N272" s="4" t="str">
        <f t="shared" si="24"/>
        <v>Ok</v>
      </c>
    </row>
    <row r="273" spans="1:14" ht="15.75" customHeight="1">
      <c r="A273" s="3" t="s">
        <v>891</v>
      </c>
      <c r="B273" s="4" t="s">
        <v>892</v>
      </c>
      <c r="C273" s="4">
        <v>64</v>
      </c>
      <c r="D273" s="4" t="s">
        <v>25</v>
      </c>
      <c r="E273" s="4" t="s">
        <v>893</v>
      </c>
      <c r="F273" s="4" t="s">
        <v>90</v>
      </c>
      <c r="G273" s="4" t="s">
        <v>28</v>
      </c>
      <c r="H273" s="4" t="s">
        <v>34</v>
      </c>
      <c r="I273" s="4" t="str">
        <f t="shared" si="20"/>
        <v>Daisy Johnson Dds</v>
      </c>
      <c r="J273" s="4" t="str">
        <f t="shared" si="21"/>
        <v>North Stephanie</v>
      </c>
      <c r="K273" s="4" t="str">
        <f>IF(OR(G273="USA",G273="usa"),"USA",K276
                                                                                                                                                                                                                                                               IF(G273="United States of America","USA","USA"))</f>
        <v>USA</v>
      </c>
      <c r="L273" s="4" t="str">
        <f t="shared" si="22"/>
        <v>CUST1271</v>
      </c>
      <c r="M273" s="4" t="str">
        <f t="shared" si="23"/>
        <v>Platinum</v>
      </c>
      <c r="N273" s="4" t="str">
        <f t="shared" si="24"/>
        <v>Ok</v>
      </c>
    </row>
    <row r="274" spans="1:14" ht="15.75" customHeight="1">
      <c r="A274" s="3" t="s">
        <v>894</v>
      </c>
      <c r="B274" s="4" t="s">
        <v>895</v>
      </c>
      <c r="C274" s="4">
        <v>48</v>
      </c>
      <c r="D274" s="4" t="s">
        <v>31</v>
      </c>
      <c r="E274" s="4" t="s">
        <v>896</v>
      </c>
      <c r="F274" s="4" t="s">
        <v>49</v>
      </c>
      <c r="G274" s="4" t="s">
        <v>28</v>
      </c>
      <c r="H274" s="4" t="s">
        <v>67</v>
      </c>
      <c r="I274" s="4" t="str">
        <f t="shared" si="20"/>
        <v>Adam Rowland</v>
      </c>
      <c r="J274" s="4" t="str">
        <f t="shared" si="21"/>
        <v>Welchview</v>
      </c>
      <c r="K274" s="4" t="str">
        <f>IF(OR(G274="USA",G274="usa"),"USA",K277
                                                                                                                                                                                                                                                               IF(G274="United States of America","USA","USA"))</f>
        <v>USA</v>
      </c>
      <c r="L274" s="4" t="str">
        <f t="shared" si="22"/>
        <v>CUST1272</v>
      </c>
      <c r="M274" s="4" t="str">
        <f t="shared" si="23"/>
        <v>Gold</v>
      </c>
      <c r="N274" s="4" t="str">
        <f t="shared" si="24"/>
        <v>Ok</v>
      </c>
    </row>
    <row r="275" spans="1:14" ht="15.75" customHeight="1">
      <c r="A275" s="3" t="s">
        <v>897</v>
      </c>
      <c r="B275" s="4" t="s">
        <v>898</v>
      </c>
      <c r="C275" s="4">
        <v>23</v>
      </c>
      <c r="D275" s="4" t="s">
        <v>25</v>
      </c>
      <c r="E275" s="4" t="s">
        <v>899</v>
      </c>
      <c r="F275" s="4" t="s">
        <v>334</v>
      </c>
      <c r="G275" s="4" t="s">
        <v>28</v>
      </c>
      <c r="H275" s="4" t="s">
        <v>44</v>
      </c>
      <c r="I275" s="4" t="str">
        <f t="shared" si="20"/>
        <v>Samantha Robinson</v>
      </c>
      <c r="J275" s="4" t="str">
        <f t="shared" si="21"/>
        <v>North Roy</v>
      </c>
      <c r="K275" s="4" t="str">
        <f>IF(OR(G275="USA",G275="usa"),"USA",K278
                                                                                                                                                                                                                                                               IF(G275="United States of America","USA","USA"))</f>
        <v>USA</v>
      </c>
      <c r="L275" s="4" t="str">
        <f t="shared" si="22"/>
        <v>CUST1273</v>
      </c>
      <c r="M275" s="4" t="str">
        <f t="shared" si="23"/>
        <v>Bronze</v>
      </c>
      <c r="N275" s="4" t="str">
        <f t="shared" si="24"/>
        <v>Ok</v>
      </c>
    </row>
    <row r="276" spans="1:14" ht="15.75" customHeight="1">
      <c r="A276" s="3" t="s">
        <v>900</v>
      </c>
      <c r="B276" s="4" t="s">
        <v>901</v>
      </c>
      <c r="C276" s="4">
        <v>38</v>
      </c>
      <c r="D276" s="4" t="s">
        <v>25</v>
      </c>
      <c r="E276" s="4" t="s">
        <v>902</v>
      </c>
      <c r="F276" s="4" t="s">
        <v>192</v>
      </c>
      <c r="G276" s="4" t="s">
        <v>28</v>
      </c>
      <c r="H276" s="4" t="s">
        <v>50</v>
      </c>
      <c r="I276" s="4" t="str">
        <f t="shared" si="20"/>
        <v>Sarah Lane</v>
      </c>
      <c r="J276" s="4" t="str">
        <f t="shared" si="21"/>
        <v>Edwardborough</v>
      </c>
      <c r="K276" s="4" t="str">
        <f>IF(OR(G276="USA",G276="usa"),"USA",K279
                                                                                                                                                                                                                                                               IF(G276="United States of America","USA","USA"))</f>
        <v>USA</v>
      </c>
      <c r="L276" s="4" t="str">
        <f t="shared" si="22"/>
        <v>CUST1274</v>
      </c>
      <c r="M276" s="4" t="str">
        <f t="shared" si="23"/>
        <v>Silver</v>
      </c>
      <c r="N276" s="4" t="str">
        <f t="shared" si="24"/>
        <v>Ok</v>
      </c>
    </row>
    <row r="277" spans="1:14" ht="15.75" customHeight="1">
      <c r="A277" s="3" t="s">
        <v>903</v>
      </c>
      <c r="B277" s="4" t="s">
        <v>904</v>
      </c>
      <c r="C277" s="4">
        <v>22</v>
      </c>
      <c r="D277" s="4" t="s">
        <v>25</v>
      </c>
      <c r="E277" s="4" t="s">
        <v>905</v>
      </c>
      <c r="F277" s="4" t="s">
        <v>613</v>
      </c>
      <c r="G277" s="4" t="s">
        <v>28</v>
      </c>
      <c r="H277" s="4" t="s">
        <v>67</v>
      </c>
      <c r="I277" s="4" t="str">
        <f t="shared" si="20"/>
        <v>Shannon Miller</v>
      </c>
      <c r="J277" s="4" t="str">
        <f t="shared" si="21"/>
        <v>North Austinport</v>
      </c>
      <c r="K277" s="4" t="str">
        <f>IF(OR(G277="USA",G277="usa"),"USA",K280
                                                                                                                                                                                                                                                               IF(G277="United States of America","USA","USA"))</f>
        <v>USA</v>
      </c>
      <c r="L277" s="4" t="str">
        <f t="shared" si="22"/>
        <v>CUST1275</v>
      </c>
      <c r="M277" s="4" t="str">
        <f t="shared" si="23"/>
        <v>Gold</v>
      </c>
      <c r="N277" s="4" t="str">
        <f t="shared" si="24"/>
        <v>Ok</v>
      </c>
    </row>
    <row r="278" spans="1:14" ht="15.75" customHeight="1">
      <c r="A278" s="3" t="s">
        <v>906</v>
      </c>
      <c r="B278" s="4" t="s">
        <v>907</v>
      </c>
      <c r="C278" s="4">
        <v>38</v>
      </c>
      <c r="D278" s="4" t="s">
        <v>25</v>
      </c>
      <c r="E278" s="4" t="s">
        <v>908</v>
      </c>
      <c r="F278" s="4" t="s">
        <v>205</v>
      </c>
      <c r="G278" s="4" t="s">
        <v>28</v>
      </c>
      <c r="H278" s="4" t="s">
        <v>67</v>
      </c>
      <c r="I278" s="4" t="str">
        <f t="shared" si="20"/>
        <v>Arthur Warren</v>
      </c>
      <c r="J278" s="4" t="str">
        <f t="shared" si="21"/>
        <v>Ericshire</v>
      </c>
      <c r="K278" s="4" t="str">
        <f>IF(OR(G278="USA",G278="usa"),"USA",K281
                                                                                                                                                                                                                                                               IF(G278="United States of America","USA","USA"))</f>
        <v>USA</v>
      </c>
      <c r="L278" s="4" t="str">
        <f t="shared" si="22"/>
        <v>CUST1276</v>
      </c>
      <c r="M278" s="4" t="str">
        <f t="shared" si="23"/>
        <v>Gold</v>
      </c>
      <c r="N278" s="4" t="str">
        <f t="shared" si="24"/>
        <v>Ok</v>
      </c>
    </row>
    <row r="279" spans="1:14" ht="15.75" customHeight="1">
      <c r="A279" s="3" t="s">
        <v>909</v>
      </c>
      <c r="B279" s="4" t="s">
        <v>910</v>
      </c>
      <c r="C279" s="4">
        <v>22</v>
      </c>
      <c r="D279" s="4" t="s">
        <v>31</v>
      </c>
      <c r="E279" s="4" t="s">
        <v>911</v>
      </c>
      <c r="F279" s="4" t="s">
        <v>295</v>
      </c>
      <c r="G279" s="4" t="s">
        <v>28</v>
      </c>
      <c r="H279" s="4" t="s">
        <v>34</v>
      </c>
      <c r="I279" s="4" t="str">
        <f t="shared" si="20"/>
        <v>Jeffrey Gomez</v>
      </c>
      <c r="J279" s="4" t="str">
        <f t="shared" si="21"/>
        <v>Lake Nicole</v>
      </c>
      <c r="K279" s="4" t="str">
        <f>IF(OR(G279="USA",G279="usa"),"USA",K282
                                                                                                                                                                                                                                                               IF(G279="United States of America","USA","USA"))</f>
        <v>USA</v>
      </c>
      <c r="L279" s="4" t="str">
        <f t="shared" si="22"/>
        <v>CUST1277</v>
      </c>
      <c r="M279" s="4" t="str">
        <f t="shared" si="23"/>
        <v>Platinum</v>
      </c>
      <c r="N279" s="4" t="str">
        <f t="shared" si="24"/>
        <v>Ok</v>
      </c>
    </row>
    <row r="280" spans="1:14" ht="15.75" customHeight="1">
      <c r="A280" s="3" t="s">
        <v>912</v>
      </c>
      <c r="B280" s="4" t="s">
        <v>913</v>
      </c>
      <c r="C280" s="4">
        <v>42</v>
      </c>
      <c r="D280" s="4" t="s">
        <v>31</v>
      </c>
      <c r="E280" s="4" t="s">
        <v>914</v>
      </c>
      <c r="F280" s="4" t="s">
        <v>238</v>
      </c>
      <c r="G280" s="4" t="s">
        <v>28</v>
      </c>
      <c r="H280" s="4" t="s">
        <v>34</v>
      </c>
      <c r="I280" s="4" t="str">
        <f t="shared" si="20"/>
        <v>Stephen Fowler</v>
      </c>
      <c r="J280" s="4" t="str">
        <f t="shared" si="21"/>
        <v>Port Mariastad</v>
      </c>
      <c r="K280" s="4" t="str">
        <f>IF(OR(G280="USA",G280="usa"),"USA",K283
                                                                                                                                                                                                                                                               IF(G280="United States of America","USA","USA"))</f>
        <v>USA</v>
      </c>
      <c r="L280" s="4" t="str">
        <f t="shared" si="22"/>
        <v>CUST1278</v>
      </c>
      <c r="M280" s="4" t="str">
        <f t="shared" si="23"/>
        <v>Platinum</v>
      </c>
      <c r="N280" s="4" t="str">
        <f t="shared" si="24"/>
        <v>Ok</v>
      </c>
    </row>
    <row r="281" spans="1:14" ht="15.75" customHeight="1">
      <c r="A281" s="3" t="s">
        <v>915</v>
      </c>
      <c r="B281" s="4" t="s">
        <v>916</v>
      </c>
      <c r="C281" s="4">
        <v>21</v>
      </c>
      <c r="D281" s="4" t="s">
        <v>31</v>
      </c>
      <c r="E281" s="4" t="s">
        <v>917</v>
      </c>
      <c r="F281" s="4" t="s">
        <v>43</v>
      </c>
      <c r="G281" s="4" t="s">
        <v>28</v>
      </c>
      <c r="H281" s="4" t="s">
        <v>44</v>
      </c>
      <c r="I281" s="4" t="str">
        <f t="shared" si="20"/>
        <v>Aaron Luna</v>
      </c>
      <c r="J281" s="4" t="str">
        <f t="shared" si="21"/>
        <v>Gilltown</v>
      </c>
      <c r="K281" s="4" t="str">
        <f>IF(OR(G281="USA",G281="usa"),"USA",K284
                                                                                                                                                                                                                                                               IF(G281="United States of America","USA","USA"))</f>
        <v>USA</v>
      </c>
      <c r="L281" s="4" t="str">
        <f t="shared" si="22"/>
        <v>CUST1279</v>
      </c>
      <c r="M281" s="4" t="str">
        <f t="shared" si="23"/>
        <v>Bronze</v>
      </c>
      <c r="N281" s="4" t="str">
        <f t="shared" si="24"/>
        <v>Ok</v>
      </c>
    </row>
    <row r="282" spans="1:14" ht="15.75" customHeight="1">
      <c r="A282" s="3" t="s">
        <v>918</v>
      </c>
      <c r="B282" s="4" t="s">
        <v>919</v>
      </c>
      <c r="C282" s="4">
        <v>48</v>
      </c>
      <c r="D282" s="4" t="s">
        <v>25</v>
      </c>
      <c r="E282" s="4" t="s">
        <v>920</v>
      </c>
      <c r="F282" s="4" t="s">
        <v>120</v>
      </c>
      <c r="G282" s="4" t="s">
        <v>28</v>
      </c>
      <c r="H282" s="4" t="s">
        <v>44</v>
      </c>
      <c r="I282" s="4" t="str">
        <f t="shared" si="20"/>
        <v>Antonio Leon</v>
      </c>
      <c r="J282" s="4" t="str">
        <f t="shared" si="21"/>
        <v>Morrisville</v>
      </c>
      <c r="K282" s="4" t="str">
        <f>IF(OR(G282="USA",G282="usa"),"USA",K285
                                                                                                                                                                                                                                                               IF(G282="United States of America","USA","USA"))</f>
        <v>USA</v>
      </c>
      <c r="L282" s="4" t="str">
        <f t="shared" si="22"/>
        <v>CUST1280</v>
      </c>
      <c r="M282" s="4" t="str">
        <f t="shared" si="23"/>
        <v>Bronze</v>
      </c>
      <c r="N282" s="4" t="str">
        <f t="shared" si="24"/>
        <v>Ok</v>
      </c>
    </row>
    <row r="283" spans="1:14" ht="15.75" customHeight="1">
      <c r="A283" s="3" t="s">
        <v>921</v>
      </c>
      <c r="B283" s="4" t="s">
        <v>922</v>
      </c>
      <c r="C283" s="4">
        <v>59</v>
      </c>
      <c r="D283" s="4" t="s">
        <v>25</v>
      </c>
      <c r="E283" s="4" t="s">
        <v>923</v>
      </c>
      <c r="F283" s="4" t="s">
        <v>188</v>
      </c>
      <c r="G283" s="4" t="s">
        <v>28</v>
      </c>
      <c r="H283" s="4" t="s">
        <v>34</v>
      </c>
      <c r="I283" s="4" t="str">
        <f t="shared" si="20"/>
        <v>Brittany Watson</v>
      </c>
      <c r="J283" s="4" t="str">
        <f t="shared" si="21"/>
        <v>North Joshualand</v>
      </c>
      <c r="K283" s="4" t="str">
        <f>IF(OR(G283="USA",G283="usa"),"USA",K286
                                                                                                                                                                                                                                                               IF(G283="United States of America","USA","USA"))</f>
        <v>USA</v>
      </c>
      <c r="L283" s="4" t="str">
        <f t="shared" si="22"/>
        <v>CUST1281</v>
      </c>
      <c r="M283" s="4" t="str">
        <f t="shared" si="23"/>
        <v>Platinum</v>
      </c>
      <c r="N283" s="4" t="str">
        <f t="shared" si="24"/>
        <v>Ok</v>
      </c>
    </row>
    <row r="284" spans="1:14" ht="15.75" customHeight="1">
      <c r="A284" s="3" t="s">
        <v>924</v>
      </c>
      <c r="B284" s="4" t="s">
        <v>925</v>
      </c>
      <c r="C284" s="4">
        <v>46</v>
      </c>
      <c r="D284" s="4" t="s">
        <v>31</v>
      </c>
      <c r="E284" s="4" t="s">
        <v>926</v>
      </c>
      <c r="F284" s="4" t="s">
        <v>108</v>
      </c>
      <c r="G284" s="4" t="s">
        <v>28</v>
      </c>
      <c r="H284" s="4" t="s">
        <v>67</v>
      </c>
      <c r="I284" s="4" t="str">
        <f t="shared" si="20"/>
        <v>Kristi Lopez</v>
      </c>
      <c r="J284" s="4" t="str">
        <f t="shared" si="21"/>
        <v>Spencermouth</v>
      </c>
      <c r="K284" s="4" t="str">
        <f>IF(OR(G284="USA",G284="usa"),"USA",K287
                                                                                                                                                                                                                                                               IF(G284="United States of America","USA","USA"))</f>
        <v>USA</v>
      </c>
      <c r="L284" s="4" t="str">
        <f t="shared" si="22"/>
        <v>CUST1282</v>
      </c>
      <c r="M284" s="4" t="str">
        <f t="shared" si="23"/>
        <v>Gold</v>
      </c>
      <c r="N284" s="4" t="str">
        <f t="shared" si="24"/>
        <v>Ok</v>
      </c>
    </row>
    <row r="285" spans="1:14" ht="15.75" customHeight="1">
      <c r="A285" s="3" t="s">
        <v>927</v>
      </c>
      <c r="B285" s="4" t="s">
        <v>928</v>
      </c>
      <c r="C285" s="4">
        <v>54</v>
      </c>
      <c r="D285" s="4" t="s">
        <v>31</v>
      </c>
      <c r="E285" s="4" t="s">
        <v>929</v>
      </c>
      <c r="F285" s="4" t="s">
        <v>873</v>
      </c>
      <c r="G285" s="4" t="s">
        <v>28</v>
      </c>
      <c r="H285" s="4" t="s">
        <v>50</v>
      </c>
      <c r="I285" s="4" t="str">
        <f t="shared" si="20"/>
        <v>Bryan Garcia</v>
      </c>
      <c r="J285" s="4" t="str">
        <f t="shared" si="21"/>
        <v>Garciaborough</v>
      </c>
      <c r="K285" s="4" t="str">
        <f>IF(OR(G285="USA",G285="usa"),"USA",K288
                                                                                                                                                                                                                                                               IF(G285="United States of America","USA","USA"))</f>
        <v>USA</v>
      </c>
      <c r="L285" s="4" t="str">
        <f t="shared" si="22"/>
        <v>CUST1283</v>
      </c>
      <c r="M285" s="4" t="str">
        <f t="shared" si="23"/>
        <v>Silver</v>
      </c>
      <c r="N285" s="4" t="str">
        <f t="shared" si="24"/>
        <v>Ok</v>
      </c>
    </row>
    <row r="286" spans="1:14" ht="15.75" customHeight="1">
      <c r="A286" s="3" t="s">
        <v>930</v>
      </c>
      <c r="B286" s="4" t="s">
        <v>931</v>
      </c>
      <c r="C286" s="4">
        <v>54</v>
      </c>
      <c r="D286" s="4" t="s">
        <v>25</v>
      </c>
      <c r="E286" s="4" t="s">
        <v>932</v>
      </c>
      <c r="F286" s="4" t="s">
        <v>188</v>
      </c>
      <c r="G286" s="4" t="s">
        <v>28</v>
      </c>
      <c r="H286" s="4" t="s">
        <v>67</v>
      </c>
      <c r="I286" s="4" t="str">
        <f t="shared" si="20"/>
        <v>Hunter Sutton</v>
      </c>
      <c r="J286" s="4" t="str">
        <f t="shared" si="21"/>
        <v>Patrickshire</v>
      </c>
      <c r="K286" s="4" t="str">
        <f>IF(OR(G286="USA",G286="usa"),"USA",K289
                                                                                                                                                                                                                                                               IF(G286="United States of America","USA","USA"))</f>
        <v>USA</v>
      </c>
      <c r="L286" s="4" t="str">
        <f t="shared" si="22"/>
        <v>CUST1284</v>
      </c>
      <c r="M286" s="4" t="str">
        <f t="shared" si="23"/>
        <v>Gold</v>
      </c>
      <c r="N286" s="4" t="str">
        <f t="shared" si="24"/>
        <v>Ok</v>
      </c>
    </row>
    <row r="287" spans="1:14" ht="15.75" customHeight="1">
      <c r="A287" s="3" t="s">
        <v>933</v>
      </c>
      <c r="B287" s="4" t="s">
        <v>934</v>
      </c>
      <c r="C287" s="4">
        <v>46</v>
      </c>
      <c r="D287" s="4" t="s">
        <v>31</v>
      </c>
      <c r="E287" s="4" t="s">
        <v>935</v>
      </c>
      <c r="F287" s="4" t="s">
        <v>742</v>
      </c>
      <c r="G287" s="4" t="s">
        <v>28</v>
      </c>
      <c r="H287" s="4" t="s">
        <v>50</v>
      </c>
      <c r="I287" s="4" t="str">
        <f t="shared" si="20"/>
        <v>Donna Guerra</v>
      </c>
      <c r="J287" s="4" t="str">
        <f t="shared" si="21"/>
        <v>North Robert</v>
      </c>
      <c r="K287" s="4" t="str">
        <f>IF(OR(G287="USA",G287="usa"),"USA",K290
                                                                                                                                                                                                                                                               IF(G287="United States of America","USA","USA"))</f>
        <v>USA</v>
      </c>
      <c r="L287" s="4" t="str">
        <f t="shared" si="22"/>
        <v>CUST1285</v>
      </c>
      <c r="M287" s="4" t="str">
        <f t="shared" si="23"/>
        <v>Silver</v>
      </c>
      <c r="N287" s="4" t="str">
        <f t="shared" si="24"/>
        <v>Ok</v>
      </c>
    </row>
    <row r="288" spans="1:14" ht="15.75" customHeight="1">
      <c r="A288" s="3" t="s">
        <v>936</v>
      </c>
      <c r="B288" s="4" t="s">
        <v>937</v>
      </c>
      <c r="C288" s="4">
        <v>22</v>
      </c>
      <c r="D288" s="4" t="s">
        <v>25</v>
      </c>
      <c r="E288" s="4" t="s">
        <v>938</v>
      </c>
      <c r="F288" s="4" t="s">
        <v>58</v>
      </c>
      <c r="G288" s="4" t="s">
        <v>28</v>
      </c>
      <c r="H288" s="4" t="s">
        <v>50</v>
      </c>
      <c r="I288" s="4" t="str">
        <f t="shared" si="20"/>
        <v>Tommy Roberts</v>
      </c>
      <c r="J288" s="4" t="str">
        <f t="shared" si="21"/>
        <v>Port Tonyfort</v>
      </c>
      <c r="K288" s="4" t="str">
        <f>IF(OR(G288="USA",G288="usa"),"USA",K291
                                                                                                                                                                                                                                                               IF(G288="United States of America","USA","USA"))</f>
        <v>USA</v>
      </c>
      <c r="L288" s="4" t="str">
        <f t="shared" si="22"/>
        <v>CUST1286</v>
      </c>
      <c r="M288" s="4" t="str">
        <f t="shared" si="23"/>
        <v>Silver</v>
      </c>
      <c r="N288" s="4" t="str">
        <f t="shared" si="24"/>
        <v>Ok</v>
      </c>
    </row>
    <row r="289" spans="1:14" ht="15.75" customHeight="1">
      <c r="A289" s="3" t="s">
        <v>939</v>
      </c>
      <c r="B289" s="4" t="s">
        <v>940</v>
      </c>
      <c r="C289" s="4">
        <v>22</v>
      </c>
      <c r="D289" s="4" t="s">
        <v>31</v>
      </c>
      <c r="E289" s="4" t="s">
        <v>941</v>
      </c>
      <c r="F289" s="4" t="s">
        <v>192</v>
      </c>
      <c r="G289" s="4" t="s">
        <v>28</v>
      </c>
      <c r="H289" s="4" t="s">
        <v>67</v>
      </c>
      <c r="I289" s="4" t="str">
        <f t="shared" si="20"/>
        <v>Cynthia Roberts</v>
      </c>
      <c r="J289" s="4" t="str">
        <f t="shared" si="21"/>
        <v>Millerfort</v>
      </c>
      <c r="K289" s="4" t="str">
        <f>IF(OR(G289="USA",G289="usa"),"USA",K292
                                                                                                                                                                                                                                                               IF(G289="United States of America","USA","USA"))</f>
        <v>USA</v>
      </c>
      <c r="L289" s="4" t="str">
        <f t="shared" si="22"/>
        <v>CUST1287</v>
      </c>
      <c r="M289" s="4" t="str">
        <f t="shared" si="23"/>
        <v>Gold</v>
      </c>
      <c r="N289" s="4" t="str">
        <f t="shared" si="24"/>
        <v>Ok</v>
      </c>
    </row>
    <row r="290" spans="1:14" ht="15.75" customHeight="1">
      <c r="A290" s="3" t="s">
        <v>942</v>
      </c>
      <c r="B290" s="4" t="s">
        <v>943</v>
      </c>
      <c r="C290" s="4">
        <v>58</v>
      </c>
      <c r="D290" s="4" t="s">
        <v>25</v>
      </c>
      <c r="E290" s="4" t="s">
        <v>944</v>
      </c>
      <c r="F290" s="4" t="s">
        <v>188</v>
      </c>
      <c r="G290" s="4" t="s">
        <v>28</v>
      </c>
      <c r="H290" s="4" t="s">
        <v>67</v>
      </c>
      <c r="I290" s="4" t="str">
        <f t="shared" si="20"/>
        <v>Misty Ferguson</v>
      </c>
      <c r="J290" s="4" t="str">
        <f t="shared" si="21"/>
        <v>North Joseside</v>
      </c>
      <c r="K290" s="4" t="str">
        <f>IF(OR(G290="USA",G290="usa"),"USA",K293
                                                                                                                                                                                                                                                               IF(G290="United States of America","USA","USA"))</f>
        <v>USA</v>
      </c>
      <c r="L290" s="4" t="str">
        <f t="shared" si="22"/>
        <v>CUST1288</v>
      </c>
      <c r="M290" s="4" t="str">
        <f t="shared" si="23"/>
        <v>Gold</v>
      </c>
      <c r="N290" s="4" t="str">
        <f t="shared" si="24"/>
        <v>Ok</v>
      </c>
    </row>
    <row r="291" spans="1:14" ht="15.75" customHeight="1">
      <c r="A291" s="3" t="s">
        <v>945</v>
      </c>
      <c r="B291" s="4" t="s">
        <v>946</v>
      </c>
      <c r="C291" s="4">
        <v>45</v>
      </c>
      <c r="D291" s="4" t="s">
        <v>25</v>
      </c>
      <c r="E291" s="4" t="s">
        <v>947</v>
      </c>
      <c r="F291" s="4" t="s">
        <v>43</v>
      </c>
      <c r="G291" s="4" t="s">
        <v>28</v>
      </c>
      <c r="H291" s="4" t="s">
        <v>44</v>
      </c>
      <c r="I291" s="4" t="str">
        <f t="shared" si="20"/>
        <v>Jennifer Figueroa</v>
      </c>
      <c r="J291" s="4" t="str">
        <f t="shared" si="21"/>
        <v>North Brookestad</v>
      </c>
      <c r="K291" s="4" t="str">
        <f>IF(OR(G291="USA",G291="usa"),"USA",K294
                                                                                                                                                                                                                                                               IF(G291="United States of America","USA","USA"))</f>
        <v>USA</v>
      </c>
      <c r="L291" s="4" t="str">
        <f t="shared" si="22"/>
        <v>CUST1289</v>
      </c>
      <c r="M291" s="4" t="str">
        <f t="shared" si="23"/>
        <v>Bronze</v>
      </c>
      <c r="N291" s="4" t="str">
        <f t="shared" si="24"/>
        <v>Ok</v>
      </c>
    </row>
    <row r="292" spans="1:14" ht="15.75" customHeight="1">
      <c r="A292" s="3" t="s">
        <v>948</v>
      </c>
      <c r="B292" s="4" t="s">
        <v>949</v>
      </c>
      <c r="C292" s="4">
        <v>52</v>
      </c>
      <c r="D292" s="4" t="s">
        <v>31</v>
      </c>
      <c r="E292" s="4" t="s">
        <v>950</v>
      </c>
      <c r="F292" s="4" t="s">
        <v>308</v>
      </c>
      <c r="G292" s="4" t="s">
        <v>28</v>
      </c>
      <c r="H292" s="4" t="s">
        <v>50</v>
      </c>
      <c r="I292" s="4" t="str">
        <f t="shared" si="20"/>
        <v>Chase Williams Md</v>
      </c>
      <c r="J292" s="4" t="str">
        <f t="shared" si="21"/>
        <v>Sherimouth</v>
      </c>
      <c r="K292" s="4" t="str">
        <f>IF(OR(G292="USA",G292="usa"),"USA",K295
                                                                                                                                                                                                                                                               IF(G292="United States of America","USA","USA"))</f>
        <v>USA</v>
      </c>
      <c r="L292" s="4" t="str">
        <f t="shared" si="22"/>
        <v>CUST1290</v>
      </c>
      <c r="M292" s="4" t="str">
        <f t="shared" si="23"/>
        <v>Silver</v>
      </c>
      <c r="N292" s="4" t="str">
        <f t="shared" si="24"/>
        <v>Ok</v>
      </c>
    </row>
    <row r="293" spans="1:14" ht="15.75" customHeight="1">
      <c r="A293" s="3" t="s">
        <v>951</v>
      </c>
      <c r="B293" s="4" t="s">
        <v>952</v>
      </c>
      <c r="C293" s="4">
        <v>40</v>
      </c>
      <c r="D293" s="4" t="s">
        <v>31</v>
      </c>
      <c r="E293" s="4" t="s">
        <v>953</v>
      </c>
      <c r="F293" s="4" t="s">
        <v>134</v>
      </c>
      <c r="G293" s="4" t="s">
        <v>28</v>
      </c>
      <c r="H293" s="4" t="s">
        <v>44</v>
      </c>
      <c r="I293" s="4" t="str">
        <f t="shared" si="20"/>
        <v>James Powell</v>
      </c>
      <c r="J293" s="4" t="str">
        <f t="shared" si="21"/>
        <v>West Beverlymouth</v>
      </c>
      <c r="K293" s="4" t="str">
        <f>IF(OR(G293="USA",G293="usa"),"USA",K296
                                                                                                                                                                                                                                                               IF(G293="United States of America","USA","USA"))</f>
        <v>USA</v>
      </c>
      <c r="L293" s="4" t="str">
        <f t="shared" si="22"/>
        <v>CUST1291</v>
      </c>
      <c r="M293" s="4" t="str">
        <f t="shared" si="23"/>
        <v>Bronze</v>
      </c>
      <c r="N293" s="4" t="str">
        <f t="shared" si="24"/>
        <v>Ok</v>
      </c>
    </row>
    <row r="294" spans="1:14" ht="15.75" customHeight="1">
      <c r="A294" s="3" t="s">
        <v>954</v>
      </c>
      <c r="B294" s="4" t="s">
        <v>955</v>
      </c>
      <c r="C294" s="4">
        <v>30</v>
      </c>
      <c r="D294" s="4" t="s">
        <v>25</v>
      </c>
      <c r="E294" s="4" t="s">
        <v>956</v>
      </c>
      <c r="F294" s="4" t="s">
        <v>222</v>
      </c>
      <c r="G294" s="4" t="s">
        <v>28</v>
      </c>
      <c r="H294" s="4" t="s">
        <v>50</v>
      </c>
      <c r="I294" s="4" t="str">
        <f t="shared" si="20"/>
        <v>Ricardo Jones</v>
      </c>
      <c r="J294" s="4" t="str">
        <f t="shared" si="21"/>
        <v>Danielland</v>
      </c>
      <c r="K294" s="4" t="str">
        <f>IF(OR(G294="USA",G294="usa"),"USA",K297
                                                                                                                                                                                                                                                               IF(G294="United States of America","USA","USA"))</f>
        <v>USA</v>
      </c>
      <c r="L294" s="4" t="str">
        <f t="shared" si="22"/>
        <v>CUST1292</v>
      </c>
      <c r="M294" s="4" t="str">
        <f t="shared" si="23"/>
        <v>Silver</v>
      </c>
      <c r="N294" s="4" t="str">
        <f t="shared" si="24"/>
        <v>Ok</v>
      </c>
    </row>
    <row r="295" spans="1:14" ht="15.75" customHeight="1">
      <c r="A295" s="3" t="s">
        <v>957</v>
      </c>
      <c r="B295" s="4" t="s">
        <v>958</v>
      </c>
      <c r="C295" s="4">
        <v>56</v>
      </c>
      <c r="D295" s="4" t="s">
        <v>31</v>
      </c>
      <c r="E295" s="4" t="s">
        <v>959</v>
      </c>
      <c r="F295" s="4" t="s">
        <v>349</v>
      </c>
      <c r="G295" s="4" t="s">
        <v>28</v>
      </c>
      <c r="H295" s="4" t="s">
        <v>34</v>
      </c>
      <c r="I295" s="4" t="str">
        <f t="shared" si="20"/>
        <v>Gloria Taylor</v>
      </c>
      <c r="J295" s="4" t="str">
        <f t="shared" si="21"/>
        <v>North Daniel</v>
      </c>
      <c r="K295" s="4" t="str">
        <f>IF(OR(G295="USA",G295="usa"),"USA",K298
                                                                                                                                                                                                                                                               IF(G295="United States of America","USA","USA"))</f>
        <v>USA</v>
      </c>
      <c r="L295" s="4" t="str">
        <f t="shared" si="22"/>
        <v>CUST1293</v>
      </c>
      <c r="M295" s="4" t="str">
        <f t="shared" si="23"/>
        <v>Platinum</v>
      </c>
      <c r="N295" s="4" t="str">
        <f t="shared" si="24"/>
        <v>Ok</v>
      </c>
    </row>
    <row r="296" spans="1:14" ht="15.75" customHeight="1">
      <c r="A296" s="3" t="s">
        <v>960</v>
      </c>
      <c r="B296" s="4" t="s">
        <v>961</v>
      </c>
      <c r="C296" s="4">
        <v>29</v>
      </c>
      <c r="D296" s="4" t="s">
        <v>25</v>
      </c>
      <c r="E296" s="4" t="s">
        <v>597</v>
      </c>
      <c r="F296" s="4" t="s">
        <v>86</v>
      </c>
      <c r="G296" s="4" t="s">
        <v>28</v>
      </c>
      <c r="H296" s="4" t="s">
        <v>34</v>
      </c>
      <c r="I296" s="4" t="str">
        <f t="shared" si="20"/>
        <v>Lisa Chandler</v>
      </c>
      <c r="J296" s="4" t="str">
        <f t="shared" si="21"/>
        <v>Port Richard</v>
      </c>
      <c r="K296" s="4" t="str">
        <f>IF(OR(G296="USA",G296="usa"),"USA",K299
                                                                                                                                                                                                                                                               IF(G296="United States of America","USA","USA"))</f>
        <v>USA</v>
      </c>
      <c r="L296" s="4" t="str">
        <f t="shared" si="22"/>
        <v>CUST1294</v>
      </c>
      <c r="M296" s="4" t="str">
        <f t="shared" si="23"/>
        <v>Platinum</v>
      </c>
      <c r="N296" s="4" t="str">
        <f t="shared" si="24"/>
        <v>Ok</v>
      </c>
    </row>
    <row r="297" spans="1:14" ht="15.75" customHeight="1">
      <c r="A297" s="3" t="s">
        <v>962</v>
      </c>
      <c r="B297" s="4" t="s">
        <v>963</v>
      </c>
      <c r="C297" s="4">
        <v>19</v>
      </c>
      <c r="D297" s="4" t="s">
        <v>31</v>
      </c>
      <c r="E297" s="4" t="s">
        <v>964</v>
      </c>
      <c r="F297" s="4" t="s">
        <v>82</v>
      </c>
      <c r="G297" s="4" t="s">
        <v>28</v>
      </c>
      <c r="H297" s="4" t="s">
        <v>44</v>
      </c>
      <c r="I297" s="4" t="str">
        <f t="shared" si="20"/>
        <v>Crystal Waters</v>
      </c>
      <c r="J297" s="4" t="str">
        <f t="shared" si="21"/>
        <v>North Michelleport</v>
      </c>
      <c r="K297" s="4" t="str">
        <f>IF(OR(G297="USA",G297="usa"),"USA",K300
                                                                                                                                                                                                                                                               IF(G297="United States of America","USA","USA"))</f>
        <v>USA</v>
      </c>
      <c r="L297" s="4" t="str">
        <f t="shared" si="22"/>
        <v>CUST1295</v>
      </c>
      <c r="M297" s="4" t="str">
        <f t="shared" si="23"/>
        <v>Bronze</v>
      </c>
      <c r="N297" s="4" t="str">
        <f t="shared" si="24"/>
        <v>Ok</v>
      </c>
    </row>
    <row r="298" spans="1:14" ht="15.75" customHeight="1">
      <c r="A298" s="3" t="s">
        <v>965</v>
      </c>
      <c r="B298" s="4" t="s">
        <v>966</v>
      </c>
      <c r="C298" s="4">
        <v>28</v>
      </c>
      <c r="D298" s="4" t="s">
        <v>31</v>
      </c>
      <c r="E298" s="4" t="s">
        <v>318</v>
      </c>
      <c r="F298" s="4" t="s">
        <v>62</v>
      </c>
      <c r="G298" s="4" t="s">
        <v>28</v>
      </c>
      <c r="H298" s="4" t="s">
        <v>44</v>
      </c>
      <c r="I298" s="4" t="str">
        <f t="shared" si="20"/>
        <v>Jared Moran</v>
      </c>
      <c r="J298" s="4" t="str">
        <f t="shared" si="21"/>
        <v>South David</v>
      </c>
      <c r="K298" s="4" t="str">
        <f>IF(OR(G298="USA",G298="usa"),"USA",K301
                                                                                                                                                                                                                                                               IF(G298="United States of America","USA","USA"))</f>
        <v>USA</v>
      </c>
      <c r="L298" s="4" t="str">
        <f t="shared" si="22"/>
        <v>CUST1296</v>
      </c>
      <c r="M298" s="4" t="str">
        <f t="shared" si="23"/>
        <v>Bronze</v>
      </c>
      <c r="N298" s="4" t="str">
        <f t="shared" si="24"/>
        <v>Ok</v>
      </c>
    </row>
    <row r="299" spans="1:14" ht="15.75" customHeight="1">
      <c r="A299" s="3" t="s">
        <v>967</v>
      </c>
      <c r="B299" s="4" t="s">
        <v>968</v>
      </c>
      <c r="C299" s="4">
        <v>47</v>
      </c>
      <c r="D299" s="4" t="s">
        <v>31</v>
      </c>
      <c r="E299" s="4" t="s">
        <v>969</v>
      </c>
      <c r="F299" s="4" t="s">
        <v>134</v>
      </c>
      <c r="G299" s="4" t="s">
        <v>28</v>
      </c>
      <c r="H299" s="4" t="s">
        <v>50</v>
      </c>
      <c r="I299" s="4" t="str">
        <f t="shared" si="20"/>
        <v>Jennifer Carr</v>
      </c>
      <c r="J299" s="4" t="str">
        <f t="shared" si="21"/>
        <v>Lake Brett</v>
      </c>
      <c r="K299" s="4" t="str">
        <f>IF(OR(G299="USA",G299="usa"),"USA",K302
                                                                                                                                                                                                                                                               IF(G299="United States of America","USA","USA"))</f>
        <v>USA</v>
      </c>
      <c r="L299" s="4" t="str">
        <f t="shared" si="22"/>
        <v>CUST1297</v>
      </c>
      <c r="M299" s="4" t="str">
        <f t="shared" si="23"/>
        <v>Silver</v>
      </c>
      <c r="N299" s="4" t="str">
        <f t="shared" si="24"/>
        <v>Ok</v>
      </c>
    </row>
    <row r="300" spans="1:14" ht="15.75" customHeight="1">
      <c r="A300" s="3" t="s">
        <v>970</v>
      </c>
      <c r="B300" s="4" t="s">
        <v>971</v>
      </c>
      <c r="C300" s="4">
        <v>64</v>
      </c>
      <c r="D300" s="4" t="s">
        <v>25</v>
      </c>
      <c r="E300" s="4" t="s">
        <v>972</v>
      </c>
      <c r="F300" s="4" t="s">
        <v>456</v>
      </c>
      <c r="G300" s="4" t="s">
        <v>28</v>
      </c>
      <c r="H300" s="4" t="s">
        <v>34</v>
      </c>
      <c r="I300" s="4" t="str">
        <f t="shared" si="20"/>
        <v>Tracy Stephens</v>
      </c>
      <c r="J300" s="4" t="str">
        <f t="shared" si="21"/>
        <v>New Joshuatown</v>
      </c>
      <c r="K300" s="4" t="str">
        <f>IF(OR(G300="USA",G300="usa"),"USA",K303
                                                                                                                                                                                                                                                               IF(G300="United States of America","USA","USA"))</f>
        <v>USA</v>
      </c>
      <c r="L300" s="4" t="str">
        <f t="shared" si="22"/>
        <v>CUST1298</v>
      </c>
      <c r="M300" s="4" t="str">
        <f t="shared" si="23"/>
        <v>Platinum</v>
      </c>
      <c r="N300" s="4" t="str">
        <f t="shared" si="24"/>
        <v>Ok</v>
      </c>
    </row>
    <row r="301" spans="1:14" ht="15.75" customHeight="1">
      <c r="A301" s="3" t="s">
        <v>973</v>
      </c>
      <c r="B301" s="4" t="s">
        <v>974</v>
      </c>
      <c r="C301" s="4">
        <v>48</v>
      </c>
      <c r="D301" s="4" t="s">
        <v>31</v>
      </c>
      <c r="E301" s="4" t="s">
        <v>975</v>
      </c>
      <c r="F301" s="4" t="s">
        <v>349</v>
      </c>
      <c r="G301" s="4" t="s">
        <v>28</v>
      </c>
      <c r="H301" s="4" t="s">
        <v>34</v>
      </c>
      <c r="I301" s="4" t="str">
        <f t="shared" si="20"/>
        <v>Stephanie Jacobs</v>
      </c>
      <c r="J301" s="4" t="str">
        <f t="shared" si="21"/>
        <v>West Robinmouth</v>
      </c>
      <c r="K301" s="4" t="str">
        <f>IF(OR(G301="USA",G301="usa"),"USA",K304
                                                                                                                                                                                                                                                               IF(G301="United States of America","USA","USA"))</f>
        <v>USA</v>
      </c>
      <c r="L301" s="4" t="str">
        <f t="shared" si="22"/>
        <v>CUST1299</v>
      </c>
      <c r="M301" s="4" t="str">
        <f t="shared" si="23"/>
        <v>Platinum</v>
      </c>
      <c r="N301" s="4" t="str">
        <f t="shared" si="24"/>
        <v>Ok</v>
      </c>
    </row>
    <row r="302" spans="1:14" ht="15.75" customHeight="1">
      <c r="A302" s="3" t="s">
        <v>976</v>
      </c>
      <c r="B302" s="4" t="s">
        <v>977</v>
      </c>
      <c r="C302" s="4">
        <v>29</v>
      </c>
      <c r="D302" s="4" t="s">
        <v>25</v>
      </c>
      <c r="E302" s="4" t="s">
        <v>978</v>
      </c>
      <c r="F302" s="4" t="s">
        <v>54</v>
      </c>
      <c r="G302" s="4" t="s">
        <v>28</v>
      </c>
      <c r="H302" s="4" t="s">
        <v>50</v>
      </c>
      <c r="I302" s="4" t="str">
        <f t="shared" si="20"/>
        <v>Matthew Avery</v>
      </c>
      <c r="J302" s="4" t="str">
        <f t="shared" si="21"/>
        <v>Lake Melissashire</v>
      </c>
      <c r="K302" s="4" t="str">
        <f>IF(OR(G302="USA",G302="usa"),"USA",K305
                                                                                                                                                                                                                                                               IF(G302="United States of America","USA","USA"))</f>
        <v>USA</v>
      </c>
      <c r="L302" s="4" t="str">
        <f t="shared" si="22"/>
        <v>CUST1300</v>
      </c>
      <c r="M302" s="4" t="str">
        <f t="shared" si="23"/>
        <v>Silver</v>
      </c>
      <c r="N302" s="4" t="str">
        <f t="shared" si="24"/>
        <v>Ok</v>
      </c>
    </row>
    <row r="303" spans="1:14" ht="15.75" customHeight="1">
      <c r="A303" s="3" t="s">
        <v>979</v>
      </c>
      <c r="B303" s="4" t="s">
        <v>980</v>
      </c>
      <c r="C303" s="4">
        <v>50</v>
      </c>
      <c r="D303" s="4" t="s">
        <v>25</v>
      </c>
      <c r="E303" s="4" t="s">
        <v>981</v>
      </c>
      <c r="F303" s="4" t="s">
        <v>308</v>
      </c>
      <c r="G303" s="4" t="s">
        <v>28</v>
      </c>
      <c r="H303" s="4" t="s">
        <v>67</v>
      </c>
      <c r="I303" s="4" t="str">
        <f t="shared" si="20"/>
        <v>Ryan Kane</v>
      </c>
      <c r="J303" s="4" t="str">
        <f t="shared" si="21"/>
        <v>West Bruceburgh</v>
      </c>
      <c r="K303" s="4" t="str">
        <f>IF(OR(G303="USA",G303="usa"),"USA",K306
                                                                                                                                                                                                                                                               IF(G303="United States of America","USA","USA"))</f>
        <v>USA</v>
      </c>
      <c r="L303" s="4" t="str">
        <f t="shared" si="22"/>
        <v>CUST1301</v>
      </c>
      <c r="M303" s="4" t="str">
        <f t="shared" si="23"/>
        <v>Gold</v>
      </c>
      <c r="N303" s="4" t="str">
        <f t="shared" si="24"/>
        <v>Ok</v>
      </c>
    </row>
    <row r="304" spans="1:14" ht="15.75" customHeight="1">
      <c r="A304" s="3" t="s">
        <v>982</v>
      </c>
      <c r="B304" s="4" t="s">
        <v>983</v>
      </c>
      <c r="C304" s="4">
        <v>36</v>
      </c>
      <c r="D304" s="4" t="s">
        <v>25</v>
      </c>
      <c r="E304" s="4" t="s">
        <v>984</v>
      </c>
      <c r="F304" s="4" t="s">
        <v>154</v>
      </c>
      <c r="G304" s="4" t="s">
        <v>28</v>
      </c>
      <c r="H304" s="4" t="s">
        <v>67</v>
      </c>
      <c r="I304" s="4" t="str">
        <f t="shared" si="20"/>
        <v>Edward Cole</v>
      </c>
      <c r="J304" s="4" t="str">
        <f t="shared" si="21"/>
        <v>Lake Charlotte</v>
      </c>
      <c r="K304" s="4" t="str">
        <f>IF(OR(G304="USA",G304="usa"),"USA",K307
                                                                                                                                                                                                                                                               IF(G304="United States of America","USA","USA"))</f>
        <v>USA</v>
      </c>
      <c r="L304" s="4" t="str">
        <f t="shared" si="22"/>
        <v>CUST1302</v>
      </c>
      <c r="M304" s="4" t="str">
        <f t="shared" si="23"/>
        <v>Gold</v>
      </c>
      <c r="N304" s="4" t="str">
        <f t="shared" si="24"/>
        <v>Ok</v>
      </c>
    </row>
    <row r="305" spans="1:14" ht="15.75" customHeight="1">
      <c r="A305" s="3" t="s">
        <v>985</v>
      </c>
      <c r="B305" s="4" t="s">
        <v>986</v>
      </c>
      <c r="C305" s="4">
        <v>23</v>
      </c>
      <c r="D305" s="4" t="s">
        <v>31</v>
      </c>
      <c r="E305" s="4" t="s">
        <v>987</v>
      </c>
      <c r="F305" s="4" t="s">
        <v>112</v>
      </c>
      <c r="G305" s="4" t="s">
        <v>28</v>
      </c>
      <c r="H305" s="4" t="s">
        <v>34</v>
      </c>
      <c r="I305" s="4" t="str">
        <f t="shared" si="20"/>
        <v>John Sloan</v>
      </c>
      <c r="J305" s="4" t="str">
        <f t="shared" si="21"/>
        <v>East Johntown</v>
      </c>
      <c r="K305" s="4" t="str">
        <f>IF(OR(G305="USA",G305="usa"),"USA",K308
                                                                                                                                                                                                                                                               IF(G305="United States of America","USA","USA"))</f>
        <v>USA</v>
      </c>
      <c r="L305" s="4" t="str">
        <f t="shared" si="22"/>
        <v>CUST1303</v>
      </c>
      <c r="M305" s="4" t="str">
        <f t="shared" si="23"/>
        <v>Platinum</v>
      </c>
      <c r="N305" s="4" t="str">
        <f t="shared" si="24"/>
        <v>Ok</v>
      </c>
    </row>
    <row r="306" spans="1:14" ht="15.75" customHeight="1">
      <c r="A306" s="3" t="s">
        <v>988</v>
      </c>
      <c r="B306" s="4" t="s">
        <v>989</v>
      </c>
      <c r="C306" s="4">
        <v>41</v>
      </c>
      <c r="D306" s="4" t="s">
        <v>25</v>
      </c>
      <c r="E306" s="4" t="s">
        <v>990</v>
      </c>
      <c r="F306" s="4" t="s">
        <v>82</v>
      </c>
      <c r="G306" s="4" t="s">
        <v>28</v>
      </c>
      <c r="H306" s="4" t="s">
        <v>50</v>
      </c>
      <c r="I306" s="4" t="str">
        <f t="shared" si="20"/>
        <v>Miss Alexandria Li Dvm</v>
      </c>
      <c r="J306" s="4" t="str">
        <f t="shared" si="21"/>
        <v>Port Jenniferton</v>
      </c>
      <c r="K306" s="4" t="str">
        <f>IF(OR(G306="USA",G306="usa"),"USA",K309
                                                                                                                                                                                                                                                               IF(G306="United States of America","USA","USA"))</f>
        <v>USA</v>
      </c>
      <c r="L306" s="4" t="str">
        <f t="shared" si="22"/>
        <v>CUST1304</v>
      </c>
      <c r="M306" s="4" t="str">
        <f t="shared" si="23"/>
        <v>Silver</v>
      </c>
      <c r="N306" s="4" t="str">
        <f t="shared" si="24"/>
        <v>Ok</v>
      </c>
    </row>
    <row r="307" spans="1:14" ht="15.75" customHeight="1">
      <c r="A307" s="3" t="s">
        <v>991</v>
      </c>
      <c r="B307" s="4" t="s">
        <v>992</v>
      </c>
      <c r="C307" s="4">
        <v>64</v>
      </c>
      <c r="D307" s="4" t="s">
        <v>25</v>
      </c>
      <c r="E307" s="4" t="s">
        <v>993</v>
      </c>
      <c r="F307" s="4" t="s">
        <v>94</v>
      </c>
      <c r="G307" s="4" t="s">
        <v>28</v>
      </c>
      <c r="H307" s="4" t="s">
        <v>34</v>
      </c>
      <c r="I307" s="4" t="str">
        <f t="shared" si="20"/>
        <v>Roberta Green</v>
      </c>
      <c r="J307" s="4" t="str">
        <f t="shared" si="21"/>
        <v>West Joseph</v>
      </c>
      <c r="K307" s="4" t="str">
        <f>IF(OR(G307="USA",G307="usa"),"USA",K310
                                                                                                                                                                                                                                                               IF(G307="United States of America","USA","USA"))</f>
        <v>USA</v>
      </c>
      <c r="L307" s="4" t="str">
        <f t="shared" si="22"/>
        <v>CUST1305</v>
      </c>
      <c r="M307" s="4" t="str">
        <f t="shared" si="23"/>
        <v>Platinum</v>
      </c>
      <c r="N307" s="4" t="str">
        <f t="shared" si="24"/>
        <v>Ok</v>
      </c>
    </row>
    <row r="308" spans="1:14" ht="15.75" customHeight="1">
      <c r="A308" s="3" t="s">
        <v>994</v>
      </c>
      <c r="B308" s="4" t="s">
        <v>995</v>
      </c>
      <c r="C308" s="4">
        <v>44</v>
      </c>
      <c r="D308" s="4" t="s">
        <v>25</v>
      </c>
      <c r="E308" s="4" t="s">
        <v>996</v>
      </c>
      <c r="F308" s="4" t="s">
        <v>258</v>
      </c>
      <c r="G308" s="4" t="s">
        <v>28</v>
      </c>
      <c r="H308" s="4" t="s">
        <v>34</v>
      </c>
      <c r="I308" s="4" t="str">
        <f t="shared" si="20"/>
        <v>Angela Robinson</v>
      </c>
      <c r="J308" s="4" t="str">
        <f t="shared" si="21"/>
        <v>New Nicholasstad</v>
      </c>
      <c r="K308" s="4" t="str">
        <f>IF(OR(G308="USA",G308="usa"),"USA",K311
                                                                                                                                                                                                                                                               IF(G308="United States of America","USA","USA"))</f>
        <v>USA</v>
      </c>
      <c r="L308" s="4" t="str">
        <f t="shared" si="22"/>
        <v>CUST1306</v>
      </c>
      <c r="M308" s="4" t="str">
        <f t="shared" si="23"/>
        <v>Platinum</v>
      </c>
      <c r="N308" s="4" t="str">
        <f t="shared" si="24"/>
        <v>Ok</v>
      </c>
    </row>
    <row r="309" spans="1:14" ht="15.75" customHeight="1">
      <c r="A309" s="3" t="s">
        <v>997</v>
      </c>
      <c r="B309" s="4" t="s">
        <v>998</v>
      </c>
      <c r="C309" s="4">
        <v>56</v>
      </c>
      <c r="D309" s="4" t="s">
        <v>31</v>
      </c>
      <c r="E309" s="4" t="s">
        <v>999</v>
      </c>
      <c r="F309" s="4" t="s">
        <v>38</v>
      </c>
      <c r="G309" s="4" t="s">
        <v>28</v>
      </c>
      <c r="H309" s="4" t="s">
        <v>44</v>
      </c>
      <c r="I309" s="4" t="str">
        <f t="shared" si="20"/>
        <v>Brandy Thompson</v>
      </c>
      <c r="J309" s="4" t="str">
        <f t="shared" si="21"/>
        <v>West Patriciaview</v>
      </c>
      <c r="K309" s="4" t="str">
        <f>IF(OR(G309="USA",G309="usa"),"USA",K312
                                                                                                                                                                                                                                                               IF(G309="United States of America","USA","USA"))</f>
        <v>USA</v>
      </c>
      <c r="L309" s="4" t="str">
        <f t="shared" si="22"/>
        <v>CUST1307</v>
      </c>
      <c r="M309" s="4" t="str">
        <f t="shared" si="23"/>
        <v>Bronze</v>
      </c>
      <c r="N309" s="4" t="str">
        <f t="shared" si="24"/>
        <v>Ok</v>
      </c>
    </row>
    <row r="310" spans="1:14" ht="15.75" customHeight="1">
      <c r="A310" s="3" t="s">
        <v>1000</v>
      </c>
      <c r="B310" s="4" t="s">
        <v>1001</v>
      </c>
      <c r="C310" s="4">
        <v>60</v>
      </c>
      <c r="D310" s="4" t="s">
        <v>31</v>
      </c>
      <c r="E310" s="4" t="s">
        <v>1002</v>
      </c>
      <c r="F310" s="4" t="s">
        <v>288</v>
      </c>
      <c r="G310" s="4" t="s">
        <v>28</v>
      </c>
      <c r="H310" s="4" t="s">
        <v>67</v>
      </c>
      <c r="I310" s="4" t="str">
        <f t="shared" si="20"/>
        <v>Jennifer Zamora</v>
      </c>
      <c r="J310" s="4" t="str">
        <f t="shared" si="21"/>
        <v>Sarahland</v>
      </c>
      <c r="K310" s="4" t="str">
        <f>IF(OR(G310="USA",G310="usa"),"USA",K313
                                                                                                                                                                                                                                                               IF(G310="United States of America","USA","USA"))</f>
        <v>USA</v>
      </c>
      <c r="L310" s="4" t="str">
        <f t="shared" si="22"/>
        <v>CUST1308</v>
      </c>
      <c r="M310" s="4" t="str">
        <f t="shared" si="23"/>
        <v>Gold</v>
      </c>
      <c r="N310" s="4" t="str">
        <f t="shared" si="24"/>
        <v>Ok</v>
      </c>
    </row>
    <row r="311" spans="1:14" ht="15.75" customHeight="1">
      <c r="A311" s="3" t="s">
        <v>1003</v>
      </c>
      <c r="B311" s="4" t="s">
        <v>1004</v>
      </c>
      <c r="C311" s="4">
        <v>41</v>
      </c>
      <c r="D311" s="4" t="s">
        <v>31</v>
      </c>
      <c r="E311" s="4" t="s">
        <v>1005</v>
      </c>
      <c r="F311" s="4" t="s">
        <v>49</v>
      </c>
      <c r="G311" s="4" t="s">
        <v>28</v>
      </c>
      <c r="H311" s="4" t="s">
        <v>44</v>
      </c>
      <c r="I311" s="4" t="str">
        <f t="shared" si="20"/>
        <v>Stacy Collins</v>
      </c>
      <c r="J311" s="4" t="str">
        <f t="shared" si="21"/>
        <v>Randychester</v>
      </c>
      <c r="K311" s="4" t="str">
        <f>IF(OR(G311="USA",G311="usa"),"USA",K314
                                                                                                                                                                                                                                                               IF(G311="United States of America","USA","USA"))</f>
        <v>USA</v>
      </c>
      <c r="L311" s="4" t="str">
        <f t="shared" si="22"/>
        <v>CUST1309</v>
      </c>
      <c r="M311" s="4" t="str">
        <f t="shared" si="23"/>
        <v>Bronze</v>
      </c>
      <c r="N311" s="4" t="str">
        <f t="shared" si="24"/>
        <v>Ok</v>
      </c>
    </row>
    <row r="312" spans="1:14" ht="15.75" customHeight="1">
      <c r="A312" s="3" t="s">
        <v>1006</v>
      </c>
      <c r="B312" s="4" t="s">
        <v>1007</v>
      </c>
      <c r="C312" s="4">
        <v>20</v>
      </c>
      <c r="D312" s="4" t="s">
        <v>25</v>
      </c>
      <c r="E312" s="4" t="s">
        <v>1008</v>
      </c>
      <c r="F312" s="4" t="s">
        <v>192</v>
      </c>
      <c r="G312" s="4" t="s">
        <v>28</v>
      </c>
      <c r="H312" s="4" t="s">
        <v>50</v>
      </c>
      <c r="I312" s="4" t="str">
        <f t="shared" si="20"/>
        <v>Kara Dodson</v>
      </c>
      <c r="J312" s="4" t="str">
        <f t="shared" si="21"/>
        <v>Joelside</v>
      </c>
      <c r="K312" s="4" t="str">
        <f>IF(OR(G312="USA",G312="usa"),"USA",K315
                                                                                                                                                                                                                                                               IF(G312="United States of America","USA","USA"))</f>
        <v>USA</v>
      </c>
      <c r="L312" s="4" t="str">
        <f t="shared" si="22"/>
        <v>CUST1310</v>
      </c>
      <c r="M312" s="4" t="str">
        <f t="shared" si="23"/>
        <v>Silver</v>
      </c>
      <c r="N312" s="4" t="str">
        <f t="shared" si="24"/>
        <v>Ok</v>
      </c>
    </row>
    <row r="313" spans="1:14" ht="15.75" customHeight="1">
      <c r="A313" s="3" t="s">
        <v>1009</v>
      </c>
      <c r="B313" s="4" t="s">
        <v>1010</v>
      </c>
      <c r="C313" s="4">
        <v>35</v>
      </c>
      <c r="D313" s="4" t="s">
        <v>25</v>
      </c>
      <c r="E313" s="4" t="s">
        <v>1011</v>
      </c>
      <c r="F313" s="4" t="s">
        <v>54</v>
      </c>
      <c r="G313" s="4" t="s">
        <v>28</v>
      </c>
      <c r="H313" s="4" t="s">
        <v>34</v>
      </c>
      <c r="I313" s="4" t="str">
        <f t="shared" si="20"/>
        <v>Kevin Larson</v>
      </c>
      <c r="J313" s="4" t="str">
        <f t="shared" si="21"/>
        <v>Port Edwardmouth</v>
      </c>
      <c r="K313" s="4" t="str">
        <f>IF(OR(G313="USA",G313="usa"),"USA",K316
                                                                                                                                                                                                                                                               IF(G313="United States of America","USA","USA"))</f>
        <v>USA</v>
      </c>
      <c r="L313" s="4" t="str">
        <f t="shared" si="22"/>
        <v>CUST1311</v>
      </c>
      <c r="M313" s="4" t="str">
        <f t="shared" si="23"/>
        <v>Platinum</v>
      </c>
      <c r="N313" s="4" t="str">
        <f t="shared" si="24"/>
        <v>Ok</v>
      </c>
    </row>
    <row r="314" spans="1:14" ht="15.75" customHeight="1">
      <c r="A314" s="3" t="s">
        <v>1012</v>
      </c>
      <c r="B314" s="4" t="s">
        <v>1013</v>
      </c>
      <c r="C314" s="4">
        <v>47</v>
      </c>
      <c r="D314" s="4" t="s">
        <v>31</v>
      </c>
      <c r="E314" s="4" t="s">
        <v>1014</v>
      </c>
      <c r="F314" s="4" t="s">
        <v>112</v>
      </c>
      <c r="G314" s="4" t="s">
        <v>28</v>
      </c>
      <c r="H314" s="4" t="s">
        <v>50</v>
      </c>
      <c r="I314" s="4" t="str">
        <f t="shared" si="20"/>
        <v>Jason Mullins</v>
      </c>
      <c r="J314" s="4" t="str">
        <f t="shared" si="21"/>
        <v>Brianchester</v>
      </c>
      <c r="K314" s="4" t="str">
        <f>IF(OR(G314="USA",G314="usa"),"USA",K317
                                                                                                                                                                                                                                                               IF(G314="United States of America","USA","USA"))</f>
        <v>USA</v>
      </c>
      <c r="L314" s="4" t="str">
        <f t="shared" si="22"/>
        <v>CUST1312</v>
      </c>
      <c r="M314" s="4" t="str">
        <f t="shared" si="23"/>
        <v>Silver</v>
      </c>
      <c r="N314" s="4" t="str">
        <f t="shared" si="24"/>
        <v>Ok</v>
      </c>
    </row>
    <row r="315" spans="1:14" ht="15.75" customHeight="1">
      <c r="A315" s="3" t="s">
        <v>1015</v>
      </c>
      <c r="B315" s="4" t="s">
        <v>1016</v>
      </c>
      <c r="C315" s="4">
        <v>62</v>
      </c>
      <c r="D315" s="4" t="s">
        <v>25</v>
      </c>
      <c r="E315" s="4" t="s">
        <v>1017</v>
      </c>
      <c r="F315" s="4" t="s">
        <v>161</v>
      </c>
      <c r="G315" s="4" t="s">
        <v>28</v>
      </c>
      <c r="H315" s="4" t="s">
        <v>34</v>
      </c>
      <c r="I315" s="4" t="str">
        <f t="shared" si="20"/>
        <v>Elizabeth Jones</v>
      </c>
      <c r="J315" s="4" t="str">
        <f t="shared" si="21"/>
        <v>Brownburgh</v>
      </c>
      <c r="K315" s="4" t="str">
        <f>IF(OR(G315="USA",G315="usa"),"USA",K318
                                                                                                                                                                                                                                                               IF(G315="United States of America","USA","USA"))</f>
        <v>USA</v>
      </c>
      <c r="L315" s="4" t="str">
        <f t="shared" si="22"/>
        <v>CUST1313</v>
      </c>
      <c r="M315" s="4" t="str">
        <f t="shared" si="23"/>
        <v>Platinum</v>
      </c>
      <c r="N315" s="4" t="str">
        <f t="shared" si="24"/>
        <v>Ok</v>
      </c>
    </row>
    <row r="316" spans="1:14" ht="15.75" customHeight="1">
      <c r="A316" s="3" t="s">
        <v>1018</v>
      </c>
      <c r="B316" s="4" t="s">
        <v>1019</v>
      </c>
      <c r="C316" s="4">
        <v>53</v>
      </c>
      <c r="D316" s="4" t="s">
        <v>31</v>
      </c>
      <c r="E316" s="4" t="s">
        <v>1020</v>
      </c>
      <c r="F316" s="4" t="s">
        <v>94</v>
      </c>
      <c r="G316" s="4" t="s">
        <v>28</v>
      </c>
      <c r="H316" s="4" t="s">
        <v>50</v>
      </c>
      <c r="I316" s="4" t="str">
        <f t="shared" si="20"/>
        <v>Elizabeth Johnson</v>
      </c>
      <c r="J316" s="4" t="str">
        <f t="shared" si="21"/>
        <v>Anitaland</v>
      </c>
      <c r="K316" s="4" t="str">
        <f>IF(OR(G316="USA",G316="usa"),"USA",K319
                                                                                                                                                                                                                                                               IF(G316="United States of America","USA","USA"))</f>
        <v>USA</v>
      </c>
      <c r="L316" s="4" t="str">
        <f t="shared" si="22"/>
        <v>CUST1314</v>
      </c>
      <c r="M316" s="4" t="str">
        <f t="shared" si="23"/>
        <v>Silver</v>
      </c>
      <c r="N316" s="4" t="str">
        <f t="shared" si="24"/>
        <v>Ok</v>
      </c>
    </row>
    <row r="317" spans="1:14" ht="15.75" customHeight="1">
      <c r="A317" s="3" t="s">
        <v>1021</v>
      </c>
      <c r="B317" s="4" t="s">
        <v>1022</v>
      </c>
      <c r="C317" s="4">
        <v>49</v>
      </c>
      <c r="D317" s="4" t="s">
        <v>25</v>
      </c>
      <c r="E317" s="4" t="s">
        <v>1023</v>
      </c>
      <c r="F317" s="4" t="s">
        <v>742</v>
      </c>
      <c r="G317" s="4" t="s">
        <v>28</v>
      </c>
      <c r="H317" s="4" t="s">
        <v>50</v>
      </c>
      <c r="I317" s="4" t="str">
        <f t="shared" si="20"/>
        <v>William Rodriguez</v>
      </c>
      <c r="J317" s="4" t="str">
        <f t="shared" si="21"/>
        <v>Port Chad</v>
      </c>
      <c r="K317" s="4" t="str">
        <f>IF(OR(G317="USA",G317="usa"),"USA",K320
                                                                                                                                                                                                                                                               IF(G317="United States of America","USA","USA"))</f>
        <v>USA</v>
      </c>
      <c r="L317" s="4" t="str">
        <f t="shared" si="22"/>
        <v>CUST1315</v>
      </c>
      <c r="M317" s="4" t="str">
        <f t="shared" si="23"/>
        <v>Silver</v>
      </c>
      <c r="N317" s="4" t="str">
        <f t="shared" si="24"/>
        <v>Ok</v>
      </c>
    </row>
    <row r="318" spans="1:14" ht="15.75" customHeight="1">
      <c r="A318" s="3" t="s">
        <v>1024</v>
      </c>
      <c r="B318" s="4" t="s">
        <v>1025</v>
      </c>
      <c r="C318" s="4">
        <v>34</v>
      </c>
      <c r="D318" s="4" t="s">
        <v>25</v>
      </c>
      <c r="E318" s="4" t="s">
        <v>1026</v>
      </c>
      <c r="F318" s="4" t="s">
        <v>161</v>
      </c>
      <c r="G318" s="4" t="s">
        <v>28</v>
      </c>
      <c r="H318" s="4" t="s">
        <v>67</v>
      </c>
      <c r="I318" s="4" t="str">
        <f t="shared" si="20"/>
        <v>Robert House</v>
      </c>
      <c r="J318" s="4" t="str">
        <f t="shared" si="21"/>
        <v>Lake James</v>
      </c>
      <c r="K318" s="4" t="str">
        <f>IF(OR(G318="USA",G318="usa"),"USA",K321
                                                                                                                                                                                                                                                               IF(G318="United States of America","USA","USA"))</f>
        <v>USA</v>
      </c>
      <c r="L318" s="4" t="str">
        <f t="shared" si="22"/>
        <v>CUST1316</v>
      </c>
      <c r="M318" s="4" t="str">
        <f t="shared" si="23"/>
        <v>Gold</v>
      </c>
      <c r="N318" s="4" t="str">
        <f t="shared" si="24"/>
        <v>Ok</v>
      </c>
    </row>
    <row r="319" spans="1:14" ht="15.75" customHeight="1">
      <c r="A319" s="3" t="s">
        <v>1027</v>
      </c>
      <c r="B319" s="4" t="s">
        <v>1028</v>
      </c>
      <c r="C319" s="4">
        <v>64</v>
      </c>
      <c r="D319" s="4" t="s">
        <v>31</v>
      </c>
      <c r="E319" s="4" t="s">
        <v>1029</v>
      </c>
      <c r="F319" s="4" t="s">
        <v>66</v>
      </c>
      <c r="G319" s="4" t="s">
        <v>28</v>
      </c>
      <c r="H319" s="4" t="s">
        <v>67</v>
      </c>
      <c r="I319" s="4" t="str">
        <f t="shared" si="20"/>
        <v>Tiffany Williams</v>
      </c>
      <c r="J319" s="4" t="str">
        <f t="shared" si="21"/>
        <v>Richardsport</v>
      </c>
      <c r="K319" s="4" t="str">
        <f>IF(OR(G319="USA",G319="usa"),"USA",K322
                                                                                                                                                                                                                                                               IF(G319="United States of America","USA","USA"))</f>
        <v>USA</v>
      </c>
      <c r="L319" s="4" t="str">
        <f t="shared" si="22"/>
        <v>CUST1317</v>
      </c>
      <c r="M319" s="4" t="str">
        <f t="shared" si="23"/>
        <v>Gold</v>
      </c>
      <c r="N319" s="4" t="str">
        <f t="shared" si="24"/>
        <v>Ok</v>
      </c>
    </row>
    <row r="320" spans="1:14" ht="15.75" customHeight="1">
      <c r="A320" s="3" t="s">
        <v>1030</v>
      </c>
      <c r="B320" s="4" t="s">
        <v>1031</v>
      </c>
      <c r="C320" s="4">
        <v>25</v>
      </c>
      <c r="D320" s="4" t="s">
        <v>25</v>
      </c>
      <c r="E320" s="4" t="s">
        <v>1032</v>
      </c>
      <c r="F320" s="4" t="s">
        <v>82</v>
      </c>
      <c r="G320" s="4" t="s">
        <v>28</v>
      </c>
      <c r="H320" s="4" t="s">
        <v>34</v>
      </c>
      <c r="I320" s="4" t="str">
        <f t="shared" si="20"/>
        <v>Madison Wright</v>
      </c>
      <c r="J320" s="4" t="str">
        <f t="shared" si="21"/>
        <v>Monicaview</v>
      </c>
      <c r="K320" s="4" t="str">
        <f>IF(OR(G320="USA",G320="usa"),"USA",K323
                                                                                                                                                                                                                                                               IF(G320="United States of America","USA","USA"))</f>
        <v>USA</v>
      </c>
      <c r="L320" s="4" t="str">
        <f t="shared" si="22"/>
        <v>CUST1318</v>
      </c>
      <c r="M320" s="4" t="str">
        <f t="shared" si="23"/>
        <v>Platinum</v>
      </c>
      <c r="N320" s="4" t="str">
        <f t="shared" si="24"/>
        <v>Ok</v>
      </c>
    </row>
    <row r="321" spans="1:14" ht="15.75" customHeight="1">
      <c r="A321" s="3" t="s">
        <v>1033</v>
      </c>
      <c r="B321" s="4" t="s">
        <v>1034</v>
      </c>
      <c r="C321" s="4">
        <v>54</v>
      </c>
      <c r="D321" s="4" t="s">
        <v>25</v>
      </c>
      <c r="E321" s="4" t="s">
        <v>1035</v>
      </c>
      <c r="F321" s="4" t="s">
        <v>334</v>
      </c>
      <c r="G321" s="4" t="s">
        <v>28</v>
      </c>
      <c r="H321" s="4" t="s">
        <v>34</v>
      </c>
      <c r="I321" s="4" t="str">
        <f t="shared" si="20"/>
        <v>Casey Simpson</v>
      </c>
      <c r="J321" s="4" t="str">
        <f t="shared" si="21"/>
        <v>West Mathewside</v>
      </c>
      <c r="K321" s="4" t="str">
        <f>IF(OR(G321="USA",G321="usa"),"USA",K324
                                                                                                                                                                                                                                                               IF(G321="United States of America","USA","USA"))</f>
        <v>USA</v>
      </c>
      <c r="L321" s="4" t="str">
        <f t="shared" si="22"/>
        <v>CUST1319</v>
      </c>
      <c r="M321" s="4" t="str">
        <f t="shared" si="23"/>
        <v>Platinum</v>
      </c>
      <c r="N321" s="4" t="str">
        <f t="shared" si="24"/>
        <v>Ok</v>
      </c>
    </row>
    <row r="322" spans="1:14" ht="15.75" customHeight="1">
      <c r="A322" s="3" t="s">
        <v>1036</v>
      </c>
      <c r="B322" s="4" t="s">
        <v>1037</v>
      </c>
      <c r="C322" s="4">
        <v>34</v>
      </c>
      <c r="D322" s="4" t="s">
        <v>31</v>
      </c>
      <c r="E322" s="4" t="s">
        <v>1038</v>
      </c>
      <c r="F322" s="4" t="s">
        <v>288</v>
      </c>
      <c r="G322" s="4" t="s">
        <v>28</v>
      </c>
      <c r="H322" s="4" t="s">
        <v>44</v>
      </c>
      <c r="I322" s="4" t="str">
        <f t="shared" ref="I322:I385" si="25">PROPER(TRIM(B322))</f>
        <v>Jessica Gonzalez</v>
      </c>
      <c r="J322" s="4" t="str">
        <f t="shared" ref="J322:J385" si="26">PROPER(TRIM(E322))</f>
        <v>South Darrenland</v>
      </c>
      <c r="K322" s="4" t="str">
        <f>IF(OR(G322="USA",G322="usa"),"USA",K325
                                                                                                                                                                                                                                                               IF(G322="United States of America","USA","USA"))</f>
        <v>USA</v>
      </c>
      <c r="L322" s="4" t="str">
        <f t="shared" ref="L322:L385" si="27">IF(LEFT(A322,1)="C","CUST"&amp;RIGHT(A322,4),A322)</f>
        <v>CUST1320</v>
      </c>
      <c r="M322" s="4" t="str">
        <f t="shared" ref="M322:M385" si="28">IF(H322="","Standard",H322)</f>
        <v>Bronze</v>
      </c>
      <c r="N322" s="4" t="str">
        <f t="shared" ref="N322:N385" si="29">IF(OR(C322&lt;18,C322&gt;70),"Check Age","Ok")</f>
        <v>Ok</v>
      </c>
    </row>
    <row r="323" spans="1:14" ht="15.75" customHeight="1">
      <c r="A323" s="3" t="s">
        <v>1039</v>
      </c>
      <c r="B323" s="4" t="s">
        <v>1040</v>
      </c>
      <c r="C323" s="4">
        <v>21</v>
      </c>
      <c r="D323" s="4" t="s">
        <v>31</v>
      </c>
      <c r="E323" s="4" t="s">
        <v>1041</v>
      </c>
      <c r="F323" s="4" t="s">
        <v>258</v>
      </c>
      <c r="G323" s="4" t="s">
        <v>28</v>
      </c>
      <c r="H323" s="4" t="s">
        <v>44</v>
      </c>
      <c r="I323" s="4" t="str">
        <f t="shared" si="25"/>
        <v>Darren Burton</v>
      </c>
      <c r="J323" s="4" t="str">
        <f t="shared" si="26"/>
        <v>Lake Alice</v>
      </c>
      <c r="K323" s="4" t="str">
        <f>IF(OR(G323="USA",G323="usa"),"USA",K326
                                                                                                                                                                                                                                                               IF(G323="United States of America","USA","USA"))</f>
        <v>USA</v>
      </c>
      <c r="L323" s="4" t="str">
        <f t="shared" si="27"/>
        <v>CUST1321</v>
      </c>
      <c r="M323" s="4" t="str">
        <f t="shared" si="28"/>
        <v>Bronze</v>
      </c>
      <c r="N323" s="4" t="str">
        <f t="shared" si="29"/>
        <v>Ok</v>
      </c>
    </row>
    <row r="324" spans="1:14" ht="15.75" customHeight="1">
      <c r="A324" s="3" t="s">
        <v>1042</v>
      </c>
      <c r="B324" s="4" t="s">
        <v>1043</v>
      </c>
      <c r="C324" s="4">
        <v>54</v>
      </c>
      <c r="D324" s="4" t="s">
        <v>25</v>
      </c>
      <c r="E324" s="4" t="s">
        <v>1044</v>
      </c>
      <c r="F324" s="4" t="s">
        <v>873</v>
      </c>
      <c r="G324" s="4" t="s">
        <v>28</v>
      </c>
      <c r="H324" s="4" t="s">
        <v>44</v>
      </c>
      <c r="I324" s="4" t="str">
        <f t="shared" si="25"/>
        <v>Samuel Arias</v>
      </c>
      <c r="J324" s="4" t="str">
        <f t="shared" si="26"/>
        <v>North Nicole</v>
      </c>
      <c r="K324" s="4" t="str">
        <f>IF(OR(G324="USA",G324="usa"),"USA",K327
                                                                                                                                                                                                                                                               IF(G324="United States of America","USA","USA"))</f>
        <v>USA</v>
      </c>
      <c r="L324" s="4" t="str">
        <f t="shared" si="27"/>
        <v>CUST1322</v>
      </c>
      <c r="M324" s="4" t="str">
        <f t="shared" si="28"/>
        <v>Bronze</v>
      </c>
      <c r="N324" s="4" t="str">
        <f t="shared" si="29"/>
        <v>Ok</v>
      </c>
    </row>
    <row r="325" spans="1:14" ht="15.75" customHeight="1">
      <c r="A325" s="3" t="s">
        <v>1045</v>
      </c>
      <c r="B325" s="4" t="s">
        <v>1046</v>
      </c>
      <c r="C325" s="4">
        <v>64</v>
      </c>
      <c r="D325" s="4" t="s">
        <v>31</v>
      </c>
      <c r="E325" s="4" t="s">
        <v>1047</v>
      </c>
      <c r="F325" s="4" t="s">
        <v>27</v>
      </c>
      <c r="G325" s="4" t="s">
        <v>28</v>
      </c>
      <c r="H325" s="4" t="s">
        <v>34</v>
      </c>
      <c r="I325" s="4" t="str">
        <f t="shared" si="25"/>
        <v>Kristy Dunlap</v>
      </c>
      <c r="J325" s="4" t="str">
        <f t="shared" si="26"/>
        <v>Whiteport</v>
      </c>
      <c r="K325" s="4" t="str">
        <f>IF(OR(G325="USA",G325="usa"),"USA",K328
                                                                                                                                                                                                                                                               IF(G325="United States of America","USA","USA"))</f>
        <v>USA</v>
      </c>
      <c r="L325" s="4" t="str">
        <f t="shared" si="27"/>
        <v>CUST1323</v>
      </c>
      <c r="M325" s="4" t="str">
        <f t="shared" si="28"/>
        <v>Platinum</v>
      </c>
      <c r="N325" s="4" t="str">
        <f t="shared" si="29"/>
        <v>Ok</v>
      </c>
    </row>
    <row r="326" spans="1:14" ht="15.75" customHeight="1">
      <c r="A326" s="3" t="s">
        <v>1048</v>
      </c>
      <c r="B326" s="4" t="s">
        <v>1049</v>
      </c>
      <c r="C326" s="4">
        <v>58</v>
      </c>
      <c r="D326" s="4" t="s">
        <v>25</v>
      </c>
      <c r="E326" s="4" t="s">
        <v>1050</v>
      </c>
      <c r="F326" s="4" t="s">
        <v>116</v>
      </c>
      <c r="G326" s="4" t="s">
        <v>28</v>
      </c>
      <c r="H326" s="4" t="s">
        <v>44</v>
      </c>
      <c r="I326" s="4" t="str">
        <f t="shared" si="25"/>
        <v>Alex Mann Ii</v>
      </c>
      <c r="J326" s="4" t="str">
        <f t="shared" si="26"/>
        <v>South Zacharychester</v>
      </c>
      <c r="K326" s="4" t="str">
        <f>IF(OR(G326="USA",G326="usa"),"USA",K329
                                                                                                                                                                                                                                                               IF(G326="United States of America","USA","USA"))</f>
        <v>USA</v>
      </c>
      <c r="L326" s="4" t="str">
        <f t="shared" si="27"/>
        <v>CUST1324</v>
      </c>
      <c r="M326" s="4" t="str">
        <f t="shared" si="28"/>
        <v>Bronze</v>
      </c>
      <c r="N326" s="4" t="str">
        <f t="shared" si="29"/>
        <v>Ok</v>
      </c>
    </row>
    <row r="327" spans="1:14" ht="15.75" customHeight="1">
      <c r="A327" s="3" t="s">
        <v>1051</v>
      </c>
      <c r="B327" s="4" t="s">
        <v>1052</v>
      </c>
      <c r="C327" s="4">
        <v>60</v>
      </c>
      <c r="D327" s="4" t="s">
        <v>25</v>
      </c>
      <c r="E327" s="4" t="s">
        <v>1053</v>
      </c>
      <c r="F327" s="4" t="s">
        <v>345</v>
      </c>
      <c r="G327" s="4" t="s">
        <v>28</v>
      </c>
      <c r="H327" s="4" t="s">
        <v>44</v>
      </c>
      <c r="I327" s="4" t="str">
        <f t="shared" si="25"/>
        <v>Andrew Smith</v>
      </c>
      <c r="J327" s="4" t="str">
        <f t="shared" si="26"/>
        <v>East Matthew</v>
      </c>
      <c r="K327" s="4" t="str">
        <f>IF(OR(G327="USA",G327="usa"),"USA",K330
                                                                                                                                                                                                                                                               IF(G327="United States of America","USA","USA"))</f>
        <v>USA</v>
      </c>
      <c r="L327" s="4" t="str">
        <f t="shared" si="27"/>
        <v>CUST1325</v>
      </c>
      <c r="M327" s="4" t="str">
        <f t="shared" si="28"/>
        <v>Bronze</v>
      </c>
      <c r="N327" s="4" t="str">
        <f t="shared" si="29"/>
        <v>Ok</v>
      </c>
    </row>
    <row r="328" spans="1:14" ht="15.75" customHeight="1">
      <c r="A328" s="3" t="s">
        <v>1054</v>
      </c>
      <c r="B328" s="4" t="s">
        <v>1055</v>
      </c>
      <c r="C328" s="4">
        <v>58</v>
      </c>
      <c r="D328" s="4" t="s">
        <v>31</v>
      </c>
      <c r="E328" s="4" t="s">
        <v>1056</v>
      </c>
      <c r="F328" s="4" t="s">
        <v>238</v>
      </c>
      <c r="G328" s="4" t="s">
        <v>28</v>
      </c>
      <c r="H328" s="4" t="s">
        <v>67</v>
      </c>
      <c r="I328" s="4" t="str">
        <f t="shared" si="25"/>
        <v>Robert King</v>
      </c>
      <c r="J328" s="4" t="str">
        <f t="shared" si="26"/>
        <v>Cindyton</v>
      </c>
      <c r="K328" s="4" t="str">
        <f>IF(OR(G328="USA",G328="usa"),"USA",K331
                                                                                                                                                                                                                                                               IF(G328="United States of America","USA","USA"))</f>
        <v>USA</v>
      </c>
      <c r="L328" s="4" t="str">
        <f t="shared" si="27"/>
        <v>CUST1326</v>
      </c>
      <c r="M328" s="4" t="str">
        <f t="shared" si="28"/>
        <v>Gold</v>
      </c>
      <c r="N328" s="4" t="str">
        <f t="shared" si="29"/>
        <v>Ok</v>
      </c>
    </row>
    <row r="329" spans="1:14" ht="15.75" customHeight="1">
      <c r="A329" s="3" t="s">
        <v>1057</v>
      </c>
      <c r="B329" s="4" t="s">
        <v>1058</v>
      </c>
      <c r="C329" s="4">
        <v>62</v>
      </c>
      <c r="D329" s="4" t="s">
        <v>31</v>
      </c>
      <c r="E329" s="4" t="s">
        <v>1059</v>
      </c>
      <c r="F329" s="4" t="s">
        <v>78</v>
      </c>
      <c r="G329" s="4" t="s">
        <v>28</v>
      </c>
      <c r="H329" s="4" t="s">
        <v>44</v>
      </c>
      <c r="I329" s="4" t="str">
        <f t="shared" si="25"/>
        <v>Reginald Willis</v>
      </c>
      <c r="J329" s="4" t="str">
        <f t="shared" si="26"/>
        <v>Kellybury</v>
      </c>
      <c r="K329" s="4" t="str">
        <f>IF(OR(G329="USA",G329="usa"),"USA",K332
                                                                                                                                                                                                                                                               IF(G329="United States of America","USA","USA"))</f>
        <v>USA</v>
      </c>
      <c r="L329" s="4" t="str">
        <f t="shared" si="27"/>
        <v>CUST1327</v>
      </c>
      <c r="M329" s="4" t="str">
        <f t="shared" si="28"/>
        <v>Bronze</v>
      </c>
      <c r="N329" s="4" t="str">
        <f t="shared" si="29"/>
        <v>Ok</v>
      </c>
    </row>
    <row r="330" spans="1:14" ht="15.75" customHeight="1">
      <c r="A330" s="3" t="s">
        <v>1060</v>
      </c>
      <c r="B330" s="4" t="s">
        <v>1061</v>
      </c>
      <c r="C330" s="4">
        <v>46</v>
      </c>
      <c r="D330" s="4" t="s">
        <v>25</v>
      </c>
      <c r="E330" s="4" t="s">
        <v>1062</v>
      </c>
      <c r="F330" s="4" t="s">
        <v>222</v>
      </c>
      <c r="G330" s="4" t="s">
        <v>28</v>
      </c>
      <c r="H330" s="4" t="s">
        <v>34</v>
      </c>
      <c r="I330" s="4" t="str">
        <f t="shared" si="25"/>
        <v>Mario Harvey Jr.</v>
      </c>
      <c r="J330" s="4" t="str">
        <f t="shared" si="26"/>
        <v>Jessicaport</v>
      </c>
      <c r="K330" s="4" t="str">
        <f>IF(OR(G330="USA",G330="usa"),"USA",K333
                                                                                                                                                                                                                                                               IF(G330="United States of America","USA","USA"))</f>
        <v>USA</v>
      </c>
      <c r="L330" s="4" t="str">
        <f t="shared" si="27"/>
        <v>CUST1328</v>
      </c>
      <c r="M330" s="4" t="str">
        <f t="shared" si="28"/>
        <v>Platinum</v>
      </c>
      <c r="N330" s="4" t="str">
        <f t="shared" si="29"/>
        <v>Ok</v>
      </c>
    </row>
    <row r="331" spans="1:14" ht="15.75" customHeight="1">
      <c r="A331" s="3" t="s">
        <v>1063</v>
      </c>
      <c r="B331" s="4" t="s">
        <v>1064</v>
      </c>
      <c r="C331" s="4">
        <v>62</v>
      </c>
      <c r="D331" s="4" t="s">
        <v>31</v>
      </c>
      <c r="E331" s="4" t="s">
        <v>1065</v>
      </c>
      <c r="F331" s="4" t="s">
        <v>222</v>
      </c>
      <c r="G331" s="4" t="s">
        <v>28</v>
      </c>
      <c r="H331" s="4" t="s">
        <v>44</v>
      </c>
      <c r="I331" s="4" t="str">
        <f t="shared" si="25"/>
        <v>Victor Mcintosh</v>
      </c>
      <c r="J331" s="4" t="str">
        <f t="shared" si="26"/>
        <v>Tiffanyshire</v>
      </c>
      <c r="K331" s="4" t="str">
        <f>IF(OR(G331="USA",G331="usa"),"USA",K334
                                                                                                                                                                                                                                                               IF(G331="United States of America","USA","USA"))</f>
        <v>USA</v>
      </c>
      <c r="L331" s="4" t="str">
        <f t="shared" si="27"/>
        <v>CUST1329</v>
      </c>
      <c r="M331" s="4" t="str">
        <f t="shared" si="28"/>
        <v>Bronze</v>
      </c>
      <c r="N331" s="4" t="str">
        <f t="shared" si="29"/>
        <v>Ok</v>
      </c>
    </row>
    <row r="332" spans="1:14" ht="15.75" customHeight="1">
      <c r="A332" s="3" t="s">
        <v>1066</v>
      </c>
      <c r="B332" s="4" t="s">
        <v>1067</v>
      </c>
      <c r="C332" s="4">
        <v>54</v>
      </c>
      <c r="D332" s="4" t="s">
        <v>25</v>
      </c>
      <c r="E332" s="4" t="s">
        <v>1068</v>
      </c>
      <c r="F332" s="4" t="s">
        <v>215</v>
      </c>
      <c r="G332" s="4" t="s">
        <v>28</v>
      </c>
      <c r="H332" s="4" t="s">
        <v>34</v>
      </c>
      <c r="I332" s="4" t="str">
        <f t="shared" si="25"/>
        <v>Pamela Mcguire</v>
      </c>
      <c r="J332" s="4" t="str">
        <f t="shared" si="26"/>
        <v>South Jasontown</v>
      </c>
      <c r="K332" s="4" t="str">
        <f>IF(OR(G332="USA",G332="usa"),"USA",K335
                                                                                                                                                                                                                                                               IF(G332="United States of America","USA","USA"))</f>
        <v>USA</v>
      </c>
      <c r="L332" s="4" t="str">
        <f t="shared" si="27"/>
        <v>CUST1330</v>
      </c>
      <c r="M332" s="4" t="str">
        <f t="shared" si="28"/>
        <v>Platinum</v>
      </c>
      <c r="N332" s="4" t="str">
        <f t="shared" si="29"/>
        <v>Ok</v>
      </c>
    </row>
    <row r="333" spans="1:14" ht="15.75" customHeight="1">
      <c r="A333" s="3" t="s">
        <v>1069</v>
      </c>
      <c r="B333" s="4" t="s">
        <v>1070</v>
      </c>
      <c r="C333" s="4">
        <v>38</v>
      </c>
      <c r="D333" s="4" t="s">
        <v>31</v>
      </c>
      <c r="E333" s="4" t="s">
        <v>1071</v>
      </c>
      <c r="F333" s="4" t="s">
        <v>86</v>
      </c>
      <c r="G333" s="4" t="s">
        <v>28</v>
      </c>
      <c r="H333" s="4" t="s">
        <v>44</v>
      </c>
      <c r="I333" s="4" t="str">
        <f t="shared" si="25"/>
        <v>Maria Phillips</v>
      </c>
      <c r="J333" s="4" t="str">
        <f t="shared" si="26"/>
        <v>North Kathytown</v>
      </c>
      <c r="K333" s="4" t="str">
        <f>IF(OR(G333="USA",G333="usa"),"USA",K336
                                                                                                                                                                                                                                                               IF(G333="United States of America","USA","USA"))</f>
        <v>USA</v>
      </c>
      <c r="L333" s="4" t="str">
        <f t="shared" si="27"/>
        <v>CUST1331</v>
      </c>
      <c r="M333" s="4" t="str">
        <f t="shared" si="28"/>
        <v>Bronze</v>
      </c>
      <c r="N333" s="4" t="str">
        <f t="shared" si="29"/>
        <v>Ok</v>
      </c>
    </row>
    <row r="334" spans="1:14" ht="15.75" customHeight="1">
      <c r="A334" s="3" t="s">
        <v>1072</v>
      </c>
      <c r="B334" s="4" t="s">
        <v>1073</v>
      </c>
      <c r="C334" s="4">
        <v>34</v>
      </c>
      <c r="D334" s="4" t="s">
        <v>31</v>
      </c>
      <c r="E334" s="4" t="s">
        <v>1074</v>
      </c>
      <c r="F334" s="4" t="s">
        <v>120</v>
      </c>
      <c r="G334" s="4" t="s">
        <v>28</v>
      </c>
      <c r="H334" s="4" t="s">
        <v>44</v>
      </c>
      <c r="I334" s="4" t="str">
        <f t="shared" si="25"/>
        <v>Dr. Lindsay Hanna</v>
      </c>
      <c r="J334" s="4" t="str">
        <f t="shared" si="26"/>
        <v>New Paulstad</v>
      </c>
      <c r="K334" s="4" t="str">
        <f>IF(OR(G334="USA",G334="usa"),"USA",K337
                                                                                                                                                                                                                                                               IF(G334="United States of America","USA","USA"))</f>
        <v>USA</v>
      </c>
      <c r="L334" s="4" t="str">
        <f t="shared" si="27"/>
        <v>CUST1332</v>
      </c>
      <c r="M334" s="4" t="str">
        <f t="shared" si="28"/>
        <v>Bronze</v>
      </c>
      <c r="N334" s="4" t="str">
        <f t="shared" si="29"/>
        <v>Ok</v>
      </c>
    </row>
    <row r="335" spans="1:14" ht="15.75" customHeight="1">
      <c r="A335" s="3" t="s">
        <v>1075</v>
      </c>
      <c r="B335" s="4" t="s">
        <v>1076</v>
      </c>
      <c r="C335" s="4">
        <v>64</v>
      </c>
      <c r="D335" s="4" t="s">
        <v>31</v>
      </c>
      <c r="E335" s="4" t="s">
        <v>1077</v>
      </c>
      <c r="F335" s="4" t="s">
        <v>101</v>
      </c>
      <c r="G335" s="4" t="s">
        <v>28</v>
      </c>
      <c r="H335" s="4" t="s">
        <v>67</v>
      </c>
      <c r="I335" s="4" t="str">
        <f t="shared" si="25"/>
        <v>Teresa Johnson</v>
      </c>
      <c r="J335" s="4" t="str">
        <f t="shared" si="26"/>
        <v>Johnsonbury</v>
      </c>
      <c r="K335" s="4" t="str">
        <f>IF(OR(G335="USA",G335="usa"),"USA",K338
                                                                                                                                                                                                                                                               IF(G335="United States of America","USA","USA"))</f>
        <v>USA</v>
      </c>
      <c r="L335" s="4" t="str">
        <f t="shared" si="27"/>
        <v>CUST1333</v>
      </c>
      <c r="M335" s="4" t="str">
        <f t="shared" si="28"/>
        <v>Gold</v>
      </c>
      <c r="N335" s="4" t="str">
        <f t="shared" si="29"/>
        <v>Ok</v>
      </c>
    </row>
    <row r="336" spans="1:14" ht="15.75" customHeight="1">
      <c r="A336" s="3" t="s">
        <v>1078</v>
      </c>
      <c r="B336" s="4" t="s">
        <v>1079</v>
      </c>
      <c r="C336" s="4">
        <v>50</v>
      </c>
      <c r="D336" s="4" t="s">
        <v>31</v>
      </c>
      <c r="E336" s="4" t="s">
        <v>1080</v>
      </c>
      <c r="F336" s="4" t="s">
        <v>188</v>
      </c>
      <c r="G336" s="4" t="s">
        <v>28</v>
      </c>
      <c r="H336" s="4" t="s">
        <v>50</v>
      </c>
      <c r="I336" s="4" t="str">
        <f t="shared" si="25"/>
        <v>Mr. Christopher Sims</v>
      </c>
      <c r="J336" s="4" t="str">
        <f t="shared" si="26"/>
        <v>Donaldsontown</v>
      </c>
      <c r="K336" s="4" t="str">
        <f>IF(OR(G336="USA",G336="usa"),"USA",K339
                                                                                                                                                                                                                                                               IF(G336="United States of America","USA","USA"))</f>
        <v>USA</v>
      </c>
      <c r="L336" s="4" t="str">
        <f t="shared" si="27"/>
        <v>CUST1334</v>
      </c>
      <c r="M336" s="4" t="str">
        <f t="shared" si="28"/>
        <v>Silver</v>
      </c>
      <c r="N336" s="4" t="str">
        <f t="shared" si="29"/>
        <v>Ok</v>
      </c>
    </row>
    <row r="337" spans="1:14" ht="15.75" customHeight="1">
      <c r="A337" s="3" t="s">
        <v>1081</v>
      </c>
      <c r="B337" s="4" t="s">
        <v>1082</v>
      </c>
      <c r="C337" s="4">
        <v>37</v>
      </c>
      <c r="D337" s="4" t="s">
        <v>25</v>
      </c>
      <c r="E337" s="4" t="s">
        <v>1083</v>
      </c>
      <c r="F337" s="4" t="s">
        <v>27</v>
      </c>
      <c r="G337" s="4" t="s">
        <v>28</v>
      </c>
      <c r="H337" s="4" t="s">
        <v>34</v>
      </c>
      <c r="I337" s="4" t="str">
        <f t="shared" si="25"/>
        <v>Jennifer Woods</v>
      </c>
      <c r="J337" s="4" t="str">
        <f t="shared" si="26"/>
        <v>West Brendamouth</v>
      </c>
      <c r="K337" s="4" t="str">
        <f>IF(OR(G337="USA",G337="usa"),"USA",K340
                                                                                                                                                                                                                                                               IF(G337="United States of America","USA","USA"))</f>
        <v>USA</v>
      </c>
      <c r="L337" s="4" t="str">
        <f t="shared" si="27"/>
        <v>CUST1335</v>
      </c>
      <c r="M337" s="4" t="str">
        <f t="shared" si="28"/>
        <v>Platinum</v>
      </c>
      <c r="N337" s="4" t="str">
        <f t="shared" si="29"/>
        <v>Ok</v>
      </c>
    </row>
    <row r="338" spans="1:14" ht="15.75" customHeight="1">
      <c r="A338" s="3" t="s">
        <v>1084</v>
      </c>
      <c r="B338" s="4" t="s">
        <v>1085</v>
      </c>
      <c r="C338" s="4">
        <v>58</v>
      </c>
      <c r="D338" s="4" t="s">
        <v>31</v>
      </c>
      <c r="E338" s="4" t="s">
        <v>1086</v>
      </c>
      <c r="F338" s="4" t="s">
        <v>54</v>
      </c>
      <c r="G338" s="4" t="s">
        <v>28</v>
      </c>
      <c r="H338" s="4" t="s">
        <v>50</v>
      </c>
      <c r="I338" s="4" t="str">
        <f t="shared" si="25"/>
        <v>John Jones</v>
      </c>
      <c r="J338" s="4" t="str">
        <f t="shared" si="26"/>
        <v>North Michaelborough</v>
      </c>
      <c r="K338" s="4" t="str">
        <f>IF(OR(G338="USA",G338="usa"),"USA",K341
                                                                                                                                                                                                                                                               IF(G338="United States of America","USA","USA"))</f>
        <v>USA</v>
      </c>
      <c r="L338" s="4" t="str">
        <f t="shared" si="27"/>
        <v>CUST1336</v>
      </c>
      <c r="M338" s="4" t="str">
        <f t="shared" si="28"/>
        <v>Silver</v>
      </c>
      <c r="N338" s="4" t="str">
        <f t="shared" si="29"/>
        <v>Ok</v>
      </c>
    </row>
    <row r="339" spans="1:14" ht="15.75" customHeight="1">
      <c r="A339" s="3" t="s">
        <v>1087</v>
      </c>
      <c r="B339" s="4" t="s">
        <v>1088</v>
      </c>
      <c r="C339" s="4">
        <v>40</v>
      </c>
      <c r="D339" s="4" t="s">
        <v>31</v>
      </c>
      <c r="E339" s="4" t="s">
        <v>1089</v>
      </c>
      <c r="F339" s="4" t="s">
        <v>27</v>
      </c>
      <c r="G339" s="4" t="s">
        <v>28</v>
      </c>
      <c r="H339" s="4" t="s">
        <v>44</v>
      </c>
      <c r="I339" s="4" t="str">
        <f t="shared" si="25"/>
        <v>Carol Lewis</v>
      </c>
      <c r="J339" s="4" t="str">
        <f t="shared" si="26"/>
        <v>Ryanport</v>
      </c>
      <c r="K339" s="4" t="str">
        <f>IF(OR(G339="USA",G339="usa"),"USA",K342
                                                                                                                                                                                                                                                               IF(G339="United States of America","USA","USA"))</f>
        <v>USA</v>
      </c>
      <c r="L339" s="4" t="str">
        <f t="shared" si="27"/>
        <v>CUST1337</v>
      </c>
      <c r="M339" s="4" t="str">
        <f t="shared" si="28"/>
        <v>Bronze</v>
      </c>
      <c r="N339" s="4" t="str">
        <f t="shared" si="29"/>
        <v>Ok</v>
      </c>
    </row>
    <row r="340" spans="1:14" ht="15.75" customHeight="1">
      <c r="A340" s="3" t="s">
        <v>1090</v>
      </c>
      <c r="B340" s="4" t="s">
        <v>1091</v>
      </c>
      <c r="C340" s="4">
        <v>46</v>
      </c>
      <c r="D340" s="4" t="s">
        <v>31</v>
      </c>
      <c r="E340" s="4" t="s">
        <v>1092</v>
      </c>
      <c r="F340" s="4" t="s">
        <v>188</v>
      </c>
      <c r="G340" s="4" t="s">
        <v>28</v>
      </c>
      <c r="H340" s="4" t="s">
        <v>50</v>
      </c>
      <c r="I340" s="4" t="str">
        <f t="shared" si="25"/>
        <v>Jasmine Snyder</v>
      </c>
      <c r="J340" s="4" t="str">
        <f t="shared" si="26"/>
        <v>Hudsonfort</v>
      </c>
      <c r="K340" s="4" t="str">
        <f>IF(OR(G340="USA",G340="usa"),"USA",K343
                                                                                                                                                                                                                                                               IF(G340="United States of America","USA","USA"))</f>
        <v>USA</v>
      </c>
      <c r="L340" s="4" t="str">
        <f t="shared" si="27"/>
        <v>CUST1338</v>
      </c>
      <c r="M340" s="4" t="str">
        <f t="shared" si="28"/>
        <v>Silver</v>
      </c>
      <c r="N340" s="4" t="str">
        <f t="shared" si="29"/>
        <v>Ok</v>
      </c>
    </row>
    <row r="341" spans="1:14" ht="15.75" customHeight="1">
      <c r="A341" s="3" t="s">
        <v>1093</v>
      </c>
      <c r="B341" s="4" t="s">
        <v>1094</v>
      </c>
      <c r="C341" s="4">
        <v>52</v>
      </c>
      <c r="D341" s="4" t="s">
        <v>31</v>
      </c>
      <c r="E341" s="4" t="s">
        <v>1095</v>
      </c>
      <c r="F341" s="4" t="s">
        <v>154</v>
      </c>
      <c r="G341" s="4" t="s">
        <v>28</v>
      </c>
      <c r="H341" s="4" t="s">
        <v>34</v>
      </c>
      <c r="I341" s="4" t="str">
        <f t="shared" si="25"/>
        <v>Mrs. Susan Buckley</v>
      </c>
      <c r="J341" s="4" t="str">
        <f t="shared" si="26"/>
        <v>Stevensbury</v>
      </c>
      <c r="K341" s="4" t="str">
        <f>IF(OR(G341="USA",G341="usa"),"USA",K344
                                                                                                                                                                                                                                                               IF(G341="United States of America","USA","USA"))</f>
        <v>USA</v>
      </c>
      <c r="L341" s="4" t="str">
        <f t="shared" si="27"/>
        <v>CUST1339</v>
      </c>
      <c r="M341" s="4" t="str">
        <f t="shared" si="28"/>
        <v>Platinum</v>
      </c>
      <c r="N341" s="4" t="str">
        <f t="shared" si="29"/>
        <v>Ok</v>
      </c>
    </row>
    <row r="342" spans="1:14" ht="15.75" customHeight="1">
      <c r="A342" s="3" t="s">
        <v>1096</v>
      </c>
      <c r="B342" s="4" t="s">
        <v>1097</v>
      </c>
      <c r="C342" s="4">
        <v>27</v>
      </c>
      <c r="D342" s="4" t="s">
        <v>25</v>
      </c>
      <c r="E342" s="4" t="s">
        <v>1098</v>
      </c>
      <c r="F342" s="4" t="s">
        <v>295</v>
      </c>
      <c r="G342" s="4" t="s">
        <v>28</v>
      </c>
      <c r="H342" s="4" t="s">
        <v>44</v>
      </c>
      <c r="I342" s="4" t="str">
        <f t="shared" si="25"/>
        <v>Eric Davis</v>
      </c>
      <c r="J342" s="4" t="str">
        <f t="shared" si="26"/>
        <v>Johntown</v>
      </c>
      <c r="K342" s="4" t="str">
        <f>IF(OR(G342="USA",G342="usa"),"USA",K345
                                                                                                                                                                                                                                                               IF(G342="United States of America","USA","USA"))</f>
        <v>USA</v>
      </c>
      <c r="L342" s="4" t="str">
        <f t="shared" si="27"/>
        <v>CUST1340</v>
      </c>
      <c r="M342" s="4" t="str">
        <f t="shared" si="28"/>
        <v>Bronze</v>
      </c>
      <c r="N342" s="4" t="str">
        <f t="shared" si="29"/>
        <v>Ok</v>
      </c>
    </row>
    <row r="343" spans="1:14" ht="15.75" customHeight="1">
      <c r="A343" s="3" t="s">
        <v>1099</v>
      </c>
      <c r="B343" s="4" t="s">
        <v>1100</v>
      </c>
      <c r="C343" s="4">
        <v>56</v>
      </c>
      <c r="D343" s="4" t="s">
        <v>31</v>
      </c>
      <c r="E343" s="4" t="s">
        <v>1101</v>
      </c>
      <c r="F343" s="4" t="s">
        <v>215</v>
      </c>
      <c r="G343" s="4" t="s">
        <v>28</v>
      </c>
      <c r="H343" s="4" t="s">
        <v>44</v>
      </c>
      <c r="I343" s="4" t="str">
        <f t="shared" si="25"/>
        <v>Angela Williams</v>
      </c>
      <c r="J343" s="4" t="str">
        <f t="shared" si="26"/>
        <v>Lake Alyssaburgh</v>
      </c>
      <c r="K343" s="4" t="str">
        <f>IF(OR(G343="USA",G343="usa"),"USA",K346
                                                                                                                                                                                                                                                               IF(G343="United States of America","USA","USA"))</f>
        <v>USA</v>
      </c>
      <c r="L343" s="4" t="str">
        <f t="shared" si="27"/>
        <v>CUST1341</v>
      </c>
      <c r="M343" s="4" t="str">
        <f t="shared" si="28"/>
        <v>Bronze</v>
      </c>
      <c r="N343" s="4" t="str">
        <f t="shared" si="29"/>
        <v>Ok</v>
      </c>
    </row>
    <row r="344" spans="1:14" ht="15.75" customHeight="1">
      <c r="A344" s="3" t="s">
        <v>1102</v>
      </c>
      <c r="B344" s="4" t="s">
        <v>1103</v>
      </c>
      <c r="C344" s="4">
        <v>30</v>
      </c>
      <c r="D344" s="4" t="s">
        <v>31</v>
      </c>
      <c r="E344" s="4" t="s">
        <v>1104</v>
      </c>
      <c r="F344" s="4" t="s">
        <v>188</v>
      </c>
      <c r="G344" s="4" t="s">
        <v>28</v>
      </c>
      <c r="H344" s="4" t="s">
        <v>44</v>
      </c>
      <c r="I344" s="4" t="str">
        <f t="shared" si="25"/>
        <v>Michelle Cunningham</v>
      </c>
      <c r="J344" s="4" t="str">
        <f t="shared" si="26"/>
        <v>Amandaborough</v>
      </c>
      <c r="K344" s="4" t="str">
        <f>IF(OR(G344="USA",G344="usa"),"USA",K347
                                                                                                                                                                                                                                                               IF(G344="United States of America","USA","USA"))</f>
        <v>USA</v>
      </c>
      <c r="L344" s="4" t="str">
        <f t="shared" si="27"/>
        <v>CUST1342</v>
      </c>
      <c r="M344" s="4" t="str">
        <f t="shared" si="28"/>
        <v>Bronze</v>
      </c>
      <c r="N344" s="4" t="str">
        <f t="shared" si="29"/>
        <v>Ok</v>
      </c>
    </row>
    <row r="345" spans="1:14" ht="15.75" customHeight="1">
      <c r="A345" s="3" t="s">
        <v>1105</v>
      </c>
      <c r="B345" s="4" t="s">
        <v>1106</v>
      </c>
      <c r="C345" s="4">
        <v>38</v>
      </c>
      <c r="D345" s="4" t="s">
        <v>25</v>
      </c>
      <c r="E345" s="4" t="s">
        <v>1107</v>
      </c>
      <c r="F345" s="4" t="s">
        <v>308</v>
      </c>
      <c r="G345" s="4" t="s">
        <v>28</v>
      </c>
      <c r="H345" s="4" t="s">
        <v>44</v>
      </c>
      <c r="I345" s="4" t="str">
        <f t="shared" si="25"/>
        <v>Ryan Moore</v>
      </c>
      <c r="J345" s="4" t="str">
        <f t="shared" si="26"/>
        <v>Cartershire</v>
      </c>
      <c r="K345" s="4" t="str">
        <f>IF(OR(G345="USA",G345="usa"),"USA",K348
                                                                                                                                                                                                                                                               IF(G345="United States of America","USA","USA"))</f>
        <v>USA</v>
      </c>
      <c r="L345" s="4" t="str">
        <f t="shared" si="27"/>
        <v>CUST1343</v>
      </c>
      <c r="M345" s="4" t="str">
        <f t="shared" si="28"/>
        <v>Bronze</v>
      </c>
      <c r="N345" s="4" t="str">
        <f t="shared" si="29"/>
        <v>Ok</v>
      </c>
    </row>
    <row r="346" spans="1:14" ht="15.75" customHeight="1">
      <c r="A346" s="3" t="s">
        <v>1108</v>
      </c>
      <c r="B346" s="4" t="s">
        <v>1109</v>
      </c>
      <c r="C346" s="4">
        <v>39</v>
      </c>
      <c r="D346" s="4" t="s">
        <v>25</v>
      </c>
      <c r="E346" s="4" t="s">
        <v>1110</v>
      </c>
      <c r="F346" s="4" t="s">
        <v>254</v>
      </c>
      <c r="G346" s="4" t="s">
        <v>28</v>
      </c>
      <c r="H346" s="4" t="s">
        <v>67</v>
      </c>
      <c r="I346" s="4" t="str">
        <f t="shared" si="25"/>
        <v>Evelyn Brown</v>
      </c>
      <c r="J346" s="4" t="str">
        <f t="shared" si="26"/>
        <v>West Victoriaborough</v>
      </c>
      <c r="K346" s="4" t="str">
        <f>IF(OR(G346="USA",G346="usa"),"USA",K349
                                                                                                                                                                                                                                                               IF(G346="United States of America","USA","USA"))</f>
        <v>USA</v>
      </c>
      <c r="L346" s="4" t="str">
        <f t="shared" si="27"/>
        <v>CUST1344</v>
      </c>
      <c r="M346" s="4" t="str">
        <f t="shared" si="28"/>
        <v>Gold</v>
      </c>
      <c r="N346" s="4" t="str">
        <f t="shared" si="29"/>
        <v>Ok</v>
      </c>
    </row>
    <row r="347" spans="1:14" ht="15.75" customHeight="1">
      <c r="A347" s="3" t="s">
        <v>1111</v>
      </c>
      <c r="B347" s="4" t="s">
        <v>1112</v>
      </c>
      <c r="C347" s="4">
        <v>33</v>
      </c>
      <c r="D347" s="4" t="s">
        <v>25</v>
      </c>
      <c r="E347" s="4" t="s">
        <v>1113</v>
      </c>
      <c r="F347" s="4" t="s">
        <v>116</v>
      </c>
      <c r="G347" s="4" t="s">
        <v>28</v>
      </c>
      <c r="H347" s="4" t="s">
        <v>44</v>
      </c>
      <c r="I347" s="4" t="str">
        <f t="shared" si="25"/>
        <v>Daniel Nelson</v>
      </c>
      <c r="J347" s="4" t="str">
        <f t="shared" si="26"/>
        <v>North Jonathan</v>
      </c>
      <c r="K347" s="4" t="str">
        <f>IF(OR(G347="USA",G347="usa"),"USA",K350
                                                                                                                                                                                                                                                               IF(G347="United States of America","USA","USA"))</f>
        <v>USA</v>
      </c>
      <c r="L347" s="4" t="str">
        <f t="shared" si="27"/>
        <v>CUST1345</v>
      </c>
      <c r="M347" s="4" t="str">
        <f t="shared" si="28"/>
        <v>Bronze</v>
      </c>
      <c r="N347" s="4" t="str">
        <f t="shared" si="29"/>
        <v>Ok</v>
      </c>
    </row>
    <row r="348" spans="1:14" ht="15.75" customHeight="1">
      <c r="A348" s="3" t="s">
        <v>1114</v>
      </c>
      <c r="B348" s="4" t="s">
        <v>1115</v>
      </c>
      <c r="C348" s="4">
        <v>58</v>
      </c>
      <c r="D348" s="4" t="s">
        <v>31</v>
      </c>
      <c r="E348" s="4" t="s">
        <v>1116</v>
      </c>
      <c r="F348" s="4" t="s">
        <v>258</v>
      </c>
      <c r="G348" s="4" t="s">
        <v>28</v>
      </c>
      <c r="H348" s="4" t="s">
        <v>34</v>
      </c>
      <c r="I348" s="4" t="str">
        <f t="shared" si="25"/>
        <v>John Jordan</v>
      </c>
      <c r="J348" s="4" t="str">
        <f t="shared" si="26"/>
        <v>Port Crystalberg</v>
      </c>
      <c r="K348" s="4" t="str">
        <f>IF(OR(G348="USA",G348="usa"),"USA",K351
                                                                                                                                                                                                                                                               IF(G348="United States of America","USA","USA"))</f>
        <v>USA</v>
      </c>
      <c r="L348" s="4" t="str">
        <f t="shared" si="27"/>
        <v>CUST1346</v>
      </c>
      <c r="M348" s="4" t="str">
        <f t="shared" si="28"/>
        <v>Platinum</v>
      </c>
      <c r="N348" s="4" t="str">
        <f t="shared" si="29"/>
        <v>Ok</v>
      </c>
    </row>
    <row r="349" spans="1:14" ht="15.75" customHeight="1">
      <c r="A349" s="3" t="s">
        <v>1117</v>
      </c>
      <c r="B349" s="4" t="s">
        <v>1118</v>
      </c>
      <c r="C349" s="4">
        <v>39</v>
      </c>
      <c r="D349" s="4" t="s">
        <v>31</v>
      </c>
      <c r="E349" s="4" t="s">
        <v>1119</v>
      </c>
      <c r="F349" s="4" t="s">
        <v>188</v>
      </c>
      <c r="G349" s="4" t="s">
        <v>28</v>
      </c>
      <c r="H349" s="4" t="s">
        <v>67</v>
      </c>
      <c r="I349" s="4" t="str">
        <f t="shared" si="25"/>
        <v>Justin Mason Dds</v>
      </c>
      <c r="J349" s="4" t="str">
        <f t="shared" si="26"/>
        <v>Peggystad</v>
      </c>
      <c r="K349" s="4" t="str">
        <f>IF(OR(G349="USA",G349="usa"),"USA",K352
                                                                                                                                                                                                                                                               IF(G349="United States of America","USA","USA"))</f>
        <v>USA</v>
      </c>
      <c r="L349" s="4" t="str">
        <f t="shared" si="27"/>
        <v>CUST1347</v>
      </c>
      <c r="M349" s="4" t="str">
        <f t="shared" si="28"/>
        <v>Gold</v>
      </c>
      <c r="N349" s="4" t="str">
        <f t="shared" si="29"/>
        <v>Ok</v>
      </c>
    </row>
    <row r="350" spans="1:14" ht="15.75" customHeight="1">
      <c r="A350" s="3" t="s">
        <v>1120</v>
      </c>
      <c r="B350" s="4" t="s">
        <v>1121</v>
      </c>
      <c r="C350" s="4">
        <v>55</v>
      </c>
      <c r="D350" s="4" t="s">
        <v>25</v>
      </c>
      <c r="E350" s="4" t="s">
        <v>1122</v>
      </c>
      <c r="F350" s="4" t="s">
        <v>71</v>
      </c>
      <c r="G350" s="4" t="s">
        <v>28</v>
      </c>
      <c r="H350" s="4" t="s">
        <v>50</v>
      </c>
      <c r="I350" s="4" t="str">
        <f t="shared" si="25"/>
        <v>Sherry Cabrera</v>
      </c>
      <c r="J350" s="4" t="str">
        <f t="shared" si="26"/>
        <v>Shannonview</v>
      </c>
      <c r="K350" s="4" t="str">
        <f>IF(OR(G350="USA",G350="usa"),"USA",K353
                                                                                                                                                                                                                                                               IF(G350="United States of America","USA","USA"))</f>
        <v>USA</v>
      </c>
      <c r="L350" s="4" t="str">
        <f t="shared" si="27"/>
        <v>CUST1348</v>
      </c>
      <c r="M350" s="4" t="str">
        <f t="shared" si="28"/>
        <v>Silver</v>
      </c>
      <c r="N350" s="4" t="str">
        <f t="shared" si="29"/>
        <v>Ok</v>
      </c>
    </row>
    <row r="351" spans="1:14" ht="15.75" customHeight="1">
      <c r="A351" s="3" t="s">
        <v>1123</v>
      </c>
      <c r="B351" s="4" t="s">
        <v>1124</v>
      </c>
      <c r="C351" s="4">
        <v>31</v>
      </c>
      <c r="D351" s="4" t="s">
        <v>25</v>
      </c>
      <c r="E351" s="4" t="s">
        <v>1125</v>
      </c>
      <c r="F351" s="4" t="s">
        <v>184</v>
      </c>
      <c r="G351" s="4" t="s">
        <v>28</v>
      </c>
      <c r="H351" s="4" t="s">
        <v>44</v>
      </c>
      <c r="I351" s="4" t="str">
        <f t="shared" si="25"/>
        <v>Heather Valenzuela</v>
      </c>
      <c r="J351" s="4" t="str">
        <f t="shared" si="26"/>
        <v>New Angiefurt</v>
      </c>
      <c r="K351" s="4" t="str">
        <f>IF(OR(G351="USA",G351="usa"),"USA",K354
                                                                                                                                                                                                                                                               IF(G351="United States of America","USA","USA"))</f>
        <v>USA</v>
      </c>
      <c r="L351" s="4" t="str">
        <f t="shared" si="27"/>
        <v>CUST1349</v>
      </c>
      <c r="M351" s="4" t="str">
        <f t="shared" si="28"/>
        <v>Bronze</v>
      </c>
      <c r="N351" s="4" t="str">
        <f t="shared" si="29"/>
        <v>Ok</v>
      </c>
    </row>
    <row r="352" spans="1:14" ht="15.75" customHeight="1">
      <c r="A352" s="3" t="s">
        <v>1126</v>
      </c>
      <c r="B352" s="4" t="s">
        <v>1127</v>
      </c>
      <c r="C352" s="4">
        <v>26</v>
      </c>
      <c r="D352" s="4" t="s">
        <v>25</v>
      </c>
      <c r="E352" s="4" t="s">
        <v>1128</v>
      </c>
      <c r="F352" s="4" t="s">
        <v>288</v>
      </c>
      <c r="G352" s="4" t="s">
        <v>28</v>
      </c>
      <c r="H352" s="4" t="s">
        <v>50</v>
      </c>
      <c r="I352" s="4" t="str">
        <f t="shared" si="25"/>
        <v>Charles Miller</v>
      </c>
      <c r="J352" s="4" t="str">
        <f t="shared" si="26"/>
        <v>Lake Allisonborough</v>
      </c>
      <c r="K352" s="4" t="str">
        <f>IF(OR(G352="USA",G352="usa"),"USA",K355
                                                                                                                                                                                                                                                               IF(G352="United States of America","USA","USA"))</f>
        <v>USA</v>
      </c>
      <c r="L352" s="4" t="str">
        <f t="shared" si="27"/>
        <v>CUST1350</v>
      </c>
      <c r="M352" s="4" t="str">
        <f t="shared" si="28"/>
        <v>Silver</v>
      </c>
      <c r="N352" s="4" t="str">
        <f t="shared" si="29"/>
        <v>Ok</v>
      </c>
    </row>
    <row r="353" spans="1:14" ht="15.75" customHeight="1">
      <c r="A353" s="3" t="s">
        <v>1129</v>
      </c>
      <c r="B353" s="4" t="s">
        <v>1130</v>
      </c>
      <c r="C353" s="4">
        <v>25</v>
      </c>
      <c r="D353" s="4" t="s">
        <v>31</v>
      </c>
      <c r="E353" s="4" t="s">
        <v>1131</v>
      </c>
      <c r="F353" s="4" t="s">
        <v>90</v>
      </c>
      <c r="G353" s="4" t="s">
        <v>28</v>
      </c>
      <c r="H353" s="4" t="s">
        <v>44</v>
      </c>
      <c r="I353" s="4" t="str">
        <f t="shared" si="25"/>
        <v>Jeffrey Mccarthy</v>
      </c>
      <c r="J353" s="4" t="str">
        <f t="shared" si="26"/>
        <v>North Samuel</v>
      </c>
      <c r="K353" s="4" t="str">
        <f>IF(OR(G353="USA",G353="usa"),"USA",K356
                                                                                                                                                                                                                                                               IF(G353="United States of America","USA","USA"))</f>
        <v>USA</v>
      </c>
      <c r="L353" s="4" t="str">
        <f t="shared" si="27"/>
        <v>CUST1351</v>
      </c>
      <c r="M353" s="4" t="str">
        <f t="shared" si="28"/>
        <v>Bronze</v>
      </c>
      <c r="N353" s="4" t="str">
        <f t="shared" si="29"/>
        <v>Ok</v>
      </c>
    </row>
    <row r="354" spans="1:14" ht="15.75" customHeight="1">
      <c r="A354" s="3" t="s">
        <v>1132</v>
      </c>
      <c r="B354" s="4" t="s">
        <v>1133</v>
      </c>
      <c r="C354" s="4">
        <v>52</v>
      </c>
      <c r="D354" s="4" t="s">
        <v>31</v>
      </c>
      <c r="E354" s="4" t="s">
        <v>1134</v>
      </c>
      <c r="F354" s="4" t="s">
        <v>345</v>
      </c>
      <c r="G354" s="4" t="s">
        <v>28</v>
      </c>
      <c r="H354" s="4" t="s">
        <v>50</v>
      </c>
      <c r="I354" s="4" t="str">
        <f t="shared" si="25"/>
        <v>Michael Greene</v>
      </c>
      <c r="J354" s="4" t="str">
        <f t="shared" si="26"/>
        <v>Port Saramouth</v>
      </c>
      <c r="K354" s="4" t="str">
        <f>IF(OR(G354="USA",G354="usa"),"USA",K357
                                                                                                                                                                                                                                                               IF(G354="United States of America","USA","USA"))</f>
        <v>USA</v>
      </c>
      <c r="L354" s="4" t="str">
        <f t="shared" si="27"/>
        <v>CUST1352</v>
      </c>
      <c r="M354" s="4" t="str">
        <f t="shared" si="28"/>
        <v>Silver</v>
      </c>
      <c r="N354" s="4" t="str">
        <f t="shared" si="29"/>
        <v>Ok</v>
      </c>
    </row>
    <row r="355" spans="1:14" ht="15.75" customHeight="1">
      <c r="A355" s="3" t="s">
        <v>1135</v>
      </c>
      <c r="B355" s="4" t="s">
        <v>1136</v>
      </c>
      <c r="C355" s="4">
        <v>56</v>
      </c>
      <c r="D355" s="4" t="s">
        <v>31</v>
      </c>
      <c r="E355" s="4" t="s">
        <v>1137</v>
      </c>
      <c r="F355" s="4" t="s">
        <v>54</v>
      </c>
      <c r="G355" s="4" t="s">
        <v>28</v>
      </c>
      <c r="H355" s="4" t="s">
        <v>34</v>
      </c>
      <c r="I355" s="4" t="str">
        <f t="shared" si="25"/>
        <v>Laura Green</v>
      </c>
      <c r="J355" s="4" t="str">
        <f t="shared" si="26"/>
        <v>Westbury</v>
      </c>
      <c r="K355" s="4" t="str">
        <f>IF(OR(G355="USA",G355="usa"),"USA",K358
                                                                                                                                                                                                                                                               IF(G355="United States of America","USA","USA"))</f>
        <v>USA</v>
      </c>
      <c r="L355" s="4" t="str">
        <f t="shared" si="27"/>
        <v>CUST1353</v>
      </c>
      <c r="M355" s="4" t="str">
        <f t="shared" si="28"/>
        <v>Platinum</v>
      </c>
      <c r="N355" s="4" t="str">
        <f t="shared" si="29"/>
        <v>Ok</v>
      </c>
    </row>
    <row r="356" spans="1:14" ht="15.75" customHeight="1">
      <c r="A356" s="3" t="s">
        <v>1138</v>
      </c>
      <c r="B356" s="4" t="s">
        <v>1139</v>
      </c>
      <c r="C356" s="4">
        <v>38</v>
      </c>
      <c r="D356" s="4" t="s">
        <v>25</v>
      </c>
      <c r="E356" s="4" t="s">
        <v>1140</v>
      </c>
      <c r="F356" s="4" t="s">
        <v>188</v>
      </c>
      <c r="G356" s="4" t="s">
        <v>28</v>
      </c>
      <c r="H356" s="4" t="s">
        <v>50</v>
      </c>
      <c r="I356" s="4" t="str">
        <f t="shared" si="25"/>
        <v>Ryan Torres</v>
      </c>
      <c r="J356" s="4" t="str">
        <f t="shared" si="26"/>
        <v>Guerreroport</v>
      </c>
      <c r="K356" s="4" t="str">
        <f>IF(OR(G356="USA",G356="usa"),"USA",K359
                                                                                                                                                                                                                                                               IF(G356="United States of America","USA","USA"))</f>
        <v>USA</v>
      </c>
      <c r="L356" s="4" t="str">
        <f t="shared" si="27"/>
        <v>CUST1354</v>
      </c>
      <c r="M356" s="4" t="str">
        <f t="shared" si="28"/>
        <v>Silver</v>
      </c>
      <c r="N356" s="4" t="str">
        <f t="shared" si="29"/>
        <v>Ok</v>
      </c>
    </row>
    <row r="357" spans="1:14" ht="15.75" customHeight="1">
      <c r="A357" s="3" t="s">
        <v>1141</v>
      </c>
      <c r="B357" s="4" t="s">
        <v>1142</v>
      </c>
      <c r="C357" s="4">
        <v>20</v>
      </c>
      <c r="D357" s="4" t="s">
        <v>25</v>
      </c>
      <c r="E357" s="4" t="s">
        <v>1143</v>
      </c>
      <c r="F357" s="4" t="s">
        <v>94</v>
      </c>
      <c r="G357" s="4" t="s">
        <v>28</v>
      </c>
      <c r="H357" s="4" t="s">
        <v>67</v>
      </c>
      <c r="I357" s="4" t="str">
        <f t="shared" si="25"/>
        <v>Carlos Flores</v>
      </c>
      <c r="J357" s="4" t="str">
        <f t="shared" si="26"/>
        <v>North Johnfurt</v>
      </c>
      <c r="K357" s="4" t="str">
        <f>IF(OR(G357="USA",G357="usa"),"USA",K360
                                                                                                                                                                                                                                                               IF(G357="United States of America","USA","USA"))</f>
        <v>USA</v>
      </c>
      <c r="L357" s="4" t="str">
        <f t="shared" si="27"/>
        <v>CUST1355</v>
      </c>
      <c r="M357" s="4" t="str">
        <f t="shared" si="28"/>
        <v>Gold</v>
      </c>
      <c r="N357" s="4" t="str">
        <f t="shared" si="29"/>
        <v>Ok</v>
      </c>
    </row>
    <row r="358" spans="1:14" ht="15.75" customHeight="1">
      <c r="A358" s="3" t="s">
        <v>1144</v>
      </c>
      <c r="B358" s="4" t="s">
        <v>1145</v>
      </c>
      <c r="C358" s="4">
        <v>54</v>
      </c>
      <c r="D358" s="4" t="s">
        <v>25</v>
      </c>
      <c r="E358" s="4" t="s">
        <v>1146</v>
      </c>
      <c r="F358" s="4" t="s">
        <v>308</v>
      </c>
      <c r="G358" s="4" t="s">
        <v>28</v>
      </c>
      <c r="H358" s="4" t="s">
        <v>44</v>
      </c>
      <c r="I358" s="4" t="str">
        <f t="shared" si="25"/>
        <v>Steve Hunt</v>
      </c>
      <c r="J358" s="4" t="str">
        <f t="shared" si="26"/>
        <v>North Richard</v>
      </c>
      <c r="K358" s="4" t="str">
        <f>IF(OR(G358="USA",G358="usa"),"USA",K361
                                                                                                                                                                                                                                                               IF(G358="United States of America","USA","USA"))</f>
        <v>USA</v>
      </c>
      <c r="L358" s="4" t="str">
        <f t="shared" si="27"/>
        <v>CUST1356</v>
      </c>
      <c r="M358" s="4" t="str">
        <f t="shared" si="28"/>
        <v>Bronze</v>
      </c>
      <c r="N358" s="4" t="str">
        <f t="shared" si="29"/>
        <v>Ok</v>
      </c>
    </row>
    <row r="359" spans="1:14" ht="15.75" customHeight="1">
      <c r="A359" s="3" t="s">
        <v>1147</v>
      </c>
      <c r="B359" s="4" t="s">
        <v>1148</v>
      </c>
      <c r="C359" s="4">
        <v>41</v>
      </c>
      <c r="D359" s="4" t="s">
        <v>25</v>
      </c>
      <c r="E359" s="4" t="s">
        <v>1149</v>
      </c>
      <c r="F359" s="4" t="s">
        <v>258</v>
      </c>
      <c r="G359" s="4" t="s">
        <v>28</v>
      </c>
      <c r="H359" s="4" t="s">
        <v>67</v>
      </c>
      <c r="I359" s="4" t="str">
        <f t="shared" si="25"/>
        <v>Manuel Castillo</v>
      </c>
      <c r="J359" s="4" t="str">
        <f t="shared" si="26"/>
        <v>Nealview</v>
      </c>
      <c r="K359" s="4" t="str">
        <f>IF(OR(G359="USA",G359="usa"),"USA",K362
                                                                                                                                                                                                                                                               IF(G359="United States of America","USA","USA"))</f>
        <v>USA</v>
      </c>
      <c r="L359" s="4" t="str">
        <f t="shared" si="27"/>
        <v>CUST1357</v>
      </c>
      <c r="M359" s="4" t="str">
        <f t="shared" si="28"/>
        <v>Gold</v>
      </c>
      <c r="N359" s="4" t="str">
        <f t="shared" si="29"/>
        <v>Ok</v>
      </c>
    </row>
    <row r="360" spans="1:14" ht="15.75" customHeight="1">
      <c r="A360" s="3" t="s">
        <v>1150</v>
      </c>
      <c r="B360" s="4" t="s">
        <v>1151</v>
      </c>
      <c r="C360" s="4">
        <v>60</v>
      </c>
      <c r="D360" s="4" t="s">
        <v>31</v>
      </c>
      <c r="E360" s="4" t="s">
        <v>1152</v>
      </c>
      <c r="F360" s="4" t="s">
        <v>334</v>
      </c>
      <c r="G360" s="4" t="s">
        <v>28</v>
      </c>
      <c r="H360" s="4" t="s">
        <v>67</v>
      </c>
      <c r="I360" s="4" t="str">
        <f t="shared" si="25"/>
        <v>Ashley Anderson</v>
      </c>
      <c r="J360" s="4" t="str">
        <f t="shared" si="26"/>
        <v>West Johnmouth</v>
      </c>
      <c r="K360" s="4" t="str">
        <f>IF(OR(G360="USA",G360="usa"),"USA",K363
                                                                                                                                                                                                                                                               IF(G360="United States of America","USA","USA"))</f>
        <v>USA</v>
      </c>
      <c r="L360" s="4" t="str">
        <f t="shared" si="27"/>
        <v>CUST1358</v>
      </c>
      <c r="M360" s="4" t="str">
        <f t="shared" si="28"/>
        <v>Gold</v>
      </c>
      <c r="N360" s="4" t="str">
        <f t="shared" si="29"/>
        <v>Ok</v>
      </c>
    </row>
    <row r="361" spans="1:14" ht="15.75" customHeight="1">
      <c r="A361" s="3" t="s">
        <v>1153</v>
      </c>
      <c r="B361" s="4" t="s">
        <v>1154</v>
      </c>
      <c r="C361" s="4">
        <v>32</v>
      </c>
      <c r="D361" s="4" t="s">
        <v>25</v>
      </c>
      <c r="E361" s="4" t="s">
        <v>1155</v>
      </c>
      <c r="F361" s="4" t="s">
        <v>82</v>
      </c>
      <c r="G361" s="4" t="s">
        <v>28</v>
      </c>
      <c r="H361" s="4" t="s">
        <v>50</v>
      </c>
      <c r="I361" s="4" t="str">
        <f t="shared" si="25"/>
        <v>Melanie Lam</v>
      </c>
      <c r="J361" s="4" t="str">
        <f t="shared" si="26"/>
        <v>East Michaelton</v>
      </c>
      <c r="K361" s="4" t="str">
        <f>IF(OR(G361="USA",G361="usa"),"USA",K364
                                                                                                                                                                                                                                                               IF(G361="United States of America","USA","USA"))</f>
        <v>USA</v>
      </c>
      <c r="L361" s="4" t="str">
        <f t="shared" si="27"/>
        <v>CUST1359</v>
      </c>
      <c r="M361" s="4" t="str">
        <f t="shared" si="28"/>
        <v>Silver</v>
      </c>
      <c r="N361" s="4" t="str">
        <f t="shared" si="29"/>
        <v>Ok</v>
      </c>
    </row>
    <row r="362" spans="1:14" ht="15.75" customHeight="1">
      <c r="A362" s="3" t="s">
        <v>1156</v>
      </c>
      <c r="B362" s="4" t="s">
        <v>1157</v>
      </c>
      <c r="C362" s="4">
        <v>34</v>
      </c>
      <c r="D362" s="4" t="s">
        <v>25</v>
      </c>
      <c r="E362" s="4" t="s">
        <v>1158</v>
      </c>
      <c r="F362" s="4" t="s">
        <v>312</v>
      </c>
      <c r="G362" s="4" t="s">
        <v>28</v>
      </c>
      <c r="H362" s="4" t="s">
        <v>34</v>
      </c>
      <c r="I362" s="4" t="str">
        <f t="shared" si="25"/>
        <v>Denise Tate</v>
      </c>
      <c r="J362" s="4" t="str">
        <f t="shared" si="26"/>
        <v>Andersonside</v>
      </c>
      <c r="K362" s="4" t="str">
        <f>IF(OR(G362="USA",G362="usa"),"USA",K365
                                                                                                                                                                                                                                                               IF(G362="United States of America","USA","USA"))</f>
        <v>USA</v>
      </c>
      <c r="L362" s="4" t="str">
        <f t="shared" si="27"/>
        <v>CUST1360</v>
      </c>
      <c r="M362" s="4" t="str">
        <f t="shared" si="28"/>
        <v>Platinum</v>
      </c>
      <c r="N362" s="4" t="str">
        <f t="shared" si="29"/>
        <v>Ok</v>
      </c>
    </row>
    <row r="363" spans="1:14" ht="15.75" customHeight="1">
      <c r="A363" s="3" t="s">
        <v>1159</v>
      </c>
      <c r="B363" s="4" t="s">
        <v>1160</v>
      </c>
      <c r="C363" s="4">
        <v>64</v>
      </c>
      <c r="D363" s="4" t="s">
        <v>25</v>
      </c>
      <c r="E363" s="4" t="s">
        <v>1161</v>
      </c>
      <c r="F363" s="4" t="s">
        <v>275</v>
      </c>
      <c r="G363" s="4" t="s">
        <v>28</v>
      </c>
      <c r="H363" s="4" t="s">
        <v>34</v>
      </c>
      <c r="I363" s="4" t="str">
        <f t="shared" si="25"/>
        <v>Natalie Johnson</v>
      </c>
      <c r="J363" s="4" t="str">
        <f t="shared" si="26"/>
        <v>New Jessechester</v>
      </c>
      <c r="K363" s="4" t="str">
        <f>IF(OR(G363="USA",G363="usa"),"USA",K366
                                                                                                                                                                                                                                                               IF(G363="United States of America","USA","USA"))</f>
        <v>USA</v>
      </c>
      <c r="L363" s="4" t="str">
        <f t="shared" si="27"/>
        <v>CUST1361</v>
      </c>
      <c r="M363" s="4" t="str">
        <f t="shared" si="28"/>
        <v>Platinum</v>
      </c>
      <c r="N363" s="4" t="str">
        <f t="shared" si="29"/>
        <v>Ok</v>
      </c>
    </row>
    <row r="364" spans="1:14" ht="15.75" customHeight="1">
      <c r="A364" s="3" t="s">
        <v>1162</v>
      </c>
      <c r="B364" s="4" t="s">
        <v>1163</v>
      </c>
      <c r="C364" s="4">
        <v>60</v>
      </c>
      <c r="D364" s="4" t="s">
        <v>25</v>
      </c>
      <c r="E364" s="4" t="s">
        <v>1164</v>
      </c>
      <c r="F364" s="4" t="s">
        <v>184</v>
      </c>
      <c r="G364" s="4" t="s">
        <v>28</v>
      </c>
      <c r="H364" s="4" t="s">
        <v>67</v>
      </c>
      <c r="I364" s="4" t="str">
        <f t="shared" si="25"/>
        <v>Joshua Smith Dvm</v>
      </c>
      <c r="J364" s="4" t="str">
        <f t="shared" si="26"/>
        <v>Melvinton</v>
      </c>
      <c r="K364" s="4" t="str">
        <f>IF(OR(G364="USA",G364="usa"),"USA",K367
                                                                                                                                                                                                                                                               IF(G364="United States of America","USA","USA"))</f>
        <v>USA</v>
      </c>
      <c r="L364" s="4" t="str">
        <f t="shared" si="27"/>
        <v>CUST1362</v>
      </c>
      <c r="M364" s="4" t="str">
        <f t="shared" si="28"/>
        <v>Gold</v>
      </c>
      <c r="N364" s="4" t="str">
        <f t="shared" si="29"/>
        <v>Ok</v>
      </c>
    </row>
    <row r="365" spans="1:14" ht="15.75" customHeight="1">
      <c r="A365" s="3" t="s">
        <v>1165</v>
      </c>
      <c r="B365" s="4" t="s">
        <v>1166</v>
      </c>
      <c r="C365" s="4">
        <v>23</v>
      </c>
      <c r="D365" s="4" t="s">
        <v>25</v>
      </c>
      <c r="E365" s="4" t="s">
        <v>1167</v>
      </c>
      <c r="F365" s="4" t="s">
        <v>43</v>
      </c>
      <c r="G365" s="4" t="s">
        <v>28</v>
      </c>
      <c r="H365" s="4" t="s">
        <v>44</v>
      </c>
      <c r="I365" s="4" t="str">
        <f t="shared" si="25"/>
        <v>Elizabeth Smith</v>
      </c>
      <c r="J365" s="4" t="str">
        <f t="shared" si="26"/>
        <v>Murphytown</v>
      </c>
      <c r="K365" s="4" t="str">
        <f>IF(OR(G365="USA",G365="usa"),"USA",K368
                                                                                                                                                                                                                                                               IF(G365="United States of America","USA","USA"))</f>
        <v>USA</v>
      </c>
      <c r="L365" s="4" t="str">
        <f t="shared" si="27"/>
        <v>CUST1363</v>
      </c>
      <c r="M365" s="4" t="str">
        <f t="shared" si="28"/>
        <v>Bronze</v>
      </c>
      <c r="N365" s="4" t="str">
        <f t="shared" si="29"/>
        <v>Ok</v>
      </c>
    </row>
    <row r="366" spans="1:14" ht="15.75" customHeight="1">
      <c r="A366" s="3" t="s">
        <v>1168</v>
      </c>
      <c r="B366" s="4" t="s">
        <v>1169</v>
      </c>
      <c r="C366" s="4">
        <v>58</v>
      </c>
      <c r="D366" s="4" t="s">
        <v>25</v>
      </c>
      <c r="E366" s="4" t="s">
        <v>1170</v>
      </c>
      <c r="F366" s="4" t="s">
        <v>154</v>
      </c>
      <c r="G366" s="4" t="s">
        <v>28</v>
      </c>
      <c r="H366" s="4" t="s">
        <v>44</v>
      </c>
      <c r="I366" s="4" t="str">
        <f t="shared" si="25"/>
        <v>Chloe Aguilar</v>
      </c>
      <c r="J366" s="4" t="str">
        <f t="shared" si="26"/>
        <v>Lake Johnside</v>
      </c>
      <c r="K366" s="4" t="str">
        <f>IF(OR(G366="USA",G366="usa"),"USA",K369
                                                                                                                                                                                                                                                               IF(G366="United States of America","USA","USA"))</f>
        <v>USA</v>
      </c>
      <c r="L366" s="4" t="str">
        <f t="shared" si="27"/>
        <v>CUST1364</v>
      </c>
      <c r="M366" s="4" t="str">
        <f t="shared" si="28"/>
        <v>Bronze</v>
      </c>
      <c r="N366" s="4" t="str">
        <f t="shared" si="29"/>
        <v>Ok</v>
      </c>
    </row>
    <row r="367" spans="1:14" ht="15.75" customHeight="1">
      <c r="A367" s="3" t="s">
        <v>1171</v>
      </c>
      <c r="B367" s="4" t="s">
        <v>1172</v>
      </c>
      <c r="C367" s="4">
        <v>63</v>
      </c>
      <c r="D367" s="4" t="s">
        <v>31</v>
      </c>
      <c r="E367" s="4" t="s">
        <v>1173</v>
      </c>
      <c r="F367" s="4" t="s">
        <v>184</v>
      </c>
      <c r="G367" s="4" t="s">
        <v>28</v>
      </c>
      <c r="H367" s="4" t="s">
        <v>34</v>
      </c>
      <c r="I367" s="4" t="str">
        <f t="shared" si="25"/>
        <v>Brandon Mcbride</v>
      </c>
      <c r="J367" s="4" t="str">
        <f t="shared" si="26"/>
        <v>Kellyside</v>
      </c>
      <c r="K367" s="4" t="str">
        <f>IF(OR(G367="USA",G367="usa"),"USA",K370
                                                                                                                                                                                                                                                               IF(G367="United States of America","USA","USA"))</f>
        <v>USA</v>
      </c>
      <c r="L367" s="4" t="str">
        <f t="shared" si="27"/>
        <v>CUST1365</v>
      </c>
      <c r="M367" s="4" t="str">
        <f t="shared" si="28"/>
        <v>Platinum</v>
      </c>
      <c r="N367" s="4" t="str">
        <f t="shared" si="29"/>
        <v>Ok</v>
      </c>
    </row>
    <row r="368" spans="1:14" ht="15.75" customHeight="1">
      <c r="A368" s="3" t="s">
        <v>1174</v>
      </c>
      <c r="B368" s="4" t="s">
        <v>1175</v>
      </c>
      <c r="C368" s="4">
        <v>40</v>
      </c>
      <c r="D368" s="4" t="s">
        <v>31</v>
      </c>
      <c r="E368" s="4" t="s">
        <v>1176</v>
      </c>
      <c r="F368" s="4" t="s">
        <v>38</v>
      </c>
      <c r="G368" s="4" t="s">
        <v>28</v>
      </c>
      <c r="H368" s="4" t="s">
        <v>34</v>
      </c>
      <c r="I368" s="4" t="str">
        <f t="shared" si="25"/>
        <v>Mallory Allen</v>
      </c>
      <c r="J368" s="4" t="str">
        <f t="shared" si="26"/>
        <v>North Theresa</v>
      </c>
      <c r="K368" s="4" t="str">
        <f>IF(OR(G368="USA",G368="usa"),"USA",K371
                                                                                                                                                                                                                                                               IF(G368="United States of America","USA","USA"))</f>
        <v>USA</v>
      </c>
      <c r="L368" s="4" t="str">
        <f t="shared" si="27"/>
        <v>CUST1366</v>
      </c>
      <c r="M368" s="4" t="str">
        <f t="shared" si="28"/>
        <v>Platinum</v>
      </c>
      <c r="N368" s="4" t="str">
        <f t="shared" si="29"/>
        <v>Ok</v>
      </c>
    </row>
    <row r="369" spans="1:14" ht="15.75" customHeight="1">
      <c r="A369" s="3" t="s">
        <v>1177</v>
      </c>
      <c r="B369" s="4" t="s">
        <v>1178</v>
      </c>
      <c r="C369" s="4">
        <v>51</v>
      </c>
      <c r="D369" s="4" t="s">
        <v>25</v>
      </c>
      <c r="E369" s="4" t="s">
        <v>1179</v>
      </c>
      <c r="F369" s="4" t="s">
        <v>43</v>
      </c>
      <c r="G369" s="4" t="s">
        <v>28</v>
      </c>
      <c r="H369" s="4" t="s">
        <v>44</v>
      </c>
      <c r="I369" s="4" t="str">
        <f t="shared" si="25"/>
        <v>Melinda Johnson</v>
      </c>
      <c r="J369" s="4" t="str">
        <f t="shared" si="26"/>
        <v>Kaufmanfurt</v>
      </c>
      <c r="K369" s="4" t="str">
        <f>IF(OR(G369="USA",G369="usa"),"USA",K372
                                                                                                                                                                                                                                                               IF(G369="United States of America","USA","USA"))</f>
        <v>USA</v>
      </c>
      <c r="L369" s="4" t="str">
        <f t="shared" si="27"/>
        <v>CUST1367</v>
      </c>
      <c r="M369" s="4" t="str">
        <f t="shared" si="28"/>
        <v>Bronze</v>
      </c>
      <c r="N369" s="4" t="str">
        <f t="shared" si="29"/>
        <v>Ok</v>
      </c>
    </row>
    <row r="370" spans="1:14" ht="15.75" customHeight="1">
      <c r="A370" s="3" t="s">
        <v>1180</v>
      </c>
      <c r="B370" s="4" t="s">
        <v>1181</v>
      </c>
      <c r="C370" s="4">
        <v>34</v>
      </c>
      <c r="D370" s="4" t="s">
        <v>31</v>
      </c>
      <c r="E370" s="4" t="s">
        <v>1182</v>
      </c>
      <c r="F370" s="4" t="s">
        <v>78</v>
      </c>
      <c r="G370" s="4" t="s">
        <v>28</v>
      </c>
      <c r="H370" s="4" t="s">
        <v>34</v>
      </c>
      <c r="I370" s="4" t="str">
        <f t="shared" si="25"/>
        <v>Miranda King</v>
      </c>
      <c r="J370" s="4" t="str">
        <f t="shared" si="26"/>
        <v>West Mathew</v>
      </c>
      <c r="K370" s="4" t="str">
        <f>IF(OR(G370="USA",G370="usa"),"USA",K373
                                                                                                                                                                                                                                                               IF(G370="United States of America","USA","USA"))</f>
        <v>USA</v>
      </c>
      <c r="L370" s="4" t="str">
        <f t="shared" si="27"/>
        <v>CUST1368</v>
      </c>
      <c r="M370" s="4" t="str">
        <f t="shared" si="28"/>
        <v>Platinum</v>
      </c>
      <c r="N370" s="4" t="str">
        <f t="shared" si="29"/>
        <v>Ok</v>
      </c>
    </row>
    <row r="371" spans="1:14" ht="15.75" customHeight="1">
      <c r="A371" s="3" t="s">
        <v>1183</v>
      </c>
      <c r="B371" s="4" t="s">
        <v>1184</v>
      </c>
      <c r="C371" s="4">
        <v>20</v>
      </c>
      <c r="D371" s="4" t="s">
        <v>31</v>
      </c>
      <c r="E371" s="4" t="s">
        <v>1185</v>
      </c>
      <c r="F371" s="4" t="s">
        <v>192</v>
      </c>
      <c r="G371" s="4" t="s">
        <v>28</v>
      </c>
      <c r="H371" s="4" t="s">
        <v>34</v>
      </c>
      <c r="I371" s="4" t="str">
        <f t="shared" si="25"/>
        <v>Gregory Allen</v>
      </c>
      <c r="J371" s="4" t="str">
        <f t="shared" si="26"/>
        <v>West Bruce</v>
      </c>
      <c r="K371" s="4" t="str">
        <f>IF(OR(G371="USA",G371="usa"),"USA",K374
                                                                                                                                                                                                                                                               IF(G371="United States of America","USA","USA"))</f>
        <v>USA</v>
      </c>
      <c r="L371" s="4" t="str">
        <f t="shared" si="27"/>
        <v>CUST1369</v>
      </c>
      <c r="M371" s="4" t="str">
        <f t="shared" si="28"/>
        <v>Platinum</v>
      </c>
      <c r="N371" s="4" t="str">
        <f t="shared" si="29"/>
        <v>Ok</v>
      </c>
    </row>
    <row r="372" spans="1:14" ht="15.75" customHeight="1">
      <c r="A372" s="3" t="s">
        <v>1186</v>
      </c>
      <c r="B372" s="4" t="s">
        <v>1187</v>
      </c>
      <c r="C372" s="4">
        <v>45</v>
      </c>
      <c r="D372" s="4" t="s">
        <v>25</v>
      </c>
      <c r="E372" s="4" t="s">
        <v>1188</v>
      </c>
      <c r="F372" s="4" t="s">
        <v>275</v>
      </c>
      <c r="G372" s="4" t="s">
        <v>28</v>
      </c>
      <c r="H372" s="4" t="s">
        <v>50</v>
      </c>
      <c r="I372" s="4" t="str">
        <f t="shared" si="25"/>
        <v>James Holloway Jr.</v>
      </c>
      <c r="J372" s="4" t="str">
        <f t="shared" si="26"/>
        <v>Millston</v>
      </c>
      <c r="K372" s="4" t="str">
        <f>IF(OR(G372="USA",G372="usa"),"USA",K375
                                                                                                                                                                                                                                                               IF(G372="United States of America","USA","USA"))</f>
        <v>USA</v>
      </c>
      <c r="L372" s="4" t="str">
        <f t="shared" si="27"/>
        <v>CUST1370</v>
      </c>
      <c r="M372" s="4" t="str">
        <f t="shared" si="28"/>
        <v>Silver</v>
      </c>
      <c r="N372" s="4" t="str">
        <f t="shared" si="29"/>
        <v>Ok</v>
      </c>
    </row>
    <row r="373" spans="1:14" ht="15.75" customHeight="1">
      <c r="A373" s="3" t="s">
        <v>1189</v>
      </c>
      <c r="B373" s="4" t="s">
        <v>1190</v>
      </c>
      <c r="C373" s="4">
        <v>21</v>
      </c>
      <c r="D373" s="4" t="s">
        <v>31</v>
      </c>
      <c r="E373" s="4" t="s">
        <v>1191</v>
      </c>
      <c r="F373" s="4" t="s">
        <v>66</v>
      </c>
      <c r="G373" s="4" t="s">
        <v>28</v>
      </c>
      <c r="H373" s="4" t="s">
        <v>34</v>
      </c>
      <c r="I373" s="4" t="str">
        <f t="shared" si="25"/>
        <v>Michael Garner</v>
      </c>
      <c r="J373" s="4" t="str">
        <f t="shared" si="26"/>
        <v>Port Crystal</v>
      </c>
      <c r="K373" s="4" t="str">
        <f>IF(OR(G373="USA",G373="usa"),"USA",K376
                                                                                                                                                                                                                                                               IF(G373="United States of America","USA","USA"))</f>
        <v>USA</v>
      </c>
      <c r="L373" s="4" t="str">
        <f t="shared" si="27"/>
        <v>CUST1371</v>
      </c>
      <c r="M373" s="4" t="str">
        <f t="shared" si="28"/>
        <v>Platinum</v>
      </c>
      <c r="N373" s="4" t="str">
        <f t="shared" si="29"/>
        <v>Ok</v>
      </c>
    </row>
    <row r="374" spans="1:14" ht="15.75" customHeight="1">
      <c r="A374" s="3" t="s">
        <v>1192</v>
      </c>
      <c r="B374" s="4" t="s">
        <v>1193</v>
      </c>
      <c r="C374" s="4">
        <v>28</v>
      </c>
      <c r="D374" s="4" t="s">
        <v>25</v>
      </c>
      <c r="E374" s="4" t="s">
        <v>1194</v>
      </c>
      <c r="F374" s="4" t="s">
        <v>43</v>
      </c>
      <c r="G374" s="4" t="s">
        <v>28</v>
      </c>
      <c r="H374" s="4" t="s">
        <v>44</v>
      </c>
      <c r="I374" s="4" t="str">
        <f t="shared" si="25"/>
        <v>Jacqueline Anthony</v>
      </c>
      <c r="J374" s="4" t="str">
        <f t="shared" si="26"/>
        <v>Vincentside</v>
      </c>
      <c r="K374" s="4" t="str">
        <f>IF(OR(G374="USA",G374="usa"),"USA",K377
                                                                                                                                                                                                                                                               IF(G374="United States of America","USA","USA"))</f>
        <v>USA</v>
      </c>
      <c r="L374" s="4" t="str">
        <f t="shared" si="27"/>
        <v>CUST1372</v>
      </c>
      <c r="M374" s="4" t="str">
        <f t="shared" si="28"/>
        <v>Bronze</v>
      </c>
      <c r="N374" s="4" t="str">
        <f t="shared" si="29"/>
        <v>Ok</v>
      </c>
    </row>
    <row r="375" spans="1:14" ht="15.75" customHeight="1">
      <c r="A375" s="3" t="s">
        <v>1195</v>
      </c>
      <c r="B375" s="4" t="s">
        <v>1196</v>
      </c>
      <c r="C375" s="4">
        <v>37</v>
      </c>
      <c r="D375" s="4" t="s">
        <v>31</v>
      </c>
      <c r="E375" s="4" t="s">
        <v>1197</v>
      </c>
      <c r="F375" s="4" t="s">
        <v>456</v>
      </c>
      <c r="G375" s="4" t="s">
        <v>28</v>
      </c>
      <c r="H375" s="4" t="s">
        <v>67</v>
      </c>
      <c r="I375" s="4" t="str">
        <f t="shared" si="25"/>
        <v>James Orozco</v>
      </c>
      <c r="J375" s="4" t="str">
        <f t="shared" si="26"/>
        <v>Simpsonfort</v>
      </c>
      <c r="K375" s="4" t="str">
        <f>IF(OR(G375="USA",G375="usa"),"USA",K378
                                                                                                                                                                                                                                                               IF(G375="United States of America","USA","USA"))</f>
        <v>USA</v>
      </c>
      <c r="L375" s="4" t="str">
        <f t="shared" si="27"/>
        <v>CUST1373</v>
      </c>
      <c r="M375" s="4" t="str">
        <f t="shared" si="28"/>
        <v>Gold</v>
      </c>
      <c r="N375" s="4" t="str">
        <f t="shared" si="29"/>
        <v>Ok</v>
      </c>
    </row>
    <row r="376" spans="1:14" ht="15.75" customHeight="1">
      <c r="A376" s="3" t="s">
        <v>1198</v>
      </c>
      <c r="B376" s="4" t="s">
        <v>1199</v>
      </c>
      <c r="C376" s="4">
        <v>60</v>
      </c>
      <c r="D376" s="4" t="s">
        <v>25</v>
      </c>
      <c r="E376" s="4" t="s">
        <v>1200</v>
      </c>
      <c r="F376" s="4" t="s">
        <v>120</v>
      </c>
      <c r="G376" s="4" t="s">
        <v>28</v>
      </c>
      <c r="H376" s="4" t="s">
        <v>34</v>
      </c>
      <c r="I376" s="4" t="str">
        <f t="shared" si="25"/>
        <v>Emma Wilson</v>
      </c>
      <c r="J376" s="4" t="str">
        <f t="shared" si="26"/>
        <v>Andersonburgh</v>
      </c>
      <c r="K376" s="4" t="str">
        <f>IF(OR(G376="USA",G376="usa"),"USA",K379
                                                                                                                                                                                                                                                               IF(G376="United States of America","USA","USA"))</f>
        <v>USA</v>
      </c>
      <c r="L376" s="4" t="str">
        <f t="shared" si="27"/>
        <v>CUST1374</v>
      </c>
      <c r="M376" s="4" t="str">
        <f t="shared" si="28"/>
        <v>Platinum</v>
      </c>
      <c r="N376" s="4" t="str">
        <f t="shared" si="29"/>
        <v>Ok</v>
      </c>
    </row>
    <row r="377" spans="1:14" ht="15.75" customHeight="1">
      <c r="A377" s="3" t="s">
        <v>1201</v>
      </c>
      <c r="B377" s="4" t="s">
        <v>1202</v>
      </c>
      <c r="C377" s="4">
        <v>26</v>
      </c>
      <c r="D377" s="4" t="s">
        <v>25</v>
      </c>
      <c r="E377" s="4" t="s">
        <v>1203</v>
      </c>
      <c r="F377" s="4" t="s">
        <v>222</v>
      </c>
      <c r="G377" s="4" t="s">
        <v>28</v>
      </c>
      <c r="H377" s="4" t="s">
        <v>34</v>
      </c>
      <c r="I377" s="4" t="str">
        <f t="shared" si="25"/>
        <v>Joshua Bell</v>
      </c>
      <c r="J377" s="4" t="str">
        <f t="shared" si="26"/>
        <v>Port Richardshire</v>
      </c>
      <c r="K377" s="4" t="str">
        <f>IF(OR(G377="USA",G377="usa"),"USA",K380
                                                                                                                                                                                                                                                               IF(G377="United States of America","USA","USA"))</f>
        <v>USA</v>
      </c>
      <c r="L377" s="4" t="str">
        <f t="shared" si="27"/>
        <v>CUST1375</v>
      </c>
      <c r="M377" s="4" t="str">
        <f t="shared" si="28"/>
        <v>Platinum</v>
      </c>
      <c r="N377" s="4" t="str">
        <f t="shared" si="29"/>
        <v>Ok</v>
      </c>
    </row>
    <row r="378" spans="1:14" ht="15.75" customHeight="1">
      <c r="A378" s="3" t="s">
        <v>1204</v>
      </c>
      <c r="B378" s="4" t="s">
        <v>1205</v>
      </c>
      <c r="C378" s="4">
        <v>30</v>
      </c>
      <c r="D378" s="4" t="s">
        <v>25</v>
      </c>
      <c r="E378" s="4" t="s">
        <v>1206</v>
      </c>
      <c r="F378" s="4" t="s">
        <v>188</v>
      </c>
      <c r="G378" s="4" t="s">
        <v>28</v>
      </c>
      <c r="H378" s="4" t="s">
        <v>44</v>
      </c>
      <c r="I378" s="4" t="str">
        <f t="shared" si="25"/>
        <v>Michele Burke</v>
      </c>
      <c r="J378" s="4" t="str">
        <f t="shared" si="26"/>
        <v>Chambersberg</v>
      </c>
      <c r="K378" s="4" t="str">
        <f>IF(OR(G378="USA",G378="usa"),"USA",K381
                                                                                                                                                                                                                                                               IF(G378="United States of America","USA","USA"))</f>
        <v>USA</v>
      </c>
      <c r="L378" s="4" t="str">
        <f t="shared" si="27"/>
        <v>CUST1376</v>
      </c>
      <c r="M378" s="4" t="str">
        <f t="shared" si="28"/>
        <v>Bronze</v>
      </c>
      <c r="N378" s="4" t="str">
        <f t="shared" si="29"/>
        <v>Ok</v>
      </c>
    </row>
    <row r="379" spans="1:14" ht="15.75" customHeight="1">
      <c r="A379" s="3" t="s">
        <v>1207</v>
      </c>
      <c r="B379" s="4" t="s">
        <v>1208</v>
      </c>
      <c r="C379" s="4">
        <v>39</v>
      </c>
      <c r="D379" s="4" t="s">
        <v>31</v>
      </c>
      <c r="E379" s="4" t="s">
        <v>1209</v>
      </c>
      <c r="F379" s="4" t="s">
        <v>456</v>
      </c>
      <c r="G379" s="4" t="s">
        <v>28</v>
      </c>
      <c r="H379" s="4" t="s">
        <v>67</v>
      </c>
      <c r="I379" s="4" t="str">
        <f t="shared" si="25"/>
        <v>Charles Conley</v>
      </c>
      <c r="J379" s="4" t="str">
        <f t="shared" si="26"/>
        <v>Nathanshire</v>
      </c>
      <c r="K379" s="4" t="str">
        <f>IF(OR(G379="USA",G379="usa"),"USA",K382
                                                                                                                                                                                                                                                               IF(G379="United States of America","USA","USA"))</f>
        <v>USA</v>
      </c>
      <c r="L379" s="4" t="str">
        <f t="shared" si="27"/>
        <v>CUST1377</v>
      </c>
      <c r="M379" s="4" t="str">
        <f t="shared" si="28"/>
        <v>Gold</v>
      </c>
      <c r="N379" s="4" t="str">
        <f t="shared" si="29"/>
        <v>Ok</v>
      </c>
    </row>
    <row r="380" spans="1:14" ht="15.75" customHeight="1">
      <c r="A380" s="3" t="s">
        <v>1210</v>
      </c>
      <c r="B380" s="4" t="s">
        <v>1211</v>
      </c>
      <c r="C380" s="4">
        <v>44</v>
      </c>
      <c r="D380" s="4" t="s">
        <v>31</v>
      </c>
      <c r="E380" s="4" t="s">
        <v>1212</v>
      </c>
      <c r="F380" s="4" t="s">
        <v>112</v>
      </c>
      <c r="G380" s="4" t="s">
        <v>28</v>
      </c>
      <c r="H380" s="4" t="s">
        <v>44</v>
      </c>
      <c r="I380" s="4" t="str">
        <f t="shared" si="25"/>
        <v>Frank Stewart</v>
      </c>
      <c r="J380" s="4" t="str">
        <f t="shared" si="26"/>
        <v>Fischerborough</v>
      </c>
      <c r="K380" s="4" t="str">
        <f>IF(OR(G380="USA",G380="usa"),"USA",K383
                                                                                                                                                                                                                                                               IF(G380="United States of America","USA","USA"))</f>
        <v>USA</v>
      </c>
      <c r="L380" s="4" t="str">
        <f t="shared" si="27"/>
        <v>CUST1378</v>
      </c>
      <c r="M380" s="4" t="str">
        <f t="shared" si="28"/>
        <v>Bronze</v>
      </c>
      <c r="N380" s="4" t="str">
        <f t="shared" si="29"/>
        <v>Ok</v>
      </c>
    </row>
    <row r="381" spans="1:14" ht="15.75" customHeight="1">
      <c r="A381" s="3" t="s">
        <v>1213</v>
      </c>
      <c r="B381" s="4" t="s">
        <v>1214</v>
      </c>
      <c r="C381" s="4">
        <v>34</v>
      </c>
      <c r="D381" s="4" t="s">
        <v>31</v>
      </c>
      <c r="E381" s="4" t="s">
        <v>1215</v>
      </c>
      <c r="F381" s="4" t="s">
        <v>288</v>
      </c>
      <c r="G381" s="4" t="s">
        <v>28</v>
      </c>
      <c r="H381" s="4" t="s">
        <v>67</v>
      </c>
      <c r="I381" s="4" t="str">
        <f t="shared" si="25"/>
        <v>Tanya Lopez</v>
      </c>
      <c r="J381" s="4" t="str">
        <f t="shared" si="26"/>
        <v>West Jeffreyburgh</v>
      </c>
      <c r="K381" s="4" t="str">
        <f>IF(OR(G381="USA",G381="usa"),"USA",K384
                                                                                                                                                                                                                                                               IF(G381="United States of America","USA","USA"))</f>
        <v>USA</v>
      </c>
      <c r="L381" s="4" t="str">
        <f t="shared" si="27"/>
        <v>CUST1379</v>
      </c>
      <c r="M381" s="4" t="str">
        <f t="shared" si="28"/>
        <v>Gold</v>
      </c>
      <c r="N381" s="4" t="str">
        <f t="shared" si="29"/>
        <v>Ok</v>
      </c>
    </row>
    <row r="382" spans="1:14" ht="15.75" customHeight="1">
      <c r="A382" s="3" t="s">
        <v>1216</v>
      </c>
      <c r="B382" s="4" t="s">
        <v>1217</v>
      </c>
      <c r="C382" s="4">
        <v>23</v>
      </c>
      <c r="D382" s="4" t="s">
        <v>25</v>
      </c>
      <c r="E382" s="4" t="s">
        <v>1218</v>
      </c>
      <c r="F382" s="4" t="s">
        <v>238</v>
      </c>
      <c r="G382" s="4" t="s">
        <v>28</v>
      </c>
      <c r="H382" s="4" t="s">
        <v>67</v>
      </c>
      <c r="I382" s="4" t="str">
        <f t="shared" si="25"/>
        <v>Shelley Ponce</v>
      </c>
      <c r="J382" s="4" t="str">
        <f t="shared" si="26"/>
        <v>South Cassandrachester</v>
      </c>
      <c r="K382" s="4" t="str">
        <f>IF(OR(G382="USA",G382="usa"),"USA",K385
                                                                                                                                                                                                                                                               IF(G382="United States of America","USA","USA"))</f>
        <v>USA</v>
      </c>
      <c r="L382" s="4" t="str">
        <f t="shared" si="27"/>
        <v>CUST1380</v>
      </c>
      <c r="M382" s="4" t="str">
        <f t="shared" si="28"/>
        <v>Gold</v>
      </c>
      <c r="N382" s="4" t="str">
        <f t="shared" si="29"/>
        <v>Ok</v>
      </c>
    </row>
    <row r="383" spans="1:14" ht="15.75" customHeight="1">
      <c r="A383" s="3" t="s">
        <v>1219</v>
      </c>
      <c r="B383" s="4" t="s">
        <v>1220</v>
      </c>
      <c r="C383" s="4">
        <v>50</v>
      </c>
      <c r="D383" s="4" t="s">
        <v>25</v>
      </c>
      <c r="E383" s="4" t="s">
        <v>1221</v>
      </c>
      <c r="F383" s="4" t="s">
        <v>38</v>
      </c>
      <c r="G383" s="4" t="s">
        <v>28</v>
      </c>
      <c r="H383" s="4" t="s">
        <v>50</v>
      </c>
      <c r="I383" s="4" t="str">
        <f t="shared" si="25"/>
        <v>Erika Padilla</v>
      </c>
      <c r="J383" s="4" t="str">
        <f t="shared" si="26"/>
        <v>Andrewsland</v>
      </c>
      <c r="K383" s="4" t="str">
        <f>IF(OR(G383="USA",G383="usa"),"USA",K386
                                                                                                                                                                                                                                                               IF(G383="United States of America","USA","USA"))</f>
        <v>USA</v>
      </c>
      <c r="L383" s="4" t="str">
        <f t="shared" si="27"/>
        <v>CUST1381</v>
      </c>
      <c r="M383" s="4" t="str">
        <f t="shared" si="28"/>
        <v>Silver</v>
      </c>
      <c r="N383" s="4" t="str">
        <f t="shared" si="29"/>
        <v>Ok</v>
      </c>
    </row>
    <row r="384" spans="1:14" ht="15.75" customHeight="1">
      <c r="A384" s="3" t="s">
        <v>1222</v>
      </c>
      <c r="B384" s="4" t="s">
        <v>1223</v>
      </c>
      <c r="C384" s="4">
        <v>20</v>
      </c>
      <c r="D384" s="4" t="s">
        <v>31</v>
      </c>
      <c r="E384" s="4" t="s">
        <v>1224</v>
      </c>
      <c r="F384" s="4" t="s">
        <v>49</v>
      </c>
      <c r="G384" s="4" t="s">
        <v>28</v>
      </c>
      <c r="H384" s="4" t="s">
        <v>67</v>
      </c>
      <c r="I384" s="4" t="str">
        <f t="shared" si="25"/>
        <v>Martha Brown</v>
      </c>
      <c r="J384" s="4" t="str">
        <f t="shared" si="26"/>
        <v>Novakstad</v>
      </c>
      <c r="K384" s="4" t="str">
        <f>IF(OR(G384="USA",G384="usa"),"USA",K387
                                                                                                                                                                                                                                                               IF(G384="United States of America","USA","USA"))</f>
        <v>USA</v>
      </c>
      <c r="L384" s="4" t="str">
        <f t="shared" si="27"/>
        <v>CUST1382</v>
      </c>
      <c r="M384" s="4" t="str">
        <f t="shared" si="28"/>
        <v>Gold</v>
      </c>
      <c r="N384" s="4" t="str">
        <f t="shared" si="29"/>
        <v>Ok</v>
      </c>
    </row>
    <row r="385" spans="1:14" ht="15.75" customHeight="1">
      <c r="A385" s="3" t="s">
        <v>1225</v>
      </c>
      <c r="B385" s="4" t="s">
        <v>1226</v>
      </c>
      <c r="C385" s="4">
        <v>27</v>
      </c>
      <c r="D385" s="4" t="s">
        <v>31</v>
      </c>
      <c r="E385" s="4" t="s">
        <v>1227</v>
      </c>
      <c r="F385" s="4" t="s">
        <v>338</v>
      </c>
      <c r="G385" s="4" t="s">
        <v>28</v>
      </c>
      <c r="H385" s="4" t="s">
        <v>50</v>
      </c>
      <c r="I385" s="4" t="str">
        <f t="shared" si="25"/>
        <v>Kristine Higgins</v>
      </c>
      <c r="J385" s="4" t="str">
        <f t="shared" si="26"/>
        <v>Jennifertown</v>
      </c>
      <c r="K385" s="4" t="str">
        <f>IF(OR(G385="USA",G385="usa"),"USA",K388
                                                                                                                                                                                                                                                               IF(G385="United States of America","USA","USA"))</f>
        <v>USA</v>
      </c>
      <c r="L385" s="4" t="str">
        <f t="shared" si="27"/>
        <v>CUST1383</v>
      </c>
      <c r="M385" s="4" t="str">
        <f t="shared" si="28"/>
        <v>Silver</v>
      </c>
      <c r="N385" s="4" t="str">
        <f t="shared" si="29"/>
        <v>Ok</v>
      </c>
    </row>
    <row r="386" spans="1:14" ht="15.75" customHeight="1">
      <c r="A386" s="3" t="s">
        <v>1228</v>
      </c>
      <c r="B386" s="4" t="s">
        <v>1229</v>
      </c>
      <c r="C386" s="4">
        <v>52</v>
      </c>
      <c r="D386" s="4" t="s">
        <v>31</v>
      </c>
      <c r="E386" s="4" t="s">
        <v>1230</v>
      </c>
      <c r="F386" s="4" t="s">
        <v>288</v>
      </c>
      <c r="G386" s="4" t="s">
        <v>28</v>
      </c>
      <c r="H386" s="4" t="s">
        <v>44</v>
      </c>
      <c r="I386" s="4" t="str">
        <f t="shared" ref="I386:I449" si="30">PROPER(TRIM(B386))</f>
        <v>Andrew Mason</v>
      </c>
      <c r="J386" s="4" t="str">
        <f t="shared" ref="J386:J449" si="31">PROPER(TRIM(E386))</f>
        <v>North Michael</v>
      </c>
      <c r="K386" s="4" t="str">
        <f>IF(OR(G386="USA",G386="usa"),"USA",K389
                                                                                                                                                                                                                                                               IF(G386="United States of America","USA","USA"))</f>
        <v>USA</v>
      </c>
      <c r="L386" s="4" t="str">
        <f t="shared" ref="L386:L449" si="32">IF(LEFT(A386,1)="C","CUST"&amp;RIGHT(A386,4),A386)</f>
        <v>CUST1384</v>
      </c>
      <c r="M386" s="4" t="str">
        <f t="shared" ref="M386:M449" si="33">IF(H386="","Standard",H386)</f>
        <v>Bronze</v>
      </c>
      <c r="N386" s="4" t="str">
        <f t="shared" ref="N386:N449" si="34">IF(OR(C386&lt;18,C386&gt;70),"Check Age","Ok")</f>
        <v>Ok</v>
      </c>
    </row>
    <row r="387" spans="1:14" ht="15.75" customHeight="1">
      <c r="A387" s="3" t="s">
        <v>1231</v>
      </c>
      <c r="B387" s="4" t="s">
        <v>1232</v>
      </c>
      <c r="C387" s="4">
        <v>60</v>
      </c>
      <c r="D387" s="4" t="s">
        <v>25</v>
      </c>
      <c r="E387" s="4" t="s">
        <v>1233</v>
      </c>
      <c r="F387" s="4" t="s">
        <v>338</v>
      </c>
      <c r="G387" s="4" t="s">
        <v>28</v>
      </c>
      <c r="H387" s="4" t="s">
        <v>67</v>
      </c>
      <c r="I387" s="4" t="str">
        <f t="shared" si="30"/>
        <v>Tammy Brennan</v>
      </c>
      <c r="J387" s="4" t="str">
        <f t="shared" si="31"/>
        <v>Lake Brandontown</v>
      </c>
      <c r="K387" s="4" t="str">
        <f>IF(OR(G387="USA",G387="usa"),"USA",K390
                                                                                                                                                                                                                                                               IF(G387="United States of America","USA","USA"))</f>
        <v>USA</v>
      </c>
      <c r="L387" s="4" t="str">
        <f t="shared" si="32"/>
        <v>CUST1385</v>
      </c>
      <c r="M387" s="4" t="str">
        <f t="shared" si="33"/>
        <v>Gold</v>
      </c>
      <c r="N387" s="4" t="str">
        <f t="shared" si="34"/>
        <v>Ok</v>
      </c>
    </row>
    <row r="388" spans="1:14" ht="15.75" customHeight="1">
      <c r="A388" s="3" t="s">
        <v>1234</v>
      </c>
      <c r="B388" s="4" t="s">
        <v>1235</v>
      </c>
      <c r="C388" s="4">
        <v>18</v>
      </c>
      <c r="D388" s="4" t="s">
        <v>31</v>
      </c>
      <c r="E388" s="4" t="s">
        <v>1236</v>
      </c>
      <c r="F388" s="4" t="s">
        <v>161</v>
      </c>
      <c r="G388" s="4" t="s">
        <v>28</v>
      </c>
      <c r="H388" s="4" t="s">
        <v>44</v>
      </c>
      <c r="I388" s="4" t="str">
        <f t="shared" si="30"/>
        <v>Melanie Mitchell</v>
      </c>
      <c r="J388" s="4" t="str">
        <f t="shared" si="31"/>
        <v>West Laura</v>
      </c>
      <c r="K388" s="4" t="str">
        <f>IF(OR(G388="USA",G388="usa"),"USA",K391
                                                                                                                                                                                                                                                               IF(G388="United States of America","USA","USA"))</f>
        <v>USA</v>
      </c>
      <c r="L388" s="4" t="str">
        <f t="shared" si="32"/>
        <v>CUST1386</v>
      </c>
      <c r="M388" s="4" t="str">
        <f t="shared" si="33"/>
        <v>Bronze</v>
      </c>
      <c r="N388" s="4" t="str">
        <f t="shared" si="34"/>
        <v>Ok</v>
      </c>
    </row>
    <row r="389" spans="1:14" ht="15.75" customHeight="1">
      <c r="A389" s="3" t="s">
        <v>1237</v>
      </c>
      <c r="B389" s="4" t="s">
        <v>1238</v>
      </c>
      <c r="C389" s="4">
        <v>28</v>
      </c>
      <c r="D389" s="4" t="s">
        <v>31</v>
      </c>
      <c r="E389" s="4" t="s">
        <v>1239</v>
      </c>
      <c r="F389" s="4" t="s">
        <v>108</v>
      </c>
      <c r="G389" s="4" t="s">
        <v>28</v>
      </c>
      <c r="H389" s="4" t="s">
        <v>50</v>
      </c>
      <c r="I389" s="4" t="str">
        <f t="shared" si="30"/>
        <v>Timothy Gardner</v>
      </c>
      <c r="J389" s="4" t="str">
        <f t="shared" si="31"/>
        <v>New Dawn</v>
      </c>
      <c r="K389" s="4" t="str">
        <f>IF(OR(G389="USA",G389="usa"),"USA",K392
                                                                                                                                                                                                                                                               IF(G389="United States of America","USA","USA"))</f>
        <v>USA</v>
      </c>
      <c r="L389" s="4" t="str">
        <f t="shared" si="32"/>
        <v>CUST1387</v>
      </c>
      <c r="M389" s="4" t="str">
        <f t="shared" si="33"/>
        <v>Silver</v>
      </c>
      <c r="N389" s="4" t="str">
        <f t="shared" si="34"/>
        <v>Ok</v>
      </c>
    </row>
    <row r="390" spans="1:14" ht="15.75" customHeight="1">
      <c r="A390" s="3" t="s">
        <v>1240</v>
      </c>
      <c r="B390" s="4" t="s">
        <v>1241</v>
      </c>
      <c r="C390" s="4">
        <v>53</v>
      </c>
      <c r="D390" s="4" t="s">
        <v>25</v>
      </c>
      <c r="E390" s="4" t="s">
        <v>1242</v>
      </c>
      <c r="F390" s="4" t="s">
        <v>134</v>
      </c>
      <c r="G390" s="4" t="s">
        <v>28</v>
      </c>
      <c r="H390" s="4" t="s">
        <v>34</v>
      </c>
      <c r="I390" s="4" t="str">
        <f t="shared" si="30"/>
        <v>Timothy Valenzuela</v>
      </c>
      <c r="J390" s="4" t="str">
        <f t="shared" si="31"/>
        <v>Stevensshire</v>
      </c>
      <c r="K390" s="4" t="str">
        <f>IF(OR(G390="USA",G390="usa"),"USA",K393
                                                                                                                                                                                                                                                               IF(G390="United States of America","USA","USA"))</f>
        <v>USA</v>
      </c>
      <c r="L390" s="4" t="str">
        <f t="shared" si="32"/>
        <v>CUST1388</v>
      </c>
      <c r="M390" s="4" t="str">
        <f t="shared" si="33"/>
        <v>Platinum</v>
      </c>
      <c r="N390" s="4" t="str">
        <f t="shared" si="34"/>
        <v>Ok</v>
      </c>
    </row>
    <row r="391" spans="1:14" ht="15.75" customHeight="1">
      <c r="A391" s="3" t="s">
        <v>1243</v>
      </c>
      <c r="B391" s="4" t="s">
        <v>1244</v>
      </c>
      <c r="C391" s="4">
        <v>50</v>
      </c>
      <c r="D391" s="4" t="s">
        <v>25</v>
      </c>
      <c r="E391" s="4" t="s">
        <v>1245</v>
      </c>
      <c r="F391" s="4" t="s">
        <v>90</v>
      </c>
      <c r="G391" s="4" t="s">
        <v>28</v>
      </c>
      <c r="H391" s="4" t="s">
        <v>34</v>
      </c>
      <c r="I391" s="4" t="str">
        <f t="shared" si="30"/>
        <v>Cynthia Lopez</v>
      </c>
      <c r="J391" s="4" t="str">
        <f t="shared" si="31"/>
        <v>Joseland</v>
      </c>
      <c r="K391" s="4" t="str">
        <f>IF(OR(G391="USA",G391="usa"),"USA",K394
                                                                                                                                                                                                                                                               IF(G391="United States of America","USA","USA"))</f>
        <v>USA</v>
      </c>
      <c r="L391" s="4" t="str">
        <f t="shared" si="32"/>
        <v>CUST1389</v>
      </c>
      <c r="M391" s="4" t="str">
        <f t="shared" si="33"/>
        <v>Platinum</v>
      </c>
      <c r="N391" s="4" t="str">
        <f t="shared" si="34"/>
        <v>Ok</v>
      </c>
    </row>
    <row r="392" spans="1:14" ht="15.75" customHeight="1">
      <c r="A392" s="3" t="s">
        <v>1246</v>
      </c>
      <c r="B392" s="4" t="s">
        <v>1247</v>
      </c>
      <c r="C392" s="4">
        <v>56</v>
      </c>
      <c r="D392" s="4" t="s">
        <v>25</v>
      </c>
      <c r="E392" s="4" t="s">
        <v>1248</v>
      </c>
      <c r="F392" s="4" t="s">
        <v>312</v>
      </c>
      <c r="G392" s="4" t="s">
        <v>28</v>
      </c>
      <c r="H392" s="4" t="s">
        <v>50</v>
      </c>
      <c r="I392" s="4" t="str">
        <f t="shared" si="30"/>
        <v>Daniel Bell</v>
      </c>
      <c r="J392" s="4" t="str">
        <f t="shared" si="31"/>
        <v>Deniseberg</v>
      </c>
      <c r="K392" s="4" t="str">
        <f>IF(OR(G392="USA",G392="usa"),"USA",K395
                                                                                                                                                                                                                                                               IF(G392="United States of America","USA","USA"))</f>
        <v>USA</v>
      </c>
      <c r="L392" s="4" t="str">
        <f t="shared" si="32"/>
        <v>CUST1390</v>
      </c>
      <c r="M392" s="4" t="str">
        <f t="shared" si="33"/>
        <v>Silver</v>
      </c>
      <c r="N392" s="4" t="str">
        <f t="shared" si="34"/>
        <v>Ok</v>
      </c>
    </row>
    <row r="393" spans="1:14" ht="15.75" customHeight="1">
      <c r="A393" s="3" t="s">
        <v>1249</v>
      </c>
      <c r="B393" s="4" t="s">
        <v>1250</v>
      </c>
      <c r="C393" s="4">
        <v>40</v>
      </c>
      <c r="D393" s="4" t="s">
        <v>31</v>
      </c>
      <c r="E393" s="4" t="s">
        <v>1251</v>
      </c>
      <c r="F393" s="4" t="s">
        <v>54</v>
      </c>
      <c r="G393" s="4" t="s">
        <v>28</v>
      </c>
      <c r="H393" s="4" t="s">
        <v>44</v>
      </c>
      <c r="I393" s="4" t="str">
        <f t="shared" si="30"/>
        <v>Heidi Tyler</v>
      </c>
      <c r="J393" s="4" t="str">
        <f t="shared" si="31"/>
        <v>Dawnstad</v>
      </c>
      <c r="K393" s="4" t="str">
        <f>IF(OR(G393="USA",G393="usa"),"USA",K396
                                                                                                                                                                                                                                                               IF(G393="United States of America","USA","USA"))</f>
        <v>USA</v>
      </c>
      <c r="L393" s="4" t="str">
        <f t="shared" si="32"/>
        <v>CUST1391</v>
      </c>
      <c r="M393" s="4" t="str">
        <f t="shared" si="33"/>
        <v>Bronze</v>
      </c>
      <c r="N393" s="4" t="str">
        <f t="shared" si="34"/>
        <v>Ok</v>
      </c>
    </row>
    <row r="394" spans="1:14" ht="15.75" customHeight="1">
      <c r="A394" s="3" t="s">
        <v>1252</v>
      </c>
      <c r="B394" s="4" t="s">
        <v>1253</v>
      </c>
      <c r="C394" s="4">
        <v>46</v>
      </c>
      <c r="D394" s="4" t="s">
        <v>25</v>
      </c>
      <c r="E394" s="4" t="s">
        <v>1254</v>
      </c>
      <c r="F394" s="4" t="s">
        <v>134</v>
      </c>
      <c r="G394" s="4" t="s">
        <v>28</v>
      </c>
      <c r="H394" s="4" t="s">
        <v>67</v>
      </c>
      <c r="I394" s="4" t="str">
        <f t="shared" si="30"/>
        <v>Jacqueline Payne</v>
      </c>
      <c r="J394" s="4" t="str">
        <f t="shared" si="31"/>
        <v>Gutierrezstad</v>
      </c>
      <c r="K394" s="4" t="str">
        <f>IF(OR(G394="USA",G394="usa"),"USA",K397
                                                                                                                                                                                                                                                               IF(G394="United States of America","USA","USA"))</f>
        <v>USA</v>
      </c>
      <c r="L394" s="4" t="str">
        <f t="shared" si="32"/>
        <v>CUST1392</v>
      </c>
      <c r="M394" s="4" t="str">
        <f t="shared" si="33"/>
        <v>Gold</v>
      </c>
      <c r="N394" s="4" t="str">
        <f t="shared" si="34"/>
        <v>Ok</v>
      </c>
    </row>
    <row r="395" spans="1:14" ht="15.75" customHeight="1">
      <c r="A395" s="3" t="s">
        <v>1255</v>
      </c>
      <c r="B395" s="4" t="s">
        <v>1256</v>
      </c>
      <c r="C395" s="4">
        <v>46</v>
      </c>
      <c r="D395" s="4" t="s">
        <v>25</v>
      </c>
      <c r="E395" s="4" t="s">
        <v>1257</v>
      </c>
      <c r="F395" s="4" t="s">
        <v>138</v>
      </c>
      <c r="G395" s="4" t="s">
        <v>28</v>
      </c>
      <c r="H395" s="4" t="s">
        <v>44</v>
      </c>
      <c r="I395" s="4" t="str">
        <f t="shared" si="30"/>
        <v>Michael Mcneil</v>
      </c>
      <c r="J395" s="4" t="str">
        <f t="shared" si="31"/>
        <v>Stewartchester</v>
      </c>
      <c r="K395" s="4" t="str">
        <f>IF(OR(G395="USA",G395="usa"),"USA",K398
                                                                                                                                                                                                                                                               IF(G395="United States of America","USA","USA"))</f>
        <v>USA</v>
      </c>
      <c r="L395" s="4" t="str">
        <f t="shared" si="32"/>
        <v>CUST1393</v>
      </c>
      <c r="M395" s="4" t="str">
        <f t="shared" si="33"/>
        <v>Bronze</v>
      </c>
      <c r="N395" s="4" t="str">
        <f t="shared" si="34"/>
        <v>Ok</v>
      </c>
    </row>
    <row r="396" spans="1:14" ht="15.75" customHeight="1">
      <c r="A396" s="3" t="s">
        <v>1258</v>
      </c>
      <c r="B396" s="4" t="s">
        <v>1259</v>
      </c>
      <c r="C396" s="4">
        <v>43</v>
      </c>
      <c r="D396" s="4" t="s">
        <v>31</v>
      </c>
      <c r="E396" s="4" t="s">
        <v>1260</v>
      </c>
      <c r="F396" s="4" t="s">
        <v>188</v>
      </c>
      <c r="G396" s="4" t="s">
        <v>28</v>
      </c>
      <c r="H396" s="4" t="s">
        <v>44</v>
      </c>
      <c r="I396" s="4" t="str">
        <f t="shared" si="30"/>
        <v>Alejandro Evans</v>
      </c>
      <c r="J396" s="4" t="str">
        <f t="shared" si="31"/>
        <v>Cannonberg</v>
      </c>
      <c r="K396" s="4" t="str">
        <f>IF(OR(G396="USA",G396="usa"),"USA",K399
                                                                                                                                                                                                                                                               IF(G396="United States of America","USA","USA"))</f>
        <v>USA</v>
      </c>
      <c r="L396" s="4" t="str">
        <f t="shared" si="32"/>
        <v>CUST1394</v>
      </c>
      <c r="M396" s="4" t="str">
        <f t="shared" si="33"/>
        <v>Bronze</v>
      </c>
      <c r="N396" s="4" t="str">
        <f t="shared" si="34"/>
        <v>Ok</v>
      </c>
    </row>
    <row r="397" spans="1:14" ht="15.75" customHeight="1">
      <c r="A397" s="3" t="s">
        <v>1261</v>
      </c>
      <c r="B397" s="4" t="s">
        <v>1262</v>
      </c>
      <c r="C397" s="4">
        <v>50</v>
      </c>
      <c r="D397" s="4" t="s">
        <v>25</v>
      </c>
      <c r="E397" s="4" t="s">
        <v>1263</v>
      </c>
      <c r="F397" s="4" t="s">
        <v>82</v>
      </c>
      <c r="G397" s="4" t="s">
        <v>28</v>
      </c>
      <c r="H397" s="4" t="s">
        <v>67</v>
      </c>
      <c r="I397" s="4" t="str">
        <f t="shared" si="30"/>
        <v>Brandon Mcguire</v>
      </c>
      <c r="J397" s="4" t="str">
        <f t="shared" si="31"/>
        <v>Lake Morganland</v>
      </c>
      <c r="K397" s="4" t="str">
        <f>IF(OR(G397="USA",G397="usa"),"USA",K400
                                                                                                                                                                                                                                                               IF(G397="United States of America","USA","USA"))</f>
        <v>USA</v>
      </c>
      <c r="L397" s="4" t="str">
        <f t="shared" si="32"/>
        <v>CUST1395</v>
      </c>
      <c r="M397" s="4" t="str">
        <f t="shared" si="33"/>
        <v>Gold</v>
      </c>
      <c r="N397" s="4" t="str">
        <f t="shared" si="34"/>
        <v>Ok</v>
      </c>
    </row>
    <row r="398" spans="1:14" ht="15.75" customHeight="1">
      <c r="A398" s="3" t="s">
        <v>1264</v>
      </c>
      <c r="B398" s="4" t="s">
        <v>1265</v>
      </c>
      <c r="C398" s="4">
        <v>25</v>
      </c>
      <c r="D398" s="4" t="s">
        <v>31</v>
      </c>
      <c r="E398" s="4" t="s">
        <v>1266</v>
      </c>
      <c r="F398" s="4" t="s">
        <v>78</v>
      </c>
      <c r="G398" s="4" t="s">
        <v>28</v>
      </c>
      <c r="H398" s="4" t="s">
        <v>50</v>
      </c>
      <c r="I398" s="4" t="str">
        <f t="shared" si="30"/>
        <v>Alexander Byrd</v>
      </c>
      <c r="J398" s="4" t="str">
        <f t="shared" si="31"/>
        <v>Parkerview</v>
      </c>
      <c r="K398" s="4" t="str">
        <f>IF(OR(G398="USA",G398="usa"),"USA",K401
                                                                                                                                                                                                                                                               IF(G398="United States of America","USA","USA"))</f>
        <v>USA</v>
      </c>
      <c r="L398" s="4" t="str">
        <f t="shared" si="32"/>
        <v>CUST1396</v>
      </c>
      <c r="M398" s="4" t="str">
        <f t="shared" si="33"/>
        <v>Silver</v>
      </c>
      <c r="N398" s="4" t="str">
        <f t="shared" si="34"/>
        <v>Ok</v>
      </c>
    </row>
    <row r="399" spans="1:14" ht="15.75" customHeight="1">
      <c r="A399" s="3" t="s">
        <v>1267</v>
      </c>
      <c r="B399" s="4" t="s">
        <v>1268</v>
      </c>
      <c r="C399" s="4">
        <v>62</v>
      </c>
      <c r="D399" s="4" t="s">
        <v>31</v>
      </c>
      <c r="E399" s="4" t="s">
        <v>144</v>
      </c>
      <c r="F399" s="4" t="s">
        <v>82</v>
      </c>
      <c r="G399" s="4" t="s">
        <v>28</v>
      </c>
      <c r="H399" s="4" t="s">
        <v>34</v>
      </c>
      <c r="I399" s="4" t="str">
        <f t="shared" si="30"/>
        <v>Charles Norman Phd</v>
      </c>
      <c r="J399" s="4" t="str">
        <f t="shared" si="31"/>
        <v>East Jennifer</v>
      </c>
      <c r="K399" s="4" t="str">
        <f>IF(OR(G399="USA",G399="usa"),"USA",K402
                                                                                                                                                                                                                                                               IF(G399="United States of America","USA","USA"))</f>
        <v>USA</v>
      </c>
      <c r="L399" s="4" t="str">
        <f t="shared" si="32"/>
        <v>CUST1397</v>
      </c>
      <c r="M399" s="4" t="str">
        <f t="shared" si="33"/>
        <v>Platinum</v>
      </c>
      <c r="N399" s="4" t="str">
        <f t="shared" si="34"/>
        <v>Ok</v>
      </c>
    </row>
    <row r="400" spans="1:14" ht="15.75" customHeight="1">
      <c r="A400" s="3" t="s">
        <v>1269</v>
      </c>
      <c r="B400" s="4" t="s">
        <v>1270</v>
      </c>
      <c r="C400" s="4">
        <v>54</v>
      </c>
      <c r="D400" s="4" t="s">
        <v>25</v>
      </c>
      <c r="E400" s="4" t="s">
        <v>1271</v>
      </c>
      <c r="F400" s="4" t="s">
        <v>66</v>
      </c>
      <c r="G400" s="4" t="s">
        <v>28</v>
      </c>
      <c r="H400" s="4" t="s">
        <v>44</v>
      </c>
      <c r="I400" s="4" t="str">
        <f t="shared" si="30"/>
        <v>Jennifer Johnson</v>
      </c>
      <c r="J400" s="4" t="str">
        <f t="shared" si="31"/>
        <v>Cheyenneborough</v>
      </c>
      <c r="K400" s="4" t="str">
        <f>IF(OR(G400="USA",G400="usa"),"USA",K403
                                                                                                                                                                                                                                                               IF(G400="United States of America","USA","USA"))</f>
        <v>USA</v>
      </c>
      <c r="L400" s="4" t="str">
        <f t="shared" si="32"/>
        <v>CUST1398</v>
      </c>
      <c r="M400" s="4" t="str">
        <f t="shared" si="33"/>
        <v>Bronze</v>
      </c>
      <c r="N400" s="4" t="str">
        <f t="shared" si="34"/>
        <v>Ok</v>
      </c>
    </row>
    <row r="401" spans="1:14" ht="15.75" customHeight="1">
      <c r="A401" s="3" t="s">
        <v>1272</v>
      </c>
      <c r="B401" s="4" t="s">
        <v>1273</v>
      </c>
      <c r="C401" s="4">
        <v>27</v>
      </c>
      <c r="D401" s="4" t="s">
        <v>25</v>
      </c>
      <c r="E401" s="4" t="s">
        <v>1274</v>
      </c>
      <c r="F401" s="4" t="s">
        <v>456</v>
      </c>
      <c r="G401" s="4" t="s">
        <v>28</v>
      </c>
      <c r="H401" s="4" t="s">
        <v>44</v>
      </c>
      <c r="I401" s="4" t="str">
        <f t="shared" si="30"/>
        <v>John Donaldson</v>
      </c>
      <c r="J401" s="4" t="str">
        <f t="shared" si="31"/>
        <v>New Edward</v>
      </c>
      <c r="K401" s="4" t="str">
        <f>IF(OR(G401="USA",G401="usa"),"USA",K404
                                                                                                                                                                                                                                                               IF(G401="United States of America","USA","USA"))</f>
        <v>USA</v>
      </c>
      <c r="L401" s="4" t="str">
        <f t="shared" si="32"/>
        <v>CUST1399</v>
      </c>
      <c r="M401" s="4" t="str">
        <f t="shared" si="33"/>
        <v>Bronze</v>
      </c>
      <c r="N401" s="4" t="str">
        <f t="shared" si="34"/>
        <v>Ok</v>
      </c>
    </row>
    <row r="402" spans="1:14" ht="15.75" customHeight="1">
      <c r="A402" s="3" t="s">
        <v>1275</v>
      </c>
      <c r="B402" s="4" t="s">
        <v>1276</v>
      </c>
      <c r="C402" s="4">
        <v>57</v>
      </c>
      <c r="D402" s="4" t="s">
        <v>31</v>
      </c>
      <c r="E402" s="4" t="s">
        <v>1277</v>
      </c>
      <c r="F402" s="4" t="s">
        <v>116</v>
      </c>
      <c r="G402" s="4" t="s">
        <v>28</v>
      </c>
      <c r="H402" s="4" t="s">
        <v>34</v>
      </c>
      <c r="I402" s="4" t="str">
        <f t="shared" si="30"/>
        <v>Mark Rogers</v>
      </c>
      <c r="J402" s="4" t="str">
        <f t="shared" si="31"/>
        <v>Bookertown</v>
      </c>
      <c r="K402" s="4" t="str">
        <f>IF(OR(G402="USA",G402="usa"),"USA",K405
                                                                                                                                                                                                                                                               IF(G402="United States of America","USA","USA"))</f>
        <v>USA</v>
      </c>
      <c r="L402" s="4" t="str">
        <f t="shared" si="32"/>
        <v>CUST1400</v>
      </c>
      <c r="M402" s="4" t="str">
        <f t="shared" si="33"/>
        <v>Platinum</v>
      </c>
      <c r="N402" s="4" t="str">
        <f t="shared" si="34"/>
        <v>Ok</v>
      </c>
    </row>
    <row r="403" spans="1:14" ht="15.75" customHeight="1">
      <c r="A403" s="3" t="s">
        <v>1278</v>
      </c>
      <c r="B403" s="4" t="s">
        <v>1279</v>
      </c>
      <c r="C403" s="4">
        <v>51</v>
      </c>
      <c r="D403" s="4" t="s">
        <v>31</v>
      </c>
      <c r="E403" s="4" t="s">
        <v>1280</v>
      </c>
      <c r="F403" s="4" t="s">
        <v>205</v>
      </c>
      <c r="G403" s="4" t="s">
        <v>28</v>
      </c>
      <c r="H403" s="4" t="s">
        <v>34</v>
      </c>
      <c r="I403" s="4" t="str">
        <f t="shared" si="30"/>
        <v>Terry Moses</v>
      </c>
      <c r="J403" s="4" t="str">
        <f t="shared" si="31"/>
        <v>Leahmouth</v>
      </c>
      <c r="K403" s="4" t="str">
        <f>IF(OR(G403="USA",G403="usa"),"USA",K406
                                                                                                                                                                                                                                                               IF(G403="United States of America","USA","USA"))</f>
        <v>USA</v>
      </c>
      <c r="L403" s="4" t="str">
        <f t="shared" si="32"/>
        <v>CUST1401</v>
      </c>
      <c r="M403" s="4" t="str">
        <f t="shared" si="33"/>
        <v>Platinum</v>
      </c>
      <c r="N403" s="4" t="str">
        <f t="shared" si="34"/>
        <v>Ok</v>
      </c>
    </row>
    <row r="404" spans="1:14" ht="15.75" customHeight="1">
      <c r="A404" s="3" t="s">
        <v>1281</v>
      </c>
      <c r="B404" s="4" t="s">
        <v>1282</v>
      </c>
      <c r="C404" s="4">
        <v>31</v>
      </c>
      <c r="D404" s="4" t="s">
        <v>25</v>
      </c>
      <c r="E404" s="4" t="s">
        <v>100</v>
      </c>
      <c r="F404" s="4" t="s">
        <v>334</v>
      </c>
      <c r="G404" s="4" t="s">
        <v>28</v>
      </c>
      <c r="H404" s="4" t="s">
        <v>44</v>
      </c>
      <c r="I404" s="4" t="str">
        <f t="shared" si="30"/>
        <v>Cassandra Perez</v>
      </c>
      <c r="J404" s="4" t="str">
        <f t="shared" si="31"/>
        <v>Brandonville</v>
      </c>
      <c r="K404" s="4" t="str">
        <f>IF(OR(G404="USA",G404="usa"),"USA",K407
                                                                                                                                                                                                                                                               IF(G404="United States of America","USA","USA"))</f>
        <v>USA</v>
      </c>
      <c r="L404" s="4" t="str">
        <f t="shared" si="32"/>
        <v>CUST1402</v>
      </c>
      <c r="M404" s="4" t="str">
        <f t="shared" si="33"/>
        <v>Bronze</v>
      </c>
      <c r="N404" s="4" t="str">
        <f t="shared" si="34"/>
        <v>Ok</v>
      </c>
    </row>
    <row r="405" spans="1:14" ht="15.75" customHeight="1">
      <c r="A405" s="3" t="s">
        <v>1283</v>
      </c>
      <c r="B405" s="4" t="s">
        <v>1284</v>
      </c>
      <c r="C405" s="4">
        <v>34</v>
      </c>
      <c r="D405" s="4" t="s">
        <v>25</v>
      </c>
      <c r="E405" s="4" t="s">
        <v>1285</v>
      </c>
      <c r="F405" s="4" t="s">
        <v>349</v>
      </c>
      <c r="G405" s="4" t="s">
        <v>28</v>
      </c>
      <c r="H405" s="4" t="s">
        <v>44</v>
      </c>
      <c r="I405" s="4" t="str">
        <f t="shared" si="30"/>
        <v>Justin Ingram</v>
      </c>
      <c r="J405" s="4" t="str">
        <f t="shared" si="31"/>
        <v>Lake Lisaland</v>
      </c>
      <c r="K405" s="4" t="str">
        <f>IF(OR(G405="USA",G405="usa"),"USA",K408
                                                                                                                                                                                                                                                               IF(G405="United States of America","USA","USA"))</f>
        <v>USA</v>
      </c>
      <c r="L405" s="4" t="str">
        <f t="shared" si="32"/>
        <v>CUST1403</v>
      </c>
      <c r="M405" s="4" t="str">
        <f t="shared" si="33"/>
        <v>Bronze</v>
      </c>
      <c r="N405" s="4" t="str">
        <f t="shared" si="34"/>
        <v>Ok</v>
      </c>
    </row>
    <row r="406" spans="1:14" ht="15.75" customHeight="1">
      <c r="A406" s="3" t="s">
        <v>1286</v>
      </c>
      <c r="B406" s="4" t="s">
        <v>1287</v>
      </c>
      <c r="C406" s="4">
        <v>22</v>
      </c>
      <c r="D406" s="4" t="s">
        <v>31</v>
      </c>
      <c r="E406" s="4" t="s">
        <v>1288</v>
      </c>
      <c r="F406" s="4" t="s">
        <v>312</v>
      </c>
      <c r="G406" s="4" t="s">
        <v>28</v>
      </c>
      <c r="H406" s="4" t="s">
        <v>50</v>
      </c>
      <c r="I406" s="4" t="str">
        <f t="shared" si="30"/>
        <v>David Ross</v>
      </c>
      <c r="J406" s="4" t="str">
        <f t="shared" si="31"/>
        <v>South Angela</v>
      </c>
      <c r="K406" s="4" t="str">
        <f>IF(OR(G406="USA",G406="usa"),"USA",K409
                                                                                                                                                                                                                                                               IF(G406="United States of America","USA","USA"))</f>
        <v>USA</v>
      </c>
      <c r="L406" s="4" t="str">
        <f t="shared" si="32"/>
        <v>CUST1404</v>
      </c>
      <c r="M406" s="4" t="str">
        <f t="shared" si="33"/>
        <v>Silver</v>
      </c>
      <c r="N406" s="4" t="str">
        <f t="shared" si="34"/>
        <v>Ok</v>
      </c>
    </row>
    <row r="407" spans="1:14" ht="15.75" customHeight="1">
      <c r="A407" s="3" t="s">
        <v>1289</v>
      </c>
      <c r="B407" s="4" t="s">
        <v>1290</v>
      </c>
      <c r="C407" s="4">
        <v>18</v>
      </c>
      <c r="D407" s="4" t="s">
        <v>31</v>
      </c>
      <c r="E407" s="4" t="s">
        <v>1291</v>
      </c>
      <c r="F407" s="4" t="s">
        <v>349</v>
      </c>
      <c r="G407" s="4" t="s">
        <v>28</v>
      </c>
      <c r="H407" s="4" t="s">
        <v>67</v>
      </c>
      <c r="I407" s="4" t="str">
        <f t="shared" si="30"/>
        <v>Eric Wolfe</v>
      </c>
      <c r="J407" s="4" t="str">
        <f t="shared" si="31"/>
        <v>Garciaview</v>
      </c>
      <c r="K407" s="4" t="str">
        <f>IF(OR(G407="USA",G407="usa"),"USA",K410
                                                                                                                                                                                                                                                               IF(G407="United States of America","USA","USA"))</f>
        <v>USA</v>
      </c>
      <c r="L407" s="4" t="str">
        <f t="shared" si="32"/>
        <v>CUST1405</v>
      </c>
      <c r="M407" s="4" t="str">
        <f t="shared" si="33"/>
        <v>Gold</v>
      </c>
      <c r="N407" s="4" t="str">
        <f t="shared" si="34"/>
        <v>Ok</v>
      </c>
    </row>
    <row r="408" spans="1:14" ht="15.75" customHeight="1">
      <c r="A408" s="3" t="s">
        <v>1292</v>
      </c>
      <c r="B408" s="4" t="s">
        <v>1293</v>
      </c>
      <c r="C408" s="4">
        <v>23</v>
      </c>
      <c r="D408" s="4" t="s">
        <v>31</v>
      </c>
      <c r="E408" s="4" t="s">
        <v>1294</v>
      </c>
      <c r="F408" s="4" t="s">
        <v>345</v>
      </c>
      <c r="G408" s="4" t="s">
        <v>28</v>
      </c>
      <c r="H408" s="4" t="s">
        <v>67</v>
      </c>
      <c r="I408" s="4" t="str">
        <f t="shared" si="30"/>
        <v>David Lozano</v>
      </c>
      <c r="J408" s="4" t="str">
        <f t="shared" si="31"/>
        <v>North Michaelfurt</v>
      </c>
      <c r="K408" s="4" t="str">
        <f>IF(OR(G408="USA",G408="usa"),"USA",K411
                                                                                                                                                                                                                                                               IF(G408="United States of America","USA","USA"))</f>
        <v>USA</v>
      </c>
      <c r="L408" s="4" t="str">
        <f t="shared" si="32"/>
        <v>CUST1406</v>
      </c>
      <c r="M408" s="4" t="str">
        <f t="shared" si="33"/>
        <v>Gold</v>
      </c>
      <c r="N408" s="4" t="str">
        <f t="shared" si="34"/>
        <v>Ok</v>
      </c>
    </row>
    <row r="409" spans="1:14" ht="15.75" customHeight="1">
      <c r="A409" s="3" t="s">
        <v>1295</v>
      </c>
      <c r="B409" s="4" t="s">
        <v>1296</v>
      </c>
      <c r="C409" s="4">
        <v>33</v>
      </c>
      <c r="D409" s="4" t="s">
        <v>25</v>
      </c>
      <c r="E409" s="4" t="s">
        <v>1297</v>
      </c>
      <c r="F409" s="4" t="s">
        <v>161</v>
      </c>
      <c r="G409" s="4" t="s">
        <v>28</v>
      </c>
      <c r="H409" s="4" t="s">
        <v>67</v>
      </c>
      <c r="I409" s="4" t="str">
        <f t="shared" si="30"/>
        <v>Joseph Mendoza</v>
      </c>
      <c r="J409" s="4" t="str">
        <f t="shared" si="31"/>
        <v>Ashleymouth</v>
      </c>
      <c r="K409" s="4" t="str">
        <f>IF(OR(G409="USA",G409="usa"),"USA",K412
                                                                                                                                                                                                                                                               IF(G409="United States of America","USA","USA"))</f>
        <v>USA</v>
      </c>
      <c r="L409" s="4" t="str">
        <f t="shared" si="32"/>
        <v>CUST1407</v>
      </c>
      <c r="M409" s="4" t="str">
        <f t="shared" si="33"/>
        <v>Gold</v>
      </c>
      <c r="N409" s="4" t="str">
        <f t="shared" si="34"/>
        <v>Ok</v>
      </c>
    </row>
    <row r="410" spans="1:14" ht="15.75" customHeight="1">
      <c r="A410" s="3" t="s">
        <v>1298</v>
      </c>
      <c r="B410" s="4" t="s">
        <v>1299</v>
      </c>
      <c r="C410" s="4">
        <v>36</v>
      </c>
      <c r="D410" s="4" t="s">
        <v>25</v>
      </c>
      <c r="E410" s="4" t="s">
        <v>1300</v>
      </c>
      <c r="F410" s="4" t="s">
        <v>108</v>
      </c>
      <c r="G410" s="4" t="s">
        <v>28</v>
      </c>
      <c r="H410" s="4" t="s">
        <v>67</v>
      </c>
      <c r="I410" s="4" t="str">
        <f t="shared" si="30"/>
        <v>Isabel Foster</v>
      </c>
      <c r="J410" s="4" t="str">
        <f t="shared" si="31"/>
        <v>Port Joshuaville</v>
      </c>
      <c r="K410" s="4" t="str">
        <f>IF(OR(G410="USA",G410="usa"),"USA",K413
                                                                                                                                                                                                                                                               IF(G410="United States of America","USA","USA"))</f>
        <v>USA</v>
      </c>
      <c r="L410" s="4" t="str">
        <f t="shared" si="32"/>
        <v>CUST1408</v>
      </c>
      <c r="M410" s="4" t="str">
        <f t="shared" si="33"/>
        <v>Gold</v>
      </c>
      <c r="N410" s="4" t="str">
        <f t="shared" si="34"/>
        <v>Ok</v>
      </c>
    </row>
    <row r="411" spans="1:14" ht="15.75" customHeight="1">
      <c r="A411" s="3" t="s">
        <v>1301</v>
      </c>
      <c r="B411" s="4" t="s">
        <v>1302</v>
      </c>
      <c r="C411" s="4">
        <v>55</v>
      </c>
      <c r="D411" s="4" t="s">
        <v>25</v>
      </c>
      <c r="E411" s="4" t="s">
        <v>1303</v>
      </c>
      <c r="F411" s="4" t="s">
        <v>873</v>
      </c>
      <c r="G411" s="4" t="s">
        <v>28</v>
      </c>
      <c r="H411" s="4" t="s">
        <v>67</v>
      </c>
      <c r="I411" s="4" t="str">
        <f t="shared" si="30"/>
        <v>Sarah Smith</v>
      </c>
      <c r="J411" s="4" t="str">
        <f t="shared" si="31"/>
        <v>Kathleenport</v>
      </c>
      <c r="K411" s="4" t="str">
        <f>IF(OR(G411="USA",G411="usa"),"USA",K414
                                                                                                                                                                                                                                                               IF(G411="United States of America","USA","USA"))</f>
        <v>USA</v>
      </c>
      <c r="L411" s="4" t="str">
        <f t="shared" si="32"/>
        <v>CUST1409</v>
      </c>
      <c r="M411" s="4" t="str">
        <f t="shared" si="33"/>
        <v>Gold</v>
      </c>
      <c r="N411" s="4" t="str">
        <f t="shared" si="34"/>
        <v>Ok</v>
      </c>
    </row>
    <row r="412" spans="1:14" ht="15.75" customHeight="1">
      <c r="A412" s="3" t="s">
        <v>1304</v>
      </c>
      <c r="B412" s="4" t="s">
        <v>1305</v>
      </c>
      <c r="C412" s="4">
        <v>48</v>
      </c>
      <c r="D412" s="4" t="s">
        <v>31</v>
      </c>
      <c r="E412" s="4" t="s">
        <v>1306</v>
      </c>
      <c r="F412" s="4" t="s">
        <v>108</v>
      </c>
      <c r="G412" s="4" t="s">
        <v>28</v>
      </c>
      <c r="H412" s="4" t="s">
        <v>44</v>
      </c>
      <c r="I412" s="4" t="str">
        <f t="shared" si="30"/>
        <v>Jackie Thompson</v>
      </c>
      <c r="J412" s="4" t="str">
        <f t="shared" si="31"/>
        <v>South Edwin</v>
      </c>
      <c r="K412" s="4" t="str">
        <f>IF(OR(G412="USA",G412="usa"),"USA",K415
                                                                                                                                                                                                                                                               IF(G412="United States of America","USA","USA"))</f>
        <v>USA</v>
      </c>
      <c r="L412" s="4" t="str">
        <f t="shared" si="32"/>
        <v>CUST1410</v>
      </c>
      <c r="M412" s="4" t="str">
        <f t="shared" si="33"/>
        <v>Bronze</v>
      </c>
      <c r="N412" s="4" t="str">
        <f t="shared" si="34"/>
        <v>Ok</v>
      </c>
    </row>
    <row r="413" spans="1:14" ht="15.75" customHeight="1">
      <c r="A413" s="3" t="s">
        <v>1307</v>
      </c>
      <c r="B413" s="4" t="s">
        <v>1308</v>
      </c>
      <c r="C413" s="4">
        <v>63</v>
      </c>
      <c r="D413" s="4" t="s">
        <v>25</v>
      </c>
      <c r="E413" s="4" t="s">
        <v>1309</v>
      </c>
      <c r="F413" s="4" t="s">
        <v>43</v>
      </c>
      <c r="G413" s="4" t="s">
        <v>28</v>
      </c>
      <c r="H413" s="4" t="s">
        <v>50</v>
      </c>
      <c r="I413" s="4" t="str">
        <f t="shared" si="30"/>
        <v>Katrina Perez</v>
      </c>
      <c r="J413" s="4" t="str">
        <f t="shared" si="31"/>
        <v>West Rebecca</v>
      </c>
      <c r="K413" s="4" t="str">
        <f>IF(OR(G413="USA",G413="usa"),"USA",K416
                                                                                                                                                                                                                                                               IF(G413="United States of America","USA","USA"))</f>
        <v>USA</v>
      </c>
      <c r="L413" s="4" t="str">
        <f t="shared" si="32"/>
        <v>CUST1411</v>
      </c>
      <c r="M413" s="4" t="str">
        <f t="shared" si="33"/>
        <v>Silver</v>
      </c>
      <c r="N413" s="4" t="str">
        <f t="shared" si="34"/>
        <v>Ok</v>
      </c>
    </row>
    <row r="414" spans="1:14" ht="15.75" customHeight="1">
      <c r="A414" s="3" t="s">
        <v>1310</v>
      </c>
      <c r="B414" s="4" t="s">
        <v>1311</v>
      </c>
      <c r="C414" s="4">
        <v>23</v>
      </c>
      <c r="D414" s="4" t="s">
        <v>31</v>
      </c>
      <c r="E414" s="4" t="s">
        <v>225</v>
      </c>
      <c r="F414" s="4" t="s">
        <v>177</v>
      </c>
      <c r="G414" s="4" t="s">
        <v>28</v>
      </c>
      <c r="H414" s="4" t="s">
        <v>67</v>
      </c>
      <c r="I414" s="4" t="str">
        <f t="shared" si="30"/>
        <v>Shane Brown</v>
      </c>
      <c r="J414" s="4" t="str">
        <f t="shared" si="31"/>
        <v>East Andrea</v>
      </c>
      <c r="K414" s="4" t="str">
        <f>IF(OR(G414="USA",G414="usa"),"USA",K417
                                                                                                                                                                                                                                                               IF(G414="United States of America","USA","USA"))</f>
        <v>USA</v>
      </c>
      <c r="L414" s="4" t="str">
        <f t="shared" si="32"/>
        <v>CUST1412</v>
      </c>
      <c r="M414" s="4" t="str">
        <f t="shared" si="33"/>
        <v>Gold</v>
      </c>
      <c r="N414" s="4" t="str">
        <f t="shared" si="34"/>
        <v>Ok</v>
      </c>
    </row>
    <row r="415" spans="1:14" ht="15.75" customHeight="1">
      <c r="A415" s="3" t="s">
        <v>1312</v>
      </c>
      <c r="B415" s="4" t="s">
        <v>1313</v>
      </c>
      <c r="C415" s="4">
        <v>59</v>
      </c>
      <c r="D415" s="4" t="s">
        <v>31</v>
      </c>
      <c r="E415" s="4" t="s">
        <v>1314</v>
      </c>
      <c r="F415" s="4" t="s">
        <v>127</v>
      </c>
      <c r="G415" s="4" t="s">
        <v>28</v>
      </c>
      <c r="H415" s="4" t="s">
        <v>44</v>
      </c>
      <c r="I415" s="4" t="str">
        <f t="shared" si="30"/>
        <v>Megan Ryan</v>
      </c>
      <c r="J415" s="4" t="str">
        <f t="shared" si="31"/>
        <v>Andrewsfurt</v>
      </c>
      <c r="K415" s="4" t="str">
        <f>IF(OR(G415="USA",G415="usa"),"USA",K418
                                                                                                                                                                                                                                                               IF(G415="United States of America","USA","USA"))</f>
        <v>USA</v>
      </c>
      <c r="L415" s="4" t="str">
        <f t="shared" si="32"/>
        <v>CUST1413</v>
      </c>
      <c r="M415" s="4" t="str">
        <f t="shared" si="33"/>
        <v>Bronze</v>
      </c>
      <c r="N415" s="4" t="str">
        <f t="shared" si="34"/>
        <v>Ok</v>
      </c>
    </row>
    <row r="416" spans="1:14" ht="15.75" customHeight="1">
      <c r="A416" s="3" t="s">
        <v>1315</v>
      </c>
      <c r="B416" s="4" t="s">
        <v>1316</v>
      </c>
      <c r="C416" s="4">
        <v>35</v>
      </c>
      <c r="D416" s="4" t="s">
        <v>31</v>
      </c>
      <c r="E416" s="4" t="s">
        <v>1317</v>
      </c>
      <c r="F416" s="4" t="s">
        <v>134</v>
      </c>
      <c r="G416" s="4" t="s">
        <v>28</v>
      </c>
      <c r="H416" s="4" t="s">
        <v>67</v>
      </c>
      <c r="I416" s="4" t="str">
        <f t="shared" si="30"/>
        <v>Melissa Valentine</v>
      </c>
      <c r="J416" s="4" t="str">
        <f t="shared" si="31"/>
        <v>East Patriciafort</v>
      </c>
      <c r="K416" s="4" t="str">
        <f>IF(OR(G416="USA",G416="usa"),"USA",K419
                                                                                                                                                                                                                                                               IF(G416="United States of America","USA","USA"))</f>
        <v>USA</v>
      </c>
      <c r="L416" s="4" t="str">
        <f t="shared" si="32"/>
        <v>CUST1414</v>
      </c>
      <c r="M416" s="4" t="str">
        <f t="shared" si="33"/>
        <v>Gold</v>
      </c>
      <c r="N416" s="4" t="str">
        <f t="shared" si="34"/>
        <v>Ok</v>
      </c>
    </row>
    <row r="417" spans="1:14" ht="15.75" customHeight="1">
      <c r="A417" s="3" t="s">
        <v>1318</v>
      </c>
      <c r="B417" s="4" t="s">
        <v>1319</v>
      </c>
      <c r="C417" s="4">
        <v>26</v>
      </c>
      <c r="D417" s="4" t="s">
        <v>31</v>
      </c>
      <c r="E417" s="4" t="s">
        <v>1320</v>
      </c>
      <c r="F417" s="4" t="s">
        <v>184</v>
      </c>
      <c r="G417" s="4" t="s">
        <v>28</v>
      </c>
      <c r="H417" s="4" t="s">
        <v>50</v>
      </c>
      <c r="I417" s="4" t="str">
        <f t="shared" si="30"/>
        <v>Tyler Cook</v>
      </c>
      <c r="J417" s="4" t="str">
        <f t="shared" si="31"/>
        <v>Kramerview</v>
      </c>
      <c r="K417" s="4" t="str">
        <f>IF(OR(G417="USA",G417="usa"),"USA",K420
                                                                                                                                                                                                                                                               IF(G417="United States of America","USA","USA"))</f>
        <v>USA</v>
      </c>
      <c r="L417" s="4" t="str">
        <f t="shared" si="32"/>
        <v>CUST1415</v>
      </c>
      <c r="M417" s="4" t="str">
        <f t="shared" si="33"/>
        <v>Silver</v>
      </c>
      <c r="N417" s="4" t="str">
        <f t="shared" si="34"/>
        <v>Ok</v>
      </c>
    </row>
    <row r="418" spans="1:14" ht="15.75" customHeight="1">
      <c r="A418" s="3" t="s">
        <v>1321</v>
      </c>
      <c r="B418" s="4" t="s">
        <v>1322</v>
      </c>
      <c r="C418" s="4">
        <v>46</v>
      </c>
      <c r="D418" s="4" t="s">
        <v>25</v>
      </c>
      <c r="E418" s="4" t="s">
        <v>1323</v>
      </c>
      <c r="F418" s="4" t="s">
        <v>345</v>
      </c>
      <c r="G418" s="4" t="s">
        <v>28</v>
      </c>
      <c r="H418" s="4" t="s">
        <v>34</v>
      </c>
      <c r="I418" s="4" t="str">
        <f t="shared" si="30"/>
        <v>Jennifer Myers</v>
      </c>
      <c r="J418" s="4" t="str">
        <f t="shared" si="31"/>
        <v>Marthaborough</v>
      </c>
      <c r="K418" s="4" t="str">
        <f>IF(OR(G418="USA",G418="usa"),"USA",K421
                                                                                                                                                                                                                                                               IF(G418="United States of America","USA","USA"))</f>
        <v>USA</v>
      </c>
      <c r="L418" s="4" t="str">
        <f t="shared" si="32"/>
        <v>CUST1416</v>
      </c>
      <c r="M418" s="4" t="str">
        <f t="shared" si="33"/>
        <v>Platinum</v>
      </c>
      <c r="N418" s="4" t="str">
        <f t="shared" si="34"/>
        <v>Ok</v>
      </c>
    </row>
    <row r="419" spans="1:14" ht="15.75" customHeight="1">
      <c r="A419" s="3" t="s">
        <v>1324</v>
      </c>
      <c r="B419" s="4" t="s">
        <v>1325</v>
      </c>
      <c r="C419" s="4">
        <v>64</v>
      </c>
      <c r="D419" s="4" t="s">
        <v>31</v>
      </c>
      <c r="E419" s="4" t="s">
        <v>1326</v>
      </c>
      <c r="F419" s="4" t="s">
        <v>27</v>
      </c>
      <c r="G419" s="4" t="s">
        <v>28</v>
      </c>
      <c r="H419" s="4" t="s">
        <v>44</v>
      </c>
      <c r="I419" s="4" t="str">
        <f t="shared" si="30"/>
        <v>Karen King</v>
      </c>
      <c r="J419" s="4" t="str">
        <f t="shared" si="31"/>
        <v>Kimburgh</v>
      </c>
      <c r="K419" s="4" t="str">
        <f>IF(OR(G419="USA",G419="usa"),"USA",K422
                                                                                                                                                                                                                                                               IF(G419="United States of America","USA","USA"))</f>
        <v>USA</v>
      </c>
      <c r="L419" s="4" t="str">
        <f t="shared" si="32"/>
        <v>CUST1417</v>
      </c>
      <c r="M419" s="4" t="str">
        <f t="shared" si="33"/>
        <v>Bronze</v>
      </c>
      <c r="N419" s="4" t="str">
        <f t="shared" si="34"/>
        <v>Ok</v>
      </c>
    </row>
    <row r="420" spans="1:14" ht="15.75" customHeight="1">
      <c r="A420" s="3" t="s">
        <v>1327</v>
      </c>
      <c r="B420" s="4" t="s">
        <v>1328</v>
      </c>
      <c r="C420" s="4">
        <v>60</v>
      </c>
      <c r="D420" s="4" t="s">
        <v>31</v>
      </c>
      <c r="E420" s="4" t="s">
        <v>1329</v>
      </c>
      <c r="F420" s="4" t="s">
        <v>66</v>
      </c>
      <c r="G420" s="4" t="s">
        <v>28</v>
      </c>
      <c r="H420" s="4" t="s">
        <v>50</v>
      </c>
      <c r="I420" s="4" t="str">
        <f t="shared" si="30"/>
        <v>Luke Parks</v>
      </c>
      <c r="J420" s="4" t="str">
        <f t="shared" si="31"/>
        <v>West Mario</v>
      </c>
      <c r="K420" s="4" t="str">
        <f>IF(OR(G420="USA",G420="usa"),"USA",K423
                                                                                                                                                                                                                                                               IF(G420="United States of America","USA","USA"))</f>
        <v>USA</v>
      </c>
      <c r="L420" s="4" t="str">
        <f t="shared" si="32"/>
        <v>CUST1418</v>
      </c>
      <c r="M420" s="4" t="str">
        <f t="shared" si="33"/>
        <v>Silver</v>
      </c>
      <c r="N420" s="4" t="str">
        <f t="shared" si="34"/>
        <v>Ok</v>
      </c>
    </row>
    <row r="421" spans="1:14" ht="15.75" customHeight="1">
      <c r="A421" s="3" t="s">
        <v>1330</v>
      </c>
      <c r="B421" s="4" t="s">
        <v>1331</v>
      </c>
      <c r="C421" s="4">
        <v>33</v>
      </c>
      <c r="D421" s="4" t="s">
        <v>25</v>
      </c>
      <c r="E421" s="4" t="s">
        <v>1332</v>
      </c>
      <c r="F421" s="4" t="s">
        <v>334</v>
      </c>
      <c r="G421" s="4" t="s">
        <v>28</v>
      </c>
      <c r="H421" s="4" t="s">
        <v>67</v>
      </c>
      <c r="I421" s="4" t="str">
        <f t="shared" si="30"/>
        <v>Monica Miller</v>
      </c>
      <c r="J421" s="4" t="str">
        <f t="shared" si="31"/>
        <v>Lake David</v>
      </c>
      <c r="K421" s="4" t="str">
        <f>IF(OR(G421="USA",G421="usa"),"USA",K424
                                                                                                                                                                                                                                                               IF(G421="United States of America","USA","USA"))</f>
        <v>USA</v>
      </c>
      <c r="L421" s="4" t="str">
        <f t="shared" si="32"/>
        <v>CUST1419</v>
      </c>
      <c r="M421" s="4" t="str">
        <f t="shared" si="33"/>
        <v>Gold</v>
      </c>
      <c r="N421" s="4" t="str">
        <f t="shared" si="34"/>
        <v>Ok</v>
      </c>
    </row>
    <row r="422" spans="1:14" ht="15.75" customHeight="1">
      <c r="A422" s="3" t="s">
        <v>1333</v>
      </c>
      <c r="B422" s="4" t="s">
        <v>1334</v>
      </c>
      <c r="C422" s="4">
        <v>60</v>
      </c>
      <c r="D422" s="4" t="s">
        <v>25</v>
      </c>
      <c r="E422" s="4" t="s">
        <v>1335</v>
      </c>
      <c r="F422" s="4" t="s">
        <v>27</v>
      </c>
      <c r="G422" s="4" t="s">
        <v>28</v>
      </c>
      <c r="H422" s="4" t="s">
        <v>44</v>
      </c>
      <c r="I422" s="4" t="str">
        <f t="shared" si="30"/>
        <v>Dr. Tamara White Md</v>
      </c>
      <c r="J422" s="4" t="str">
        <f t="shared" si="31"/>
        <v>New Benjamin</v>
      </c>
      <c r="K422" s="4" t="str">
        <f>IF(OR(G422="USA",G422="usa"),"USA",K425
                                                                                                                                                                                                                                                               IF(G422="United States of America","USA","USA"))</f>
        <v>USA</v>
      </c>
      <c r="L422" s="4" t="str">
        <f t="shared" si="32"/>
        <v>CUST1420</v>
      </c>
      <c r="M422" s="4" t="str">
        <f t="shared" si="33"/>
        <v>Bronze</v>
      </c>
      <c r="N422" s="4" t="str">
        <f t="shared" si="34"/>
        <v>Ok</v>
      </c>
    </row>
    <row r="423" spans="1:14" ht="15.75" customHeight="1">
      <c r="A423" s="3" t="s">
        <v>1336</v>
      </c>
      <c r="B423" s="4" t="s">
        <v>1337</v>
      </c>
      <c r="C423" s="4">
        <v>45</v>
      </c>
      <c r="D423" s="4" t="s">
        <v>31</v>
      </c>
      <c r="E423" s="4" t="s">
        <v>1338</v>
      </c>
      <c r="F423" s="4" t="s">
        <v>94</v>
      </c>
      <c r="G423" s="4" t="s">
        <v>28</v>
      </c>
      <c r="H423" s="4" t="s">
        <v>34</v>
      </c>
      <c r="I423" s="4" t="str">
        <f t="shared" si="30"/>
        <v>Holly Robinson</v>
      </c>
      <c r="J423" s="4" t="str">
        <f t="shared" si="31"/>
        <v>East Amy</v>
      </c>
      <c r="K423" s="4" t="str">
        <f>IF(OR(G423="USA",G423="usa"),"USA",K426
                                                                                                                                                                                                                                                               IF(G423="United States of America","USA","USA"))</f>
        <v>USA</v>
      </c>
      <c r="L423" s="4" t="str">
        <f t="shared" si="32"/>
        <v>CUST1421</v>
      </c>
      <c r="M423" s="4" t="str">
        <f t="shared" si="33"/>
        <v>Platinum</v>
      </c>
      <c r="N423" s="4" t="str">
        <f t="shared" si="34"/>
        <v>Ok</v>
      </c>
    </row>
    <row r="424" spans="1:14" ht="15.75" customHeight="1">
      <c r="A424" s="3" t="s">
        <v>1339</v>
      </c>
      <c r="B424" s="4" t="s">
        <v>1340</v>
      </c>
      <c r="C424" s="4">
        <v>42</v>
      </c>
      <c r="D424" s="4" t="s">
        <v>31</v>
      </c>
      <c r="E424" s="4" t="s">
        <v>1341</v>
      </c>
      <c r="F424" s="4" t="s">
        <v>82</v>
      </c>
      <c r="G424" s="4" t="s">
        <v>28</v>
      </c>
      <c r="H424" s="4" t="s">
        <v>34</v>
      </c>
      <c r="I424" s="4" t="str">
        <f t="shared" si="30"/>
        <v>Brittany Edwards Dds</v>
      </c>
      <c r="J424" s="4" t="str">
        <f t="shared" si="31"/>
        <v>Aliciahaven</v>
      </c>
      <c r="K424" s="4" t="str">
        <f>IF(OR(G424="USA",G424="usa"),"USA",K427
                                                                                                                                                                                                                                                               IF(G424="United States of America","USA","USA"))</f>
        <v>USA</v>
      </c>
      <c r="L424" s="4" t="str">
        <f t="shared" si="32"/>
        <v>CUST1422</v>
      </c>
      <c r="M424" s="4" t="str">
        <f t="shared" si="33"/>
        <v>Platinum</v>
      </c>
      <c r="N424" s="4" t="str">
        <f t="shared" si="34"/>
        <v>Ok</v>
      </c>
    </row>
    <row r="425" spans="1:14" ht="15.75" customHeight="1">
      <c r="A425" s="3" t="s">
        <v>1342</v>
      </c>
      <c r="B425" s="4" t="s">
        <v>1343</v>
      </c>
      <c r="C425" s="4">
        <v>35</v>
      </c>
      <c r="D425" s="4" t="s">
        <v>25</v>
      </c>
      <c r="E425" s="4" t="s">
        <v>1344</v>
      </c>
      <c r="F425" s="4" t="s">
        <v>82</v>
      </c>
      <c r="G425" s="4" t="s">
        <v>28</v>
      </c>
      <c r="H425" s="4" t="s">
        <v>50</v>
      </c>
      <c r="I425" s="4" t="str">
        <f t="shared" si="30"/>
        <v>Rebecca Baker</v>
      </c>
      <c r="J425" s="4" t="str">
        <f t="shared" si="31"/>
        <v>New Katherine</v>
      </c>
      <c r="K425" s="4" t="str">
        <f>IF(OR(G425="USA",G425="usa"),"USA",K428
                                                                                                                                                                                                                                                               IF(G425="United States of America","USA","USA"))</f>
        <v>USA</v>
      </c>
      <c r="L425" s="4" t="str">
        <f t="shared" si="32"/>
        <v>CUST1423</v>
      </c>
      <c r="M425" s="4" t="str">
        <f t="shared" si="33"/>
        <v>Silver</v>
      </c>
      <c r="N425" s="4" t="str">
        <f t="shared" si="34"/>
        <v>Ok</v>
      </c>
    </row>
    <row r="426" spans="1:14" ht="15.75" customHeight="1">
      <c r="A426" s="3" t="s">
        <v>1345</v>
      </c>
      <c r="B426" s="4" t="s">
        <v>1346</v>
      </c>
      <c r="C426" s="4">
        <v>53</v>
      </c>
      <c r="D426" s="4" t="s">
        <v>25</v>
      </c>
      <c r="E426" s="4" t="s">
        <v>1347</v>
      </c>
      <c r="F426" s="4" t="s">
        <v>27</v>
      </c>
      <c r="G426" s="4" t="s">
        <v>28</v>
      </c>
      <c r="H426" s="4" t="s">
        <v>44</v>
      </c>
      <c r="I426" s="4" t="str">
        <f t="shared" si="30"/>
        <v>Edwin Barnes</v>
      </c>
      <c r="J426" s="4" t="str">
        <f t="shared" si="31"/>
        <v>Lake Alexandra</v>
      </c>
      <c r="K426" s="4" t="str">
        <f>IF(OR(G426="USA",G426="usa"),"USA",K429
                                                                                                                                                                                                                                                               IF(G426="United States of America","USA","USA"))</f>
        <v>USA</v>
      </c>
      <c r="L426" s="4" t="str">
        <f t="shared" si="32"/>
        <v>CUST1424</v>
      </c>
      <c r="M426" s="4" t="str">
        <f t="shared" si="33"/>
        <v>Bronze</v>
      </c>
      <c r="N426" s="4" t="str">
        <f t="shared" si="34"/>
        <v>Ok</v>
      </c>
    </row>
    <row r="427" spans="1:14" ht="15.75" customHeight="1">
      <c r="A427" s="3" t="s">
        <v>1348</v>
      </c>
      <c r="B427" s="4" t="s">
        <v>1349</v>
      </c>
      <c r="C427" s="4">
        <v>40</v>
      </c>
      <c r="D427" s="4" t="s">
        <v>25</v>
      </c>
      <c r="E427" s="4" t="s">
        <v>1350</v>
      </c>
      <c r="F427" s="4" t="s">
        <v>138</v>
      </c>
      <c r="G427" s="4" t="s">
        <v>28</v>
      </c>
      <c r="H427" s="4" t="s">
        <v>44</v>
      </c>
      <c r="I427" s="4" t="str">
        <f t="shared" si="30"/>
        <v>Bryce Hawkins</v>
      </c>
      <c r="J427" s="4" t="str">
        <f t="shared" si="31"/>
        <v>Lake Monique</v>
      </c>
      <c r="K427" s="4" t="str">
        <f>IF(OR(G427="USA",G427="usa"),"USA",K430
                                                                                                                                                                                                                                                               IF(G427="United States of America","USA","USA"))</f>
        <v>USA</v>
      </c>
      <c r="L427" s="4" t="str">
        <f t="shared" si="32"/>
        <v>CUST1425</v>
      </c>
      <c r="M427" s="4" t="str">
        <f t="shared" si="33"/>
        <v>Bronze</v>
      </c>
      <c r="N427" s="4" t="str">
        <f t="shared" si="34"/>
        <v>Ok</v>
      </c>
    </row>
    <row r="428" spans="1:14" ht="15.75" customHeight="1">
      <c r="A428" s="3" t="s">
        <v>1351</v>
      </c>
      <c r="B428" s="4" t="s">
        <v>1352</v>
      </c>
      <c r="C428" s="4">
        <v>28</v>
      </c>
      <c r="D428" s="4" t="s">
        <v>25</v>
      </c>
      <c r="E428" s="4" t="s">
        <v>1353</v>
      </c>
      <c r="F428" s="4" t="s">
        <v>27</v>
      </c>
      <c r="G428" s="4" t="s">
        <v>28</v>
      </c>
      <c r="H428" s="4" t="s">
        <v>34</v>
      </c>
      <c r="I428" s="4" t="str">
        <f t="shared" si="30"/>
        <v>Jeanette Nichols</v>
      </c>
      <c r="J428" s="4" t="str">
        <f t="shared" si="31"/>
        <v>Aguilarland</v>
      </c>
      <c r="K428" s="4" t="str">
        <f>IF(OR(G428="USA",G428="usa"),"USA",K431
                                                                                                                                                                                                                                                               IF(G428="United States of America","USA","USA"))</f>
        <v>USA</v>
      </c>
      <c r="L428" s="4" t="str">
        <f t="shared" si="32"/>
        <v>CUST1426</v>
      </c>
      <c r="M428" s="4" t="str">
        <f t="shared" si="33"/>
        <v>Platinum</v>
      </c>
      <c r="N428" s="4" t="str">
        <f t="shared" si="34"/>
        <v>Ok</v>
      </c>
    </row>
    <row r="429" spans="1:14" ht="15.75" customHeight="1">
      <c r="A429" s="3" t="s">
        <v>1354</v>
      </c>
      <c r="B429" s="4" t="s">
        <v>1355</v>
      </c>
      <c r="C429" s="4">
        <v>18</v>
      </c>
      <c r="D429" s="4" t="s">
        <v>31</v>
      </c>
      <c r="E429" s="4" t="s">
        <v>1356</v>
      </c>
      <c r="F429" s="4" t="s">
        <v>456</v>
      </c>
      <c r="G429" s="4" t="s">
        <v>28</v>
      </c>
      <c r="H429" s="4" t="s">
        <v>67</v>
      </c>
      <c r="I429" s="4" t="str">
        <f t="shared" si="30"/>
        <v>Jose Stewart</v>
      </c>
      <c r="J429" s="4" t="str">
        <f t="shared" si="31"/>
        <v>South Robert</v>
      </c>
      <c r="K429" s="4" t="str">
        <f>IF(OR(G429="USA",G429="usa"),"USA",K432
                                                                                                                                                                                                                                                               IF(G429="United States of America","USA","USA"))</f>
        <v>USA</v>
      </c>
      <c r="L429" s="4" t="str">
        <f t="shared" si="32"/>
        <v>CUST1427</v>
      </c>
      <c r="M429" s="4" t="str">
        <f t="shared" si="33"/>
        <v>Gold</v>
      </c>
      <c r="N429" s="4" t="str">
        <f t="shared" si="34"/>
        <v>Ok</v>
      </c>
    </row>
    <row r="430" spans="1:14" ht="15.75" customHeight="1">
      <c r="A430" s="3" t="s">
        <v>1357</v>
      </c>
      <c r="B430" s="4" t="s">
        <v>1358</v>
      </c>
      <c r="C430" s="4">
        <v>27</v>
      </c>
      <c r="D430" s="4" t="s">
        <v>31</v>
      </c>
      <c r="E430" s="4" t="s">
        <v>1359</v>
      </c>
      <c r="F430" s="4" t="s">
        <v>349</v>
      </c>
      <c r="G430" s="4" t="s">
        <v>28</v>
      </c>
      <c r="H430" s="4" t="s">
        <v>44</v>
      </c>
      <c r="I430" s="4" t="str">
        <f t="shared" si="30"/>
        <v>Samuel Mullins</v>
      </c>
      <c r="J430" s="4" t="str">
        <f t="shared" si="31"/>
        <v>Hartmouth</v>
      </c>
      <c r="K430" s="4" t="str">
        <f>IF(OR(G430="USA",G430="usa"),"USA",K433
                                                                                                                                                                                                                                                               IF(G430="United States of America","USA","USA"))</f>
        <v>USA</v>
      </c>
      <c r="L430" s="4" t="str">
        <f t="shared" si="32"/>
        <v>CUST1428</v>
      </c>
      <c r="M430" s="4" t="str">
        <f t="shared" si="33"/>
        <v>Bronze</v>
      </c>
      <c r="N430" s="4" t="str">
        <f t="shared" si="34"/>
        <v>Ok</v>
      </c>
    </row>
    <row r="431" spans="1:14" ht="15.75" customHeight="1">
      <c r="A431" s="3" t="s">
        <v>1360</v>
      </c>
      <c r="B431" s="4" t="s">
        <v>1361</v>
      </c>
      <c r="C431" s="4">
        <v>43</v>
      </c>
      <c r="D431" s="4" t="s">
        <v>25</v>
      </c>
      <c r="E431" s="4" t="s">
        <v>1362</v>
      </c>
      <c r="F431" s="4" t="s">
        <v>127</v>
      </c>
      <c r="G431" s="4" t="s">
        <v>28</v>
      </c>
      <c r="H431" s="4" t="s">
        <v>34</v>
      </c>
      <c r="I431" s="4" t="str">
        <f t="shared" si="30"/>
        <v>Sean Vang</v>
      </c>
      <c r="J431" s="4" t="str">
        <f t="shared" si="31"/>
        <v>Davidchester</v>
      </c>
      <c r="K431" s="4" t="str">
        <f>IF(OR(G431="USA",G431="usa"),"USA",K434
                                                                                                                                                                                                                                                               IF(G431="United States of America","USA","USA"))</f>
        <v>USA</v>
      </c>
      <c r="L431" s="4" t="str">
        <f t="shared" si="32"/>
        <v>CUST1429</v>
      </c>
      <c r="M431" s="4" t="str">
        <f t="shared" si="33"/>
        <v>Platinum</v>
      </c>
      <c r="N431" s="4" t="str">
        <f t="shared" si="34"/>
        <v>Ok</v>
      </c>
    </row>
    <row r="432" spans="1:14" ht="15.75" customHeight="1">
      <c r="A432" s="3" t="s">
        <v>1363</v>
      </c>
      <c r="B432" s="4" t="s">
        <v>1364</v>
      </c>
      <c r="C432" s="4">
        <v>36</v>
      </c>
      <c r="D432" s="4" t="s">
        <v>31</v>
      </c>
      <c r="E432" s="4" t="s">
        <v>1365</v>
      </c>
      <c r="F432" s="4" t="s">
        <v>108</v>
      </c>
      <c r="G432" s="4" t="s">
        <v>28</v>
      </c>
      <c r="H432" s="4" t="s">
        <v>67</v>
      </c>
      <c r="I432" s="4" t="str">
        <f t="shared" si="30"/>
        <v>Kimberly Roberts</v>
      </c>
      <c r="J432" s="4" t="str">
        <f t="shared" si="31"/>
        <v>Josephchester</v>
      </c>
      <c r="K432" s="4" t="str">
        <f>IF(OR(G432="USA",G432="usa"),"USA",K435
                                                                                                                                                                                                                                                               IF(G432="United States of America","USA","USA"))</f>
        <v>USA</v>
      </c>
      <c r="L432" s="4" t="str">
        <f t="shared" si="32"/>
        <v>CUST1430</v>
      </c>
      <c r="M432" s="4" t="str">
        <f t="shared" si="33"/>
        <v>Gold</v>
      </c>
      <c r="N432" s="4" t="str">
        <f t="shared" si="34"/>
        <v>Ok</v>
      </c>
    </row>
    <row r="433" spans="1:14" ht="15.75" customHeight="1">
      <c r="A433" s="3" t="s">
        <v>1366</v>
      </c>
      <c r="B433" s="4" t="s">
        <v>1367</v>
      </c>
      <c r="C433" s="4">
        <v>27</v>
      </c>
      <c r="D433" s="4" t="s">
        <v>25</v>
      </c>
      <c r="E433" s="4" t="s">
        <v>1368</v>
      </c>
      <c r="F433" s="4" t="s">
        <v>49</v>
      </c>
      <c r="G433" s="4" t="s">
        <v>28</v>
      </c>
      <c r="H433" s="4" t="s">
        <v>34</v>
      </c>
      <c r="I433" s="4" t="str">
        <f t="shared" si="30"/>
        <v>John Smith</v>
      </c>
      <c r="J433" s="4" t="str">
        <f t="shared" si="31"/>
        <v>South Andrewport</v>
      </c>
      <c r="K433" s="4" t="str">
        <f>IF(OR(G433="USA",G433="usa"),"USA",K436
                                                                                                                                                                                                                                                               IF(G433="United States of America","USA","USA"))</f>
        <v>USA</v>
      </c>
      <c r="L433" s="4" t="str">
        <f t="shared" si="32"/>
        <v>CUST1431</v>
      </c>
      <c r="M433" s="4" t="str">
        <f t="shared" si="33"/>
        <v>Platinum</v>
      </c>
      <c r="N433" s="4" t="str">
        <f t="shared" si="34"/>
        <v>Ok</v>
      </c>
    </row>
    <row r="434" spans="1:14" ht="15.75" customHeight="1">
      <c r="A434" s="3" t="s">
        <v>1369</v>
      </c>
      <c r="B434" s="4" t="s">
        <v>1370</v>
      </c>
      <c r="C434" s="4">
        <v>37</v>
      </c>
      <c r="D434" s="4" t="s">
        <v>25</v>
      </c>
      <c r="E434" s="4" t="s">
        <v>1371</v>
      </c>
      <c r="F434" s="4" t="s">
        <v>108</v>
      </c>
      <c r="G434" s="4" t="s">
        <v>28</v>
      </c>
      <c r="H434" s="4" t="s">
        <v>44</v>
      </c>
      <c r="I434" s="4" t="str">
        <f t="shared" si="30"/>
        <v>Summer Weiss</v>
      </c>
      <c r="J434" s="4" t="str">
        <f t="shared" si="31"/>
        <v>Phyllisport</v>
      </c>
      <c r="K434" s="4" t="str">
        <f>IF(OR(G434="USA",G434="usa"),"USA",K437
                                                                                                                                                                                                                                                               IF(G434="United States of America","USA","USA"))</f>
        <v>USA</v>
      </c>
      <c r="L434" s="4" t="str">
        <f t="shared" si="32"/>
        <v>CUST1432</v>
      </c>
      <c r="M434" s="4" t="str">
        <f t="shared" si="33"/>
        <v>Bronze</v>
      </c>
      <c r="N434" s="4" t="str">
        <f t="shared" si="34"/>
        <v>Ok</v>
      </c>
    </row>
    <row r="435" spans="1:14" ht="15.75" customHeight="1">
      <c r="A435" s="3" t="s">
        <v>1372</v>
      </c>
      <c r="B435" s="4" t="s">
        <v>1373</v>
      </c>
      <c r="C435" s="4">
        <v>51</v>
      </c>
      <c r="D435" s="4" t="s">
        <v>31</v>
      </c>
      <c r="E435" s="4" t="s">
        <v>1374</v>
      </c>
      <c r="F435" s="4" t="s">
        <v>78</v>
      </c>
      <c r="G435" s="4" t="s">
        <v>28</v>
      </c>
      <c r="H435" s="4" t="s">
        <v>50</v>
      </c>
      <c r="I435" s="4" t="str">
        <f t="shared" si="30"/>
        <v>Thomas Moore</v>
      </c>
      <c r="J435" s="4" t="str">
        <f t="shared" si="31"/>
        <v>Williamsberg</v>
      </c>
      <c r="K435" s="4" t="str">
        <f>IF(OR(G435="USA",G435="usa"),"USA",K438
                                                                                                                                                                                                                                                               IF(G435="United States of America","USA","USA"))</f>
        <v>USA</v>
      </c>
      <c r="L435" s="4" t="str">
        <f t="shared" si="32"/>
        <v>CUST1433</v>
      </c>
      <c r="M435" s="4" t="str">
        <f t="shared" si="33"/>
        <v>Silver</v>
      </c>
      <c r="N435" s="4" t="str">
        <f t="shared" si="34"/>
        <v>Ok</v>
      </c>
    </row>
    <row r="436" spans="1:14" ht="15.75" customHeight="1">
      <c r="A436" s="3" t="s">
        <v>1375</v>
      </c>
      <c r="B436" s="4" t="s">
        <v>1376</v>
      </c>
      <c r="C436" s="4">
        <v>48</v>
      </c>
      <c r="D436" s="4" t="s">
        <v>31</v>
      </c>
      <c r="E436" s="4" t="s">
        <v>1377</v>
      </c>
      <c r="F436" s="4" t="s">
        <v>275</v>
      </c>
      <c r="G436" s="4" t="s">
        <v>28</v>
      </c>
      <c r="H436" s="4" t="s">
        <v>67</v>
      </c>
      <c r="I436" s="4" t="str">
        <f t="shared" si="30"/>
        <v>Monique Castro</v>
      </c>
      <c r="J436" s="4" t="str">
        <f t="shared" si="31"/>
        <v>New Sarah</v>
      </c>
      <c r="K436" s="4" t="str">
        <f>IF(OR(G436="USA",G436="usa"),"USA",K439
                                                                                                                                                                                                                                                               IF(G436="United States of America","USA","USA"))</f>
        <v>USA</v>
      </c>
      <c r="L436" s="4" t="str">
        <f t="shared" si="32"/>
        <v>CUST1434</v>
      </c>
      <c r="M436" s="4" t="str">
        <f t="shared" si="33"/>
        <v>Gold</v>
      </c>
      <c r="N436" s="4" t="str">
        <f t="shared" si="34"/>
        <v>Ok</v>
      </c>
    </row>
    <row r="437" spans="1:14" ht="15.75" customHeight="1">
      <c r="A437" s="3" t="s">
        <v>1378</v>
      </c>
      <c r="B437" s="4" t="s">
        <v>1379</v>
      </c>
      <c r="C437" s="4">
        <v>37</v>
      </c>
      <c r="D437" s="4" t="s">
        <v>31</v>
      </c>
      <c r="E437" s="4" t="s">
        <v>1380</v>
      </c>
      <c r="F437" s="4" t="s">
        <v>127</v>
      </c>
      <c r="G437" s="4" t="s">
        <v>28</v>
      </c>
      <c r="H437" s="4" t="s">
        <v>50</v>
      </c>
      <c r="I437" s="4" t="str">
        <f t="shared" si="30"/>
        <v>Lindsay Beasley</v>
      </c>
      <c r="J437" s="4" t="str">
        <f t="shared" si="31"/>
        <v>Wesleyhaven</v>
      </c>
      <c r="K437" s="4" t="str">
        <f>IF(OR(G437="USA",G437="usa"),"USA",K440
                                                                                                                                                                                                                                                               IF(G437="United States of America","USA","USA"))</f>
        <v>USA</v>
      </c>
      <c r="L437" s="4" t="str">
        <f t="shared" si="32"/>
        <v>CUST1435</v>
      </c>
      <c r="M437" s="4" t="str">
        <f t="shared" si="33"/>
        <v>Silver</v>
      </c>
      <c r="N437" s="4" t="str">
        <f t="shared" si="34"/>
        <v>Ok</v>
      </c>
    </row>
    <row r="438" spans="1:14" ht="15.75" customHeight="1">
      <c r="A438" s="3" t="s">
        <v>1381</v>
      </c>
      <c r="B438" s="4" t="s">
        <v>1382</v>
      </c>
      <c r="C438" s="4">
        <v>61</v>
      </c>
      <c r="D438" s="4" t="s">
        <v>25</v>
      </c>
      <c r="E438" s="4" t="s">
        <v>1383</v>
      </c>
      <c r="F438" s="4" t="s">
        <v>58</v>
      </c>
      <c r="G438" s="4" t="s">
        <v>28</v>
      </c>
      <c r="H438" s="4" t="s">
        <v>67</v>
      </c>
      <c r="I438" s="4" t="str">
        <f t="shared" si="30"/>
        <v>Sharon Simpson</v>
      </c>
      <c r="J438" s="4" t="str">
        <f t="shared" si="31"/>
        <v>South Michellebury</v>
      </c>
      <c r="K438" s="4" t="str">
        <f>IF(OR(G438="USA",G438="usa"),"USA",K441
                                                                                                                                                                                                                                                               IF(G438="United States of America","USA","USA"))</f>
        <v>USA</v>
      </c>
      <c r="L438" s="4" t="str">
        <f t="shared" si="32"/>
        <v>CUST1436</v>
      </c>
      <c r="M438" s="4" t="str">
        <f t="shared" si="33"/>
        <v>Gold</v>
      </c>
      <c r="N438" s="4" t="str">
        <f t="shared" si="34"/>
        <v>Ok</v>
      </c>
    </row>
    <row r="439" spans="1:14" ht="15.75" customHeight="1">
      <c r="A439" s="3" t="s">
        <v>1384</v>
      </c>
      <c r="B439" s="4" t="s">
        <v>1385</v>
      </c>
      <c r="C439" s="4">
        <v>47</v>
      </c>
      <c r="D439" s="4" t="s">
        <v>31</v>
      </c>
      <c r="E439" s="4" t="s">
        <v>622</v>
      </c>
      <c r="F439" s="4" t="s">
        <v>66</v>
      </c>
      <c r="G439" s="4" t="s">
        <v>28</v>
      </c>
      <c r="H439" s="4" t="s">
        <v>34</v>
      </c>
      <c r="I439" s="4" t="str">
        <f t="shared" si="30"/>
        <v>Melinda Rivera</v>
      </c>
      <c r="J439" s="4" t="str">
        <f t="shared" si="31"/>
        <v>East Davidmouth</v>
      </c>
      <c r="K439" s="4" t="str">
        <f>IF(OR(G439="USA",G439="usa"),"USA",K442
                                                                                                                                                                                                                                                               IF(G439="United States of America","USA","USA"))</f>
        <v>USA</v>
      </c>
      <c r="L439" s="4" t="str">
        <f t="shared" si="32"/>
        <v>CUST1437</v>
      </c>
      <c r="M439" s="4" t="str">
        <f t="shared" si="33"/>
        <v>Platinum</v>
      </c>
      <c r="N439" s="4" t="str">
        <f t="shared" si="34"/>
        <v>Ok</v>
      </c>
    </row>
    <row r="440" spans="1:14" ht="15.75" customHeight="1">
      <c r="A440" s="3" t="s">
        <v>1386</v>
      </c>
      <c r="B440" s="4" t="s">
        <v>1387</v>
      </c>
      <c r="C440" s="4">
        <v>59</v>
      </c>
      <c r="D440" s="4" t="s">
        <v>31</v>
      </c>
      <c r="E440" s="4" t="s">
        <v>1388</v>
      </c>
      <c r="F440" s="4" t="s">
        <v>258</v>
      </c>
      <c r="G440" s="4" t="s">
        <v>28</v>
      </c>
      <c r="H440" s="4" t="s">
        <v>34</v>
      </c>
      <c r="I440" s="4" t="str">
        <f t="shared" si="30"/>
        <v>Monica Flynn</v>
      </c>
      <c r="J440" s="4" t="str">
        <f t="shared" si="31"/>
        <v>Amberburgh</v>
      </c>
      <c r="K440" s="4" t="str">
        <f>IF(OR(G440="USA",G440="usa"),"USA",K443
                                                                                                                                                                                                                                                               IF(G440="United States of America","USA","USA"))</f>
        <v>USA</v>
      </c>
      <c r="L440" s="4" t="str">
        <f t="shared" si="32"/>
        <v>CUST1438</v>
      </c>
      <c r="M440" s="4" t="str">
        <f t="shared" si="33"/>
        <v>Platinum</v>
      </c>
      <c r="N440" s="4" t="str">
        <f t="shared" si="34"/>
        <v>Ok</v>
      </c>
    </row>
    <row r="441" spans="1:14" ht="15.75" customHeight="1">
      <c r="A441" s="3" t="s">
        <v>1389</v>
      </c>
      <c r="B441" s="4" t="s">
        <v>1390</v>
      </c>
      <c r="C441" s="4">
        <v>53</v>
      </c>
      <c r="D441" s="4" t="s">
        <v>25</v>
      </c>
      <c r="E441" s="4" t="s">
        <v>959</v>
      </c>
      <c r="F441" s="4" t="s">
        <v>177</v>
      </c>
      <c r="G441" s="4" t="s">
        <v>28</v>
      </c>
      <c r="H441" s="4" t="s">
        <v>50</v>
      </c>
      <c r="I441" s="4" t="str">
        <f t="shared" si="30"/>
        <v>John Compton</v>
      </c>
      <c r="J441" s="4" t="str">
        <f t="shared" si="31"/>
        <v>North Daniel</v>
      </c>
      <c r="K441" s="4" t="str">
        <f>IF(OR(G441="USA",G441="usa"),"USA",K444
                                                                                                                                                                                                                                                               IF(G441="United States of America","USA","USA"))</f>
        <v>USA</v>
      </c>
      <c r="L441" s="4" t="str">
        <f t="shared" si="32"/>
        <v>CUST1439</v>
      </c>
      <c r="M441" s="4" t="str">
        <f t="shared" si="33"/>
        <v>Silver</v>
      </c>
      <c r="N441" s="4" t="str">
        <f t="shared" si="34"/>
        <v>Ok</v>
      </c>
    </row>
    <row r="442" spans="1:14" ht="15.75" customHeight="1">
      <c r="A442" s="3" t="s">
        <v>1391</v>
      </c>
      <c r="B442" s="4" t="s">
        <v>1392</v>
      </c>
      <c r="C442" s="4">
        <v>60</v>
      </c>
      <c r="D442" s="4" t="s">
        <v>25</v>
      </c>
      <c r="E442" s="4" t="s">
        <v>1393</v>
      </c>
      <c r="F442" s="4" t="s">
        <v>33</v>
      </c>
      <c r="G442" s="4" t="s">
        <v>28</v>
      </c>
      <c r="H442" s="4" t="s">
        <v>50</v>
      </c>
      <c r="I442" s="4" t="str">
        <f t="shared" si="30"/>
        <v>Tammy Trevino</v>
      </c>
      <c r="J442" s="4" t="str">
        <f t="shared" si="31"/>
        <v>Justinberg</v>
      </c>
      <c r="K442" s="4" t="str">
        <f>IF(OR(G442="USA",G442="usa"),"USA",K445
                                                                                                                                                                                                                                                               IF(G442="United States of America","USA","USA"))</f>
        <v>USA</v>
      </c>
      <c r="L442" s="4" t="str">
        <f t="shared" si="32"/>
        <v>CUST1440</v>
      </c>
      <c r="M442" s="4" t="str">
        <f t="shared" si="33"/>
        <v>Silver</v>
      </c>
      <c r="N442" s="4" t="str">
        <f t="shared" si="34"/>
        <v>Ok</v>
      </c>
    </row>
    <row r="443" spans="1:14" ht="15.75" customHeight="1">
      <c r="A443" s="3" t="s">
        <v>1394</v>
      </c>
      <c r="B443" s="4" t="s">
        <v>1395</v>
      </c>
      <c r="C443" s="4">
        <v>31</v>
      </c>
      <c r="D443" s="4" t="s">
        <v>25</v>
      </c>
      <c r="E443" s="4" t="s">
        <v>1396</v>
      </c>
      <c r="F443" s="4" t="s">
        <v>345</v>
      </c>
      <c r="G443" s="4" t="s">
        <v>28</v>
      </c>
      <c r="H443" s="4" t="s">
        <v>50</v>
      </c>
      <c r="I443" s="4" t="str">
        <f t="shared" si="30"/>
        <v>Dalton Walters</v>
      </c>
      <c r="J443" s="4" t="str">
        <f t="shared" si="31"/>
        <v>Jonesstad</v>
      </c>
      <c r="K443" s="4" t="str">
        <f>IF(OR(G443="USA",G443="usa"),"USA",K446
                                                                                                                                                                                                                                                               IF(G443="United States of America","USA","USA"))</f>
        <v>USA</v>
      </c>
      <c r="L443" s="4" t="str">
        <f t="shared" si="32"/>
        <v>CUST1441</v>
      </c>
      <c r="M443" s="4" t="str">
        <f t="shared" si="33"/>
        <v>Silver</v>
      </c>
      <c r="N443" s="4" t="str">
        <f t="shared" si="34"/>
        <v>Ok</v>
      </c>
    </row>
    <row r="444" spans="1:14" ht="15.75" customHeight="1">
      <c r="A444" s="3" t="s">
        <v>1397</v>
      </c>
      <c r="B444" s="4" t="s">
        <v>1398</v>
      </c>
      <c r="C444" s="4">
        <v>42</v>
      </c>
      <c r="D444" s="4" t="s">
        <v>31</v>
      </c>
      <c r="E444" s="4" t="s">
        <v>1399</v>
      </c>
      <c r="F444" s="4" t="s">
        <v>54</v>
      </c>
      <c r="G444" s="4" t="s">
        <v>28</v>
      </c>
      <c r="H444" s="4" t="s">
        <v>44</v>
      </c>
      <c r="I444" s="4" t="str">
        <f t="shared" si="30"/>
        <v>Kelli Smith</v>
      </c>
      <c r="J444" s="4" t="str">
        <f t="shared" si="31"/>
        <v>North Maryfort</v>
      </c>
      <c r="K444" s="4" t="str">
        <f>IF(OR(G444="USA",G444="usa"),"USA",K447
                                                                                                                                                                                                                                                               IF(G444="United States of America","USA","USA"))</f>
        <v>USA</v>
      </c>
      <c r="L444" s="4" t="str">
        <f t="shared" si="32"/>
        <v>CUST1442</v>
      </c>
      <c r="M444" s="4" t="str">
        <f t="shared" si="33"/>
        <v>Bronze</v>
      </c>
      <c r="N444" s="4" t="str">
        <f t="shared" si="34"/>
        <v>Ok</v>
      </c>
    </row>
    <row r="445" spans="1:14" ht="15.75" customHeight="1">
      <c r="A445" s="3" t="s">
        <v>1400</v>
      </c>
      <c r="B445" s="4" t="s">
        <v>1401</v>
      </c>
      <c r="C445" s="4">
        <v>51</v>
      </c>
      <c r="D445" s="4" t="s">
        <v>25</v>
      </c>
      <c r="E445" s="4" t="s">
        <v>1402</v>
      </c>
      <c r="F445" s="4" t="s">
        <v>380</v>
      </c>
      <c r="G445" s="4" t="s">
        <v>28</v>
      </c>
      <c r="H445" s="4" t="s">
        <v>50</v>
      </c>
      <c r="I445" s="4" t="str">
        <f t="shared" si="30"/>
        <v>Adam Castro</v>
      </c>
      <c r="J445" s="4" t="str">
        <f t="shared" si="31"/>
        <v>New Donnabury</v>
      </c>
      <c r="K445" s="4" t="str">
        <f>IF(OR(G445="USA",G445="usa"),"USA",K448
                                                                                                                                                                                                                                                               IF(G445="United States of America","USA","USA"))</f>
        <v>USA</v>
      </c>
      <c r="L445" s="4" t="str">
        <f t="shared" si="32"/>
        <v>CUST1443</v>
      </c>
      <c r="M445" s="4" t="str">
        <f t="shared" si="33"/>
        <v>Silver</v>
      </c>
      <c r="N445" s="4" t="str">
        <f t="shared" si="34"/>
        <v>Ok</v>
      </c>
    </row>
    <row r="446" spans="1:14" ht="15.75" customHeight="1">
      <c r="A446" s="3" t="s">
        <v>1403</v>
      </c>
      <c r="B446" s="4" t="s">
        <v>1404</v>
      </c>
      <c r="C446" s="4">
        <v>19</v>
      </c>
      <c r="D446" s="4" t="s">
        <v>25</v>
      </c>
      <c r="E446" s="4" t="s">
        <v>1405</v>
      </c>
      <c r="F446" s="4" t="s">
        <v>873</v>
      </c>
      <c r="G446" s="4" t="s">
        <v>28</v>
      </c>
      <c r="H446" s="4" t="s">
        <v>67</v>
      </c>
      <c r="I446" s="4" t="str">
        <f t="shared" si="30"/>
        <v>Cheryl Carr</v>
      </c>
      <c r="J446" s="4" t="str">
        <f t="shared" si="31"/>
        <v>Jessicaland</v>
      </c>
      <c r="K446" s="4" t="str">
        <f>IF(OR(G446="USA",G446="usa"),"USA",K449
                                                                                                                                                                                                                                                               IF(G446="United States of America","USA","USA"))</f>
        <v>USA</v>
      </c>
      <c r="L446" s="4" t="str">
        <f t="shared" si="32"/>
        <v>CUST1444</v>
      </c>
      <c r="M446" s="4" t="str">
        <f t="shared" si="33"/>
        <v>Gold</v>
      </c>
      <c r="N446" s="4" t="str">
        <f t="shared" si="34"/>
        <v>Ok</v>
      </c>
    </row>
    <row r="447" spans="1:14" ht="15.75" customHeight="1">
      <c r="A447" s="3" t="s">
        <v>1406</v>
      </c>
      <c r="B447" s="4" t="s">
        <v>1407</v>
      </c>
      <c r="C447" s="4">
        <v>41</v>
      </c>
      <c r="D447" s="4" t="s">
        <v>31</v>
      </c>
      <c r="E447" s="4" t="s">
        <v>1408</v>
      </c>
      <c r="F447" s="4" t="s">
        <v>308</v>
      </c>
      <c r="G447" s="4" t="s">
        <v>28</v>
      </c>
      <c r="H447" s="4" t="s">
        <v>34</v>
      </c>
      <c r="I447" s="4" t="str">
        <f t="shared" si="30"/>
        <v>Gene Lee</v>
      </c>
      <c r="J447" s="4" t="str">
        <f t="shared" si="31"/>
        <v>Mcfarlandmouth</v>
      </c>
      <c r="K447" s="4" t="str">
        <f>IF(OR(G447="USA",G447="usa"),"USA",K450
                                                                                                                                                                                                                                                               IF(G447="United States of America","USA","USA"))</f>
        <v>USA</v>
      </c>
      <c r="L447" s="4" t="str">
        <f t="shared" si="32"/>
        <v>CUST1445</v>
      </c>
      <c r="M447" s="4" t="str">
        <f t="shared" si="33"/>
        <v>Platinum</v>
      </c>
      <c r="N447" s="4" t="str">
        <f t="shared" si="34"/>
        <v>Ok</v>
      </c>
    </row>
    <row r="448" spans="1:14" ht="15.75" customHeight="1">
      <c r="A448" s="3" t="s">
        <v>1409</v>
      </c>
      <c r="B448" s="4" t="s">
        <v>1410</v>
      </c>
      <c r="C448" s="4">
        <v>35</v>
      </c>
      <c r="D448" s="4" t="s">
        <v>25</v>
      </c>
      <c r="E448" s="4" t="s">
        <v>1411</v>
      </c>
      <c r="F448" s="4" t="s">
        <v>116</v>
      </c>
      <c r="G448" s="4" t="s">
        <v>28</v>
      </c>
      <c r="H448" s="4" t="s">
        <v>50</v>
      </c>
      <c r="I448" s="4" t="str">
        <f t="shared" si="30"/>
        <v>Shannon Turner</v>
      </c>
      <c r="J448" s="4" t="str">
        <f t="shared" si="31"/>
        <v>West Jorge</v>
      </c>
      <c r="K448" s="4" t="str">
        <f>IF(OR(G448="USA",G448="usa"),"USA",K451
                                                                                                                                                                                                                                                               IF(G448="United States of America","USA","USA"))</f>
        <v>USA</v>
      </c>
      <c r="L448" s="4" t="str">
        <f t="shared" si="32"/>
        <v>CUST1446</v>
      </c>
      <c r="M448" s="4" t="str">
        <f t="shared" si="33"/>
        <v>Silver</v>
      </c>
      <c r="N448" s="4" t="str">
        <f t="shared" si="34"/>
        <v>Ok</v>
      </c>
    </row>
    <row r="449" spans="1:14" ht="15.75" customHeight="1">
      <c r="A449" s="3" t="s">
        <v>1412</v>
      </c>
      <c r="B449" s="4" t="s">
        <v>1413</v>
      </c>
      <c r="C449" s="4">
        <v>45</v>
      </c>
      <c r="D449" s="4" t="s">
        <v>25</v>
      </c>
      <c r="E449" s="4" t="s">
        <v>1414</v>
      </c>
      <c r="F449" s="4" t="s">
        <v>27</v>
      </c>
      <c r="G449" s="4" t="s">
        <v>28</v>
      </c>
      <c r="H449" s="4" t="s">
        <v>67</v>
      </c>
      <c r="I449" s="4" t="str">
        <f t="shared" si="30"/>
        <v>Monica Wright</v>
      </c>
      <c r="J449" s="4" t="str">
        <f t="shared" si="31"/>
        <v>Paulside</v>
      </c>
      <c r="K449" s="4" t="str">
        <f>IF(OR(G449="USA",G449="usa"),"USA",K452
                                                                                                                                                                                                                                                               IF(G449="United States of America","USA","USA"))</f>
        <v>USA</v>
      </c>
      <c r="L449" s="4" t="str">
        <f t="shared" si="32"/>
        <v>CUST1447</v>
      </c>
      <c r="M449" s="4" t="str">
        <f t="shared" si="33"/>
        <v>Gold</v>
      </c>
      <c r="N449" s="4" t="str">
        <f t="shared" si="34"/>
        <v>Ok</v>
      </c>
    </row>
    <row r="450" spans="1:14" ht="15.75" customHeight="1">
      <c r="A450" s="3" t="s">
        <v>1415</v>
      </c>
      <c r="B450" s="4" t="s">
        <v>1416</v>
      </c>
      <c r="C450" s="4">
        <v>64</v>
      </c>
      <c r="D450" s="4" t="s">
        <v>31</v>
      </c>
      <c r="E450" s="4" t="s">
        <v>1417</v>
      </c>
      <c r="F450" s="4" t="s">
        <v>873</v>
      </c>
      <c r="G450" s="4" t="s">
        <v>28</v>
      </c>
      <c r="H450" s="4" t="s">
        <v>44</v>
      </c>
      <c r="I450" s="4" t="str">
        <f t="shared" ref="I450:I501" si="35">PROPER(TRIM(B450))</f>
        <v>Eric Holmes</v>
      </c>
      <c r="J450" s="4" t="str">
        <f t="shared" ref="J450:J501" si="36">PROPER(TRIM(E450))</f>
        <v>Smithville</v>
      </c>
      <c r="K450" s="4" t="str">
        <f>IF(OR(G450="USA",G450="usa"),"USA",K453
                                                                                                                                                                                                                                                               IF(G450="United States of America","USA","USA"))</f>
        <v>USA</v>
      </c>
      <c r="L450" s="4" t="str">
        <f t="shared" ref="L450:L501" si="37">IF(LEFT(A450,1)="C","CUST"&amp;RIGHT(A450,4),A450)</f>
        <v>CUST1448</v>
      </c>
      <c r="M450" s="4" t="str">
        <f t="shared" ref="M450:M501" si="38">IF(H450="","Standard",H450)</f>
        <v>Bronze</v>
      </c>
      <c r="N450" s="4" t="str">
        <f t="shared" ref="N450:N501" si="39">IF(OR(C450&lt;18,C450&gt;70),"Check Age","Ok")</f>
        <v>Ok</v>
      </c>
    </row>
    <row r="451" spans="1:14" ht="15.75" customHeight="1">
      <c r="A451" s="3" t="s">
        <v>1418</v>
      </c>
      <c r="B451" s="4" t="s">
        <v>1419</v>
      </c>
      <c r="C451" s="4">
        <v>29</v>
      </c>
      <c r="D451" s="4" t="s">
        <v>25</v>
      </c>
      <c r="E451" s="4" t="s">
        <v>1420</v>
      </c>
      <c r="F451" s="4" t="s">
        <v>43</v>
      </c>
      <c r="G451" s="4" t="s">
        <v>28</v>
      </c>
      <c r="H451" s="4" t="s">
        <v>44</v>
      </c>
      <c r="I451" s="4" t="str">
        <f t="shared" si="35"/>
        <v>William Cortez</v>
      </c>
      <c r="J451" s="4" t="str">
        <f t="shared" si="36"/>
        <v>Port Hannahport</v>
      </c>
      <c r="K451" s="4" t="str">
        <f>IF(OR(G451="USA",G451="usa"),"USA",K454
                                                                                                                                                                                                                                                               IF(G451="United States of America","USA","USA"))</f>
        <v>USA</v>
      </c>
      <c r="L451" s="4" t="str">
        <f t="shared" si="37"/>
        <v>CUST1449</v>
      </c>
      <c r="M451" s="4" t="str">
        <f t="shared" si="38"/>
        <v>Bronze</v>
      </c>
      <c r="N451" s="4" t="str">
        <f t="shared" si="39"/>
        <v>Ok</v>
      </c>
    </row>
    <row r="452" spans="1:14" ht="15.75" customHeight="1">
      <c r="A452" s="3" t="s">
        <v>1421</v>
      </c>
      <c r="B452" s="4" t="s">
        <v>1422</v>
      </c>
      <c r="C452" s="4">
        <v>59</v>
      </c>
      <c r="D452" s="4" t="s">
        <v>25</v>
      </c>
      <c r="E452" s="4" t="s">
        <v>1423</v>
      </c>
      <c r="F452" s="4" t="s">
        <v>90</v>
      </c>
      <c r="G452" s="4" t="s">
        <v>28</v>
      </c>
      <c r="H452" s="4" t="s">
        <v>44</v>
      </c>
      <c r="I452" s="4" t="str">
        <f t="shared" si="35"/>
        <v>Shane Mills</v>
      </c>
      <c r="J452" s="4" t="str">
        <f t="shared" si="36"/>
        <v>Lake Meganstad</v>
      </c>
      <c r="K452" s="4" t="str">
        <f>IF(OR(G452="USA",G452="usa"),"USA",K455
                                                                                                                                                                                                                                                               IF(G452="United States of America","USA","USA"))</f>
        <v>USA</v>
      </c>
      <c r="L452" s="4" t="str">
        <f t="shared" si="37"/>
        <v>CUST1450</v>
      </c>
      <c r="M452" s="4" t="str">
        <f t="shared" si="38"/>
        <v>Bronze</v>
      </c>
      <c r="N452" s="4" t="str">
        <f t="shared" si="39"/>
        <v>Ok</v>
      </c>
    </row>
    <row r="453" spans="1:14" ht="15.75" customHeight="1">
      <c r="A453" s="3" t="s">
        <v>1424</v>
      </c>
      <c r="B453" s="4" t="s">
        <v>1425</v>
      </c>
      <c r="C453" s="4">
        <v>46</v>
      </c>
      <c r="D453" s="4" t="s">
        <v>25</v>
      </c>
      <c r="E453" s="4" t="s">
        <v>588</v>
      </c>
      <c r="F453" s="4" t="s">
        <v>254</v>
      </c>
      <c r="G453" s="4" t="s">
        <v>28</v>
      </c>
      <c r="H453" s="4" t="s">
        <v>67</v>
      </c>
      <c r="I453" s="4" t="str">
        <f t="shared" si="35"/>
        <v>Ashley Roberts</v>
      </c>
      <c r="J453" s="4" t="str">
        <f t="shared" si="36"/>
        <v>Josephmouth</v>
      </c>
      <c r="K453" s="4" t="str">
        <f>IF(OR(G453="USA",G453="usa"),"USA",K456
                                                                                                                                                                                                                                                               IF(G453="United States of America","USA","USA"))</f>
        <v>USA</v>
      </c>
      <c r="L453" s="4" t="str">
        <f t="shared" si="37"/>
        <v>CUST1451</v>
      </c>
      <c r="M453" s="4" t="str">
        <f t="shared" si="38"/>
        <v>Gold</v>
      </c>
      <c r="N453" s="4" t="str">
        <f t="shared" si="39"/>
        <v>Ok</v>
      </c>
    </row>
    <row r="454" spans="1:14" ht="15.75" customHeight="1">
      <c r="A454" s="3" t="s">
        <v>1426</v>
      </c>
      <c r="B454" s="4" t="s">
        <v>1427</v>
      </c>
      <c r="C454" s="4">
        <v>60</v>
      </c>
      <c r="D454" s="4" t="s">
        <v>31</v>
      </c>
      <c r="E454" s="4" t="s">
        <v>1428</v>
      </c>
      <c r="F454" s="4" t="s">
        <v>334</v>
      </c>
      <c r="G454" s="4" t="s">
        <v>28</v>
      </c>
      <c r="H454" s="4" t="s">
        <v>44</v>
      </c>
      <c r="I454" s="4" t="str">
        <f t="shared" si="35"/>
        <v>Jeffery Wolf</v>
      </c>
      <c r="J454" s="4" t="str">
        <f t="shared" si="36"/>
        <v>New Laura</v>
      </c>
      <c r="K454" s="4" t="str">
        <f>IF(OR(G454="USA",G454="usa"),"USA",K457
                                                                                                                                                                                                                                                               IF(G454="United States of America","USA","USA"))</f>
        <v>USA</v>
      </c>
      <c r="L454" s="4" t="str">
        <f t="shared" si="37"/>
        <v>CUST1452</v>
      </c>
      <c r="M454" s="4" t="str">
        <f t="shared" si="38"/>
        <v>Bronze</v>
      </c>
      <c r="N454" s="4" t="str">
        <f t="shared" si="39"/>
        <v>Ok</v>
      </c>
    </row>
    <row r="455" spans="1:14" ht="15.75" customHeight="1">
      <c r="A455" s="3" t="s">
        <v>1429</v>
      </c>
      <c r="B455" s="4" t="s">
        <v>1430</v>
      </c>
      <c r="C455" s="4">
        <v>62</v>
      </c>
      <c r="D455" s="4" t="s">
        <v>31</v>
      </c>
      <c r="E455" s="4" t="s">
        <v>1431</v>
      </c>
      <c r="F455" s="4" t="s">
        <v>120</v>
      </c>
      <c r="G455" s="4" t="s">
        <v>28</v>
      </c>
      <c r="H455" s="4" t="s">
        <v>34</v>
      </c>
      <c r="I455" s="4" t="str">
        <f t="shared" si="35"/>
        <v>April Phillips</v>
      </c>
      <c r="J455" s="4" t="str">
        <f t="shared" si="36"/>
        <v>Lake Carolyn</v>
      </c>
      <c r="K455" s="4" t="str">
        <f>IF(OR(G455="USA",G455="usa"),"USA",K458
                                                                                                                                                                                                                                                               IF(G455="United States of America","USA","USA"))</f>
        <v>USA</v>
      </c>
      <c r="L455" s="4" t="str">
        <f t="shared" si="37"/>
        <v>CUST1453</v>
      </c>
      <c r="M455" s="4" t="str">
        <f t="shared" si="38"/>
        <v>Platinum</v>
      </c>
      <c r="N455" s="4" t="str">
        <f t="shared" si="39"/>
        <v>Ok</v>
      </c>
    </row>
    <row r="456" spans="1:14" ht="15.75" customHeight="1">
      <c r="A456" s="3" t="s">
        <v>1432</v>
      </c>
      <c r="B456" s="4" t="s">
        <v>1433</v>
      </c>
      <c r="C456" s="4">
        <v>60</v>
      </c>
      <c r="D456" s="4" t="s">
        <v>25</v>
      </c>
      <c r="E456" s="4" t="s">
        <v>150</v>
      </c>
      <c r="F456" s="4" t="s">
        <v>116</v>
      </c>
      <c r="G456" s="4" t="s">
        <v>28</v>
      </c>
      <c r="H456" s="4" t="s">
        <v>67</v>
      </c>
      <c r="I456" s="4" t="str">
        <f t="shared" si="35"/>
        <v>John Berg</v>
      </c>
      <c r="J456" s="4" t="str">
        <f t="shared" si="36"/>
        <v>Johnsonville</v>
      </c>
      <c r="K456" s="4" t="str">
        <f>IF(OR(G456="USA",G456="usa"),"USA",K459
                                                                                                                                                                                                                                                               IF(G456="United States of America","USA","USA"))</f>
        <v>USA</v>
      </c>
      <c r="L456" s="4" t="str">
        <f t="shared" si="37"/>
        <v>CUST1454</v>
      </c>
      <c r="M456" s="4" t="str">
        <f t="shared" si="38"/>
        <v>Gold</v>
      </c>
      <c r="N456" s="4" t="str">
        <f t="shared" si="39"/>
        <v>Ok</v>
      </c>
    </row>
    <row r="457" spans="1:14" ht="15.75" customHeight="1">
      <c r="A457" s="3" t="s">
        <v>1434</v>
      </c>
      <c r="B457" s="4" t="s">
        <v>1435</v>
      </c>
      <c r="C457" s="4">
        <v>54</v>
      </c>
      <c r="D457" s="4" t="s">
        <v>25</v>
      </c>
      <c r="E457" s="4" t="s">
        <v>1436</v>
      </c>
      <c r="F457" s="4" t="s">
        <v>215</v>
      </c>
      <c r="G457" s="4" t="s">
        <v>28</v>
      </c>
      <c r="H457" s="4" t="s">
        <v>67</v>
      </c>
      <c r="I457" s="4" t="str">
        <f t="shared" si="35"/>
        <v>Tyler Weber</v>
      </c>
      <c r="J457" s="4" t="str">
        <f t="shared" si="36"/>
        <v>East Yvette</v>
      </c>
      <c r="K457" s="4" t="str">
        <f>IF(OR(G457="USA",G457="usa"),"USA",K460
                                                                                                                                                                                                                                                               IF(G457="United States of America","USA","USA"))</f>
        <v>USA</v>
      </c>
      <c r="L457" s="4" t="str">
        <f t="shared" si="37"/>
        <v>CUST1455</v>
      </c>
      <c r="M457" s="4" t="str">
        <f t="shared" si="38"/>
        <v>Gold</v>
      </c>
      <c r="N457" s="4" t="str">
        <f t="shared" si="39"/>
        <v>Ok</v>
      </c>
    </row>
    <row r="458" spans="1:14" ht="15.75" customHeight="1">
      <c r="A458" s="3" t="s">
        <v>1437</v>
      </c>
      <c r="B458" s="4" t="s">
        <v>1438</v>
      </c>
      <c r="C458" s="4">
        <v>59</v>
      </c>
      <c r="D458" s="4" t="s">
        <v>31</v>
      </c>
      <c r="E458" s="4" t="s">
        <v>1439</v>
      </c>
      <c r="F458" s="4" t="s">
        <v>312</v>
      </c>
      <c r="G458" s="4" t="s">
        <v>28</v>
      </c>
      <c r="H458" s="4" t="s">
        <v>67</v>
      </c>
      <c r="I458" s="4" t="str">
        <f t="shared" si="35"/>
        <v>Julie Powell</v>
      </c>
      <c r="J458" s="4" t="str">
        <f t="shared" si="36"/>
        <v>South Barbara</v>
      </c>
      <c r="K458" s="4" t="str">
        <f>IF(OR(G458="USA",G458="usa"),"USA",K461
                                                                                                                                                                                                                                                               IF(G458="United States of America","USA","USA"))</f>
        <v>USA</v>
      </c>
      <c r="L458" s="4" t="str">
        <f t="shared" si="37"/>
        <v>CUST1456</v>
      </c>
      <c r="M458" s="4" t="str">
        <f t="shared" si="38"/>
        <v>Gold</v>
      </c>
      <c r="N458" s="4" t="str">
        <f t="shared" si="39"/>
        <v>Ok</v>
      </c>
    </row>
    <row r="459" spans="1:14" ht="15.75" customHeight="1">
      <c r="A459" s="3" t="s">
        <v>1440</v>
      </c>
      <c r="B459" s="4" t="s">
        <v>1441</v>
      </c>
      <c r="C459" s="4">
        <v>59</v>
      </c>
      <c r="D459" s="4" t="s">
        <v>25</v>
      </c>
      <c r="E459" s="4" t="s">
        <v>1442</v>
      </c>
      <c r="F459" s="4" t="s">
        <v>613</v>
      </c>
      <c r="G459" s="4" t="s">
        <v>28</v>
      </c>
      <c r="H459" s="4" t="s">
        <v>34</v>
      </c>
      <c r="I459" s="4" t="str">
        <f t="shared" si="35"/>
        <v>Christina Robertson</v>
      </c>
      <c r="J459" s="4" t="str">
        <f t="shared" si="36"/>
        <v>Hubbardborough</v>
      </c>
      <c r="K459" s="4" t="str">
        <f>IF(OR(G459="USA",G459="usa"),"USA",K462
                                                                                                                                                                                                                                                               IF(G459="United States of America","USA","USA"))</f>
        <v>USA</v>
      </c>
      <c r="L459" s="4" t="str">
        <f t="shared" si="37"/>
        <v>CUST1457</v>
      </c>
      <c r="M459" s="4" t="str">
        <f t="shared" si="38"/>
        <v>Platinum</v>
      </c>
      <c r="N459" s="4" t="str">
        <f t="shared" si="39"/>
        <v>Ok</v>
      </c>
    </row>
    <row r="460" spans="1:14" ht="15.75" customHeight="1">
      <c r="A460" s="3" t="s">
        <v>1443</v>
      </c>
      <c r="B460" s="4" t="s">
        <v>1444</v>
      </c>
      <c r="C460" s="4">
        <v>62</v>
      </c>
      <c r="D460" s="4" t="s">
        <v>31</v>
      </c>
      <c r="E460" s="4" t="s">
        <v>1445</v>
      </c>
      <c r="F460" s="4" t="s">
        <v>71</v>
      </c>
      <c r="G460" s="4" t="s">
        <v>28</v>
      </c>
      <c r="H460" s="4" t="s">
        <v>50</v>
      </c>
      <c r="I460" s="4" t="str">
        <f t="shared" si="35"/>
        <v>Kelly Garrett</v>
      </c>
      <c r="J460" s="4" t="str">
        <f t="shared" si="36"/>
        <v>Port Taylorberg</v>
      </c>
      <c r="K460" s="4" t="str">
        <f>IF(OR(G460="USA",G460="usa"),"USA",K463
                                                                                                                                                                                                                                                               IF(G460="United States of America","USA","USA"))</f>
        <v>USA</v>
      </c>
      <c r="L460" s="4" t="str">
        <f t="shared" si="37"/>
        <v>CUST1458</v>
      </c>
      <c r="M460" s="4" t="str">
        <f t="shared" si="38"/>
        <v>Silver</v>
      </c>
      <c r="N460" s="4" t="str">
        <f t="shared" si="39"/>
        <v>Ok</v>
      </c>
    </row>
    <row r="461" spans="1:14" ht="15.75" customHeight="1">
      <c r="A461" s="3" t="s">
        <v>1446</v>
      </c>
      <c r="B461" s="4" t="s">
        <v>704</v>
      </c>
      <c r="C461" s="4">
        <v>29</v>
      </c>
      <c r="D461" s="4" t="s">
        <v>31</v>
      </c>
      <c r="E461" s="4" t="s">
        <v>1447</v>
      </c>
      <c r="F461" s="4" t="s">
        <v>338</v>
      </c>
      <c r="G461" s="4" t="s">
        <v>28</v>
      </c>
      <c r="H461" s="4" t="s">
        <v>67</v>
      </c>
      <c r="I461" s="4" t="str">
        <f t="shared" si="35"/>
        <v>John Perez</v>
      </c>
      <c r="J461" s="4" t="str">
        <f t="shared" si="36"/>
        <v>Brandontown</v>
      </c>
      <c r="K461" s="4" t="str">
        <f>IF(OR(G461="USA",G461="usa"),"USA",K464
                                                                                                                                                                                                                                                               IF(G461="United States of America","USA","USA"))</f>
        <v>USA</v>
      </c>
      <c r="L461" s="4" t="str">
        <f t="shared" si="37"/>
        <v>CUST1459</v>
      </c>
      <c r="M461" s="4" t="str">
        <f t="shared" si="38"/>
        <v>Gold</v>
      </c>
      <c r="N461" s="4" t="str">
        <f t="shared" si="39"/>
        <v>Ok</v>
      </c>
    </row>
    <row r="462" spans="1:14" ht="15.75" customHeight="1">
      <c r="A462" s="3" t="s">
        <v>1448</v>
      </c>
      <c r="B462" s="4" t="s">
        <v>1449</v>
      </c>
      <c r="C462" s="4">
        <v>35</v>
      </c>
      <c r="D462" s="4" t="s">
        <v>25</v>
      </c>
      <c r="E462" s="4" t="s">
        <v>1450</v>
      </c>
      <c r="F462" s="4" t="s">
        <v>288</v>
      </c>
      <c r="G462" s="4" t="s">
        <v>28</v>
      </c>
      <c r="H462" s="4" t="s">
        <v>67</v>
      </c>
      <c r="I462" s="4" t="str">
        <f t="shared" si="35"/>
        <v>Justin Johnson</v>
      </c>
      <c r="J462" s="4" t="str">
        <f t="shared" si="36"/>
        <v>Hughesview</v>
      </c>
      <c r="K462" s="4" t="str">
        <f>IF(OR(G462="USA",G462="usa"),"USA",K465
                                                                                                                                                                                                                                                               IF(G462="United States of America","USA","USA"))</f>
        <v>USA</v>
      </c>
      <c r="L462" s="4" t="str">
        <f t="shared" si="37"/>
        <v>CUST1460</v>
      </c>
      <c r="M462" s="4" t="str">
        <f t="shared" si="38"/>
        <v>Gold</v>
      </c>
      <c r="N462" s="4" t="str">
        <f t="shared" si="39"/>
        <v>Ok</v>
      </c>
    </row>
    <row r="463" spans="1:14" ht="15.75" customHeight="1">
      <c r="A463" s="3" t="s">
        <v>1451</v>
      </c>
      <c r="B463" s="4" t="s">
        <v>1452</v>
      </c>
      <c r="C463" s="4">
        <v>60</v>
      </c>
      <c r="D463" s="4" t="s">
        <v>31</v>
      </c>
      <c r="E463" s="4" t="s">
        <v>1453</v>
      </c>
      <c r="F463" s="4" t="s">
        <v>82</v>
      </c>
      <c r="G463" s="4" t="s">
        <v>28</v>
      </c>
      <c r="H463" s="4" t="s">
        <v>50</v>
      </c>
      <c r="I463" s="4" t="str">
        <f t="shared" si="35"/>
        <v>Paul Cox</v>
      </c>
      <c r="J463" s="4" t="str">
        <f t="shared" si="36"/>
        <v>East Julie</v>
      </c>
      <c r="K463" s="4" t="str">
        <f>IF(OR(G463="USA",G463="usa"),"USA",K466
                                                                                                                                                                                                                                                               IF(G463="United States of America","USA","USA"))</f>
        <v>USA</v>
      </c>
      <c r="L463" s="4" t="str">
        <f t="shared" si="37"/>
        <v>CUST1461</v>
      </c>
      <c r="M463" s="4" t="str">
        <f t="shared" si="38"/>
        <v>Silver</v>
      </c>
      <c r="N463" s="4" t="str">
        <f t="shared" si="39"/>
        <v>Ok</v>
      </c>
    </row>
    <row r="464" spans="1:14" ht="15.75" customHeight="1">
      <c r="A464" s="3" t="s">
        <v>1454</v>
      </c>
      <c r="B464" s="4" t="s">
        <v>1455</v>
      </c>
      <c r="C464" s="4">
        <v>34</v>
      </c>
      <c r="D464" s="4" t="s">
        <v>31</v>
      </c>
      <c r="E464" s="4" t="s">
        <v>1456</v>
      </c>
      <c r="F464" s="4" t="s">
        <v>62</v>
      </c>
      <c r="G464" s="4" t="s">
        <v>28</v>
      </c>
      <c r="H464" s="4" t="s">
        <v>50</v>
      </c>
      <c r="I464" s="4" t="str">
        <f t="shared" si="35"/>
        <v>Beth Martin</v>
      </c>
      <c r="J464" s="4" t="str">
        <f t="shared" si="36"/>
        <v>Burkefurt</v>
      </c>
      <c r="K464" s="4" t="str">
        <f>IF(OR(G464="USA",G464="usa"),"USA",K467
                                                                                                                                                                                                                                                               IF(G464="United States of America","USA","USA"))</f>
        <v>USA</v>
      </c>
      <c r="L464" s="4" t="str">
        <f t="shared" si="37"/>
        <v>CUST1462</v>
      </c>
      <c r="M464" s="4" t="str">
        <f t="shared" si="38"/>
        <v>Silver</v>
      </c>
      <c r="N464" s="4" t="str">
        <f t="shared" si="39"/>
        <v>Ok</v>
      </c>
    </row>
    <row r="465" spans="1:14" ht="15.75" customHeight="1">
      <c r="A465" s="3" t="s">
        <v>1457</v>
      </c>
      <c r="B465" s="4" t="s">
        <v>1458</v>
      </c>
      <c r="C465" s="4">
        <v>36</v>
      </c>
      <c r="D465" s="4" t="s">
        <v>31</v>
      </c>
      <c r="E465" s="4" t="s">
        <v>1459</v>
      </c>
      <c r="F465" s="4" t="s">
        <v>188</v>
      </c>
      <c r="G465" s="4" t="s">
        <v>28</v>
      </c>
      <c r="H465" s="4" t="s">
        <v>44</v>
      </c>
      <c r="I465" s="4" t="str">
        <f t="shared" si="35"/>
        <v>Samantha Lee</v>
      </c>
      <c r="J465" s="4" t="str">
        <f t="shared" si="36"/>
        <v>Port Anthony</v>
      </c>
      <c r="K465" s="4" t="str">
        <f>IF(OR(G465="USA",G465="usa"),"USA",K468
                                                                                                                                                                                                                                                               IF(G465="United States of America","USA","USA"))</f>
        <v>USA</v>
      </c>
      <c r="L465" s="4" t="str">
        <f t="shared" si="37"/>
        <v>CUST1463</v>
      </c>
      <c r="M465" s="4" t="str">
        <f t="shared" si="38"/>
        <v>Bronze</v>
      </c>
      <c r="N465" s="4" t="str">
        <f t="shared" si="39"/>
        <v>Ok</v>
      </c>
    </row>
    <row r="466" spans="1:14" ht="15.75" customHeight="1">
      <c r="A466" s="3" t="s">
        <v>1460</v>
      </c>
      <c r="B466" s="4" t="s">
        <v>1461</v>
      </c>
      <c r="C466" s="4">
        <v>45</v>
      </c>
      <c r="D466" s="4" t="s">
        <v>31</v>
      </c>
      <c r="E466" s="4" t="s">
        <v>1462</v>
      </c>
      <c r="F466" s="4" t="s">
        <v>94</v>
      </c>
      <c r="G466" s="4" t="s">
        <v>28</v>
      </c>
      <c r="H466" s="4" t="s">
        <v>34</v>
      </c>
      <c r="I466" s="4" t="str">
        <f t="shared" si="35"/>
        <v>David Pierce</v>
      </c>
      <c r="J466" s="4" t="str">
        <f t="shared" si="36"/>
        <v>Grayland</v>
      </c>
      <c r="K466" s="4" t="str">
        <f>IF(OR(G466="USA",G466="usa"),"USA",K469
                                                                                                                                                                                                                                                               IF(G466="United States of America","USA","USA"))</f>
        <v>USA</v>
      </c>
      <c r="L466" s="4" t="str">
        <f t="shared" si="37"/>
        <v>CUST1464</v>
      </c>
      <c r="M466" s="4" t="str">
        <f t="shared" si="38"/>
        <v>Platinum</v>
      </c>
      <c r="N466" s="4" t="str">
        <f t="shared" si="39"/>
        <v>Ok</v>
      </c>
    </row>
    <row r="467" spans="1:14" ht="15.75" customHeight="1">
      <c r="A467" s="3" t="s">
        <v>1463</v>
      </c>
      <c r="B467" s="4" t="s">
        <v>1464</v>
      </c>
      <c r="C467" s="4">
        <v>28</v>
      </c>
      <c r="D467" s="4" t="s">
        <v>31</v>
      </c>
      <c r="E467" s="4" t="s">
        <v>1465</v>
      </c>
      <c r="F467" s="4" t="s">
        <v>27</v>
      </c>
      <c r="G467" s="4" t="s">
        <v>28</v>
      </c>
      <c r="H467" s="4" t="s">
        <v>50</v>
      </c>
      <c r="I467" s="4" t="str">
        <f t="shared" si="35"/>
        <v>Ronald Ross</v>
      </c>
      <c r="J467" s="4" t="str">
        <f t="shared" si="36"/>
        <v>Hartmanside</v>
      </c>
      <c r="K467" s="4" t="str">
        <f>IF(OR(G467="USA",G467="usa"),"USA",K470
                                                                                                                                                                                                                                                               IF(G467="United States of America","USA","USA"))</f>
        <v>USA</v>
      </c>
      <c r="L467" s="4" t="str">
        <f t="shared" si="37"/>
        <v>CUST1465</v>
      </c>
      <c r="M467" s="4" t="str">
        <f t="shared" si="38"/>
        <v>Silver</v>
      </c>
      <c r="N467" s="4" t="str">
        <f t="shared" si="39"/>
        <v>Ok</v>
      </c>
    </row>
    <row r="468" spans="1:14" ht="15.75" customHeight="1">
      <c r="A468" s="3" t="s">
        <v>1466</v>
      </c>
      <c r="B468" s="4" t="s">
        <v>1467</v>
      </c>
      <c r="C468" s="4">
        <v>18</v>
      </c>
      <c r="D468" s="4" t="s">
        <v>25</v>
      </c>
      <c r="E468" s="4" t="s">
        <v>1468</v>
      </c>
      <c r="F468" s="4" t="s">
        <v>222</v>
      </c>
      <c r="G468" s="4" t="s">
        <v>28</v>
      </c>
      <c r="H468" s="4" t="s">
        <v>50</v>
      </c>
      <c r="I468" s="4" t="str">
        <f t="shared" si="35"/>
        <v>Cynthia Parrish</v>
      </c>
      <c r="J468" s="4" t="str">
        <f t="shared" si="36"/>
        <v>Espinozaberg</v>
      </c>
      <c r="K468" s="4" t="str">
        <f>IF(OR(G468="USA",G468="usa"),"USA",K471
                                                                                                                                                                                                                                                               IF(G468="United States of America","USA","USA"))</f>
        <v>USA</v>
      </c>
      <c r="L468" s="4" t="str">
        <f t="shared" si="37"/>
        <v>CUST1466</v>
      </c>
      <c r="M468" s="4" t="str">
        <f t="shared" si="38"/>
        <v>Silver</v>
      </c>
      <c r="N468" s="4" t="str">
        <f t="shared" si="39"/>
        <v>Ok</v>
      </c>
    </row>
    <row r="469" spans="1:14" ht="15.75" customHeight="1">
      <c r="A469" s="3" t="s">
        <v>1469</v>
      </c>
      <c r="B469" s="4" t="s">
        <v>1470</v>
      </c>
      <c r="C469" s="4">
        <v>63</v>
      </c>
      <c r="D469" s="4" t="s">
        <v>31</v>
      </c>
      <c r="E469" s="4" t="s">
        <v>1471</v>
      </c>
      <c r="F469" s="4" t="s">
        <v>192</v>
      </c>
      <c r="G469" s="4" t="s">
        <v>28</v>
      </c>
      <c r="H469" s="4" t="s">
        <v>67</v>
      </c>
      <c r="I469" s="4" t="str">
        <f t="shared" si="35"/>
        <v>Michael Foley</v>
      </c>
      <c r="J469" s="4" t="str">
        <f t="shared" si="36"/>
        <v>Oneillfurt</v>
      </c>
      <c r="K469" s="4" t="str">
        <f>IF(OR(G469="USA",G469="usa"),"USA",K472
                                                                                                                                                                                                                                                               IF(G469="United States of America","USA","USA"))</f>
        <v>USA</v>
      </c>
      <c r="L469" s="4" t="str">
        <f t="shared" si="37"/>
        <v>CUST1467</v>
      </c>
      <c r="M469" s="4" t="str">
        <f t="shared" si="38"/>
        <v>Gold</v>
      </c>
      <c r="N469" s="4" t="str">
        <f t="shared" si="39"/>
        <v>Ok</v>
      </c>
    </row>
    <row r="470" spans="1:14" ht="15.75" customHeight="1">
      <c r="A470" s="3" t="s">
        <v>1472</v>
      </c>
      <c r="B470" s="4" t="s">
        <v>1473</v>
      </c>
      <c r="C470" s="4">
        <v>45</v>
      </c>
      <c r="D470" s="4" t="s">
        <v>25</v>
      </c>
      <c r="E470" s="4" t="s">
        <v>1474</v>
      </c>
      <c r="F470" s="4" t="s">
        <v>192</v>
      </c>
      <c r="G470" s="4" t="s">
        <v>28</v>
      </c>
      <c r="H470" s="4" t="s">
        <v>44</v>
      </c>
      <c r="I470" s="4" t="str">
        <f t="shared" si="35"/>
        <v>Gregory Curtis</v>
      </c>
      <c r="J470" s="4" t="str">
        <f t="shared" si="36"/>
        <v>Bergermouth</v>
      </c>
      <c r="K470" s="4" t="str">
        <f>IF(OR(G470="USA",G470="usa"),"USA",K473
                                                                                                                                                                                                                                                               IF(G470="United States of America","USA","USA"))</f>
        <v>USA</v>
      </c>
      <c r="L470" s="4" t="str">
        <f t="shared" si="37"/>
        <v>CUST1468</v>
      </c>
      <c r="M470" s="4" t="str">
        <f t="shared" si="38"/>
        <v>Bronze</v>
      </c>
      <c r="N470" s="4" t="str">
        <f t="shared" si="39"/>
        <v>Ok</v>
      </c>
    </row>
    <row r="471" spans="1:14" ht="15.75" customHeight="1">
      <c r="A471" s="3" t="s">
        <v>1475</v>
      </c>
      <c r="B471" s="4" t="s">
        <v>1476</v>
      </c>
      <c r="C471" s="4">
        <v>19</v>
      </c>
      <c r="D471" s="4" t="s">
        <v>25</v>
      </c>
      <c r="E471" s="4" t="s">
        <v>1477</v>
      </c>
      <c r="F471" s="4" t="s">
        <v>138</v>
      </c>
      <c r="G471" s="4" t="s">
        <v>28</v>
      </c>
      <c r="H471" s="4" t="s">
        <v>67</v>
      </c>
      <c r="I471" s="4" t="str">
        <f t="shared" si="35"/>
        <v>James Foster</v>
      </c>
      <c r="J471" s="4" t="str">
        <f t="shared" si="36"/>
        <v>East Audrey</v>
      </c>
      <c r="K471" s="4" t="str">
        <f>IF(OR(G471="USA",G471="usa"),"USA",K474
                                                                                                                                                                                                                                                               IF(G471="United States of America","USA","USA"))</f>
        <v>USA</v>
      </c>
      <c r="L471" s="4" t="str">
        <f t="shared" si="37"/>
        <v>CUST1469</v>
      </c>
      <c r="M471" s="4" t="str">
        <f t="shared" si="38"/>
        <v>Gold</v>
      </c>
      <c r="N471" s="4" t="str">
        <f t="shared" si="39"/>
        <v>Ok</v>
      </c>
    </row>
    <row r="472" spans="1:14" ht="15.75" customHeight="1">
      <c r="A472" s="3" t="s">
        <v>1478</v>
      </c>
      <c r="B472" s="4" t="s">
        <v>1479</v>
      </c>
      <c r="C472" s="4">
        <v>21</v>
      </c>
      <c r="D472" s="4" t="s">
        <v>31</v>
      </c>
      <c r="E472" s="4" t="s">
        <v>1480</v>
      </c>
      <c r="F472" s="4" t="s">
        <v>66</v>
      </c>
      <c r="G472" s="4" t="s">
        <v>28</v>
      </c>
      <c r="H472" s="4" t="s">
        <v>67</v>
      </c>
      <c r="I472" s="4" t="str">
        <f t="shared" si="35"/>
        <v>Manuel Fisher</v>
      </c>
      <c r="J472" s="4" t="str">
        <f t="shared" si="36"/>
        <v>Kanebury</v>
      </c>
      <c r="K472" s="4" t="str">
        <f>IF(OR(G472="USA",G472="usa"),"USA",K475
                                                                                                                                                                                                                                                               IF(G472="United States of America","USA","USA"))</f>
        <v>USA</v>
      </c>
      <c r="L472" s="4" t="str">
        <f t="shared" si="37"/>
        <v>CUST1470</v>
      </c>
      <c r="M472" s="4" t="str">
        <f t="shared" si="38"/>
        <v>Gold</v>
      </c>
      <c r="N472" s="4" t="str">
        <f t="shared" si="39"/>
        <v>Ok</v>
      </c>
    </row>
    <row r="473" spans="1:14" ht="15.75" customHeight="1">
      <c r="A473" s="3" t="s">
        <v>1481</v>
      </c>
      <c r="B473" s="4" t="s">
        <v>1482</v>
      </c>
      <c r="C473" s="4">
        <v>42</v>
      </c>
      <c r="D473" s="4" t="s">
        <v>25</v>
      </c>
      <c r="E473" s="4" t="s">
        <v>1483</v>
      </c>
      <c r="F473" s="4" t="s">
        <v>86</v>
      </c>
      <c r="G473" s="4" t="s">
        <v>28</v>
      </c>
      <c r="H473" s="4" t="s">
        <v>34</v>
      </c>
      <c r="I473" s="4" t="str">
        <f t="shared" si="35"/>
        <v>Debra Mccullough</v>
      </c>
      <c r="J473" s="4" t="str">
        <f t="shared" si="36"/>
        <v>Mcdanielfurt</v>
      </c>
      <c r="K473" s="4" t="str">
        <f>IF(OR(G473="USA",G473="usa"),"USA",K476
                                                                                                                                                                                                                                                               IF(G473="United States of America","USA","USA"))</f>
        <v>USA</v>
      </c>
      <c r="L473" s="4" t="str">
        <f t="shared" si="37"/>
        <v>CUST1471</v>
      </c>
      <c r="M473" s="4" t="str">
        <f t="shared" si="38"/>
        <v>Platinum</v>
      </c>
      <c r="N473" s="4" t="str">
        <f t="shared" si="39"/>
        <v>Ok</v>
      </c>
    </row>
    <row r="474" spans="1:14" ht="15.75" customHeight="1">
      <c r="A474" s="3" t="s">
        <v>1484</v>
      </c>
      <c r="B474" s="4" t="s">
        <v>1485</v>
      </c>
      <c r="C474" s="4">
        <v>42</v>
      </c>
      <c r="D474" s="4" t="s">
        <v>25</v>
      </c>
      <c r="E474" s="4" t="s">
        <v>1486</v>
      </c>
      <c r="F474" s="4" t="s">
        <v>742</v>
      </c>
      <c r="G474" s="4" t="s">
        <v>28</v>
      </c>
      <c r="H474" s="4" t="s">
        <v>50</v>
      </c>
      <c r="I474" s="4" t="str">
        <f t="shared" si="35"/>
        <v>Philip Mendoza</v>
      </c>
      <c r="J474" s="4" t="str">
        <f t="shared" si="36"/>
        <v>Tylermouth</v>
      </c>
      <c r="K474" s="4" t="str">
        <f>IF(OR(G474="USA",G474="usa"),"USA",K477
                                                                                                                                                                                                                                                               IF(G474="United States of America","USA","USA"))</f>
        <v>USA</v>
      </c>
      <c r="L474" s="4" t="str">
        <f t="shared" si="37"/>
        <v>CUST1472</v>
      </c>
      <c r="M474" s="4" t="str">
        <f t="shared" si="38"/>
        <v>Silver</v>
      </c>
      <c r="N474" s="4" t="str">
        <f t="shared" si="39"/>
        <v>Ok</v>
      </c>
    </row>
    <row r="475" spans="1:14" ht="15.75" customHeight="1">
      <c r="A475" s="3" t="s">
        <v>1487</v>
      </c>
      <c r="B475" s="4" t="s">
        <v>1488</v>
      </c>
      <c r="C475" s="4">
        <v>53</v>
      </c>
      <c r="D475" s="4" t="s">
        <v>25</v>
      </c>
      <c r="E475" s="4" t="s">
        <v>1489</v>
      </c>
      <c r="F475" s="4" t="s">
        <v>345</v>
      </c>
      <c r="G475" s="4" t="s">
        <v>28</v>
      </c>
      <c r="H475" s="4" t="s">
        <v>44</v>
      </c>
      <c r="I475" s="4" t="str">
        <f t="shared" si="35"/>
        <v>Laura Mathews</v>
      </c>
      <c r="J475" s="4" t="str">
        <f t="shared" si="36"/>
        <v>Chambersfurt</v>
      </c>
      <c r="K475" s="4" t="str">
        <f>IF(OR(G475="USA",G475="usa"),"USA",K478
                                                                                                                                                                                                                                                               IF(G475="United States of America","USA","USA"))</f>
        <v>USA</v>
      </c>
      <c r="L475" s="4" t="str">
        <f t="shared" si="37"/>
        <v>CUST1473</v>
      </c>
      <c r="M475" s="4" t="str">
        <f t="shared" si="38"/>
        <v>Bronze</v>
      </c>
      <c r="N475" s="4" t="str">
        <f t="shared" si="39"/>
        <v>Ok</v>
      </c>
    </row>
    <row r="476" spans="1:14" ht="15.75" customHeight="1">
      <c r="A476" s="3" t="s">
        <v>1490</v>
      </c>
      <c r="B476" s="4" t="s">
        <v>1491</v>
      </c>
      <c r="C476" s="4">
        <v>32</v>
      </c>
      <c r="D476" s="4" t="s">
        <v>31</v>
      </c>
      <c r="E476" s="4" t="s">
        <v>1492</v>
      </c>
      <c r="F476" s="4" t="s">
        <v>58</v>
      </c>
      <c r="G476" s="4" t="s">
        <v>28</v>
      </c>
      <c r="H476" s="4" t="s">
        <v>34</v>
      </c>
      <c r="I476" s="4" t="str">
        <f t="shared" si="35"/>
        <v>Joshua Howard</v>
      </c>
      <c r="J476" s="4" t="str">
        <f t="shared" si="36"/>
        <v>East Christopherhaven</v>
      </c>
      <c r="K476" s="4" t="str">
        <f>IF(OR(G476="USA",G476="usa"),"USA",K479
                                                                                                                                                                                                                                                               IF(G476="United States of America","USA","USA"))</f>
        <v>USA</v>
      </c>
      <c r="L476" s="4" t="str">
        <f t="shared" si="37"/>
        <v>CUST1474</v>
      </c>
      <c r="M476" s="4" t="str">
        <f t="shared" si="38"/>
        <v>Platinum</v>
      </c>
      <c r="N476" s="4" t="str">
        <f t="shared" si="39"/>
        <v>Ok</v>
      </c>
    </row>
    <row r="477" spans="1:14" ht="15.75" customHeight="1">
      <c r="A477" s="3" t="s">
        <v>1493</v>
      </c>
      <c r="B477" s="4" t="s">
        <v>1494</v>
      </c>
      <c r="C477" s="4">
        <v>18</v>
      </c>
      <c r="D477" s="4" t="s">
        <v>31</v>
      </c>
      <c r="E477" s="4" t="s">
        <v>416</v>
      </c>
      <c r="F477" s="4" t="s">
        <v>192</v>
      </c>
      <c r="G477" s="4" t="s">
        <v>28</v>
      </c>
      <c r="H477" s="4" t="s">
        <v>34</v>
      </c>
      <c r="I477" s="4" t="str">
        <f t="shared" si="35"/>
        <v>Barbara Berry</v>
      </c>
      <c r="J477" s="4" t="str">
        <f t="shared" si="36"/>
        <v>Lake Michael</v>
      </c>
      <c r="K477" s="4" t="str">
        <f>IF(OR(G477="USA",G477="usa"),"USA",K480
                                                                                                                                                                                                                                                               IF(G477="United States of America","USA","USA"))</f>
        <v>USA</v>
      </c>
      <c r="L477" s="4" t="str">
        <f t="shared" si="37"/>
        <v>CUST1475</v>
      </c>
      <c r="M477" s="4" t="str">
        <f t="shared" si="38"/>
        <v>Platinum</v>
      </c>
      <c r="N477" s="4" t="str">
        <f t="shared" si="39"/>
        <v>Ok</v>
      </c>
    </row>
    <row r="478" spans="1:14" ht="15.75" customHeight="1">
      <c r="A478" s="3" t="s">
        <v>1495</v>
      </c>
      <c r="B478" s="4" t="s">
        <v>1496</v>
      </c>
      <c r="C478" s="4">
        <v>33</v>
      </c>
      <c r="D478" s="4" t="s">
        <v>31</v>
      </c>
      <c r="E478" s="4" t="s">
        <v>1497</v>
      </c>
      <c r="F478" s="4" t="s">
        <v>116</v>
      </c>
      <c r="G478" s="4" t="s">
        <v>28</v>
      </c>
      <c r="H478" s="4" t="s">
        <v>67</v>
      </c>
      <c r="I478" s="4" t="str">
        <f t="shared" si="35"/>
        <v>Elizabeth Foster</v>
      </c>
      <c r="J478" s="4" t="str">
        <f t="shared" si="36"/>
        <v>Anthonymouth</v>
      </c>
      <c r="K478" s="4" t="str">
        <f>IF(OR(G478="USA",G478="usa"),"USA",K481
                                                                                                                                                                                                                                                               IF(G478="United States of America","USA","USA"))</f>
        <v>USA</v>
      </c>
      <c r="L478" s="4" t="str">
        <f t="shared" si="37"/>
        <v>CUST1476</v>
      </c>
      <c r="M478" s="4" t="str">
        <f t="shared" si="38"/>
        <v>Gold</v>
      </c>
      <c r="N478" s="4" t="str">
        <f t="shared" si="39"/>
        <v>Ok</v>
      </c>
    </row>
    <row r="479" spans="1:14" ht="15.75" customHeight="1">
      <c r="A479" s="3" t="s">
        <v>1498</v>
      </c>
      <c r="B479" s="4" t="s">
        <v>1499</v>
      </c>
      <c r="C479" s="4">
        <v>41</v>
      </c>
      <c r="D479" s="4" t="s">
        <v>31</v>
      </c>
      <c r="E479" s="4" t="s">
        <v>1500</v>
      </c>
      <c r="F479" s="4" t="s">
        <v>82</v>
      </c>
      <c r="G479" s="4" t="s">
        <v>28</v>
      </c>
      <c r="H479" s="4" t="s">
        <v>34</v>
      </c>
      <c r="I479" s="4" t="str">
        <f t="shared" si="35"/>
        <v>Andrea Harris</v>
      </c>
      <c r="J479" s="4" t="str">
        <f t="shared" si="36"/>
        <v>West Kelseyberg</v>
      </c>
      <c r="K479" s="4" t="str">
        <f>IF(OR(G479="USA",G479="usa"),"USA",K482
                                                                                                                                                                                                                                                               IF(G479="United States of America","USA","USA"))</f>
        <v>USA</v>
      </c>
      <c r="L479" s="4" t="str">
        <f t="shared" si="37"/>
        <v>CUST1477</v>
      </c>
      <c r="M479" s="4" t="str">
        <f t="shared" si="38"/>
        <v>Platinum</v>
      </c>
      <c r="N479" s="4" t="str">
        <f t="shared" si="39"/>
        <v>Ok</v>
      </c>
    </row>
    <row r="480" spans="1:14" ht="15.75" customHeight="1">
      <c r="A480" s="3" t="s">
        <v>1501</v>
      </c>
      <c r="B480" s="4" t="s">
        <v>1502</v>
      </c>
      <c r="C480" s="4">
        <v>59</v>
      </c>
      <c r="D480" s="4" t="s">
        <v>25</v>
      </c>
      <c r="E480" s="4" t="s">
        <v>1503</v>
      </c>
      <c r="F480" s="4" t="s">
        <v>58</v>
      </c>
      <c r="G480" s="4" t="s">
        <v>28</v>
      </c>
      <c r="H480" s="4" t="s">
        <v>67</v>
      </c>
      <c r="I480" s="4" t="str">
        <f t="shared" si="35"/>
        <v>Earl Smith Dds</v>
      </c>
      <c r="J480" s="4" t="str">
        <f t="shared" si="36"/>
        <v>West Sarah</v>
      </c>
      <c r="K480" s="4" t="str">
        <f>IF(OR(G480="USA",G480="usa"),"USA",K483
                                                                                                                                                                                                                                                               IF(G480="United States of America","USA","USA"))</f>
        <v>USA</v>
      </c>
      <c r="L480" s="4" t="str">
        <f t="shared" si="37"/>
        <v>CUST1478</v>
      </c>
      <c r="M480" s="4" t="str">
        <f t="shared" si="38"/>
        <v>Gold</v>
      </c>
      <c r="N480" s="4" t="str">
        <f t="shared" si="39"/>
        <v>Ok</v>
      </c>
    </row>
    <row r="481" spans="1:14" ht="15.75" customHeight="1">
      <c r="A481" s="3" t="s">
        <v>1504</v>
      </c>
      <c r="B481" s="4" t="s">
        <v>1505</v>
      </c>
      <c r="C481" s="4">
        <v>40</v>
      </c>
      <c r="D481" s="4" t="s">
        <v>25</v>
      </c>
      <c r="E481" s="4" t="s">
        <v>1506</v>
      </c>
      <c r="F481" s="4" t="s">
        <v>62</v>
      </c>
      <c r="G481" s="4" t="s">
        <v>28</v>
      </c>
      <c r="H481" s="4" t="s">
        <v>44</v>
      </c>
      <c r="I481" s="4" t="str">
        <f t="shared" si="35"/>
        <v>Dylan Gutierrez</v>
      </c>
      <c r="J481" s="4" t="str">
        <f t="shared" si="36"/>
        <v>New Jamesview</v>
      </c>
      <c r="K481" s="4" t="str">
        <f>IF(OR(G481="USA",G481="usa"),"USA",K484
                                                                                                                                                                                                                                                               IF(G481="United States of America","USA","USA"))</f>
        <v>USA</v>
      </c>
      <c r="L481" s="4" t="str">
        <f t="shared" si="37"/>
        <v>CUST1479</v>
      </c>
      <c r="M481" s="4" t="str">
        <f t="shared" si="38"/>
        <v>Bronze</v>
      </c>
      <c r="N481" s="4" t="str">
        <f t="shared" si="39"/>
        <v>Ok</v>
      </c>
    </row>
    <row r="482" spans="1:14" ht="15.75" customHeight="1">
      <c r="A482" s="3" t="s">
        <v>1507</v>
      </c>
      <c r="B482" s="4" t="s">
        <v>1508</v>
      </c>
      <c r="C482" s="4">
        <v>33</v>
      </c>
      <c r="D482" s="4" t="s">
        <v>25</v>
      </c>
      <c r="E482" s="4" t="s">
        <v>1509</v>
      </c>
      <c r="F482" s="4" t="s">
        <v>271</v>
      </c>
      <c r="G482" s="4" t="s">
        <v>28</v>
      </c>
      <c r="H482" s="4" t="s">
        <v>44</v>
      </c>
      <c r="I482" s="4" t="str">
        <f t="shared" si="35"/>
        <v>Jordan Medina</v>
      </c>
      <c r="J482" s="4" t="str">
        <f t="shared" si="36"/>
        <v>Robinchester</v>
      </c>
      <c r="K482" s="4" t="str">
        <f>IF(OR(G482="USA",G482="usa"),"USA",K485
                                                                                                                                                                                                                                                               IF(G482="United States of America","USA","USA"))</f>
        <v>USA</v>
      </c>
      <c r="L482" s="4" t="str">
        <f t="shared" si="37"/>
        <v>CUST1480</v>
      </c>
      <c r="M482" s="4" t="str">
        <f t="shared" si="38"/>
        <v>Bronze</v>
      </c>
      <c r="N482" s="4" t="str">
        <f t="shared" si="39"/>
        <v>Ok</v>
      </c>
    </row>
    <row r="483" spans="1:14" ht="15.75" customHeight="1">
      <c r="A483" s="3" t="s">
        <v>1510</v>
      </c>
      <c r="B483" s="4" t="s">
        <v>1511</v>
      </c>
      <c r="C483" s="4">
        <v>21</v>
      </c>
      <c r="D483" s="4" t="s">
        <v>25</v>
      </c>
      <c r="E483" s="4" t="s">
        <v>1512</v>
      </c>
      <c r="F483" s="4" t="s">
        <v>101</v>
      </c>
      <c r="G483" s="4" t="s">
        <v>28</v>
      </c>
      <c r="H483" s="4" t="s">
        <v>67</v>
      </c>
      <c r="I483" s="4" t="str">
        <f t="shared" si="35"/>
        <v>Bryan Tran</v>
      </c>
      <c r="J483" s="4" t="str">
        <f t="shared" si="36"/>
        <v>Kelseybury</v>
      </c>
      <c r="K483" s="4" t="str">
        <f>IF(OR(G483="USA",G483="usa"),"USA",K486
                                                                                                                                                                                                                                                               IF(G483="United States of America","USA","USA"))</f>
        <v>USA</v>
      </c>
      <c r="L483" s="4" t="str">
        <f t="shared" si="37"/>
        <v>CUST1481</v>
      </c>
      <c r="M483" s="4" t="str">
        <f t="shared" si="38"/>
        <v>Gold</v>
      </c>
      <c r="N483" s="4" t="str">
        <f t="shared" si="39"/>
        <v>Ok</v>
      </c>
    </row>
    <row r="484" spans="1:14" ht="15.75" customHeight="1">
      <c r="A484" s="3" t="s">
        <v>1513</v>
      </c>
      <c r="B484" s="4" t="s">
        <v>1514</v>
      </c>
      <c r="C484" s="4">
        <v>26</v>
      </c>
      <c r="D484" s="4" t="s">
        <v>25</v>
      </c>
      <c r="E484" s="4" t="s">
        <v>1515</v>
      </c>
      <c r="F484" s="4" t="s">
        <v>613</v>
      </c>
      <c r="G484" s="4" t="s">
        <v>28</v>
      </c>
      <c r="H484" s="4" t="s">
        <v>34</v>
      </c>
      <c r="I484" s="4" t="str">
        <f t="shared" si="35"/>
        <v>Sheri Joyce</v>
      </c>
      <c r="J484" s="4" t="str">
        <f t="shared" si="36"/>
        <v>West Tylerfort</v>
      </c>
      <c r="K484" s="4" t="str">
        <f>IF(OR(G484="USA",G484="usa"),"USA",K487
                                                                                                                                                                                                                                                               IF(G484="United States of America","USA","USA"))</f>
        <v>USA</v>
      </c>
      <c r="L484" s="4" t="str">
        <f t="shared" si="37"/>
        <v>CUST1482</v>
      </c>
      <c r="M484" s="4" t="str">
        <f t="shared" si="38"/>
        <v>Platinum</v>
      </c>
      <c r="N484" s="4" t="str">
        <f t="shared" si="39"/>
        <v>Ok</v>
      </c>
    </row>
    <row r="485" spans="1:14" ht="15.75" customHeight="1">
      <c r="A485" s="3" t="s">
        <v>1516</v>
      </c>
      <c r="B485" s="4" t="s">
        <v>1302</v>
      </c>
      <c r="C485" s="4">
        <v>48</v>
      </c>
      <c r="D485" s="4" t="s">
        <v>25</v>
      </c>
      <c r="E485" s="4" t="s">
        <v>1517</v>
      </c>
      <c r="F485" s="4" t="s">
        <v>205</v>
      </c>
      <c r="G485" s="4" t="s">
        <v>28</v>
      </c>
      <c r="H485" s="4" t="s">
        <v>67</v>
      </c>
      <c r="I485" s="4" t="str">
        <f t="shared" si="35"/>
        <v>Sarah Smith</v>
      </c>
      <c r="J485" s="4" t="str">
        <f t="shared" si="36"/>
        <v>East Rodney</v>
      </c>
      <c r="K485" s="4" t="str">
        <f>IF(OR(G485="USA",G485="usa"),"USA",K488
                                                                                                                                                                                                                                                               IF(G485="United States of America","USA","USA"))</f>
        <v>USA</v>
      </c>
      <c r="L485" s="4" t="str">
        <f t="shared" si="37"/>
        <v>CUST1483</v>
      </c>
      <c r="M485" s="4" t="str">
        <f t="shared" si="38"/>
        <v>Gold</v>
      </c>
      <c r="N485" s="4" t="str">
        <f t="shared" si="39"/>
        <v>Ok</v>
      </c>
    </row>
    <row r="486" spans="1:14" ht="15.75" customHeight="1">
      <c r="A486" s="3" t="s">
        <v>1518</v>
      </c>
      <c r="B486" s="4" t="s">
        <v>1519</v>
      </c>
      <c r="C486" s="4">
        <v>32</v>
      </c>
      <c r="D486" s="4" t="s">
        <v>25</v>
      </c>
      <c r="E486" s="4" t="s">
        <v>1520</v>
      </c>
      <c r="F486" s="4" t="s">
        <v>742</v>
      </c>
      <c r="G486" s="4" t="s">
        <v>28</v>
      </c>
      <c r="H486" s="4" t="s">
        <v>44</v>
      </c>
      <c r="I486" s="4" t="str">
        <f t="shared" si="35"/>
        <v>Jessica Castro</v>
      </c>
      <c r="J486" s="4" t="str">
        <f t="shared" si="36"/>
        <v>West Markton</v>
      </c>
      <c r="K486" s="4" t="str">
        <f>IF(OR(G486="USA",G486="usa"),"USA",K489
                                                                                                                                                                                                                                                               IF(G486="United States of America","USA","USA"))</f>
        <v>USA</v>
      </c>
      <c r="L486" s="4" t="str">
        <f t="shared" si="37"/>
        <v>CUST1484</v>
      </c>
      <c r="M486" s="4" t="str">
        <f t="shared" si="38"/>
        <v>Bronze</v>
      </c>
      <c r="N486" s="4" t="str">
        <f t="shared" si="39"/>
        <v>Ok</v>
      </c>
    </row>
    <row r="487" spans="1:14" ht="15.75" customHeight="1">
      <c r="A487" s="3" t="s">
        <v>1521</v>
      </c>
      <c r="B487" s="4" t="s">
        <v>1522</v>
      </c>
      <c r="C487" s="4">
        <v>46</v>
      </c>
      <c r="D487" s="4" t="s">
        <v>31</v>
      </c>
      <c r="E487" s="4" t="s">
        <v>1523</v>
      </c>
      <c r="F487" s="4" t="s">
        <v>308</v>
      </c>
      <c r="G487" s="4" t="s">
        <v>28</v>
      </c>
      <c r="H487" s="4" t="s">
        <v>44</v>
      </c>
      <c r="I487" s="4" t="str">
        <f t="shared" si="35"/>
        <v>Sara Ingram</v>
      </c>
      <c r="J487" s="4" t="str">
        <f t="shared" si="36"/>
        <v>East Dillonview</v>
      </c>
      <c r="K487" s="4" t="str">
        <f>IF(OR(G487="USA",G487="usa"),"USA",K490
                                                                                                                                                                                                                                                               IF(G487="United States of America","USA","USA"))</f>
        <v>USA</v>
      </c>
      <c r="L487" s="4" t="str">
        <f t="shared" si="37"/>
        <v>CUST1485</v>
      </c>
      <c r="M487" s="4" t="str">
        <f t="shared" si="38"/>
        <v>Bronze</v>
      </c>
      <c r="N487" s="4" t="str">
        <f t="shared" si="39"/>
        <v>Ok</v>
      </c>
    </row>
    <row r="488" spans="1:14" ht="15.75" customHeight="1">
      <c r="A488" s="3" t="s">
        <v>1524</v>
      </c>
      <c r="B488" s="4" t="s">
        <v>1525</v>
      </c>
      <c r="C488" s="4">
        <v>22</v>
      </c>
      <c r="D488" s="4" t="s">
        <v>31</v>
      </c>
      <c r="E488" s="4" t="s">
        <v>1526</v>
      </c>
      <c r="F488" s="4" t="s">
        <v>192</v>
      </c>
      <c r="G488" s="4" t="s">
        <v>28</v>
      </c>
      <c r="H488" s="4" t="s">
        <v>44</v>
      </c>
      <c r="I488" s="4" t="str">
        <f t="shared" si="35"/>
        <v>Eric Lee</v>
      </c>
      <c r="J488" s="4" t="str">
        <f t="shared" si="36"/>
        <v>Lake April</v>
      </c>
      <c r="K488" s="4" t="str">
        <f>IF(OR(G488="USA",G488="usa"),"USA",K491
                                                                                                                                                                                                                                                               IF(G488="United States of America","USA","USA"))</f>
        <v>USA</v>
      </c>
      <c r="L488" s="4" t="str">
        <f t="shared" si="37"/>
        <v>CUST1486</v>
      </c>
      <c r="M488" s="4" t="str">
        <f t="shared" si="38"/>
        <v>Bronze</v>
      </c>
      <c r="N488" s="4" t="str">
        <f t="shared" si="39"/>
        <v>Ok</v>
      </c>
    </row>
    <row r="489" spans="1:14" ht="15.75" customHeight="1">
      <c r="A489" s="3" t="s">
        <v>1527</v>
      </c>
      <c r="B489" s="4" t="s">
        <v>1528</v>
      </c>
      <c r="C489" s="4">
        <v>36</v>
      </c>
      <c r="D489" s="4" t="s">
        <v>31</v>
      </c>
      <c r="E489" s="4" t="s">
        <v>1529</v>
      </c>
      <c r="F489" s="4" t="s">
        <v>138</v>
      </c>
      <c r="G489" s="4" t="s">
        <v>28</v>
      </c>
      <c r="H489" s="4" t="s">
        <v>34</v>
      </c>
      <c r="I489" s="4" t="str">
        <f t="shared" si="35"/>
        <v>Amanda Medina</v>
      </c>
      <c r="J489" s="4" t="str">
        <f t="shared" si="36"/>
        <v>East Patriciastad</v>
      </c>
      <c r="K489" s="4" t="str">
        <f>IF(OR(G489="USA",G489="usa"),"USA",K492
                                                                                                                                                                                                                                                               IF(G489="United States of America","USA","USA"))</f>
        <v>USA</v>
      </c>
      <c r="L489" s="4" t="str">
        <f t="shared" si="37"/>
        <v>CUST1487</v>
      </c>
      <c r="M489" s="4" t="str">
        <f t="shared" si="38"/>
        <v>Platinum</v>
      </c>
      <c r="N489" s="4" t="str">
        <f t="shared" si="39"/>
        <v>Ok</v>
      </c>
    </row>
    <row r="490" spans="1:14" ht="15.75" customHeight="1">
      <c r="A490" s="3" t="s">
        <v>1530</v>
      </c>
      <c r="B490" s="4" t="s">
        <v>1531</v>
      </c>
      <c r="C490" s="4">
        <v>23</v>
      </c>
      <c r="D490" s="4" t="s">
        <v>31</v>
      </c>
      <c r="E490" s="4" t="s">
        <v>1532</v>
      </c>
      <c r="F490" s="4" t="s">
        <v>49</v>
      </c>
      <c r="G490" s="4" t="s">
        <v>28</v>
      </c>
      <c r="H490" s="4" t="s">
        <v>34</v>
      </c>
      <c r="I490" s="4" t="str">
        <f t="shared" si="35"/>
        <v>Zachary Andrade</v>
      </c>
      <c r="J490" s="4" t="str">
        <f t="shared" si="36"/>
        <v>South Davidport</v>
      </c>
      <c r="K490" s="4" t="str">
        <f>IF(OR(G490="USA",G490="usa"),"USA",K493
                                                                                                                                                                                                                                                               IF(G490="United States of America","USA","USA"))</f>
        <v>USA</v>
      </c>
      <c r="L490" s="4" t="str">
        <f t="shared" si="37"/>
        <v>CUST1488</v>
      </c>
      <c r="M490" s="4" t="str">
        <f t="shared" si="38"/>
        <v>Platinum</v>
      </c>
      <c r="N490" s="4" t="str">
        <f t="shared" si="39"/>
        <v>Ok</v>
      </c>
    </row>
    <row r="491" spans="1:14" ht="15.75" customHeight="1">
      <c r="A491" s="3" t="s">
        <v>1533</v>
      </c>
      <c r="B491" s="4" t="s">
        <v>1534</v>
      </c>
      <c r="C491" s="4">
        <v>42</v>
      </c>
      <c r="D491" s="4" t="s">
        <v>31</v>
      </c>
      <c r="E491" s="4" t="s">
        <v>1535</v>
      </c>
      <c r="F491" s="4" t="s">
        <v>275</v>
      </c>
      <c r="G491" s="4" t="s">
        <v>28</v>
      </c>
      <c r="H491" s="4" t="s">
        <v>50</v>
      </c>
      <c r="I491" s="4" t="str">
        <f t="shared" si="35"/>
        <v>Melinda Thomas</v>
      </c>
      <c r="J491" s="4" t="str">
        <f t="shared" si="36"/>
        <v>Lake Elizabethside</v>
      </c>
      <c r="K491" s="4" t="str">
        <f>IF(OR(G491="USA",G491="usa"),"USA",K494
                                                                                                                                                                                                                                                               IF(G491="United States of America","USA","USA"))</f>
        <v>USA</v>
      </c>
      <c r="L491" s="4" t="str">
        <f t="shared" si="37"/>
        <v>CUST1489</v>
      </c>
      <c r="M491" s="4" t="str">
        <f t="shared" si="38"/>
        <v>Silver</v>
      </c>
      <c r="N491" s="4" t="str">
        <f t="shared" si="39"/>
        <v>Ok</v>
      </c>
    </row>
    <row r="492" spans="1:14" ht="15.75" customHeight="1">
      <c r="A492" s="3" t="s">
        <v>1536</v>
      </c>
      <c r="B492" s="4" t="s">
        <v>1537</v>
      </c>
      <c r="C492" s="4">
        <v>23</v>
      </c>
      <c r="D492" s="4" t="s">
        <v>25</v>
      </c>
      <c r="E492" s="4" t="s">
        <v>1538</v>
      </c>
      <c r="F492" s="4" t="s">
        <v>161</v>
      </c>
      <c r="G492" s="4" t="s">
        <v>28</v>
      </c>
      <c r="H492" s="4" t="s">
        <v>34</v>
      </c>
      <c r="I492" s="4" t="str">
        <f t="shared" si="35"/>
        <v>Scott Harris</v>
      </c>
      <c r="J492" s="4" t="str">
        <f t="shared" si="36"/>
        <v>North Nataliemouth</v>
      </c>
      <c r="K492" s="4" t="str">
        <f>IF(OR(G492="USA",G492="usa"),"USA",K495
                                                                                                                                                                                                                                                               IF(G492="United States of America","USA","USA"))</f>
        <v>USA</v>
      </c>
      <c r="L492" s="4" t="str">
        <f t="shared" si="37"/>
        <v>CUST1490</v>
      </c>
      <c r="M492" s="4" t="str">
        <f t="shared" si="38"/>
        <v>Platinum</v>
      </c>
      <c r="N492" s="4" t="str">
        <f t="shared" si="39"/>
        <v>Ok</v>
      </c>
    </row>
    <row r="493" spans="1:14" ht="15.75" customHeight="1">
      <c r="A493" s="3" t="s">
        <v>1539</v>
      </c>
      <c r="B493" s="4" t="s">
        <v>1540</v>
      </c>
      <c r="C493" s="4">
        <v>52</v>
      </c>
      <c r="D493" s="4" t="s">
        <v>31</v>
      </c>
      <c r="E493" s="4" t="s">
        <v>1541</v>
      </c>
      <c r="F493" s="4" t="s">
        <v>58</v>
      </c>
      <c r="G493" s="4" t="s">
        <v>28</v>
      </c>
      <c r="H493" s="4" t="s">
        <v>67</v>
      </c>
      <c r="I493" s="4" t="str">
        <f t="shared" si="35"/>
        <v>Kaitlin Brown</v>
      </c>
      <c r="J493" s="4" t="str">
        <f t="shared" si="36"/>
        <v>Kellyberg</v>
      </c>
      <c r="K493" s="4" t="str">
        <f>IF(OR(G493="USA",G493="usa"),"USA",K496
                                                                                                                                                                                                                                                               IF(G493="United States of America","USA","USA"))</f>
        <v>USA</v>
      </c>
      <c r="L493" s="4" t="str">
        <f t="shared" si="37"/>
        <v>CUST1491</v>
      </c>
      <c r="M493" s="4" t="str">
        <f t="shared" si="38"/>
        <v>Gold</v>
      </c>
      <c r="N493" s="4" t="str">
        <f t="shared" si="39"/>
        <v>Ok</v>
      </c>
    </row>
    <row r="494" spans="1:14" ht="15.75" customHeight="1">
      <c r="A494" s="3" t="s">
        <v>1542</v>
      </c>
      <c r="B494" s="4" t="s">
        <v>1543</v>
      </c>
      <c r="C494" s="4">
        <v>59</v>
      </c>
      <c r="D494" s="4" t="s">
        <v>31</v>
      </c>
      <c r="E494" s="4" t="s">
        <v>1544</v>
      </c>
      <c r="F494" s="4" t="s">
        <v>271</v>
      </c>
      <c r="G494" s="4" t="s">
        <v>28</v>
      </c>
      <c r="H494" s="4" t="s">
        <v>34</v>
      </c>
      <c r="I494" s="4" t="str">
        <f t="shared" si="35"/>
        <v>Darrell Miller</v>
      </c>
      <c r="J494" s="4" t="str">
        <f t="shared" si="36"/>
        <v>Port Carol</v>
      </c>
      <c r="K494" s="4" t="str">
        <f>IF(OR(G494="USA",G494="usa"),"USA",K497
                                                                                                                                                                                                                                                               IF(G494="United States of America","USA","USA"))</f>
        <v>USA</v>
      </c>
      <c r="L494" s="4" t="str">
        <f t="shared" si="37"/>
        <v>CUST1492</v>
      </c>
      <c r="M494" s="4" t="str">
        <f t="shared" si="38"/>
        <v>Platinum</v>
      </c>
      <c r="N494" s="4" t="str">
        <f t="shared" si="39"/>
        <v>Ok</v>
      </c>
    </row>
    <row r="495" spans="1:14" ht="15.75" customHeight="1">
      <c r="A495" s="3" t="s">
        <v>1545</v>
      </c>
      <c r="B495" s="4" t="s">
        <v>1546</v>
      </c>
      <c r="C495" s="4">
        <v>28</v>
      </c>
      <c r="D495" s="4" t="s">
        <v>25</v>
      </c>
      <c r="E495" s="4" t="s">
        <v>104</v>
      </c>
      <c r="F495" s="4" t="s">
        <v>38</v>
      </c>
      <c r="G495" s="4" t="s">
        <v>28</v>
      </c>
      <c r="H495" s="4" t="s">
        <v>50</v>
      </c>
      <c r="I495" s="4" t="str">
        <f t="shared" si="35"/>
        <v>Amanda Powell</v>
      </c>
      <c r="J495" s="4" t="str">
        <f t="shared" si="36"/>
        <v>South William</v>
      </c>
      <c r="K495" s="4" t="str">
        <f>IF(OR(G495="USA",G495="usa"),"USA",K498
                                                                                                                                                                                                                                                               IF(G495="United States of America","USA","USA"))</f>
        <v>USA</v>
      </c>
      <c r="L495" s="4" t="str">
        <f t="shared" si="37"/>
        <v>CUST1493</v>
      </c>
      <c r="M495" s="4" t="str">
        <f t="shared" si="38"/>
        <v>Silver</v>
      </c>
      <c r="N495" s="4" t="str">
        <f t="shared" si="39"/>
        <v>Ok</v>
      </c>
    </row>
    <row r="496" spans="1:14" ht="15.75" customHeight="1">
      <c r="A496" s="3" t="s">
        <v>1547</v>
      </c>
      <c r="B496" s="4" t="s">
        <v>1548</v>
      </c>
      <c r="C496" s="4">
        <v>21</v>
      </c>
      <c r="D496" s="4" t="s">
        <v>25</v>
      </c>
      <c r="E496" s="4" t="s">
        <v>1549</v>
      </c>
      <c r="F496" s="4" t="s">
        <v>380</v>
      </c>
      <c r="G496" s="4" t="s">
        <v>28</v>
      </c>
      <c r="H496" s="4" t="s">
        <v>67</v>
      </c>
      <c r="I496" s="4" t="str">
        <f t="shared" si="35"/>
        <v>Justin Lopez</v>
      </c>
      <c r="J496" s="4" t="str">
        <f t="shared" si="36"/>
        <v>Port Cheryl</v>
      </c>
      <c r="K496" s="4" t="str">
        <f>IF(OR(G496="USA",G496="usa"),"USA",K499
                                                                                                                                                                                                                                                               IF(G496="United States of America","USA","USA"))</f>
        <v>USA</v>
      </c>
      <c r="L496" s="4" t="str">
        <f t="shared" si="37"/>
        <v>CUST1494</v>
      </c>
      <c r="M496" s="4" t="str">
        <f t="shared" si="38"/>
        <v>Gold</v>
      </c>
      <c r="N496" s="4" t="str">
        <f t="shared" si="39"/>
        <v>Ok</v>
      </c>
    </row>
    <row r="497" spans="1:14" ht="15.75" customHeight="1">
      <c r="A497" s="3" t="s">
        <v>1550</v>
      </c>
      <c r="B497" s="4" t="s">
        <v>1551</v>
      </c>
      <c r="C497" s="4">
        <v>23</v>
      </c>
      <c r="D497" s="4" t="s">
        <v>31</v>
      </c>
      <c r="E497" s="4" t="s">
        <v>1552</v>
      </c>
      <c r="F497" s="4" t="s">
        <v>112</v>
      </c>
      <c r="G497" s="4" t="s">
        <v>28</v>
      </c>
      <c r="H497" s="4" t="s">
        <v>44</v>
      </c>
      <c r="I497" s="4" t="str">
        <f t="shared" si="35"/>
        <v>James Berger</v>
      </c>
      <c r="J497" s="4" t="str">
        <f t="shared" si="36"/>
        <v>Bryanmouth</v>
      </c>
      <c r="K497" s="4" t="str">
        <f>IF(OR(G497="USA",G497="usa"),"USA",K500
                                                                                                                                                                                                                                                               IF(G497="United States of America","USA","USA"))</f>
        <v>USA</v>
      </c>
      <c r="L497" s="4" t="str">
        <f t="shared" si="37"/>
        <v>CUST1495</v>
      </c>
      <c r="M497" s="4" t="str">
        <f t="shared" si="38"/>
        <v>Bronze</v>
      </c>
      <c r="N497" s="4" t="str">
        <f t="shared" si="39"/>
        <v>Ok</v>
      </c>
    </row>
    <row r="498" spans="1:14" ht="15.75" customHeight="1">
      <c r="A498" s="3" t="s">
        <v>1553</v>
      </c>
      <c r="B498" s="4" t="s">
        <v>1554</v>
      </c>
      <c r="C498" s="4">
        <v>56</v>
      </c>
      <c r="D498" s="4" t="s">
        <v>25</v>
      </c>
      <c r="E498" s="4" t="s">
        <v>1555</v>
      </c>
      <c r="F498" s="4" t="s">
        <v>43</v>
      </c>
      <c r="G498" s="4" t="s">
        <v>28</v>
      </c>
      <c r="H498" s="4" t="s">
        <v>44</v>
      </c>
      <c r="I498" s="4" t="str">
        <f t="shared" si="35"/>
        <v>Christopher Ford</v>
      </c>
      <c r="J498" s="4" t="str">
        <f t="shared" si="36"/>
        <v>North Seanfurt</v>
      </c>
      <c r="K498" s="4" t="str">
        <f>IF(OR(G498="USA",G498="usa"),"USA",K501
                                                                                                                                                                                                                                                               IF(G498="United States of America","USA","USA"))</f>
        <v>USA</v>
      </c>
      <c r="L498" s="4" t="str">
        <f t="shared" si="37"/>
        <v>CUST1496</v>
      </c>
      <c r="M498" s="4" t="str">
        <f t="shared" si="38"/>
        <v>Bronze</v>
      </c>
      <c r="N498" s="4" t="str">
        <f t="shared" si="39"/>
        <v>Ok</v>
      </c>
    </row>
    <row r="499" spans="1:14" ht="15.75" customHeight="1">
      <c r="A499" s="3" t="s">
        <v>1556</v>
      </c>
      <c r="B499" s="4" t="s">
        <v>1557</v>
      </c>
      <c r="C499" s="4">
        <v>47</v>
      </c>
      <c r="D499" s="4" t="s">
        <v>31</v>
      </c>
      <c r="E499" s="4" t="s">
        <v>1558</v>
      </c>
      <c r="F499" s="4" t="s">
        <v>78</v>
      </c>
      <c r="G499" s="4" t="s">
        <v>28</v>
      </c>
      <c r="H499" s="4" t="s">
        <v>67</v>
      </c>
      <c r="I499" s="4" t="str">
        <f t="shared" si="35"/>
        <v>Sarah Marsh</v>
      </c>
      <c r="J499" s="4" t="str">
        <f t="shared" si="36"/>
        <v>Port William</v>
      </c>
      <c r="K499" s="4" t="str">
        <f>IF(OR(G499="USA",G499="usa"),"USA",K502
                                                                                                                                                                                                                                                               IF(G499="United States of America","USA","USA"))</f>
        <v>USA</v>
      </c>
      <c r="L499" s="4" t="str">
        <f t="shared" si="37"/>
        <v>CUST1497</v>
      </c>
      <c r="M499" s="4" t="str">
        <f t="shared" si="38"/>
        <v>Gold</v>
      </c>
      <c r="N499" s="4" t="str">
        <f t="shared" si="39"/>
        <v>Ok</v>
      </c>
    </row>
    <row r="500" spans="1:14" ht="15.75" customHeight="1">
      <c r="A500" s="3" t="s">
        <v>1559</v>
      </c>
      <c r="B500" s="4" t="s">
        <v>1560</v>
      </c>
      <c r="C500" s="4">
        <v>35</v>
      </c>
      <c r="D500" s="4" t="s">
        <v>25</v>
      </c>
      <c r="E500" s="4" t="s">
        <v>1561</v>
      </c>
      <c r="F500" s="4" t="s">
        <v>254</v>
      </c>
      <c r="G500" s="4" t="s">
        <v>28</v>
      </c>
      <c r="H500" s="4" t="s">
        <v>50</v>
      </c>
      <c r="I500" s="4" t="str">
        <f t="shared" si="35"/>
        <v>Traci Gonzalez</v>
      </c>
      <c r="J500" s="4" t="str">
        <f t="shared" si="36"/>
        <v>Snyderfurt</v>
      </c>
      <c r="K500" s="4" t="str">
        <f>IF(OR(G500="USA",G500="usa"),"USA",K503
                                                                                                                                                                                                                                                               IF(G500="United States of America","USA","USA"))</f>
        <v>USA</v>
      </c>
      <c r="L500" s="4" t="str">
        <f t="shared" si="37"/>
        <v>CUST1498</v>
      </c>
      <c r="M500" s="4" t="str">
        <f t="shared" si="38"/>
        <v>Silver</v>
      </c>
      <c r="N500" s="4" t="str">
        <f t="shared" si="39"/>
        <v>Ok</v>
      </c>
    </row>
    <row r="501" spans="1:14" ht="15.75" customHeight="1">
      <c r="A501" s="3" t="s">
        <v>1562</v>
      </c>
      <c r="B501" s="4" t="s">
        <v>1563</v>
      </c>
      <c r="C501" s="4">
        <v>27</v>
      </c>
      <c r="D501" s="4" t="s">
        <v>31</v>
      </c>
      <c r="E501" s="4" t="s">
        <v>1564</v>
      </c>
      <c r="F501" s="4" t="s">
        <v>54</v>
      </c>
      <c r="G501" s="4" t="s">
        <v>28</v>
      </c>
      <c r="H501" s="4" t="s">
        <v>34</v>
      </c>
      <c r="I501" s="4" t="str">
        <f t="shared" si="35"/>
        <v>Philip Pennington</v>
      </c>
      <c r="J501" s="4" t="str">
        <f t="shared" si="36"/>
        <v>East Valerieview</v>
      </c>
      <c r="K501" s="4" t="str">
        <f>IF(OR(G501="USA",G501="usa"),"USA",K504
                                                                                                                                                                                                                                                               IF(G501="United States of America","USA","USA"))</f>
        <v>USA</v>
      </c>
      <c r="L501" s="4" t="str">
        <f t="shared" si="37"/>
        <v>CUST1499</v>
      </c>
      <c r="M501" s="4" t="str">
        <f t="shared" si="38"/>
        <v>Platinum</v>
      </c>
      <c r="N501" s="4" t="str">
        <f t="shared" si="39"/>
        <v>Ok</v>
      </c>
    </row>
    <row r="502" spans="1:14" ht="15.75" customHeight="1"/>
    <row r="503" spans="1:14" ht="15.75" customHeight="1"/>
    <row r="504" spans="1:14" ht="15.75" customHeight="1"/>
    <row r="505" spans="1:14" ht="15.75" customHeight="1"/>
    <row r="506" spans="1:14" ht="15.75" customHeight="1"/>
    <row r="507" spans="1:14" ht="15.75" customHeight="1"/>
    <row r="508" spans="1:14" ht="15.75" customHeight="1"/>
    <row r="509" spans="1:14" ht="15.75" customHeight="1"/>
    <row r="510" spans="1:14" ht="15.75" customHeight="1"/>
    <row r="511" spans="1:14" ht="15.75" customHeight="1"/>
    <row r="512" spans="1:14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11811023622047" footer="0.511811023622047"/>
  <pageSetup orientation="landscape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0"/>
  <sheetViews>
    <sheetView zoomScaleNormal="100" workbookViewId="0"/>
  </sheetViews>
  <sheetFormatPr defaultColWidth="12.625" defaultRowHeight="13.9"/>
  <cols>
    <col min="1" max="1" width="13.125" customWidth="1"/>
    <col min="2" max="2" width="26.875" customWidth="1"/>
    <col min="3" max="3" width="11.125" customWidth="1"/>
    <col min="4" max="4" width="15.375" customWidth="1"/>
    <col min="5" max="5" width="29" customWidth="1"/>
    <col min="6" max="6" width="7" customWidth="1"/>
    <col min="7" max="7" width="8" customWidth="1"/>
    <col min="8" max="9" width="18" customWidth="1"/>
    <col min="10" max="10" width="26.875" customWidth="1"/>
    <col min="11" max="11" width="12.25" customWidth="1"/>
    <col min="12" max="12" width="13.25" customWidth="1"/>
    <col min="13" max="13" width="16.625" customWidth="1"/>
    <col min="14" max="26" width="14.375" customWidth="1"/>
  </cols>
  <sheetData>
    <row r="1" spans="1:13" ht="15" customHeight="1">
      <c r="A1" s="1" t="s">
        <v>1565</v>
      </c>
      <c r="B1" s="1" t="s">
        <v>1566</v>
      </c>
      <c r="C1" s="1" t="s">
        <v>1567</v>
      </c>
      <c r="D1" s="1" t="s">
        <v>1568</v>
      </c>
      <c r="E1" s="1" t="s">
        <v>1569</v>
      </c>
      <c r="F1" s="1" t="s">
        <v>1570</v>
      </c>
      <c r="G1" s="1" t="s">
        <v>1571</v>
      </c>
      <c r="H1" s="2" t="s">
        <v>1572</v>
      </c>
      <c r="I1" s="2" t="s">
        <v>1573</v>
      </c>
      <c r="J1" s="2" t="s">
        <v>1574</v>
      </c>
      <c r="K1" s="2" t="s">
        <v>1575</v>
      </c>
      <c r="L1" s="2" t="s">
        <v>1576</v>
      </c>
      <c r="M1" s="2" t="s">
        <v>1577</v>
      </c>
    </row>
    <row r="2" spans="1:13" ht="15" customHeight="1">
      <c r="A2" s="4" t="s">
        <v>1578</v>
      </c>
      <c r="B2" s="4" t="s">
        <v>1579</v>
      </c>
      <c r="C2" s="4" t="s">
        <v>1580</v>
      </c>
      <c r="D2" s="4" t="s">
        <v>1581</v>
      </c>
      <c r="E2" s="4" t="s">
        <v>1582</v>
      </c>
      <c r="F2" s="4">
        <v>112.42</v>
      </c>
      <c r="G2" s="4">
        <v>416</v>
      </c>
      <c r="H2" s="4" t="str">
        <f t="shared" ref="H2:H33" si="0">IF(LEFT(A2,2)="PROD16","PROD"&amp;TEXT(MID(A2,3,2),"000"),"PROD"&amp;TEXT(MID(A2,5,2),"000"))</f>
        <v>PROD000</v>
      </c>
      <c r="I2" s="4" t="s">
        <v>1580</v>
      </c>
      <c r="J2" s="4" t="str">
        <f t="shared" ref="J2:J33" si="1">PROPER(TRIM(B2))</f>
        <v>Brother Laser Printer</v>
      </c>
      <c r="K2" s="4">
        <f t="shared" ref="K2:K33" si="2">ROUNDUP(IF(ISBLANK(F2),AVERAGEIF(C:C,C2,F:F),F2),2)</f>
        <v>112.42</v>
      </c>
      <c r="L2" s="4">
        <f t="shared" ref="L2:L33" si="3">ROUNDUP(IF(ISBLANK(G2),AVERAGE(C:C,C2,G:G),G2),0)</f>
        <v>416</v>
      </c>
      <c r="M2" s="4">
        <f t="shared" ref="M2:M33" si="4">K2*L2</f>
        <v>46766.720000000001</v>
      </c>
    </row>
    <row r="3" spans="1:13" ht="15" customHeight="1">
      <c r="A3" s="4" t="s">
        <v>1583</v>
      </c>
      <c r="B3" s="4" t="s">
        <v>1584</v>
      </c>
      <c r="C3" s="4" t="s">
        <v>1585</v>
      </c>
      <c r="D3" s="4" t="s">
        <v>1586</v>
      </c>
      <c r="E3" s="4" t="s">
        <v>1587</v>
      </c>
      <c r="F3" s="4">
        <v>342.56</v>
      </c>
      <c r="G3" s="4">
        <v>181</v>
      </c>
      <c r="H3" s="4" t="str">
        <f t="shared" si="0"/>
        <v>PROD001</v>
      </c>
      <c r="I3" s="4" t="s">
        <v>1585</v>
      </c>
      <c r="J3" s="4" t="str">
        <f t="shared" si="1"/>
        <v>Men'S Graphic T-Shirt</v>
      </c>
      <c r="K3" s="4">
        <f t="shared" si="2"/>
        <v>342.56</v>
      </c>
      <c r="L3" s="4">
        <f t="shared" si="3"/>
        <v>181</v>
      </c>
      <c r="M3" s="4">
        <f t="shared" si="4"/>
        <v>62003.360000000001</v>
      </c>
    </row>
    <row r="4" spans="1:13" ht="15" customHeight="1">
      <c r="A4" s="4" t="s">
        <v>1588</v>
      </c>
      <c r="B4" s="4" t="s">
        <v>1589</v>
      </c>
      <c r="C4" s="4" t="s">
        <v>1585</v>
      </c>
      <c r="D4" s="4" t="s">
        <v>1590</v>
      </c>
      <c r="E4" s="4" t="s">
        <v>1591</v>
      </c>
      <c r="F4" s="4"/>
      <c r="G4" s="4">
        <v>352</v>
      </c>
      <c r="H4" s="4" t="str">
        <f t="shared" si="0"/>
        <v>PROD002</v>
      </c>
      <c r="I4" s="4" t="s">
        <v>1585</v>
      </c>
      <c r="J4" s="4" t="str">
        <f t="shared" si="1"/>
        <v>Women'S Casual Hoodie</v>
      </c>
      <c r="K4" s="4">
        <f t="shared" si="2"/>
        <v>265.74</v>
      </c>
      <c r="L4" s="4">
        <f t="shared" si="3"/>
        <v>352</v>
      </c>
      <c r="M4" s="4">
        <f t="shared" si="4"/>
        <v>93540.48000000001</v>
      </c>
    </row>
    <row r="5" spans="1:13" ht="15" customHeight="1">
      <c r="A5" s="4" t="s">
        <v>1592</v>
      </c>
      <c r="B5" s="4" t="s">
        <v>1593</v>
      </c>
      <c r="C5" s="4" t="s">
        <v>1585</v>
      </c>
      <c r="D5" s="4" t="s">
        <v>1590</v>
      </c>
      <c r="E5" s="4" t="s">
        <v>1594</v>
      </c>
      <c r="F5" s="4">
        <v>364.67</v>
      </c>
      <c r="G5" s="4">
        <v>452</v>
      </c>
      <c r="H5" s="4" t="str">
        <f t="shared" si="0"/>
        <v>PROD003</v>
      </c>
      <c r="I5" s="4" t="s">
        <v>1585</v>
      </c>
      <c r="J5" s="4" t="str">
        <f t="shared" si="1"/>
        <v>Men'S Running Jacket</v>
      </c>
      <c r="K5" s="4">
        <f t="shared" si="2"/>
        <v>364.67</v>
      </c>
      <c r="L5" s="4">
        <f t="shared" si="3"/>
        <v>452</v>
      </c>
      <c r="M5" s="4">
        <f t="shared" si="4"/>
        <v>164830.84</v>
      </c>
    </row>
    <row r="6" spans="1:13" ht="15" customHeight="1">
      <c r="A6" s="4" t="s">
        <v>1595</v>
      </c>
      <c r="B6" s="4" t="s">
        <v>1596</v>
      </c>
      <c r="C6" s="4" t="s">
        <v>1585</v>
      </c>
      <c r="D6" s="4" t="s">
        <v>1597</v>
      </c>
      <c r="E6" s="4" t="s">
        <v>1598</v>
      </c>
      <c r="F6" s="4">
        <v>306.45999999999998</v>
      </c>
      <c r="G6" s="4">
        <v>487</v>
      </c>
      <c r="H6" s="4" t="str">
        <f t="shared" si="0"/>
        <v>PROD004</v>
      </c>
      <c r="I6" s="4" t="s">
        <v>1585</v>
      </c>
      <c r="J6" s="4" t="str">
        <f t="shared" si="1"/>
        <v>Women'S Yoga Pants</v>
      </c>
      <c r="K6" s="4">
        <f t="shared" si="2"/>
        <v>306.45999999999998</v>
      </c>
      <c r="L6" s="4">
        <f t="shared" si="3"/>
        <v>487</v>
      </c>
      <c r="M6" s="4">
        <f t="shared" si="4"/>
        <v>149246.01999999999</v>
      </c>
    </row>
    <row r="7" spans="1:13" ht="15" customHeight="1">
      <c r="A7" s="4" t="s">
        <v>1599</v>
      </c>
      <c r="B7" s="4" t="s">
        <v>1600</v>
      </c>
      <c r="C7" s="4" t="s">
        <v>1585</v>
      </c>
      <c r="D7" s="4" t="s">
        <v>1601</v>
      </c>
      <c r="E7" s="4" t="s">
        <v>1602</v>
      </c>
      <c r="F7" s="4">
        <v>261</v>
      </c>
      <c r="G7" s="4">
        <v>59</v>
      </c>
      <c r="H7" s="4" t="str">
        <f t="shared" si="0"/>
        <v>PROD005</v>
      </c>
      <c r="I7" s="4" t="s">
        <v>1585</v>
      </c>
      <c r="J7" s="4" t="str">
        <f t="shared" si="1"/>
        <v>Men'S Leather Belt</v>
      </c>
      <c r="K7" s="4">
        <f t="shared" si="2"/>
        <v>261</v>
      </c>
      <c r="L7" s="4">
        <f t="shared" si="3"/>
        <v>59</v>
      </c>
      <c r="M7" s="4">
        <f t="shared" si="4"/>
        <v>15399</v>
      </c>
    </row>
    <row r="8" spans="1:13" ht="15" customHeight="1">
      <c r="A8" s="4" t="s">
        <v>1603</v>
      </c>
      <c r="B8" s="4" t="s">
        <v>1604</v>
      </c>
      <c r="C8" s="4" t="s">
        <v>1605</v>
      </c>
      <c r="D8" s="4" t="s">
        <v>1606</v>
      </c>
      <c r="E8" s="4" t="s">
        <v>1607</v>
      </c>
      <c r="F8" s="4">
        <v>312.8</v>
      </c>
      <c r="G8" s="4">
        <v>350</v>
      </c>
      <c r="H8" s="4" t="str">
        <f t="shared" si="0"/>
        <v>PROD006</v>
      </c>
      <c r="I8" s="4" t="s">
        <v>1605</v>
      </c>
      <c r="J8" s="4" t="str">
        <f t="shared" si="1"/>
        <v>Herbal Face Moisturizer</v>
      </c>
      <c r="K8" s="4">
        <f t="shared" si="2"/>
        <v>312.8</v>
      </c>
      <c r="L8" s="4">
        <f t="shared" si="3"/>
        <v>350</v>
      </c>
      <c r="M8" s="4">
        <f t="shared" si="4"/>
        <v>109480</v>
      </c>
    </row>
    <row r="9" spans="1:13" ht="15" customHeight="1">
      <c r="A9" s="4" t="s">
        <v>1608</v>
      </c>
      <c r="B9" s="4" t="s">
        <v>1609</v>
      </c>
      <c r="C9" s="4" t="s">
        <v>1610</v>
      </c>
      <c r="D9" s="4" t="s">
        <v>1611</v>
      </c>
      <c r="E9" s="4" t="s">
        <v>1612</v>
      </c>
      <c r="F9" s="4">
        <v>218.86</v>
      </c>
      <c r="G9" s="4">
        <v>170</v>
      </c>
      <c r="H9" s="4" t="str">
        <f t="shared" si="0"/>
        <v>PROD007</v>
      </c>
      <c r="I9" s="4" t="s">
        <v>1610</v>
      </c>
      <c r="J9" s="4" t="str">
        <f t="shared" si="1"/>
        <v>Led Table Lamp</v>
      </c>
      <c r="K9" s="4">
        <f t="shared" si="2"/>
        <v>218.86</v>
      </c>
      <c r="L9" s="4">
        <f t="shared" si="3"/>
        <v>170</v>
      </c>
      <c r="M9" s="4">
        <f t="shared" si="4"/>
        <v>37206.200000000004</v>
      </c>
    </row>
    <row r="10" spans="1:13" ht="15" customHeight="1">
      <c r="A10" s="4" t="s">
        <v>1613</v>
      </c>
      <c r="B10" s="4" t="s">
        <v>1614</v>
      </c>
      <c r="C10" s="4" t="s">
        <v>1580</v>
      </c>
      <c r="D10" s="4" t="s">
        <v>1615</v>
      </c>
      <c r="E10" s="4" t="s">
        <v>1616</v>
      </c>
      <c r="F10" s="4">
        <v>439.07</v>
      </c>
      <c r="G10" s="4">
        <v>142</v>
      </c>
      <c r="H10" s="4" t="str">
        <f t="shared" si="0"/>
        <v>PROD008</v>
      </c>
      <c r="I10" s="4" t="s">
        <v>1580</v>
      </c>
      <c r="J10" s="4" t="str">
        <f t="shared" si="1"/>
        <v>Wireless Bluetooth Earbuds</v>
      </c>
      <c r="K10" s="4">
        <f t="shared" si="2"/>
        <v>439.07</v>
      </c>
      <c r="L10" s="4">
        <f t="shared" si="3"/>
        <v>142</v>
      </c>
      <c r="M10" s="4">
        <f t="shared" si="4"/>
        <v>62347.94</v>
      </c>
    </row>
    <row r="11" spans="1:13" ht="15" customHeight="1">
      <c r="A11" s="4" t="s">
        <v>1617</v>
      </c>
      <c r="B11" s="4" t="s">
        <v>1618</v>
      </c>
      <c r="C11" s="4" t="s">
        <v>1619</v>
      </c>
      <c r="D11" s="4" t="s">
        <v>1620</v>
      </c>
      <c r="E11" s="4" t="s">
        <v>1621</v>
      </c>
      <c r="F11" s="4">
        <v>495.72</v>
      </c>
      <c r="G11" s="4">
        <v>323</v>
      </c>
      <c r="H11" s="4" t="str">
        <f t="shared" si="0"/>
        <v>PROD009</v>
      </c>
      <c r="I11" s="4" t="s">
        <v>1619</v>
      </c>
      <c r="J11" s="4" t="str">
        <f t="shared" si="1"/>
        <v>Adjustable Dumbbell Set</v>
      </c>
      <c r="K11" s="4">
        <f t="shared" si="2"/>
        <v>495.72</v>
      </c>
      <c r="L11" s="4">
        <f t="shared" si="3"/>
        <v>323</v>
      </c>
      <c r="M11" s="4">
        <f t="shared" si="4"/>
        <v>160117.56</v>
      </c>
    </row>
    <row r="12" spans="1:13" ht="15" customHeight="1">
      <c r="A12" s="4" t="s">
        <v>1622</v>
      </c>
      <c r="B12" s="4" t="s">
        <v>1623</v>
      </c>
      <c r="C12" s="4" t="s">
        <v>1610</v>
      </c>
      <c r="D12" s="4" t="s">
        <v>1624</v>
      </c>
      <c r="E12" s="4" t="s">
        <v>1625</v>
      </c>
      <c r="F12" s="4">
        <v>298.86</v>
      </c>
      <c r="G12" s="4">
        <v>308</v>
      </c>
      <c r="H12" s="4" t="str">
        <f t="shared" si="0"/>
        <v>PROD010</v>
      </c>
      <c r="I12" s="4" t="s">
        <v>1610</v>
      </c>
      <c r="J12" s="4" t="str">
        <f t="shared" si="1"/>
        <v>Ceramic Kitchen Bowl Set</v>
      </c>
      <c r="K12" s="4">
        <f t="shared" si="2"/>
        <v>298.86</v>
      </c>
      <c r="L12" s="4">
        <f t="shared" si="3"/>
        <v>308</v>
      </c>
      <c r="M12" s="4">
        <f t="shared" si="4"/>
        <v>92048.88</v>
      </c>
    </row>
    <row r="13" spans="1:13" ht="15" customHeight="1">
      <c r="A13" s="4" t="s">
        <v>1626</v>
      </c>
      <c r="B13" s="4" t="s">
        <v>1627</v>
      </c>
      <c r="C13" s="4" t="s">
        <v>1580</v>
      </c>
      <c r="D13" s="4" t="s">
        <v>1601</v>
      </c>
      <c r="E13" s="4" t="s">
        <v>1628</v>
      </c>
      <c r="F13" s="4">
        <v>449.4</v>
      </c>
      <c r="G13" s="4"/>
      <c r="H13" s="4" t="str">
        <f t="shared" si="0"/>
        <v>PROD011</v>
      </c>
      <c r="I13" s="4" t="s">
        <v>1580</v>
      </c>
      <c r="J13" s="4" t="str">
        <f t="shared" si="1"/>
        <v>Hd Smart Tv Stick</v>
      </c>
      <c r="K13" s="4">
        <f t="shared" si="2"/>
        <v>449.4</v>
      </c>
      <c r="L13" s="4">
        <f t="shared" si="3"/>
        <v>274</v>
      </c>
      <c r="M13" s="4">
        <f t="shared" si="4"/>
        <v>123135.59999999999</v>
      </c>
    </row>
    <row r="14" spans="1:13" ht="15" customHeight="1">
      <c r="A14" s="4" t="s">
        <v>1629</v>
      </c>
      <c r="B14" s="4" t="s">
        <v>1630</v>
      </c>
      <c r="C14" s="4" t="s">
        <v>1605</v>
      </c>
      <c r="D14" s="4" t="s">
        <v>1631</v>
      </c>
      <c r="E14" s="4" t="s">
        <v>1632</v>
      </c>
      <c r="F14" s="4">
        <v>115.82</v>
      </c>
      <c r="G14" s="4">
        <v>460</v>
      </c>
      <c r="H14" s="4" t="str">
        <f t="shared" si="0"/>
        <v>PROD012</v>
      </c>
      <c r="I14" s="4" t="s">
        <v>1605</v>
      </c>
      <c r="J14" s="4" t="str">
        <f t="shared" si="1"/>
        <v>Hair Strengthening Shampoo</v>
      </c>
      <c r="K14" s="4">
        <f t="shared" si="2"/>
        <v>115.82</v>
      </c>
      <c r="L14" s="4">
        <f t="shared" si="3"/>
        <v>460</v>
      </c>
      <c r="M14" s="4">
        <f t="shared" si="4"/>
        <v>53277.2</v>
      </c>
    </row>
    <row r="15" spans="1:13" ht="15" customHeight="1">
      <c r="A15" s="4" t="s">
        <v>1633</v>
      </c>
      <c r="B15" s="4" t="s">
        <v>1634</v>
      </c>
      <c r="C15" s="4" t="s">
        <v>1580</v>
      </c>
      <c r="D15" s="4" t="s">
        <v>1601</v>
      </c>
      <c r="E15" s="4" t="s">
        <v>1635</v>
      </c>
      <c r="F15" s="4">
        <v>242.23</v>
      </c>
      <c r="G15" s="4">
        <v>453</v>
      </c>
      <c r="H15" s="4" t="str">
        <f t="shared" si="0"/>
        <v>PROD013</v>
      </c>
      <c r="I15" s="4" t="s">
        <v>1580</v>
      </c>
      <c r="J15" s="4" t="str">
        <f t="shared" si="1"/>
        <v>Usb-C Fast Charger</v>
      </c>
      <c r="K15" s="4">
        <f t="shared" si="2"/>
        <v>242.23</v>
      </c>
      <c r="L15" s="4">
        <f t="shared" si="3"/>
        <v>453</v>
      </c>
      <c r="M15" s="4">
        <f t="shared" si="4"/>
        <v>109730.19</v>
      </c>
    </row>
    <row r="16" spans="1:13" ht="15" customHeight="1">
      <c r="A16" s="4" t="s">
        <v>1636</v>
      </c>
      <c r="B16" s="4" t="s">
        <v>1637</v>
      </c>
      <c r="C16" s="4" t="s">
        <v>1610</v>
      </c>
      <c r="D16" s="4" t="s">
        <v>1638</v>
      </c>
      <c r="E16" s="4" t="s">
        <v>1639</v>
      </c>
      <c r="F16" s="4">
        <v>48.01</v>
      </c>
      <c r="G16" s="4">
        <v>439</v>
      </c>
      <c r="H16" s="4" t="str">
        <f t="shared" si="0"/>
        <v>PROD014</v>
      </c>
      <c r="I16" s="4" t="s">
        <v>1610</v>
      </c>
      <c r="J16" s="4" t="str">
        <f t="shared" si="1"/>
        <v>Decorative Wall Mirror</v>
      </c>
      <c r="K16" s="4">
        <f t="shared" si="2"/>
        <v>48.01</v>
      </c>
      <c r="L16" s="4">
        <f t="shared" si="3"/>
        <v>439</v>
      </c>
      <c r="M16" s="4">
        <f t="shared" si="4"/>
        <v>21076.39</v>
      </c>
    </row>
    <row r="17" spans="1:13" ht="15" customHeight="1">
      <c r="A17" s="4" t="s">
        <v>1640</v>
      </c>
      <c r="B17" s="4" t="s">
        <v>1641</v>
      </c>
      <c r="C17" s="4" t="s">
        <v>1580</v>
      </c>
      <c r="D17" s="4" t="s">
        <v>1642</v>
      </c>
      <c r="E17" s="4" t="s">
        <v>1643</v>
      </c>
      <c r="F17" s="4">
        <v>465.34</v>
      </c>
      <c r="G17" s="4">
        <v>301</v>
      </c>
      <c r="H17" s="4" t="str">
        <f t="shared" si="0"/>
        <v>PROD015</v>
      </c>
      <c r="I17" s="4" t="s">
        <v>1580</v>
      </c>
      <c r="J17" s="4" t="str">
        <f t="shared" si="1"/>
        <v>4K Home Projector</v>
      </c>
      <c r="K17" s="4">
        <f t="shared" si="2"/>
        <v>465.34</v>
      </c>
      <c r="L17" s="4">
        <f t="shared" si="3"/>
        <v>301</v>
      </c>
      <c r="M17" s="4">
        <f t="shared" si="4"/>
        <v>140067.34</v>
      </c>
    </row>
    <row r="18" spans="1:13" ht="15" customHeight="1">
      <c r="A18" s="4" t="s">
        <v>1644</v>
      </c>
      <c r="B18" s="4" t="s">
        <v>1645</v>
      </c>
      <c r="C18" s="4" t="s">
        <v>1605</v>
      </c>
      <c r="D18" s="4" t="s">
        <v>1646</v>
      </c>
      <c r="E18" s="4" t="s">
        <v>1647</v>
      </c>
      <c r="F18" s="4">
        <v>337.42</v>
      </c>
      <c r="G18" s="4">
        <v>256</v>
      </c>
      <c r="H18" s="4" t="str">
        <f t="shared" si="0"/>
        <v>PROD016</v>
      </c>
      <c r="I18" s="4" t="s">
        <v>1605</v>
      </c>
      <c r="J18" s="4" t="str">
        <f t="shared" si="1"/>
        <v>Beard Grooming Kit</v>
      </c>
      <c r="K18" s="4">
        <f t="shared" si="2"/>
        <v>337.42</v>
      </c>
      <c r="L18" s="4">
        <f t="shared" si="3"/>
        <v>256</v>
      </c>
      <c r="M18" s="4">
        <f t="shared" si="4"/>
        <v>86379.520000000004</v>
      </c>
    </row>
    <row r="19" spans="1:13" ht="15" customHeight="1">
      <c r="A19" s="4" t="s">
        <v>1648</v>
      </c>
      <c r="B19" s="4" t="s">
        <v>1649</v>
      </c>
      <c r="C19" s="4" t="s">
        <v>1619</v>
      </c>
      <c r="D19" s="4" t="s">
        <v>1601</v>
      </c>
      <c r="E19" s="4" t="s">
        <v>1650</v>
      </c>
      <c r="F19" s="4">
        <v>144.53</v>
      </c>
      <c r="G19" s="4">
        <v>367</v>
      </c>
      <c r="H19" s="4" t="str">
        <f t="shared" si="0"/>
        <v>PROD017</v>
      </c>
      <c r="I19" s="4" t="s">
        <v>1619</v>
      </c>
      <c r="J19" s="4" t="str">
        <f t="shared" si="1"/>
        <v>Soccer Training Cone Set</v>
      </c>
      <c r="K19" s="4">
        <f t="shared" si="2"/>
        <v>144.53</v>
      </c>
      <c r="L19" s="4">
        <f t="shared" si="3"/>
        <v>367</v>
      </c>
      <c r="M19" s="4">
        <f t="shared" si="4"/>
        <v>53042.51</v>
      </c>
    </row>
    <row r="20" spans="1:13" ht="15" customHeight="1">
      <c r="A20" s="4" t="s">
        <v>1651</v>
      </c>
      <c r="B20" s="4" t="s">
        <v>1652</v>
      </c>
      <c r="C20" s="4" t="s">
        <v>1585</v>
      </c>
      <c r="D20" s="4" t="s">
        <v>1597</v>
      </c>
      <c r="E20" s="4" t="s">
        <v>1653</v>
      </c>
      <c r="F20" s="4"/>
      <c r="G20" s="4">
        <v>343</v>
      </c>
      <c r="H20" s="4" t="str">
        <f t="shared" si="0"/>
        <v>PROD018</v>
      </c>
      <c r="I20" s="4" t="s">
        <v>1585</v>
      </c>
      <c r="J20" s="4" t="str">
        <f t="shared" si="1"/>
        <v>Women'S Denim Jeans</v>
      </c>
      <c r="K20" s="4">
        <f t="shared" si="2"/>
        <v>265.74</v>
      </c>
      <c r="L20" s="4">
        <f t="shared" si="3"/>
        <v>343</v>
      </c>
      <c r="M20" s="4">
        <f t="shared" si="4"/>
        <v>91148.82</v>
      </c>
    </row>
    <row r="21" spans="1:13" ht="15.75" customHeight="1">
      <c r="A21" s="4" t="s">
        <v>1654</v>
      </c>
      <c r="B21" s="4" t="s">
        <v>1655</v>
      </c>
      <c r="C21" s="4" t="s">
        <v>1619</v>
      </c>
      <c r="D21" s="4" t="s">
        <v>1656</v>
      </c>
      <c r="E21" s="4" t="s">
        <v>1657</v>
      </c>
      <c r="F21" s="4">
        <v>21.34</v>
      </c>
      <c r="G21" s="4">
        <v>65</v>
      </c>
      <c r="H21" s="4" t="str">
        <f t="shared" si="0"/>
        <v>PROD019</v>
      </c>
      <c r="I21" s="4" t="s">
        <v>1619</v>
      </c>
      <c r="J21" s="4" t="str">
        <f t="shared" si="1"/>
        <v>Knee Support Brace</v>
      </c>
      <c r="K21" s="4">
        <f t="shared" si="2"/>
        <v>21.34</v>
      </c>
      <c r="L21" s="4">
        <f t="shared" si="3"/>
        <v>65</v>
      </c>
      <c r="M21" s="4">
        <f t="shared" si="4"/>
        <v>1387.1</v>
      </c>
    </row>
    <row r="22" spans="1:13" ht="15.75" customHeight="1">
      <c r="A22" s="4" t="s">
        <v>1658</v>
      </c>
      <c r="B22" s="4" t="s">
        <v>1659</v>
      </c>
      <c r="C22" s="4" t="s">
        <v>1619</v>
      </c>
      <c r="D22" s="4" t="s">
        <v>1601</v>
      </c>
      <c r="E22" s="4" t="s">
        <v>1660</v>
      </c>
      <c r="F22" s="4">
        <v>131.51</v>
      </c>
      <c r="G22" s="4"/>
      <c r="H22" s="4" t="str">
        <f t="shared" si="0"/>
        <v>PROD020</v>
      </c>
      <c r="I22" s="4" t="s">
        <v>1619</v>
      </c>
      <c r="J22" s="4" t="str">
        <f t="shared" si="1"/>
        <v>Outdoor Sports Water Bottle</v>
      </c>
      <c r="K22" s="4">
        <f t="shared" si="2"/>
        <v>131.51</v>
      </c>
      <c r="L22" s="4">
        <f t="shared" si="3"/>
        <v>274</v>
      </c>
      <c r="M22" s="4">
        <f t="shared" si="4"/>
        <v>36033.74</v>
      </c>
    </row>
    <row r="23" spans="1:13" ht="15.75" customHeight="1">
      <c r="A23" s="4" t="s">
        <v>1661</v>
      </c>
      <c r="B23" s="4" t="s">
        <v>1662</v>
      </c>
      <c r="C23" s="4" t="s">
        <v>1610</v>
      </c>
      <c r="D23" s="4" t="s">
        <v>1663</v>
      </c>
      <c r="E23" s="4" t="s">
        <v>1664</v>
      </c>
      <c r="F23" s="4">
        <v>123.46</v>
      </c>
      <c r="G23" s="4">
        <v>76</v>
      </c>
      <c r="H23" s="4" t="str">
        <f t="shared" si="0"/>
        <v>PROD021</v>
      </c>
      <c r="I23" s="4" t="s">
        <v>1610</v>
      </c>
      <c r="J23" s="4" t="str">
        <f t="shared" si="1"/>
        <v>Multi-Purpose Storage Box</v>
      </c>
      <c r="K23" s="4">
        <f t="shared" si="2"/>
        <v>123.46</v>
      </c>
      <c r="L23" s="4">
        <f t="shared" si="3"/>
        <v>76</v>
      </c>
      <c r="M23" s="4">
        <f t="shared" si="4"/>
        <v>9382.9599999999991</v>
      </c>
    </row>
    <row r="24" spans="1:13" ht="15.75" customHeight="1">
      <c r="A24" s="4" t="s">
        <v>1665</v>
      </c>
      <c r="B24" s="4" t="s">
        <v>1666</v>
      </c>
      <c r="C24" s="4" t="s">
        <v>1619</v>
      </c>
      <c r="D24" s="4" t="s">
        <v>1656</v>
      </c>
      <c r="E24" s="4" t="s">
        <v>1667</v>
      </c>
      <c r="F24" s="4">
        <v>484.62</v>
      </c>
      <c r="G24" s="4">
        <v>432</v>
      </c>
      <c r="H24" s="4" t="str">
        <f t="shared" si="0"/>
        <v>PROD022</v>
      </c>
      <c r="I24" s="4" t="s">
        <v>1619</v>
      </c>
      <c r="J24" s="4" t="str">
        <f t="shared" si="1"/>
        <v>Carbon Fiber Tennis Racket</v>
      </c>
      <c r="K24" s="4">
        <f t="shared" si="2"/>
        <v>484.62</v>
      </c>
      <c r="L24" s="4">
        <f t="shared" si="3"/>
        <v>432</v>
      </c>
      <c r="M24" s="4">
        <f t="shared" si="4"/>
        <v>209355.84</v>
      </c>
    </row>
    <row r="25" spans="1:13" ht="15.75" customHeight="1">
      <c r="A25" s="4" t="s">
        <v>1668</v>
      </c>
      <c r="B25" s="4" t="s">
        <v>1669</v>
      </c>
      <c r="C25" s="4" t="s">
        <v>1585</v>
      </c>
      <c r="D25" s="4" t="s">
        <v>1586</v>
      </c>
      <c r="E25" s="4" t="s">
        <v>1670</v>
      </c>
      <c r="F25" s="4"/>
      <c r="G25" s="4">
        <v>360</v>
      </c>
      <c r="H25" s="4" t="str">
        <f t="shared" si="0"/>
        <v>PROD023</v>
      </c>
      <c r="I25" s="4" t="s">
        <v>1585</v>
      </c>
      <c r="J25" s="4" t="str">
        <f t="shared" si="1"/>
        <v>Men'S Formal Shirt</v>
      </c>
      <c r="K25" s="4">
        <f t="shared" si="2"/>
        <v>265.74</v>
      </c>
      <c r="L25" s="4">
        <f t="shared" si="3"/>
        <v>360</v>
      </c>
      <c r="M25" s="4">
        <f t="shared" si="4"/>
        <v>95666.400000000009</v>
      </c>
    </row>
    <row r="26" spans="1:13" ht="15.75" customHeight="1">
      <c r="A26" s="4" t="s">
        <v>1671</v>
      </c>
      <c r="B26" s="4" t="s">
        <v>1672</v>
      </c>
      <c r="C26" s="4" t="s">
        <v>1619</v>
      </c>
      <c r="D26" s="4" t="s">
        <v>1673</v>
      </c>
      <c r="E26" s="4" t="s">
        <v>1674</v>
      </c>
      <c r="F26" s="4">
        <v>166.06</v>
      </c>
      <c r="G26" s="4">
        <v>340</v>
      </c>
      <c r="H26" s="4" t="str">
        <f t="shared" si="0"/>
        <v>PROD024</v>
      </c>
      <c r="I26" s="4" t="s">
        <v>1619</v>
      </c>
      <c r="J26" s="4" t="str">
        <f t="shared" si="1"/>
        <v>Foldable Camping Chair</v>
      </c>
      <c r="K26" s="4">
        <f t="shared" si="2"/>
        <v>166.06</v>
      </c>
      <c r="L26" s="4">
        <f t="shared" si="3"/>
        <v>340</v>
      </c>
      <c r="M26" s="4">
        <f t="shared" si="4"/>
        <v>56460.4</v>
      </c>
    </row>
    <row r="27" spans="1:13" ht="15.75" customHeight="1">
      <c r="A27" s="4" t="s">
        <v>1675</v>
      </c>
      <c r="B27" s="4" t="s">
        <v>1676</v>
      </c>
      <c r="C27" s="4" t="s">
        <v>1585</v>
      </c>
      <c r="D27" s="4" t="s">
        <v>1601</v>
      </c>
      <c r="E27" s="4" t="s">
        <v>1677</v>
      </c>
      <c r="F27" s="4">
        <v>174.02</v>
      </c>
      <c r="G27" s="4">
        <v>268</v>
      </c>
      <c r="H27" s="4" t="str">
        <f t="shared" si="0"/>
        <v>PROD025</v>
      </c>
      <c r="I27" s="4" t="s">
        <v>1585</v>
      </c>
      <c r="J27" s="4" t="str">
        <f t="shared" si="1"/>
        <v>Women'S Scarf Set</v>
      </c>
      <c r="K27" s="4">
        <f t="shared" si="2"/>
        <v>174.02</v>
      </c>
      <c r="L27" s="4">
        <f t="shared" si="3"/>
        <v>268</v>
      </c>
      <c r="M27" s="4">
        <f t="shared" si="4"/>
        <v>46637.36</v>
      </c>
    </row>
    <row r="28" spans="1:13" ht="15.75" customHeight="1">
      <c r="A28" s="4" t="s">
        <v>1678</v>
      </c>
      <c r="B28" s="4" t="s">
        <v>1679</v>
      </c>
      <c r="C28" s="4" t="s">
        <v>1580</v>
      </c>
      <c r="D28" s="4" t="s">
        <v>1615</v>
      </c>
      <c r="E28" s="4" t="s">
        <v>1680</v>
      </c>
      <c r="F28" s="4">
        <v>322.41000000000003</v>
      </c>
      <c r="G28" s="4">
        <v>213</v>
      </c>
      <c r="H28" s="4" t="str">
        <f t="shared" si="0"/>
        <v>PROD026</v>
      </c>
      <c r="I28" s="4" t="s">
        <v>1580</v>
      </c>
      <c r="J28" s="4" t="str">
        <f t="shared" si="1"/>
        <v>Wireless Bluetooth Speaker</v>
      </c>
      <c r="K28" s="4">
        <f t="shared" si="2"/>
        <v>322.41000000000003</v>
      </c>
      <c r="L28" s="4">
        <f t="shared" si="3"/>
        <v>213</v>
      </c>
      <c r="M28" s="4">
        <f t="shared" si="4"/>
        <v>68673.33</v>
      </c>
    </row>
    <row r="29" spans="1:13" ht="15.75" customHeight="1">
      <c r="A29" s="4" t="s">
        <v>1681</v>
      </c>
      <c r="B29" s="4" t="s">
        <v>1682</v>
      </c>
      <c r="C29" s="4" t="s">
        <v>1610</v>
      </c>
      <c r="D29" s="4" t="s">
        <v>1638</v>
      </c>
      <c r="E29" s="4" t="s">
        <v>1683</v>
      </c>
      <c r="F29" s="4"/>
      <c r="G29" s="4">
        <v>378</v>
      </c>
      <c r="H29" s="4" t="str">
        <f t="shared" si="0"/>
        <v>PROD027</v>
      </c>
      <c r="I29" s="4" t="s">
        <v>1610</v>
      </c>
      <c r="J29" s="4" t="str">
        <f t="shared" si="1"/>
        <v>Decorative Floor Vase</v>
      </c>
      <c r="K29" s="4">
        <f t="shared" si="2"/>
        <v>234.81</v>
      </c>
      <c r="L29" s="4">
        <f t="shared" si="3"/>
        <v>378</v>
      </c>
      <c r="M29" s="4">
        <f t="shared" si="4"/>
        <v>88758.180000000008</v>
      </c>
    </row>
    <row r="30" spans="1:13" ht="15.75" customHeight="1">
      <c r="A30" s="4" t="s">
        <v>1684</v>
      </c>
      <c r="B30" s="4" t="s">
        <v>1685</v>
      </c>
      <c r="C30" s="4" t="s">
        <v>1619</v>
      </c>
      <c r="D30" s="4" t="s">
        <v>1601</v>
      </c>
      <c r="E30" s="4" t="s">
        <v>1686</v>
      </c>
      <c r="F30" s="4">
        <v>38.76</v>
      </c>
      <c r="G30" s="4">
        <v>137</v>
      </c>
      <c r="H30" s="4" t="str">
        <f t="shared" si="0"/>
        <v>PROD028</v>
      </c>
      <c r="I30" s="4" t="s">
        <v>1619</v>
      </c>
      <c r="J30" s="4" t="str">
        <f t="shared" si="1"/>
        <v>Sports Stopwatch Timer</v>
      </c>
      <c r="K30" s="4">
        <f t="shared" si="2"/>
        <v>38.76</v>
      </c>
      <c r="L30" s="4">
        <f t="shared" si="3"/>
        <v>137</v>
      </c>
      <c r="M30" s="4">
        <f t="shared" si="4"/>
        <v>5310.12</v>
      </c>
    </row>
    <row r="31" spans="1:13" ht="15.75" customHeight="1">
      <c r="A31" s="4" t="s">
        <v>1687</v>
      </c>
      <c r="B31" s="4" t="s">
        <v>1688</v>
      </c>
      <c r="C31" s="4" t="s">
        <v>1610</v>
      </c>
      <c r="D31" s="4" t="s">
        <v>1638</v>
      </c>
      <c r="E31" s="4" t="s">
        <v>1689</v>
      </c>
      <c r="F31" s="4">
        <v>218.48</v>
      </c>
      <c r="G31" s="4">
        <v>276</v>
      </c>
      <c r="H31" s="4" t="str">
        <f t="shared" si="0"/>
        <v>PROD029</v>
      </c>
      <c r="I31" s="4" t="s">
        <v>1610</v>
      </c>
      <c r="J31" s="4" t="str">
        <f t="shared" si="1"/>
        <v>Fabric Sofa Throw Blanket</v>
      </c>
      <c r="K31" s="4">
        <f t="shared" si="2"/>
        <v>218.48</v>
      </c>
      <c r="L31" s="4">
        <f t="shared" si="3"/>
        <v>276</v>
      </c>
      <c r="M31" s="4">
        <f t="shared" si="4"/>
        <v>60300.479999999996</v>
      </c>
    </row>
    <row r="32" spans="1:13" ht="15.75" customHeight="1">
      <c r="A32" s="4" t="s">
        <v>1690</v>
      </c>
      <c r="B32" s="4" t="s">
        <v>1691</v>
      </c>
      <c r="C32" s="4" t="s">
        <v>1610</v>
      </c>
      <c r="D32" s="4" t="s">
        <v>1624</v>
      </c>
      <c r="E32" s="4" t="s">
        <v>1692</v>
      </c>
      <c r="F32" s="4">
        <v>19.52</v>
      </c>
      <c r="G32" s="4">
        <v>57</v>
      </c>
      <c r="H32" s="4" t="str">
        <f t="shared" si="0"/>
        <v>PROD030</v>
      </c>
      <c r="I32" s="4" t="s">
        <v>1610</v>
      </c>
      <c r="J32" s="4" t="str">
        <f t="shared" si="1"/>
        <v>Stainless Steel Cutlery Set</v>
      </c>
      <c r="K32" s="4">
        <f t="shared" si="2"/>
        <v>19.52</v>
      </c>
      <c r="L32" s="4">
        <f t="shared" si="3"/>
        <v>57</v>
      </c>
      <c r="M32" s="4">
        <f t="shared" si="4"/>
        <v>1112.6399999999999</v>
      </c>
    </row>
    <row r="33" spans="1:13" ht="15.75" customHeight="1">
      <c r="A33" s="4" t="s">
        <v>1693</v>
      </c>
      <c r="B33" s="4" t="s">
        <v>1694</v>
      </c>
      <c r="C33" s="4" t="s">
        <v>1619</v>
      </c>
      <c r="D33" s="4" t="s">
        <v>1695</v>
      </c>
      <c r="E33" s="4" t="s">
        <v>1696</v>
      </c>
      <c r="F33" s="4">
        <v>204.39</v>
      </c>
      <c r="G33" s="4">
        <v>281</v>
      </c>
      <c r="H33" s="4" t="str">
        <f t="shared" si="0"/>
        <v>PROD031</v>
      </c>
      <c r="I33" s="4" t="s">
        <v>1619</v>
      </c>
      <c r="J33" s="4" t="str">
        <f t="shared" si="1"/>
        <v>Basketball</v>
      </c>
      <c r="K33" s="4">
        <f t="shared" si="2"/>
        <v>204.39</v>
      </c>
      <c r="L33" s="4">
        <f t="shared" si="3"/>
        <v>281</v>
      </c>
      <c r="M33" s="4">
        <f t="shared" si="4"/>
        <v>57433.59</v>
      </c>
    </row>
    <row r="34" spans="1:13" ht="15.75" customHeight="1">
      <c r="A34" s="4" t="s">
        <v>1697</v>
      </c>
      <c r="B34" s="4" t="s">
        <v>1698</v>
      </c>
      <c r="C34" s="4" t="s">
        <v>1605</v>
      </c>
      <c r="D34" s="4" t="s">
        <v>1606</v>
      </c>
      <c r="E34" s="4" t="s">
        <v>1699</v>
      </c>
      <c r="F34" s="4">
        <v>283.83</v>
      </c>
      <c r="G34" s="4">
        <v>244</v>
      </c>
      <c r="H34" s="4" t="str">
        <f t="shared" ref="H34:H65" si="5">IF(LEFT(A34,2)="PROD16","PROD"&amp;TEXT(MID(A34,3,2),"000"),"PROD"&amp;TEXT(MID(A34,5,2),"000"))</f>
        <v>PROD032</v>
      </c>
      <c r="I34" s="4" t="s">
        <v>1605</v>
      </c>
      <c r="J34" s="4" t="str">
        <f t="shared" ref="J34:J65" si="6">PROPER(TRIM(B34))</f>
        <v>Vitamin C Face Serum</v>
      </c>
      <c r="K34" s="4">
        <f t="shared" ref="K34:K65" si="7">ROUNDUP(IF(ISBLANK(F34),AVERAGEIF(C:C,C34,F:F),F34),2)</f>
        <v>283.83</v>
      </c>
      <c r="L34" s="4">
        <f t="shared" ref="L34:L65" si="8">ROUNDUP(IF(ISBLANK(G34),AVERAGE(C:C,C34,G:G),G34),0)</f>
        <v>244</v>
      </c>
      <c r="M34" s="4">
        <f t="shared" ref="M34:M65" si="9">K34*L34</f>
        <v>69254.51999999999</v>
      </c>
    </row>
    <row r="35" spans="1:13" ht="15.75" customHeight="1">
      <c r="A35" s="4" t="s">
        <v>1700</v>
      </c>
      <c r="B35" s="4" t="s">
        <v>1701</v>
      </c>
      <c r="C35" s="4" t="s">
        <v>1610</v>
      </c>
      <c r="D35" s="4" t="s">
        <v>1638</v>
      </c>
      <c r="E35" s="4" t="s">
        <v>1702</v>
      </c>
      <c r="F35" s="4">
        <v>179.77</v>
      </c>
      <c r="G35" s="4">
        <v>305</v>
      </c>
      <c r="H35" s="4" t="str">
        <f t="shared" si="5"/>
        <v>PROD033</v>
      </c>
      <c r="I35" s="4" t="s">
        <v>1610</v>
      </c>
      <c r="J35" s="4" t="str">
        <f t="shared" si="6"/>
        <v>Modern Wall Clock</v>
      </c>
      <c r="K35" s="4">
        <f t="shared" si="7"/>
        <v>179.77</v>
      </c>
      <c r="L35" s="4">
        <f t="shared" si="8"/>
        <v>305</v>
      </c>
      <c r="M35" s="4">
        <f t="shared" si="9"/>
        <v>54829.850000000006</v>
      </c>
    </row>
    <row r="36" spans="1:13" ht="15.75" customHeight="1">
      <c r="A36" s="4" t="s">
        <v>1703</v>
      </c>
      <c r="B36" s="4" t="s">
        <v>1704</v>
      </c>
      <c r="C36" s="4" t="s">
        <v>1580</v>
      </c>
      <c r="D36" s="4" t="s">
        <v>1581</v>
      </c>
      <c r="E36" s="4" t="s">
        <v>1705</v>
      </c>
      <c r="F36" s="4">
        <v>419.28</v>
      </c>
      <c r="G36" s="4">
        <v>86</v>
      </c>
      <c r="H36" s="4" t="str">
        <f t="shared" si="5"/>
        <v>PROD034</v>
      </c>
      <c r="I36" s="4" t="s">
        <v>1580</v>
      </c>
      <c r="J36" s="4" t="str">
        <f t="shared" si="6"/>
        <v>Gaming Mechanical Keyboard</v>
      </c>
      <c r="K36" s="4">
        <f t="shared" si="7"/>
        <v>419.28</v>
      </c>
      <c r="L36" s="4">
        <f t="shared" si="8"/>
        <v>86</v>
      </c>
      <c r="M36" s="4">
        <f t="shared" si="9"/>
        <v>36058.079999999994</v>
      </c>
    </row>
    <row r="37" spans="1:13" ht="15.75" customHeight="1">
      <c r="A37" s="4" t="s">
        <v>1706</v>
      </c>
      <c r="B37" s="4" t="s">
        <v>1707</v>
      </c>
      <c r="C37" s="4" t="s">
        <v>1610</v>
      </c>
      <c r="D37" s="4" t="s">
        <v>1611</v>
      </c>
      <c r="E37" s="4" t="s">
        <v>1708</v>
      </c>
      <c r="F37" s="4">
        <v>382.22</v>
      </c>
      <c r="G37" s="4">
        <v>329</v>
      </c>
      <c r="H37" s="4" t="str">
        <f t="shared" si="5"/>
        <v>PROD035</v>
      </c>
      <c r="I37" s="4" t="s">
        <v>1610</v>
      </c>
      <c r="J37" s="4" t="str">
        <f t="shared" si="6"/>
        <v>Bedroom Table Lamp</v>
      </c>
      <c r="K37" s="4">
        <f t="shared" si="7"/>
        <v>382.22</v>
      </c>
      <c r="L37" s="4">
        <f t="shared" si="8"/>
        <v>329</v>
      </c>
      <c r="M37" s="4">
        <f t="shared" si="9"/>
        <v>125750.38</v>
      </c>
    </row>
    <row r="38" spans="1:13" ht="15.75" customHeight="1">
      <c r="A38" s="4" t="s">
        <v>1709</v>
      </c>
      <c r="B38" s="4" t="s">
        <v>1710</v>
      </c>
      <c r="C38" s="4" t="s">
        <v>1585</v>
      </c>
      <c r="D38" s="4" t="s">
        <v>1586</v>
      </c>
      <c r="E38" s="4" t="s">
        <v>1711</v>
      </c>
      <c r="F38" s="4">
        <v>223.43</v>
      </c>
      <c r="G38" s="4">
        <v>154</v>
      </c>
      <c r="H38" s="4" t="str">
        <f t="shared" si="5"/>
        <v>PROD036</v>
      </c>
      <c r="I38" s="4" t="s">
        <v>1585</v>
      </c>
      <c r="J38" s="4" t="str">
        <f t="shared" si="6"/>
        <v>Women'S Summer Dress</v>
      </c>
      <c r="K38" s="4">
        <f t="shared" si="7"/>
        <v>223.43</v>
      </c>
      <c r="L38" s="4">
        <f t="shared" si="8"/>
        <v>154</v>
      </c>
      <c r="M38" s="4">
        <f t="shared" si="9"/>
        <v>34408.22</v>
      </c>
    </row>
    <row r="39" spans="1:13" ht="15.75" customHeight="1">
      <c r="A39" s="4" t="s">
        <v>1712</v>
      </c>
      <c r="B39" s="4" t="s">
        <v>1713</v>
      </c>
      <c r="C39" s="4" t="s">
        <v>1585</v>
      </c>
      <c r="D39" s="4" t="s">
        <v>1714</v>
      </c>
      <c r="E39" s="4" t="s">
        <v>1715</v>
      </c>
      <c r="F39" s="4">
        <v>353.47</v>
      </c>
      <c r="G39" s="4">
        <v>214</v>
      </c>
      <c r="H39" s="4" t="str">
        <f t="shared" si="5"/>
        <v>PROD037</v>
      </c>
      <c r="I39" s="4" t="s">
        <v>1585</v>
      </c>
      <c r="J39" s="4" t="str">
        <f t="shared" si="6"/>
        <v>Men'S Casual Sneakers</v>
      </c>
      <c r="K39" s="4">
        <f t="shared" si="7"/>
        <v>353.47</v>
      </c>
      <c r="L39" s="4">
        <f t="shared" si="8"/>
        <v>214</v>
      </c>
      <c r="M39" s="4">
        <f t="shared" si="9"/>
        <v>75642.58</v>
      </c>
    </row>
    <row r="40" spans="1:13" ht="15.75" customHeight="1">
      <c r="A40" s="4" t="s">
        <v>1716</v>
      </c>
      <c r="B40" s="4" t="s">
        <v>1717</v>
      </c>
      <c r="C40" s="4" t="s">
        <v>1619</v>
      </c>
      <c r="D40" s="4" t="s">
        <v>1673</v>
      </c>
      <c r="E40" s="4" t="s">
        <v>1718</v>
      </c>
      <c r="F40" s="4">
        <v>135.61000000000001</v>
      </c>
      <c r="G40" s="4">
        <v>394</v>
      </c>
      <c r="H40" s="4" t="str">
        <f t="shared" si="5"/>
        <v>PROD038</v>
      </c>
      <c r="I40" s="4" t="s">
        <v>1619</v>
      </c>
      <c r="J40" s="4" t="str">
        <f t="shared" si="6"/>
        <v>Sports Water Hydration Pack</v>
      </c>
      <c r="K40" s="4">
        <f t="shared" si="7"/>
        <v>135.61000000000001</v>
      </c>
      <c r="L40" s="4">
        <f t="shared" si="8"/>
        <v>394</v>
      </c>
      <c r="M40" s="4">
        <f t="shared" si="9"/>
        <v>53430.340000000004</v>
      </c>
    </row>
    <row r="41" spans="1:13" ht="15.75" customHeight="1">
      <c r="A41" s="4" t="s">
        <v>1719</v>
      </c>
      <c r="B41" s="4" t="s">
        <v>1720</v>
      </c>
      <c r="C41" s="4" t="s">
        <v>1580</v>
      </c>
      <c r="D41" s="4" t="s">
        <v>1721</v>
      </c>
      <c r="E41" s="4" t="s">
        <v>1722</v>
      </c>
      <c r="F41" s="4">
        <v>326.06</v>
      </c>
      <c r="G41" s="4">
        <v>301</v>
      </c>
      <c r="H41" s="4" t="str">
        <f t="shared" si="5"/>
        <v>PROD039</v>
      </c>
      <c r="I41" s="4" t="s">
        <v>1580</v>
      </c>
      <c r="J41" s="4" t="str">
        <f t="shared" si="6"/>
        <v>Portable Power Bank</v>
      </c>
      <c r="K41" s="4">
        <f t="shared" si="7"/>
        <v>326.06</v>
      </c>
      <c r="L41" s="4">
        <f t="shared" si="8"/>
        <v>301</v>
      </c>
      <c r="M41" s="4">
        <f t="shared" si="9"/>
        <v>98144.06</v>
      </c>
    </row>
    <row r="42" spans="1:13" ht="15.75" customHeight="1">
      <c r="A42" s="4" t="s">
        <v>1723</v>
      </c>
      <c r="B42" s="4" t="s">
        <v>1724</v>
      </c>
      <c r="C42" s="4" t="s">
        <v>1580</v>
      </c>
      <c r="D42" s="4" t="s">
        <v>1615</v>
      </c>
      <c r="E42" s="4" t="s">
        <v>1725</v>
      </c>
      <c r="F42" s="4">
        <v>38.520000000000003</v>
      </c>
      <c r="G42" s="4">
        <v>378</v>
      </c>
      <c r="H42" s="4" t="str">
        <f t="shared" si="5"/>
        <v>PROD040</v>
      </c>
      <c r="I42" s="4" t="s">
        <v>1580</v>
      </c>
      <c r="J42" s="4" t="str">
        <f t="shared" si="6"/>
        <v>Noise-Canceling Headphones</v>
      </c>
      <c r="K42" s="4">
        <f t="shared" si="7"/>
        <v>38.520000000000003</v>
      </c>
      <c r="L42" s="4">
        <f t="shared" si="8"/>
        <v>378</v>
      </c>
      <c r="M42" s="4">
        <f t="shared" si="9"/>
        <v>14560.560000000001</v>
      </c>
    </row>
    <row r="43" spans="1:13" ht="15.75" customHeight="1">
      <c r="A43" s="4" t="s">
        <v>1726</v>
      </c>
      <c r="B43" s="4" t="s">
        <v>1727</v>
      </c>
      <c r="C43" s="4" t="s">
        <v>1619</v>
      </c>
      <c r="D43" s="4" t="s">
        <v>1620</v>
      </c>
      <c r="E43" s="4" t="s">
        <v>1728</v>
      </c>
      <c r="F43" s="4">
        <v>313.26</v>
      </c>
      <c r="G43" s="4">
        <v>369</v>
      </c>
      <c r="H43" s="4" t="str">
        <f t="shared" si="5"/>
        <v>PROD041</v>
      </c>
      <c r="I43" s="4" t="s">
        <v>1619</v>
      </c>
      <c r="J43" s="4" t="str">
        <f t="shared" si="6"/>
        <v>Yoga Exercise Mat</v>
      </c>
      <c r="K43" s="4">
        <f t="shared" si="7"/>
        <v>313.26</v>
      </c>
      <c r="L43" s="4">
        <f t="shared" si="8"/>
        <v>369</v>
      </c>
      <c r="M43" s="4">
        <f t="shared" si="9"/>
        <v>115592.94</v>
      </c>
    </row>
    <row r="44" spans="1:13" ht="15.75" customHeight="1">
      <c r="A44" s="4" t="s">
        <v>1729</v>
      </c>
      <c r="B44" s="4" t="s">
        <v>1730</v>
      </c>
      <c r="C44" s="4" t="s">
        <v>1580</v>
      </c>
      <c r="D44" s="4" t="s">
        <v>1601</v>
      </c>
      <c r="E44" s="4" t="s">
        <v>1731</v>
      </c>
      <c r="F44" s="4">
        <v>450.71</v>
      </c>
      <c r="G44" s="4">
        <v>389</v>
      </c>
      <c r="H44" s="4" t="str">
        <f t="shared" si="5"/>
        <v>PROD042</v>
      </c>
      <c r="I44" s="4" t="s">
        <v>1580</v>
      </c>
      <c r="J44" s="4" t="str">
        <f t="shared" si="6"/>
        <v>Smart Home Wifi Camera</v>
      </c>
      <c r="K44" s="4">
        <f t="shared" si="7"/>
        <v>450.71</v>
      </c>
      <c r="L44" s="4">
        <f t="shared" si="8"/>
        <v>389</v>
      </c>
      <c r="M44" s="4">
        <f t="shared" si="9"/>
        <v>175326.19</v>
      </c>
    </row>
    <row r="45" spans="1:13" ht="15.75" customHeight="1">
      <c r="A45" s="4" t="s">
        <v>1732</v>
      </c>
      <c r="B45" s="4" t="s">
        <v>1733</v>
      </c>
      <c r="C45" s="4" t="s">
        <v>1580</v>
      </c>
      <c r="D45" s="4" t="s">
        <v>1581</v>
      </c>
      <c r="E45" s="4" t="s">
        <v>1734</v>
      </c>
      <c r="F45" s="4">
        <v>253.33</v>
      </c>
      <c r="G45" s="4">
        <v>266</v>
      </c>
      <c r="H45" s="4" t="str">
        <f t="shared" si="5"/>
        <v>PROD043</v>
      </c>
      <c r="I45" s="4" t="s">
        <v>1580</v>
      </c>
      <c r="J45" s="4" t="str">
        <f t="shared" si="6"/>
        <v>Usb External Hard Drive</v>
      </c>
      <c r="K45" s="4">
        <f t="shared" si="7"/>
        <v>253.33</v>
      </c>
      <c r="L45" s="4">
        <f t="shared" si="8"/>
        <v>266</v>
      </c>
      <c r="M45" s="4">
        <f t="shared" si="9"/>
        <v>67385.78</v>
      </c>
    </row>
    <row r="46" spans="1:13" ht="15.75" customHeight="1">
      <c r="A46" s="4" t="s">
        <v>1735</v>
      </c>
      <c r="B46" s="4" t="s">
        <v>1736</v>
      </c>
      <c r="C46" s="4" t="s">
        <v>1619</v>
      </c>
      <c r="D46" s="4" t="s">
        <v>1620</v>
      </c>
      <c r="E46" s="4" t="s">
        <v>1737</v>
      </c>
      <c r="F46" s="4">
        <v>167.12</v>
      </c>
      <c r="G46" s="4">
        <v>316</v>
      </c>
      <c r="H46" s="4" t="str">
        <f t="shared" si="5"/>
        <v>PROD044</v>
      </c>
      <c r="I46" s="4" t="s">
        <v>1619</v>
      </c>
      <c r="J46" s="4" t="str">
        <f t="shared" si="6"/>
        <v>Adjustable Jump Rope</v>
      </c>
      <c r="K46" s="4">
        <f t="shared" si="7"/>
        <v>167.12</v>
      </c>
      <c r="L46" s="4">
        <f t="shared" si="8"/>
        <v>316</v>
      </c>
      <c r="M46" s="4">
        <f t="shared" si="9"/>
        <v>52809.919999999998</v>
      </c>
    </row>
    <row r="47" spans="1:13" ht="15.75" customHeight="1">
      <c r="A47" s="4" t="s">
        <v>1738</v>
      </c>
      <c r="B47" s="4" t="s">
        <v>1739</v>
      </c>
      <c r="C47" s="4" t="s">
        <v>1619</v>
      </c>
      <c r="D47" s="4" t="s">
        <v>1695</v>
      </c>
      <c r="E47" s="4" t="s">
        <v>1740</v>
      </c>
      <c r="F47" s="4">
        <v>318.91000000000003</v>
      </c>
      <c r="G47" s="4">
        <v>114</v>
      </c>
      <c r="H47" s="4" t="str">
        <f t="shared" si="5"/>
        <v>PROD045</v>
      </c>
      <c r="I47" s="4" t="s">
        <v>1619</v>
      </c>
      <c r="J47" s="4" t="str">
        <f t="shared" si="6"/>
        <v>High-Grip Football</v>
      </c>
      <c r="K47" s="4">
        <f t="shared" si="7"/>
        <v>318.91000000000003</v>
      </c>
      <c r="L47" s="4">
        <f t="shared" si="8"/>
        <v>114</v>
      </c>
      <c r="M47" s="4">
        <f t="shared" si="9"/>
        <v>36355.740000000005</v>
      </c>
    </row>
    <row r="48" spans="1:13" ht="15.75" customHeight="1">
      <c r="A48" s="4" t="s">
        <v>1741</v>
      </c>
      <c r="B48" s="4" t="s">
        <v>1742</v>
      </c>
      <c r="C48" s="4" t="s">
        <v>1585</v>
      </c>
      <c r="D48" s="4" t="s">
        <v>1590</v>
      </c>
      <c r="E48" s="4" t="s">
        <v>1743</v>
      </c>
      <c r="F48" s="4">
        <v>167.34</v>
      </c>
      <c r="G48" s="4">
        <v>296</v>
      </c>
      <c r="H48" s="4" t="str">
        <f t="shared" si="5"/>
        <v>PROD046</v>
      </c>
      <c r="I48" s="4" t="s">
        <v>1585</v>
      </c>
      <c r="J48" s="4" t="str">
        <f t="shared" si="6"/>
        <v>Men'S Winter Jacket</v>
      </c>
      <c r="K48" s="4">
        <f t="shared" si="7"/>
        <v>167.34</v>
      </c>
      <c r="L48" s="4">
        <f t="shared" si="8"/>
        <v>296</v>
      </c>
      <c r="M48" s="4">
        <f t="shared" si="9"/>
        <v>49532.639999999999</v>
      </c>
    </row>
    <row r="49" spans="1:13" ht="15.75" customHeight="1">
      <c r="A49" s="4" t="s">
        <v>1744</v>
      </c>
      <c r="B49" s="4" t="s">
        <v>1745</v>
      </c>
      <c r="C49" s="4" t="s">
        <v>1605</v>
      </c>
      <c r="D49" s="4" t="s">
        <v>1746</v>
      </c>
      <c r="E49" s="4" t="s">
        <v>1747</v>
      </c>
      <c r="F49" s="4"/>
      <c r="G49" s="4">
        <v>431</v>
      </c>
      <c r="H49" s="4" t="str">
        <f t="shared" si="5"/>
        <v>PROD047</v>
      </c>
      <c r="I49" s="4" t="s">
        <v>1605</v>
      </c>
      <c r="J49" s="4" t="str">
        <f t="shared" si="6"/>
        <v>Makeup Brush Set</v>
      </c>
      <c r="K49" s="4">
        <f t="shared" si="7"/>
        <v>250.42</v>
      </c>
      <c r="L49" s="4">
        <f t="shared" si="8"/>
        <v>431</v>
      </c>
      <c r="M49" s="4">
        <f t="shared" si="9"/>
        <v>107931.01999999999</v>
      </c>
    </row>
    <row r="50" spans="1:13" ht="15.75" customHeight="1">
      <c r="A50" s="4" t="s">
        <v>1748</v>
      </c>
      <c r="B50" s="4" t="s">
        <v>1749</v>
      </c>
      <c r="C50" s="4" t="s">
        <v>1580</v>
      </c>
      <c r="D50" s="4" t="s">
        <v>1601</v>
      </c>
      <c r="E50" s="4" t="s">
        <v>1750</v>
      </c>
      <c r="F50" s="4">
        <v>177.98</v>
      </c>
      <c r="G50" s="4">
        <v>103</v>
      </c>
      <c r="H50" s="4" t="str">
        <f t="shared" si="5"/>
        <v>PROD048</v>
      </c>
      <c r="I50" s="4" t="s">
        <v>1580</v>
      </c>
      <c r="J50" s="4" t="str">
        <f t="shared" si="6"/>
        <v>Car Dashboard Phone Holder</v>
      </c>
      <c r="K50" s="4">
        <f t="shared" si="7"/>
        <v>177.98</v>
      </c>
      <c r="L50" s="4">
        <f t="shared" si="8"/>
        <v>103</v>
      </c>
      <c r="M50" s="4">
        <f t="shared" si="9"/>
        <v>18331.939999999999</v>
      </c>
    </row>
    <row r="51" spans="1:13" ht="15.75" customHeight="1">
      <c r="A51" s="4" t="s">
        <v>1751</v>
      </c>
      <c r="B51" s="4" t="s">
        <v>1752</v>
      </c>
      <c r="C51" s="4" t="s">
        <v>1605</v>
      </c>
      <c r="D51" s="4" t="s">
        <v>1753</v>
      </c>
      <c r="E51" s="4" t="s">
        <v>1754</v>
      </c>
      <c r="F51" s="4">
        <v>43.29</v>
      </c>
      <c r="G51" s="4">
        <v>267</v>
      </c>
      <c r="H51" s="4" t="str">
        <f t="shared" si="5"/>
        <v>PROD049</v>
      </c>
      <c r="I51" s="4" t="s">
        <v>1605</v>
      </c>
      <c r="J51" s="4" t="str">
        <f t="shared" si="6"/>
        <v>Men'S Roll-On Perfume</v>
      </c>
      <c r="K51" s="4">
        <f t="shared" si="7"/>
        <v>43.29</v>
      </c>
      <c r="L51" s="4">
        <f t="shared" si="8"/>
        <v>267</v>
      </c>
      <c r="M51" s="4">
        <f t="shared" si="9"/>
        <v>11558.43</v>
      </c>
    </row>
    <row r="52" spans="1:13" ht="15.75" customHeight="1">
      <c r="A52" s="4" t="s">
        <v>1755</v>
      </c>
      <c r="B52" s="4" t="s">
        <v>1756</v>
      </c>
      <c r="C52" s="4" t="s">
        <v>1619</v>
      </c>
      <c r="D52" s="4" t="s">
        <v>1620</v>
      </c>
      <c r="E52" s="4" t="s">
        <v>1757</v>
      </c>
      <c r="F52" s="4">
        <v>190.29</v>
      </c>
      <c r="G52" s="4">
        <v>260</v>
      </c>
      <c r="H52" s="4" t="str">
        <f t="shared" si="5"/>
        <v>PROD050</v>
      </c>
      <c r="I52" s="4" t="s">
        <v>1619</v>
      </c>
      <c r="J52" s="4" t="str">
        <f t="shared" si="6"/>
        <v>Boxing Hand Wraps</v>
      </c>
      <c r="K52" s="4">
        <f t="shared" si="7"/>
        <v>190.29</v>
      </c>
      <c r="L52" s="4">
        <f t="shared" si="8"/>
        <v>260</v>
      </c>
      <c r="M52" s="4">
        <f t="shared" si="9"/>
        <v>49475.4</v>
      </c>
    </row>
    <row r="53" spans="1:13" ht="15.75" customHeight="1">
      <c r="A53" s="4" t="s">
        <v>1758</v>
      </c>
      <c r="B53" s="4" t="s">
        <v>1759</v>
      </c>
      <c r="C53" s="4" t="s">
        <v>1580</v>
      </c>
      <c r="D53" s="4" t="s">
        <v>1601</v>
      </c>
      <c r="E53" s="4" t="s">
        <v>1760</v>
      </c>
      <c r="F53" s="4">
        <v>88.49</v>
      </c>
      <c r="G53" s="4">
        <v>246</v>
      </c>
      <c r="H53" s="4" t="str">
        <f t="shared" si="5"/>
        <v>PROD051</v>
      </c>
      <c r="I53" s="4" t="s">
        <v>1580</v>
      </c>
      <c r="J53" s="4" t="str">
        <f t="shared" si="6"/>
        <v>Hdmi Cable – 2M</v>
      </c>
      <c r="K53" s="4">
        <f t="shared" si="7"/>
        <v>88.49</v>
      </c>
      <c r="L53" s="4">
        <f t="shared" si="8"/>
        <v>246</v>
      </c>
      <c r="M53" s="4">
        <f t="shared" si="9"/>
        <v>21768.539999999997</v>
      </c>
    </row>
    <row r="54" spans="1:13" ht="15.75" customHeight="1">
      <c r="A54" s="4" t="s">
        <v>1761</v>
      </c>
      <c r="B54" s="4" t="s">
        <v>1762</v>
      </c>
      <c r="C54" s="4" t="s">
        <v>1619</v>
      </c>
      <c r="D54" s="4" t="s">
        <v>1695</v>
      </c>
      <c r="E54" s="4" t="s">
        <v>1763</v>
      </c>
      <c r="F54" s="4">
        <v>212.26</v>
      </c>
      <c r="G54" s="4">
        <v>82</v>
      </c>
      <c r="H54" s="4" t="str">
        <f t="shared" si="5"/>
        <v>PROD052</v>
      </c>
      <c r="I54" s="4" t="s">
        <v>1619</v>
      </c>
      <c r="J54" s="4" t="str">
        <f t="shared" si="6"/>
        <v>Rugby Ball</v>
      </c>
      <c r="K54" s="4">
        <f t="shared" si="7"/>
        <v>212.26</v>
      </c>
      <c r="L54" s="4">
        <f t="shared" si="8"/>
        <v>82</v>
      </c>
      <c r="M54" s="4">
        <f t="shared" si="9"/>
        <v>17405.32</v>
      </c>
    </row>
    <row r="55" spans="1:13" ht="15.75" customHeight="1">
      <c r="A55" s="4" t="s">
        <v>1764</v>
      </c>
      <c r="B55" s="4" t="s">
        <v>1765</v>
      </c>
      <c r="C55" s="4" t="s">
        <v>1585</v>
      </c>
      <c r="D55" s="4" t="s">
        <v>1597</v>
      </c>
      <c r="E55" s="4" t="s">
        <v>1766</v>
      </c>
      <c r="F55" s="4">
        <v>386.56</v>
      </c>
      <c r="G55" s="4">
        <v>125</v>
      </c>
      <c r="H55" s="4" t="str">
        <f t="shared" si="5"/>
        <v>PROD053</v>
      </c>
      <c r="I55" s="4" t="s">
        <v>1585</v>
      </c>
      <c r="J55" s="4" t="str">
        <f t="shared" si="6"/>
        <v>Men'S Track Pants</v>
      </c>
      <c r="K55" s="4">
        <f t="shared" si="7"/>
        <v>386.56</v>
      </c>
      <c r="L55" s="4">
        <f t="shared" si="8"/>
        <v>125</v>
      </c>
      <c r="M55" s="4">
        <f t="shared" si="9"/>
        <v>48320</v>
      </c>
    </row>
    <row r="56" spans="1:13" ht="15.75" customHeight="1">
      <c r="A56" s="4" t="s">
        <v>1767</v>
      </c>
      <c r="B56" s="4" t="s">
        <v>1768</v>
      </c>
      <c r="C56" s="4" t="s">
        <v>1619</v>
      </c>
      <c r="D56" s="4" t="s">
        <v>1601</v>
      </c>
      <c r="E56" s="4" t="s">
        <v>1769</v>
      </c>
      <c r="F56" s="4">
        <v>434.84</v>
      </c>
      <c r="G56" s="4">
        <v>185</v>
      </c>
      <c r="H56" s="4" t="str">
        <f t="shared" si="5"/>
        <v>PROD054</v>
      </c>
      <c r="I56" s="4" t="s">
        <v>1619</v>
      </c>
      <c r="J56" s="4" t="str">
        <f t="shared" si="6"/>
        <v>Sports Stopwatch Pro</v>
      </c>
      <c r="K56" s="4">
        <f t="shared" si="7"/>
        <v>434.84</v>
      </c>
      <c r="L56" s="4">
        <f t="shared" si="8"/>
        <v>185</v>
      </c>
      <c r="M56" s="4">
        <f t="shared" si="9"/>
        <v>80445.399999999994</v>
      </c>
    </row>
    <row r="57" spans="1:13" ht="15.75" customHeight="1">
      <c r="A57" s="4" t="s">
        <v>1770</v>
      </c>
      <c r="B57" s="4" t="s">
        <v>1771</v>
      </c>
      <c r="C57" s="4" t="s">
        <v>1610</v>
      </c>
      <c r="D57" s="4" t="s">
        <v>1638</v>
      </c>
      <c r="E57" s="4" t="s">
        <v>1772</v>
      </c>
      <c r="F57" s="4">
        <v>81.75</v>
      </c>
      <c r="G57" s="4"/>
      <c r="H57" s="4" t="str">
        <f t="shared" si="5"/>
        <v>PROD055</v>
      </c>
      <c r="I57" s="4" t="s">
        <v>1610</v>
      </c>
      <c r="J57" s="4" t="str">
        <f t="shared" si="6"/>
        <v>Ceramic Plant Pot</v>
      </c>
      <c r="K57" s="4">
        <f t="shared" si="7"/>
        <v>81.75</v>
      </c>
      <c r="L57" s="4">
        <f t="shared" si="8"/>
        <v>274</v>
      </c>
      <c r="M57" s="4">
        <f t="shared" si="9"/>
        <v>22399.5</v>
      </c>
    </row>
    <row r="58" spans="1:13" ht="15.75" customHeight="1">
      <c r="A58" s="4" t="s">
        <v>1773</v>
      </c>
      <c r="B58" s="4" t="s">
        <v>1774</v>
      </c>
      <c r="C58" s="4" t="s">
        <v>1610</v>
      </c>
      <c r="D58" s="4" t="s">
        <v>1638</v>
      </c>
      <c r="E58" s="4" t="s">
        <v>1775</v>
      </c>
      <c r="F58" s="4">
        <v>461.47</v>
      </c>
      <c r="G58" s="4">
        <v>190</v>
      </c>
      <c r="H58" s="4" t="str">
        <f t="shared" si="5"/>
        <v>PROD056</v>
      </c>
      <c r="I58" s="4" t="s">
        <v>1610</v>
      </c>
      <c r="J58" s="4" t="str">
        <f t="shared" si="6"/>
        <v>Premium Blanket Throw</v>
      </c>
      <c r="K58" s="4">
        <f t="shared" si="7"/>
        <v>461.47</v>
      </c>
      <c r="L58" s="4">
        <f t="shared" si="8"/>
        <v>190</v>
      </c>
      <c r="M58" s="4">
        <f t="shared" si="9"/>
        <v>87679.3</v>
      </c>
    </row>
    <row r="59" spans="1:13" ht="15.75" customHeight="1">
      <c r="A59" s="4" t="s">
        <v>1776</v>
      </c>
      <c r="B59" s="4" t="s">
        <v>1777</v>
      </c>
      <c r="C59" s="4" t="s">
        <v>1619</v>
      </c>
      <c r="D59" s="4" t="s">
        <v>1620</v>
      </c>
      <c r="E59" s="4" t="s">
        <v>1778</v>
      </c>
      <c r="F59" s="4">
        <v>30.62</v>
      </c>
      <c r="G59" s="4">
        <v>138</v>
      </c>
      <c r="H59" s="4" t="str">
        <f t="shared" si="5"/>
        <v>PROD057</v>
      </c>
      <c r="I59" s="4" t="s">
        <v>1619</v>
      </c>
      <c r="J59" s="4" t="str">
        <f t="shared" si="6"/>
        <v>Foam Roller</v>
      </c>
      <c r="K59" s="4">
        <f t="shared" si="7"/>
        <v>30.62</v>
      </c>
      <c r="L59" s="4">
        <f t="shared" si="8"/>
        <v>138</v>
      </c>
      <c r="M59" s="4">
        <f t="shared" si="9"/>
        <v>4225.5600000000004</v>
      </c>
    </row>
    <row r="60" spans="1:13" ht="15.75" customHeight="1">
      <c r="A60" s="4" t="s">
        <v>1779</v>
      </c>
      <c r="B60" s="4" t="s">
        <v>1780</v>
      </c>
      <c r="C60" s="4" t="s">
        <v>1585</v>
      </c>
      <c r="D60" s="4" t="s">
        <v>1601</v>
      </c>
      <c r="E60" s="4" t="s">
        <v>1781</v>
      </c>
      <c r="F60" s="4">
        <v>113.83</v>
      </c>
      <c r="G60" s="4">
        <v>485</v>
      </c>
      <c r="H60" s="4" t="str">
        <f t="shared" si="5"/>
        <v>PROD058</v>
      </c>
      <c r="I60" s="4" t="s">
        <v>1585</v>
      </c>
      <c r="J60" s="4" t="str">
        <f t="shared" si="6"/>
        <v>Womens Cotton Scarf</v>
      </c>
      <c r="K60" s="4">
        <f t="shared" si="7"/>
        <v>113.83</v>
      </c>
      <c r="L60" s="4">
        <f t="shared" si="8"/>
        <v>485</v>
      </c>
      <c r="M60" s="4">
        <f t="shared" si="9"/>
        <v>55207.549999999996</v>
      </c>
    </row>
    <row r="61" spans="1:13" ht="15.75" customHeight="1">
      <c r="A61" s="4" t="s">
        <v>1782</v>
      </c>
      <c r="B61" s="4" t="s">
        <v>1783</v>
      </c>
      <c r="C61" s="4" t="s">
        <v>1605</v>
      </c>
      <c r="D61" s="4" t="s">
        <v>1631</v>
      </c>
      <c r="E61" s="4" t="s">
        <v>1784</v>
      </c>
      <c r="F61" s="4">
        <v>17.309999999999999</v>
      </c>
      <c r="G61" s="4">
        <v>399</v>
      </c>
      <c r="H61" s="4" t="str">
        <f t="shared" si="5"/>
        <v>PROD059</v>
      </c>
      <c r="I61" s="4" t="s">
        <v>1605</v>
      </c>
      <c r="J61" s="4" t="str">
        <f t="shared" si="6"/>
        <v>Men'S Hair Styling Gel</v>
      </c>
      <c r="K61" s="4">
        <f t="shared" si="7"/>
        <v>17.309999999999999</v>
      </c>
      <c r="L61" s="4">
        <f t="shared" si="8"/>
        <v>399</v>
      </c>
      <c r="M61" s="4">
        <f t="shared" si="9"/>
        <v>6906.69</v>
      </c>
    </row>
    <row r="62" spans="1:13" ht="15.75" customHeight="1">
      <c r="A62" s="4" t="s">
        <v>1785</v>
      </c>
      <c r="B62" s="4" t="s">
        <v>1786</v>
      </c>
      <c r="C62" s="4" t="s">
        <v>1605</v>
      </c>
      <c r="D62" s="4" t="s">
        <v>1753</v>
      </c>
      <c r="E62" s="4" t="s">
        <v>1787</v>
      </c>
      <c r="F62" s="4">
        <v>482.75</v>
      </c>
      <c r="G62" s="4">
        <v>444</v>
      </c>
      <c r="H62" s="4" t="str">
        <f t="shared" si="5"/>
        <v>PROD060</v>
      </c>
      <c r="I62" s="4" t="s">
        <v>1605</v>
      </c>
      <c r="J62" s="4" t="str">
        <f t="shared" si="6"/>
        <v>Luxury Perfume Spray</v>
      </c>
      <c r="K62" s="4">
        <f t="shared" si="7"/>
        <v>482.75</v>
      </c>
      <c r="L62" s="4">
        <f t="shared" si="8"/>
        <v>444</v>
      </c>
      <c r="M62" s="4">
        <f t="shared" si="9"/>
        <v>214341</v>
      </c>
    </row>
    <row r="63" spans="1:13" ht="15.75" customHeight="1">
      <c r="A63" s="4" t="s">
        <v>1788</v>
      </c>
      <c r="B63" s="4" t="s">
        <v>1789</v>
      </c>
      <c r="C63" s="4" t="s">
        <v>1619</v>
      </c>
      <c r="D63" s="4" t="s">
        <v>1656</v>
      </c>
      <c r="E63" s="4" t="s">
        <v>1790</v>
      </c>
      <c r="F63" s="4">
        <v>103.45</v>
      </c>
      <c r="G63" s="4">
        <v>465</v>
      </c>
      <c r="H63" s="4" t="str">
        <f t="shared" si="5"/>
        <v>PROD061</v>
      </c>
      <c r="I63" s="4" t="s">
        <v>1619</v>
      </c>
      <c r="J63" s="4" t="str">
        <f t="shared" si="6"/>
        <v>Tennis Ball 3-Pack</v>
      </c>
      <c r="K63" s="4">
        <f t="shared" si="7"/>
        <v>103.45</v>
      </c>
      <c r="L63" s="4">
        <f t="shared" si="8"/>
        <v>465</v>
      </c>
      <c r="M63" s="4">
        <f t="shared" si="9"/>
        <v>48104.25</v>
      </c>
    </row>
    <row r="64" spans="1:13" ht="15.75" customHeight="1">
      <c r="A64" s="4" t="s">
        <v>1791</v>
      </c>
      <c r="B64" s="4" t="s">
        <v>1792</v>
      </c>
      <c r="C64" s="4" t="s">
        <v>1580</v>
      </c>
      <c r="D64" s="4" t="s">
        <v>1581</v>
      </c>
      <c r="E64" s="4" t="s">
        <v>1793</v>
      </c>
      <c r="F64" s="4">
        <v>86.42</v>
      </c>
      <c r="G64" s="4">
        <v>222</v>
      </c>
      <c r="H64" s="4" t="str">
        <f t="shared" si="5"/>
        <v>PROD062</v>
      </c>
      <c r="I64" s="4" t="s">
        <v>1580</v>
      </c>
      <c r="J64" s="4" t="str">
        <f t="shared" si="6"/>
        <v>Laptop Cooling Pad</v>
      </c>
      <c r="K64" s="4">
        <f t="shared" si="7"/>
        <v>86.42</v>
      </c>
      <c r="L64" s="4">
        <f t="shared" si="8"/>
        <v>222</v>
      </c>
      <c r="M64" s="4">
        <f t="shared" si="9"/>
        <v>19185.240000000002</v>
      </c>
    </row>
    <row r="65" spans="1:13" ht="15.75" customHeight="1">
      <c r="A65" s="4" t="s">
        <v>1794</v>
      </c>
      <c r="B65" s="4" t="s">
        <v>1795</v>
      </c>
      <c r="C65" s="4" t="s">
        <v>1605</v>
      </c>
      <c r="D65" s="4" t="s">
        <v>1606</v>
      </c>
      <c r="E65" s="4" t="s">
        <v>1796</v>
      </c>
      <c r="F65" s="4">
        <v>266.86</v>
      </c>
      <c r="G65" s="4">
        <v>458</v>
      </c>
      <c r="H65" s="4" t="str">
        <f t="shared" si="5"/>
        <v>PROD063</v>
      </c>
      <c r="I65" s="4" t="s">
        <v>1605</v>
      </c>
      <c r="J65" s="4" t="str">
        <f t="shared" si="6"/>
        <v>Organic Sunscreen Lotion</v>
      </c>
      <c r="K65" s="4">
        <f t="shared" si="7"/>
        <v>266.86</v>
      </c>
      <c r="L65" s="4">
        <f t="shared" si="8"/>
        <v>458</v>
      </c>
      <c r="M65" s="4">
        <f t="shared" si="9"/>
        <v>122221.88</v>
      </c>
    </row>
    <row r="66" spans="1:13" ht="15.75" customHeight="1">
      <c r="A66" s="4" t="s">
        <v>1797</v>
      </c>
      <c r="B66" s="4" t="s">
        <v>1798</v>
      </c>
      <c r="C66" s="4" t="s">
        <v>1605</v>
      </c>
      <c r="D66" s="4" t="s">
        <v>1746</v>
      </c>
      <c r="E66" s="4" t="s">
        <v>1799</v>
      </c>
      <c r="F66" s="4">
        <v>299.11</v>
      </c>
      <c r="G66" s="4">
        <v>118</v>
      </c>
      <c r="H66" s="4" t="str">
        <f t="shared" ref="H66:H101" si="10">IF(LEFT(A66,2)="PROD16","PROD"&amp;TEXT(MID(A66,3,2),"000"),"PROD"&amp;TEXT(MID(A66,5,2),"000"))</f>
        <v>PROD064</v>
      </c>
      <c r="I66" s="4" t="s">
        <v>1605</v>
      </c>
      <c r="J66" s="4" t="str">
        <f t="shared" ref="J66:J101" si="11">PROPER(TRIM(B66))</f>
        <v>Matte Lipstick Set</v>
      </c>
      <c r="K66" s="4">
        <f t="shared" ref="K66:K101" si="12">ROUNDUP(IF(ISBLANK(F66),AVERAGEIF(C:C,C66,F:F),F66),2)</f>
        <v>299.11</v>
      </c>
      <c r="L66" s="4">
        <f t="shared" ref="L66:L101" si="13">ROUNDUP(IF(ISBLANK(G66),AVERAGE(C:C,C66,G:G),G66),0)</f>
        <v>118</v>
      </c>
      <c r="M66" s="4">
        <f t="shared" ref="M66:M97" si="14">K66*L66</f>
        <v>35294.980000000003</v>
      </c>
    </row>
    <row r="67" spans="1:13" ht="15.75" customHeight="1">
      <c r="A67" s="4" t="s">
        <v>1800</v>
      </c>
      <c r="B67" s="4" t="s">
        <v>1801</v>
      </c>
      <c r="C67" s="4" t="s">
        <v>1619</v>
      </c>
      <c r="D67" s="4" t="s">
        <v>1620</v>
      </c>
      <c r="E67" s="4" t="s">
        <v>1802</v>
      </c>
      <c r="F67" s="4">
        <v>240.63</v>
      </c>
      <c r="G67" s="4">
        <v>423</v>
      </c>
      <c r="H67" s="4" t="str">
        <f t="shared" si="10"/>
        <v>PROD065</v>
      </c>
      <c r="I67" s="4" t="s">
        <v>1619</v>
      </c>
      <c r="J67" s="4" t="str">
        <f t="shared" si="11"/>
        <v>Adjustable Dumbbells 20Kg</v>
      </c>
      <c r="K67" s="4">
        <f t="shared" si="12"/>
        <v>240.63</v>
      </c>
      <c r="L67" s="4">
        <f t="shared" si="13"/>
        <v>423</v>
      </c>
      <c r="M67" s="4">
        <f t="shared" si="14"/>
        <v>101786.49</v>
      </c>
    </row>
    <row r="68" spans="1:13" ht="15.75" customHeight="1">
      <c r="A68" s="4" t="s">
        <v>1803</v>
      </c>
      <c r="B68" s="4" t="s">
        <v>1804</v>
      </c>
      <c r="C68" s="4" t="s">
        <v>1605</v>
      </c>
      <c r="D68" s="4" t="s">
        <v>1631</v>
      </c>
      <c r="E68" s="4" t="s">
        <v>1805</v>
      </c>
      <c r="F68" s="4">
        <v>340.39</v>
      </c>
      <c r="G68" s="4">
        <v>177</v>
      </c>
      <c r="H68" s="4" t="str">
        <f t="shared" si="10"/>
        <v>PROD066</v>
      </c>
      <c r="I68" s="4" t="s">
        <v>1605</v>
      </c>
      <c r="J68" s="4" t="str">
        <f t="shared" si="11"/>
        <v>Women'S Hair Dryer Brush</v>
      </c>
      <c r="K68" s="4">
        <f t="shared" si="12"/>
        <v>340.39</v>
      </c>
      <c r="L68" s="4">
        <f t="shared" si="13"/>
        <v>177</v>
      </c>
      <c r="M68" s="4">
        <f t="shared" si="14"/>
        <v>60249.03</v>
      </c>
    </row>
    <row r="69" spans="1:13" ht="15.75" customHeight="1">
      <c r="A69" s="4" t="s">
        <v>1806</v>
      </c>
      <c r="B69" s="4" t="s">
        <v>1807</v>
      </c>
      <c r="C69" s="4" t="s">
        <v>1580</v>
      </c>
      <c r="D69" s="4" t="s">
        <v>1601</v>
      </c>
      <c r="E69" s="4" t="s">
        <v>1808</v>
      </c>
      <c r="F69" s="4">
        <v>349.17</v>
      </c>
      <c r="G69" s="4">
        <v>476</v>
      </c>
      <c r="H69" s="4" t="str">
        <f t="shared" si="10"/>
        <v>PROD067</v>
      </c>
      <c r="I69" s="4" t="s">
        <v>1580</v>
      </c>
      <c r="J69" s="4" t="str">
        <f t="shared" si="11"/>
        <v>Smart Led Light Strip</v>
      </c>
      <c r="K69" s="4">
        <f t="shared" si="12"/>
        <v>349.17</v>
      </c>
      <c r="L69" s="4">
        <f t="shared" si="13"/>
        <v>476</v>
      </c>
      <c r="M69" s="4">
        <f t="shared" si="14"/>
        <v>166204.92000000001</v>
      </c>
    </row>
    <row r="70" spans="1:13" ht="15.75" customHeight="1">
      <c r="A70" s="4" t="s">
        <v>1809</v>
      </c>
      <c r="B70" s="4" t="s">
        <v>1810</v>
      </c>
      <c r="C70" s="4" t="s">
        <v>1610</v>
      </c>
      <c r="D70" s="4" t="s">
        <v>1811</v>
      </c>
      <c r="E70" s="4" t="s">
        <v>1812</v>
      </c>
      <c r="F70" s="4">
        <v>243.7</v>
      </c>
      <c r="G70" s="4">
        <v>130</v>
      </c>
      <c r="H70" s="4" t="str">
        <f t="shared" si="10"/>
        <v>PROD068</v>
      </c>
      <c r="I70" s="4" t="s">
        <v>1610</v>
      </c>
      <c r="J70" s="4" t="str">
        <f t="shared" si="11"/>
        <v>Wooden Nightstand</v>
      </c>
      <c r="K70" s="4">
        <f t="shared" si="12"/>
        <v>243.7</v>
      </c>
      <c r="L70" s="4">
        <f t="shared" si="13"/>
        <v>130</v>
      </c>
      <c r="M70" s="4">
        <f t="shared" si="14"/>
        <v>31681</v>
      </c>
    </row>
    <row r="71" spans="1:13" ht="15.75" customHeight="1">
      <c r="A71" s="4" t="s">
        <v>1813</v>
      </c>
      <c r="B71" s="4" t="s">
        <v>1814</v>
      </c>
      <c r="C71" s="4" t="s">
        <v>1585</v>
      </c>
      <c r="D71" s="4" t="s">
        <v>1597</v>
      </c>
      <c r="E71" s="4" t="s">
        <v>1815</v>
      </c>
      <c r="F71" s="4">
        <v>218.22</v>
      </c>
      <c r="G71" s="4">
        <v>224</v>
      </c>
      <c r="H71" s="4" t="str">
        <f t="shared" si="10"/>
        <v>PROD069</v>
      </c>
      <c r="I71" s="4" t="s">
        <v>1585</v>
      </c>
      <c r="J71" s="4" t="str">
        <f t="shared" si="11"/>
        <v>Men'S Sports Shorts</v>
      </c>
      <c r="K71" s="4">
        <f t="shared" si="12"/>
        <v>218.22</v>
      </c>
      <c r="L71" s="4">
        <f t="shared" si="13"/>
        <v>224</v>
      </c>
      <c r="M71" s="4">
        <f t="shared" si="14"/>
        <v>48881.279999999999</v>
      </c>
    </row>
    <row r="72" spans="1:13" ht="15.75" customHeight="1">
      <c r="A72" s="4" t="s">
        <v>1816</v>
      </c>
      <c r="B72" s="4" t="s">
        <v>1817</v>
      </c>
      <c r="C72" s="4" t="s">
        <v>1610</v>
      </c>
      <c r="D72" s="4" t="s">
        <v>1663</v>
      </c>
      <c r="E72" s="4" t="s">
        <v>1818</v>
      </c>
      <c r="F72" s="4">
        <v>138.05000000000001</v>
      </c>
      <c r="G72" s="4">
        <v>89</v>
      </c>
      <c r="H72" s="4" t="str">
        <f t="shared" si="10"/>
        <v>PROD070</v>
      </c>
      <c r="I72" s="4" t="s">
        <v>1610</v>
      </c>
      <c r="J72" s="4" t="str">
        <f t="shared" si="11"/>
        <v>Kitchen Storage Rack</v>
      </c>
      <c r="K72" s="4">
        <f t="shared" si="12"/>
        <v>138.05000000000001</v>
      </c>
      <c r="L72" s="4">
        <f t="shared" si="13"/>
        <v>89</v>
      </c>
      <c r="M72" s="4">
        <f t="shared" si="14"/>
        <v>12286.45</v>
      </c>
    </row>
    <row r="73" spans="1:13" ht="15.75" customHeight="1">
      <c r="A73" s="4" t="s">
        <v>1819</v>
      </c>
      <c r="B73" s="4" t="s">
        <v>1820</v>
      </c>
      <c r="C73" s="4" t="s">
        <v>1605</v>
      </c>
      <c r="D73" s="4" t="s">
        <v>1631</v>
      </c>
      <c r="E73" s="4" t="s">
        <v>1821</v>
      </c>
      <c r="F73" s="4">
        <v>214.32</v>
      </c>
      <c r="G73" s="4">
        <v>383</v>
      </c>
      <c r="H73" s="4" t="str">
        <f t="shared" si="10"/>
        <v>PROD071</v>
      </c>
      <c r="I73" s="4" t="s">
        <v>1605</v>
      </c>
      <c r="J73" s="4" t="str">
        <f t="shared" si="11"/>
        <v>Hair Repair Oil Treatment</v>
      </c>
      <c r="K73" s="4">
        <f t="shared" si="12"/>
        <v>214.32</v>
      </c>
      <c r="L73" s="4">
        <f t="shared" si="13"/>
        <v>383</v>
      </c>
      <c r="M73" s="4">
        <f t="shared" si="14"/>
        <v>82084.56</v>
      </c>
    </row>
    <row r="74" spans="1:13" ht="15.75" customHeight="1">
      <c r="A74" s="4" t="s">
        <v>1822</v>
      </c>
      <c r="B74" s="4" t="s">
        <v>1823</v>
      </c>
      <c r="C74" s="4" t="s">
        <v>1619</v>
      </c>
      <c r="D74" s="4" t="s">
        <v>1620</v>
      </c>
      <c r="E74" s="4" t="s">
        <v>1824</v>
      </c>
      <c r="F74" s="4">
        <v>477.61</v>
      </c>
      <c r="G74" s="4">
        <v>300</v>
      </c>
      <c r="H74" s="4" t="str">
        <f t="shared" si="10"/>
        <v>PROD072</v>
      </c>
      <c r="I74" s="4" t="s">
        <v>1619</v>
      </c>
      <c r="J74" s="4" t="str">
        <f t="shared" si="11"/>
        <v>Professional Jump Rope</v>
      </c>
      <c r="K74" s="4">
        <f t="shared" si="12"/>
        <v>477.61</v>
      </c>
      <c r="L74" s="4">
        <f t="shared" si="13"/>
        <v>300</v>
      </c>
      <c r="M74" s="4">
        <f t="shared" si="14"/>
        <v>143283</v>
      </c>
    </row>
    <row r="75" spans="1:13" ht="15.75" customHeight="1">
      <c r="A75" s="4" t="s">
        <v>1825</v>
      </c>
      <c r="B75" s="4" t="s">
        <v>1826</v>
      </c>
      <c r="C75" s="4" t="s">
        <v>1619</v>
      </c>
      <c r="D75" s="4" t="s">
        <v>1695</v>
      </c>
      <c r="E75" s="4" t="s">
        <v>1827</v>
      </c>
      <c r="F75" s="4">
        <v>107.06</v>
      </c>
      <c r="G75" s="4">
        <v>359</v>
      </c>
      <c r="H75" s="4" t="str">
        <f t="shared" si="10"/>
        <v>PROD073</v>
      </c>
      <c r="I75" s="4" t="s">
        <v>1619</v>
      </c>
      <c r="J75" s="4" t="str">
        <f t="shared" si="11"/>
        <v>Shin Guards – Adult</v>
      </c>
      <c r="K75" s="4">
        <f t="shared" si="12"/>
        <v>107.06</v>
      </c>
      <c r="L75" s="4">
        <f t="shared" si="13"/>
        <v>359</v>
      </c>
      <c r="M75" s="4">
        <f t="shared" si="14"/>
        <v>38434.54</v>
      </c>
    </row>
    <row r="76" spans="1:13" ht="15.75" customHeight="1">
      <c r="A76" s="4" t="s">
        <v>1828</v>
      </c>
      <c r="B76" s="4" t="s">
        <v>1829</v>
      </c>
      <c r="C76" s="4" t="s">
        <v>1580</v>
      </c>
      <c r="D76" s="4" t="s">
        <v>1615</v>
      </c>
      <c r="E76" s="4" t="s">
        <v>1830</v>
      </c>
      <c r="F76" s="4">
        <v>403.71</v>
      </c>
      <c r="G76" s="4">
        <v>159</v>
      </c>
      <c r="H76" s="4" t="str">
        <f t="shared" si="10"/>
        <v>PROD074</v>
      </c>
      <c r="I76" s="4" t="s">
        <v>1580</v>
      </c>
      <c r="J76" s="4" t="str">
        <f t="shared" si="11"/>
        <v>Bluetooth Car Audio System</v>
      </c>
      <c r="K76" s="4">
        <f t="shared" si="12"/>
        <v>403.71</v>
      </c>
      <c r="L76" s="4">
        <f t="shared" si="13"/>
        <v>159</v>
      </c>
      <c r="M76" s="4">
        <f t="shared" si="14"/>
        <v>64189.89</v>
      </c>
    </row>
    <row r="77" spans="1:13" ht="15.75" customHeight="1">
      <c r="A77" s="4" t="s">
        <v>1831</v>
      </c>
      <c r="B77" s="4" t="s">
        <v>1832</v>
      </c>
      <c r="C77" s="4" t="s">
        <v>1585</v>
      </c>
      <c r="D77" s="4" t="s">
        <v>1714</v>
      </c>
      <c r="E77" s="4" t="s">
        <v>1833</v>
      </c>
      <c r="F77" s="4">
        <v>158.13999999999999</v>
      </c>
      <c r="G77" s="4">
        <v>82</v>
      </c>
      <c r="H77" s="4" t="str">
        <f t="shared" si="10"/>
        <v>PROD075</v>
      </c>
      <c r="I77" s="4" t="s">
        <v>1585</v>
      </c>
      <c r="J77" s="4" t="str">
        <f t="shared" si="11"/>
        <v>Women'S Ankle Boots</v>
      </c>
      <c r="K77" s="4">
        <f t="shared" si="12"/>
        <v>158.13999999999999</v>
      </c>
      <c r="L77" s="4">
        <f t="shared" si="13"/>
        <v>82</v>
      </c>
      <c r="M77" s="4">
        <f t="shared" si="14"/>
        <v>12967.48</v>
      </c>
    </row>
    <row r="78" spans="1:13" ht="15.75" customHeight="1">
      <c r="A78" s="4" t="s">
        <v>1834</v>
      </c>
      <c r="B78" s="4" t="s">
        <v>1835</v>
      </c>
      <c r="C78" s="4" t="s">
        <v>1580</v>
      </c>
      <c r="D78" s="4" t="s">
        <v>1581</v>
      </c>
      <c r="E78" s="4" t="s">
        <v>1836</v>
      </c>
      <c r="F78" s="4">
        <v>392.89</v>
      </c>
      <c r="G78" s="4">
        <v>320</v>
      </c>
      <c r="H78" s="4" t="str">
        <f t="shared" si="10"/>
        <v>PROD076</v>
      </c>
      <c r="I78" s="4" t="s">
        <v>1580</v>
      </c>
      <c r="J78" s="4" t="str">
        <f t="shared" si="11"/>
        <v>Wireless Mouse</v>
      </c>
      <c r="K78" s="4">
        <f t="shared" si="12"/>
        <v>392.89</v>
      </c>
      <c r="L78" s="4">
        <f t="shared" si="13"/>
        <v>320</v>
      </c>
      <c r="M78" s="4">
        <f t="shared" si="14"/>
        <v>125724.79999999999</v>
      </c>
    </row>
    <row r="79" spans="1:13" ht="15.75" customHeight="1">
      <c r="A79" s="4" t="s">
        <v>1837</v>
      </c>
      <c r="B79" s="4" t="s">
        <v>1838</v>
      </c>
      <c r="C79" s="4" t="s">
        <v>1580</v>
      </c>
      <c r="D79" s="4" t="s">
        <v>1642</v>
      </c>
      <c r="E79" s="4" t="s">
        <v>1839</v>
      </c>
      <c r="F79" s="4">
        <v>480.9</v>
      </c>
      <c r="G79" s="4">
        <v>104</v>
      </c>
      <c r="H79" s="4" t="str">
        <f t="shared" si="10"/>
        <v>PROD077</v>
      </c>
      <c r="I79" s="4" t="s">
        <v>1580</v>
      </c>
      <c r="J79" s="4" t="str">
        <f t="shared" si="11"/>
        <v>Wifi Mesh Router</v>
      </c>
      <c r="K79" s="4">
        <f t="shared" si="12"/>
        <v>480.9</v>
      </c>
      <c r="L79" s="4">
        <f t="shared" si="13"/>
        <v>104</v>
      </c>
      <c r="M79" s="4">
        <f t="shared" si="14"/>
        <v>50013.599999999999</v>
      </c>
    </row>
    <row r="80" spans="1:13" ht="15.75" customHeight="1">
      <c r="A80" s="4" t="s">
        <v>1840</v>
      </c>
      <c r="B80" s="4" t="s">
        <v>1841</v>
      </c>
      <c r="C80" s="4" t="s">
        <v>1610</v>
      </c>
      <c r="D80" s="4" t="s">
        <v>1638</v>
      </c>
      <c r="E80" s="4" t="s">
        <v>1842</v>
      </c>
      <c r="F80" s="4">
        <v>325.26</v>
      </c>
      <c r="G80" s="4">
        <v>400</v>
      </c>
      <c r="H80" s="4" t="str">
        <f t="shared" si="10"/>
        <v>PROD078</v>
      </c>
      <c r="I80" s="4" t="s">
        <v>1610</v>
      </c>
      <c r="J80" s="4" t="str">
        <f t="shared" si="11"/>
        <v>Essential Oil Diffuser</v>
      </c>
      <c r="K80" s="4">
        <f t="shared" si="12"/>
        <v>325.26</v>
      </c>
      <c r="L80" s="4">
        <f t="shared" si="13"/>
        <v>400</v>
      </c>
      <c r="M80" s="4">
        <f t="shared" si="14"/>
        <v>130104</v>
      </c>
    </row>
    <row r="81" spans="1:13" ht="15.75" customHeight="1">
      <c r="A81" s="4" t="s">
        <v>1843</v>
      </c>
      <c r="B81" s="4" t="s">
        <v>1844</v>
      </c>
      <c r="C81" s="4" t="s">
        <v>1610</v>
      </c>
      <c r="D81" s="4" t="s">
        <v>1611</v>
      </c>
      <c r="E81" s="4" t="s">
        <v>1845</v>
      </c>
      <c r="F81" s="4">
        <v>228.53</v>
      </c>
      <c r="G81" s="4">
        <v>469</v>
      </c>
      <c r="H81" s="4" t="str">
        <f t="shared" si="10"/>
        <v>PROD079</v>
      </c>
      <c r="I81" s="4" t="s">
        <v>1610</v>
      </c>
      <c r="J81" s="4" t="str">
        <f t="shared" si="11"/>
        <v>Decorative Lamp Shade</v>
      </c>
      <c r="K81" s="4">
        <f t="shared" si="12"/>
        <v>228.53</v>
      </c>
      <c r="L81" s="4">
        <f t="shared" si="13"/>
        <v>469</v>
      </c>
      <c r="M81" s="4">
        <f t="shared" si="14"/>
        <v>107180.57</v>
      </c>
    </row>
    <row r="82" spans="1:13" ht="15.75" customHeight="1">
      <c r="A82" s="4" t="s">
        <v>1846</v>
      </c>
      <c r="B82" s="4" t="s">
        <v>1847</v>
      </c>
      <c r="C82" s="4" t="s">
        <v>1610</v>
      </c>
      <c r="D82" s="4" t="s">
        <v>1624</v>
      </c>
      <c r="E82" s="4" t="s">
        <v>1848</v>
      </c>
      <c r="F82" s="4">
        <v>143.43</v>
      </c>
      <c r="G82" s="4">
        <v>58</v>
      </c>
      <c r="H82" s="4" t="str">
        <f t="shared" si="10"/>
        <v>PROD080</v>
      </c>
      <c r="I82" s="4" t="s">
        <v>1610</v>
      </c>
      <c r="J82" s="4" t="str">
        <f t="shared" si="11"/>
        <v>Wall-Mounted Spice Rack</v>
      </c>
      <c r="K82" s="4">
        <f t="shared" si="12"/>
        <v>143.43</v>
      </c>
      <c r="L82" s="4">
        <f t="shared" si="13"/>
        <v>58</v>
      </c>
      <c r="M82" s="4">
        <f t="shared" si="14"/>
        <v>8318.94</v>
      </c>
    </row>
    <row r="83" spans="1:13" ht="15.75" customHeight="1">
      <c r="A83" s="4" t="s">
        <v>1849</v>
      </c>
      <c r="B83" s="4" t="s">
        <v>1850</v>
      </c>
      <c r="C83" s="4" t="s">
        <v>1619</v>
      </c>
      <c r="D83" s="4" t="s">
        <v>1656</v>
      </c>
      <c r="E83" s="4" t="s">
        <v>1851</v>
      </c>
      <c r="F83" s="4">
        <v>285.54000000000002</v>
      </c>
      <c r="G83" s="4">
        <v>358</v>
      </c>
      <c r="H83" s="4" t="str">
        <f t="shared" si="10"/>
        <v>PROD081</v>
      </c>
      <c r="I83" s="4" t="s">
        <v>1619</v>
      </c>
      <c r="J83" s="4" t="str">
        <f t="shared" si="11"/>
        <v>Badminton Racket Set</v>
      </c>
      <c r="K83" s="4">
        <f t="shared" si="12"/>
        <v>285.54000000000002</v>
      </c>
      <c r="L83" s="4">
        <f t="shared" si="13"/>
        <v>358</v>
      </c>
      <c r="M83" s="4">
        <f t="shared" si="14"/>
        <v>102223.32</v>
      </c>
    </row>
    <row r="84" spans="1:13" ht="15.75" customHeight="1">
      <c r="A84" s="4" t="s">
        <v>1852</v>
      </c>
      <c r="B84" s="4" t="s">
        <v>1853</v>
      </c>
      <c r="C84" s="4" t="s">
        <v>1619</v>
      </c>
      <c r="D84" s="4" t="s">
        <v>1620</v>
      </c>
      <c r="E84" s="4" t="s">
        <v>1854</v>
      </c>
      <c r="F84" s="4">
        <v>152.91999999999999</v>
      </c>
      <c r="G84" s="4">
        <v>281</v>
      </c>
      <c r="H84" s="4" t="str">
        <f t="shared" si="10"/>
        <v>PROD082</v>
      </c>
      <c r="I84" s="4" t="s">
        <v>1619</v>
      </c>
      <c r="J84" s="4" t="str">
        <f t="shared" si="11"/>
        <v>Fitness Resistance Bands</v>
      </c>
      <c r="K84" s="4">
        <f t="shared" si="12"/>
        <v>152.91999999999999</v>
      </c>
      <c r="L84" s="4">
        <f t="shared" si="13"/>
        <v>281</v>
      </c>
      <c r="M84" s="4">
        <f t="shared" si="14"/>
        <v>42970.52</v>
      </c>
    </row>
    <row r="85" spans="1:13" ht="15.75" customHeight="1">
      <c r="A85" s="4" t="s">
        <v>1855</v>
      </c>
      <c r="B85" s="4" t="s">
        <v>1856</v>
      </c>
      <c r="C85" s="4" t="s">
        <v>1605</v>
      </c>
      <c r="D85" s="4" t="s">
        <v>1606</v>
      </c>
      <c r="E85" s="4" t="s">
        <v>1857</v>
      </c>
      <c r="F85" s="4"/>
      <c r="G85" s="4">
        <v>159</v>
      </c>
      <c r="H85" s="4" t="str">
        <f t="shared" si="10"/>
        <v>PROD083</v>
      </c>
      <c r="I85" s="4" t="s">
        <v>1605</v>
      </c>
      <c r="J85" s="4" t="str">
        <f t="shared" si="11"/>
        <v>Hydrating Face Cleanser</v>
      </c>
      <c r="K85" s="4">
        <f t="shared" si="12"/>
        <v>250.42</v>
      </c>
      <c r="L85" s="4">
        <f t="shared" si="13"/>
        <v>159</v>
      </c>
      <c r="M85" s="4">
        <f t="shared" si="14"/>
        <v>39816.78</v>
      </c>
    </row>
    <row r="86" spans="1:13" ht="15.75" customHeight="1">
      <c r="A86" s="4" t="s">
        <v>1858</v>
      </c>
      <c r="B86" s="4" t="s">
        <v>1859</v>
      </c>
      <c r="C86" s="4" t="s">
        <v>1610</v>
      </c>
      <c r="D86" s="4" t="s">
        <v>1811</v>
      </c>
      <c r="E86" s="4" t="s">
        <v>1860</v>
      </c>
      <c r="F86" s="4">
        <v>388.46</v>
      </c>
      <c r="G86" s="4">
        <v>208</v>
      </c>
      <c r="H86" s="4" t="str">
        <f t="shared" si="10"/>
        <v>PROD084</v>
      </c>
      <c r="I86" s="4" t="s">
        <v>1610</v>
      </c>
      <c r="J86" s="4" t="str">
        <f t="shared" si="11"/>
        <v>Wooden Bookshelf</v>
      </c>
      <c r="K86" s="4">
        <f t="shared" si="12"/>
        <v>388.46</v>
      </c>
      <c r="L86" s="4">
        <f t="shared" si="13"/>
        <v>208</v>
      </c>
      <c r="M86" s="4">
        <f t="shared" si="14"/>
        <v>80799.679999999993</v>
      </c>
    </row>
    <row r="87" spans="1:13" ht="15.75" customHeight="1">
      <c r="A87" s="4" t="s">
        <v>1861</v>
      </c>
      <c r="B87" s="4" t="s">
        <v>1862</v>
      </c>
      <c r="C87" s="4" t="s">
        <v>1585</v>
      </c>
      <c r="D87" s="4" t="s">
        <v>1601</v>
      </c>
      <c r="E87" s="4" t="s">
        <v>1863</v>
      </c>
      <c r="F87" s="4">
        <v>119.57</v>
      </c>
      <c r="G87" s="4">
        <v>210</v>
      </c>
      <c r="H87" s="4" t="str">
        <f t="shared" si="10"/>
        <v>PROD085</v>
      </c>
      <c r="I87" s="4" t="s">
        <v>1585</v>
      </c>
      <c r="J87" s="4" t="str">
        <f t="shared" si="11"/>
        <v>Women'S Beanie Hat</v>
      </c>
      <c r="K87" s="4">
        <f t="shared" si="12"/>
        <v>119.57</v>
      </c>
      <c r="L87" s="4">
        <f t="shared" si="13"/>
        <v>210</v>
      </c>
      <c r="M87" s="4">
        <f t="shared" si="14"/>
        <v>25109.699999999997</v>
      </c>
    </row>
    <row r="88" spans="1:13" ht="15.75" customHeight="1">
      <c r="A88" s="4" t="s">
        <v>1864</v>
      </c>
      <c r="B88" s="4" t="s">
        <v>1865</v>
      </c>
      <c r="C88" s="4" t="s">
        <v>1610</v>
      </c>
      <c r="D88" s="4" t="s">
        <v>1624</v>
      </c>
      <c r="E88" s="4" t="s">
        <v>1866</v>
      </c>
      <c r="F88" s="4">
        <v>176.07</v>
      </c>
      <c r="G88" s="4">
        <v>82</v>
      </c>
      <c r="H88" s="4" t="str">
        <f t="shared" si="10"/>
        <v>PROD086</v>
      </c>
      <c r="I88" s="4" t="s">
        <v>1610</v>
      </c>
      <c r="J88" s="4" t="str">
        <f t="shared" si="11"/>
        <v>Kitchen Cutting Board</v>
      </c>
      <c r="K88" s="4">
        <f t="shared" si="12"/>
        <v>176.07</v>
      </c>
      <c r="L88" s="4">
        <f t="shared" si="13"/>
        <v>82</v>
      </c>
      <c r="M88" s="4">
        <f t="shared" si="14"/>
        <v>14437.74</v>
      </c>
    </row>
    <row r="89" spans="1:13" ht="15.75" customHeight="1">
      <c r="A89" s="4" t="s">
        <v>1867</v>
      </c>
      <c r="B89" s="4" t="s">
        <v>1868</v>
      </c>
      <c r="C89" s="4" t="s">
        <v>1610</v>
      </c>
      <c r="D89" s="4" t="s">
        <v>1611</v>
      </c>
      <c r="E89" s="4" t="s">
        <v>1869</v>
      </c>
      <c r="F89" s="4">
        <v>371.38</v>
      </c>
      <c r="G89" s="4">
        <v>220</v>
      </c>
      <c r="H89" s="4" t="str">
        <f t="shared" si="10"/>
        <v>PROD087</v>
      </c>
      <c r="I89" s="4" t="s">
        <v>1610</v>
      </c>
      <c r="J89" s="4" t="str">
        <f t="shared" si="11"/>
        <v>Led Bedside Lamp</v>
      </c>
      <c r="K89" s="4">
        <f t="shared" si="12"/>
        <v>371.38</v>
      </c>
      <c r="L89" s="4">
        <f t="shared" si="13"/>
        <v>220</v>
      </c>
      <c r="M89" s="4">
        <f t="shared" si="14"/>
        <v>81703.600000000006</v>
      </c>
    </row>
    <row r="90" spans="1:13" ht="15.75" customHeight="1">
      <c r="A90" s="4" t="s">
        <v>1870</v>
      </c>
      <c r="B90" s="4" t="s">
        <v>1871</v>
      </c>
      <c r="C90" s="4" t="s">
        <v>1619</v>
      </c>
      <c r="D90" s="4" t="s">
        <v>1601</v>
      </c>
      <c r="E90" s="4" t="s">
        <v>1872</v>
      </c>
      <c r="F90" s="4">
        <v>131.24</v>
      </c>
      <c r="G90" s="4">
        <v>232</v>
      </c>
      <c r="H90" s="4" t="str">
        <f t="shared" si="10"/>
        <v>PROD088</v>
      </c>
      <c r="I90" s="4" t="s">
        <v>1619</v>
      </c>
      <c r="J90" s="4" t="str">
        <f t="shared" si="11"/>
        <v>Sports Wrist Sweatbands</v>
      </c>
      <c r="K90" s="4">
        <f t="shared" si="12"/>
        <v>131.24</v>
      </c>
      <c r="L90" s="4">
        <f t="shared" si="13"/>
        <v>232</v>
      </c>
      <c r="M90" s="4">
        <f t="shared" si="14"/>
        <v>30447.68</v>
      </c>
    </row>
    <row r="91" spans="1:13" ht="15.75" customHeight="1">
      <c r="A91" s="4" t="s">
        <v>1873</v>
      </c>
      <c r="B91" s="4" t="s">
        <v>1874</v>
      </c>
      <c r="C91" s="4" t="s">
        <v>1605</v>
      </c>
      <c r="D91" s="4" t="s">
        <v>1746</v>
      </c>
      <c r="E91" s="4" t="s">
        <v>1875</v>
      </c>
      <c r="F91" s="4">
        <v>183.04</v>
      </c>
      <c r="G91" s="4">
        <v>457</v>
      </c>
      <c r="H91" s="4" t="str">
        <f t="shared" si="10"/>
        <v>PROD089</v>
      </c>
      <c r="I91" s="4" t="s">
        <v>1605</v>
      </c>
      <c r="J91" s="4" t="str">
        <f t="shared" si="11"/>
        <v>Face Foundation Kit</v>
      </c>
      <c r="K91" s="4">
        <f t="shared" si="12"/>
        <v>183.04</v>
      </c>
      <c r="L91" s="4">
        <f t="shared" si="13"/>
        <v>457</v>
      </c>
      <c r="M91" s="4">
        <f t="shared" si="14"/>
        <v>83649.279999999999</v>
      </c>
    </row>
    <row r="92" spans="1:13" ht="15.75" customHeight="1">
      <c r="A92" s="4" t="s">
        <v>1876</v>
      </c>
      <c r="B92" s="4" t="s">
        <v>1877</v>
      </c>
      <c r="C92" s="4" t="s">
        <v>1580</v>
      </c>
      <c r="D92" s="4" t="s">
        <v>1601</v>
      </c>
      <c r="E92" s="4" t="s">
        <v>1878</v>
      </c>
      <c r="F92" s="4">
        <v>340.14</v>
      </c>
      <c r="G92" s="4">
        <v>361</v>
      </c>
      <c r="H92" s="4" t="str">
        <f t="shared" si="10"/>
        <v>PROD090</v>
      </c>
      <c r="I92" s="4" t="s">
        <v>1580</v>
      </c>
      <c r="J92" s="4" t="str">
        <f t="shared" si="11"/>
        <v>Gaming Mouse Pad Xl</v>
      </c>
      <c r="K92" s="4">
        <f t="shared" si="12"/>
        <v>340.14</v>
      </c>
      <c r="L92" s="4">
        <f t="shared" si="13"/>
        <v>361</v>
      </c>
      <c r="M92" s="4">
        <f t="shared" si="14"/>
        <v>122790.54</v>
      </c>
    </row>
    <row r="93" spans="1:13" ht="15.75" customHeight="1">
      <c r="A93" s="4" t="s">
        <v>1879</v>
      </c>
      <c r="B93" s="4" t="s">
        <v>1880</v>
      </c>
      <c r="C93" s="4" t="s">
        <v>1585</v>
      </c>
      <c r="D93" s="4" t="s">
        <v>1714</v>
      </c>
      <c r="E93" s="4" t="s">
        <v>1881</v>
      </c>
      <c r="F93" s="4">
        <v>438.25</v>
      </c>
      <c r="G93" s="4">
        <v>496</v>
      </c>
      <c r="H93" s="4" t="str">
        <f t="shared" si="10"/>
        <v>PROD091</v>
      </c>
      <c r="I93" s="4" t="s">
        <v>1585</v>
      </c>
      <c r="J93" s="4" t="str">
        <f t="shared" si="11"/>
        <v>Women'S High Heels</v>
      </c>
      <c r="K93" s="4">
        <f t="shared" si="12"/>
        <v>438.25</v>
      </c>
      <c r="L93" s="4">
        <f t="shared" si="13"/>
        <v>496</v>
      </c>
      <c r="M93" s="4">
        <f t="shared" si="14"/>
        <v>217372</v>
      </c>
    </row>
    <row r="94" spans="1:13" ht="15.75" customHeight="1">
      <c r="A94" s="4" t="s">
        <v>1882</v>
      </c>
      <c r="B94" s="4" t="s">
        <v>1883</v>
      </c>
      <c r="C94" s="4" t="s">
        <v>1610</v>
      </c>
      <c r="D94" s="4" t="s">
        <v>1642</v>
      </c>
      <c r="E94" s="4" t="s">
        <v>1884</v>
      </c>
      <c r="F94" s="4">
        <v>447.43</v>
      </c>
      <c r="G94" s="4">
        <v>191</v>
      </c>
      <c r="H94" s="4" t="str">
        <f t="shared" si="10"/>
        <v>PROD092</v>
      </c>
      <c r="I94" s="4" t="s">
        <v>1610</v>
      </c>
      <c r="J94" s="4" t="str">
        <f t="shared" si="11"/>
        <v>Microwave Oven</v>
      </c>
      <c r="K94" s="4">
        <f t="shared" si="12"/>
        <v>447.43</v>
      </c>
      <c r="L94" s="4">
        <f t="shared" si="13"/>
        <v>191</v>
      </c>
      <c r="M94" s="4">
        <f t="shared" si="14"/>
        <v>85459.13</v>
      </c>
    </row>
    <row r="95" spans="1:13" ht="15.75" customHeight="1">
      <c r="A95" s="4" t="s">
        <v>1885</v>
      </c>
      <c r="B95" s="4" t="s">
        <v>1886</v>
      </c>
      <c r="C95" s="4" t="s">
        <v>1580</v>
      </c>
      <c r="D95" s="4" t="s">
        <v>1581</v>
      </c>
      <c r="E95" s="4" t="s">
        <v>1887</v>
      </c>
      <c r="F95" s="4">
        <v>377.52</v>
      </c>
      <c r="G95" s="4">
        <v>485</v>
      </c>
      <c r="H95" s="4" t="str">
        <f t="shared" si="10"/>
        <v>PROD093</v>
      </c>
      <c r="I95" s="4" t="s">
        <v>1580</v>
      </c>
      <c r="J95" s="4" t="str">
        <f t="shared" si="11"/>
        <v>Usb-C Laptop Charger</v>
      </c>
      <c r="K95" s="4">
        <f t="shared" si="12"/>
        <v>377.52</v>
      </c>
      <c r="L95" s="4">
        <f t="shared" si="13"/>
        <v>485</v>
      </c>
      <c r="M95" s="4">
        <f t="shared" si="14"/>
        <v>183097.19999999998</v>
      </c>
    </row>
    <row r="96" spans="1:13" ht="15.75" customHeight="1">
      <c r="A96" s="4" t="s">
        <v>1888</v>
      </c>
      <c r="B96" s="4" t="s">
        <v>1889</v>
      </c>
      <c r="C96" s="4" t="s">
        <v>1605</v>
      </c>
      <c r="D96" s="4" t="s">
        <v>1606</v>
      </c>
      <c r="E96" s="4" t="s">
        <v>1890</v>
      </c>
      <c r="F96" s="4">
        <v>358.47</v>
      </c>
      <c r="G96" s="4">
        <v>213</v>
      </c>
      <c r="H96" s="4" t="str">
        <f t="shared" si="10"/>
        <v>PROD094</v>
      </c>
      <c r="I96" s="4" t="s">
        <v>1605</v>
      </c>
      <c r="J96" s="4" t="str">
        <f t="shared" si="11"/>
        <v>Vitamin E Body Lotion</v>
      </c>
      <c r="K96" s="4">
        <f t="shared" si="12"/>
        <v>358.47</v>
      </c>
      <c r="L96" s="4">
        <f t="shared" si="13"/>
        <v>213</v>
      </c>
      <c r="M96" s="4">
        <f t="shared" si="14"/>
        <v>76354.11</v>
      </c>
    </row>
    <row r="97" spans="1:13" ht="15.75" customHeight="1">
      <c r="A97" s="4" t="s">
        <v>1891</v>
      </c>
      <c r="B97" s="4" t="s">
        <v>1892</v>
      </c>
      <c r="C97" s="4" t="s">
        <v>1619</v>
      </c>
      <c r="D97" s="4" t="s">
        <v>1601</v>
      </c>
      <c r="E97" s="4" t="s">
        <v>1893</v>
      </c>
      <c r="F97" s="4">
        <v>60.65</v>
      </c>
      <c r="G97" s="4">
        <v>75</v>
      </c>
      <c r="H97" s="4" t="str">
        <f t="shared" si="10"/>
        <v>PROD095</v>
      </c>
      <c r="I97" s="4" t="s">
        <v>1619</v>
      </c>
      <c r="J97" s="4" t="str">
        <f t="shared" si="11"/>
        <v>Sports Stopwatch Basic</v>
      </c>
      <c r="K97" s="4">
        <f t="shared" si="12"/>
        <v>60.65</v>
      </c>
      <c r="L97" s="4">
        <f t="shared" si="13"/>
        <v>75</v>
      </c>
      <c r="M97" s="4">
        <f t="shared" si="14"/>
        <v>4548.75</v>
      </c>
    </row>
    <row r="98" spans="1:13" ht="15.75" customHeight="1">
      <c r="A98" s="4" t="s">
        <v>1894</v>
      </c>
      <c r="B98" s="4" t="s">
        <v>1895</v>
      </c>
      <c r="C98" s="4" t="s">
        <v>1585</v>
      </c>
      <c r="D98" s="4" t="s">
        <v>1590</v>
      </c>
      <c r="E98" s="4" t="s">
        <v>1896</v>
      </c>
      <c r="F98" s="4">
        <v>358.47</v>
      </c>
      <c r="G98" s="4">
        <v>143</v>
      </c>
      <c r="H98" s="4" t="str">
        <f t="shared" si="10"/>
        <v>PROD096</v>
      </c>
      <c r="I98" s="4" t="s">
        <v>1585</v>
      </c>
      <c r="J98" s="4" t="str">
        <f t="shared" si="11"/>
        <v>Women'S Formal Blazer</v>
      </c>
      <c r="K98" s="4">
        <f t="shared" si="12"/>
        <v>358.47</v>
      </c>
      <c r="L98" s="4">
        <f t="shared" si="13"/>
        <v>143</v>
      </c>
      <c r="M98" s="4">
        <f t="shared" ref="M98:M129" si="15">K98*L98</f>
        <v>51261.210000000006</v>
      </c>
    </row>
    <row r="99" spans="1:13" ht="15.75" customHeight="1">
      <c r="A99" s="4" t="s">
        <v>1897</v>
      </c>
      <c r="B99" s="4" t="s">
        <v>1898</v>
      </c>
      <c r="C99" s="4" t="s">
        <v>1619</v>
      </c>
      <c r="D99" s="4" t="s">
        <v>1695</v>
      </c>
      <c r="E99" s="4" t="s">
        <v>1899</v>
      </c>
      <c r="F99" s="4">
        <v>245.98</v>
      </c>
      <c r="G99" s="4">
        <v>471</v>
      </c>
      <c r="H99" s="4" t="str">
        <f t="shared" si="10"/>
        <v>PROD097</v>
      </c>
      <c r="I99" s="4" t="s">
        <v>1619</v>
      </c>
      <c r="J99" s="4" t="str">
        <f t="shared" si="11"/>
        <v>Cricket Bat</v>
      </c>
      <c r="K99" s="4">
        <f t="shared" si="12"/>
        <v>245.98</v>
      </c>
      <c r="L99" s="4">
        <f t="shared" si="13"/>
        <v>471</v>
      </c>
      <c r="M99" s="4">
        <f t="shared" si="15"/>
        <v>115856.58</v>
      </c>
    </row>
    <row r="100" spans="1:13" ht="15.75" customHeight="1">
      <c r="A100" s="4" t="s">
        <v>1900</v>
      </c>
      <c r="B100" s="4" t="s">
        <v>1901</v>
      </c>
      <c r="C100" s="4" t="s">
        <v>1580</v>
      </c>
      <c r="D100" s="4" t="s">
        <v>1615</v>
      </c>
      <c r="E100" s="4" t="s">
        <v>1902</v>
      </c>
      <c r="F100" s="4">
        <v>431.67</v>
      </c>
      <c r="G100" s="4">
        <v>73</v>
      </c>
      <c r="H100" s="4" t="str">
        <f t="shared" si="10"/>
        <v>PROD098</v>
      </c>
      <c r="I100" s="4" t="s">
        <v>1580</v>
      </c>
      <c r="J100" s="4" t="str">
        <f t="shared" si="11"/>
        <v>Portable Bluetooth Speaker</v>
      </c>
      <c r="K100" s="4">
        <f t="shared" si="12"/>
        <v>431.67</v>
      </c>
      <c r="L100" s="4">
        <f t="shared" si="13"/>
        <v>73</v>
      </c>
      <c r="M100" s="4">
        <f t="shared" si="15"/>
        <v>31511.91</v>
      </c>
    </row>
    <row r="101" spans="1:13" ht="15.75" customHeight="1">
      <c r="A101" s="4" t="s">
        <v>1903</v>
      </c>
      <c r="B101" s="4" t="s">
        <v>1904</v>
      </c>
      <c r="C101" s="4" t="s">
        <v>1610</v>
      </c>
      <c r="D101" s="4" t="s">
        <v>1624</v>
      </c>
      <c r="E101" s="4" t="s">
        <v>1905</v>
      </c>
      <c r="F101" s="4">
        <v>201.41</v>
      </c>
      <c r="G101" s="4">
        <v>146</v>
      </c>
      <c r="H101" s="4" t="str">
        <f t="shared" si="10"/>
        <v>PROD099</v>
      </c>
      <c r="I101" s="4" t="s">
        <v>1610</v>
      </c>
      <c r="J101" s="4" t="str">
        <f t="shared" si="11"/>
        <v>Stainless Steel Cookware Set</v>
      </c>
      <c r="K101" s="4">
        <f t="shared" si="12"/>
        <v>201.41</v>
      </c>
      <c r="L101" s="4">
        <f t="shared" si="13"/>
        <v>146</v>
      </c>
      <c r="M101" s="4">
        <f t="shared" si="15"/>
        <v>29405.86</v>
      </c>
    </row>
    <row r="102" spans="1:13" ht="15.75" customHeight="1"/>
    <row r="103" spans="1:13" ht="15.75" customHeight="1"/>
    <row r="104" spans="1:13" ht="15.75" customHeight="1"/>
    <row r="105" spans="1:13" ht="15.75" customHeight="1"/>
    <row r="106" spans="1:13" ht="15.75" customHeight="1"/>
    <row r="107" spans="1:13" ht="15.75" customHeight="1"/>
    <row r="108" spans="1:13" ht="15.75" customHeight="1"/>
    <row r="109" spans="1:13" ht="15.75" customHeight="1"/>
    <row r="110" spans="1:13" ht="15.75" customHeight="1"/>
    <row r="111" spans="1:13" ht="15.75" customHeight="1"/>
    <row r="112" spans="1:13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L1:L101">
    <cfRule type="cellIs" dxfId="2" priority="2" operator="greaterThan">
      <formula>100</formula>
    </cfRule>
  </conditionalFormatting>
  <pageMargins left="0.75" right="0.75" top="1" bottom="1" header="0.511811023622047" footer="0.511811023622047"/>
  <pageSetup orientation="landscape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topLeftCell="M1" zoomScaleNormal="100" workbookViewId="0"/>
  </sheetViews>
  <sheetFormatPr defaultColWidth="12.625" defaultRowHeight="13.9"/>
  <cols>
    <col min="1" max="1" width="10.875" customWidth="1"/>
    <col min="2" max="2" width="31" customWidth="1"/>
    <col min="3" max="3" width="9.25" customWidth="1"/>
    <col min="4" max="4" width="18.75" customWidth="1"/>
    <col min="5" max="5" width="13.25" customWidth="1"/>
    <col min="6" max="6" width="8.75" customWidth="1"/>
    <col min="7" max="26" width="14.375" customWidth="1"/>
  </cols>
  <sheetData>
    <row r="1" spans="1:5" ht="15" customHeight="1">
      <c r="A1" s="5" t="s">
        <v>1906</v>
      </c>
      <c r="B1" s="5" t="s">
        <v>1907</v>
      </c>
      <c r="C1" s="5" t="s">
        <v>1908</v>
      </c>
      <c r="D1" s="5" t="s">
        <v>13</v>
      </c>
      <c r="E1" s="5" t="s">
        <v>1909</v>
      </c>
    </row>
    <row r="2" spans="1:5" ht="15" customHeight="1">
      <c r="A2" s="4" t="s">
        <v>1910</v>
      </c>
      <c r="B2" s="4" t="s">
        <v>1911</v>
      </c>
      <c r="C2" s="4" t="s">
        <v>1912</v>
      </c>
      <c r="D2" s="4" t="s">
        <v>1913</v>
      </c>
      <c r="E2" s="4" t="s">
        <v>1914</v>
      </c>
    </row>
    <row r="3" spans="1:5" ht="15" customHeight="1">
      <c r="A3" s="4" t="s">
        <v>1915</v>
      </c>
      <c r="B3" s="4" t="s">
        <v>1916</v>
      </c>
      <c r="C3" s="4" t="s">
        <v>1917</v>
      </c>
      <c r="D3" s="4" t="s">
        <v>1918</v>
      </c>
      <c r="E3" s="4" t="s">
        <v>1914</v>
      </c>
    </row>
    <row r="4" spans="1:5" ht="15" customHeight="1">
      <c r="A4" s="4" t="s">
        <v>1919</v>
      </c>
      <c r="B4" s="4" t="s">
        <v>1920</v>
      </c>
      <c r="C4" s="4" t="s">
        <v>1921</v>
      </c>
      <c r="D4" s="4" t="s">
        <v>1922</v>
      </c>
      <c r="E4" s="4" t="s">
        <v>1923</v>
      </c>
    </row>
    <row r="5" spans="1:5" ht="15" customHeight="1">
      <c r="A5" s="4" t="s">
        <v>1924</v>
      </c>
      <c r="B5" s="4" t="s">
        <v>1925</v>
      </c>
      <c r="C5" s="4" t="s">
        <v>1917</v>
      </c>
      <c r="D5" s="4" t="s">
        <v>1926</v>
      </c>
      <c r="E5" s="4" t="s">
        <v>1923</v>
      </c>
    </row>
    <row r="6" spans="1:5" ht="15" customHeight="1">
      <c r="A6" s="4" t="s">
        <v>1927</v>
      </c>
      <c r="B6" s="4" t="s">
        <v>1928</v>
      </c>
      <c r="C6" s="4" t="s">
        <v>1921</v>
      </c>
      <c r="D6" s="4" t="s">
        <v>1929</v>
      </c>
      <c r="E6" s="4" t="s">
        <v>1930</v>
      </c>
    </row>
    <row r="7" spans="1:5" ht="15" customHeight="1">
      <c r="A7" s="4" t="s">
        <v>1931</v>
      </c>
      <c r="B7" s="4" t="s">
        <v>1932</v>
      </c>
      <c r="C7" s="4" t="s">
        <v>1917</v>
      </c>
      <c r="D7" s="4" t="s">
        <v>1933</v>
      </c>
      <c r="E7" s="4" t="s">
        <v>1923</v>
      </c>
    </row>
    <row r="8" spans="1:5" ht="15" customHeight="1">
      <c r="A8" s="4" t="s">
        <v>1934</v>
      </c>
      <c r="B8" s="4" t="s">
        <v>1935</v>
      </c>
      <c r="C8" s="4" t="s">
        <v>1912</v>
      </c>
      <c r="D8" s="4" t="s">
        <v>1936</v>
      </c>
      <c r="E8" s="4" t="s">
        <v>1930</v>
      </c>
    </row>
    <row r="9" spans="1:5" ht="15" customHeight="1">
      <c r="A9" s="4" t="s">
        <v>1937</v>
      </c>
      <c r="B9" s="4" t="s">
        <v>1938</v>
      </c>
      <c r="C9" s="4" t="s">
        <v>1921</v>
      </c>
      <c r="D9" s="4" t="s">
        <v>1939</v>
      </c>
      <c r="E9" s="4" t="s">
        <v>1930</v>
      </c>
    </row>
    <row r="10" spans="1:5" ht="15" customHeight="1">
      <c r="A10" s="4" t="s">
        <v>1940</v>
      </c>
      <c r="B10" s="4" t="s">
        <v>1941</v>
      </c>
      <c r="C10" s="4" t="s">
        <v>1942</v>
      </c>
      <c r="D10" s="4" t="s">
        <v>1943</v>
      </c>
      <c r="E10" s="4" t="s">
        <v>1930</v>
      </c>
    </row>
    <row r="11" spans="1:5" ht="15" customHeight="1">
      <c r="A11" s="4" t="s">
        <v>1944</v>
      </c>
      <c r="B11" s="4" t="s">
        <v>1945</v>
      </c>
      <c r="C11" s="4" t="s">
        <v>1921</v>
      </c>
      <c r="D11" s="4" t="s">
        <v>1946</v>
      </c>
      <c r="E11" s="4" t="s">
        <v>1914</v>
      </c>
    </row>
    <row r="12" spans="1:5" ht="15" customHeight="1">
      <c r="A12" s="4" t="s">
        <v>1947</v>
      </c>
      <c r="B12" s="4" t="s">
        <v>1948</v>
      </c>
      <c r="C12" s="4" t="s">
        <v>1912</v>
      </c>
      <c r="D12" s="4" t="s">
        <v>1949</v>
      </c>
      <c r="E12" s="4" t="s">
        <v>1930</v>
      </c>
    </row>
    <row r="13" spans="1:5" ht="15" customHeight="1">
      <c r="A13" s="4" t="s">
        <v>1950</v>
      </c>
      <c r="B13" s="4" t="s">
        <v>1951</v>
      </c>
      <c r="C13" s="4" t="s">
        <v>1921</v>
      </c>
      <c r="D13" s="4" t="s">
        <v>416</v>
      </c>
      <c r="E13" s="4" t="s">
        <v>1930</v>
      </c>
    </row>
    <row r="14" spans="1:5" ht="15" customHeight="1">
      <c r="A14" s="4" t="s">
        <v>1952</v>
      </c>
      <c r="B14" s="4" t="s">
        <v>1953</v>
      </c>
      <c r="C14" s="4" t="s">
        <v>1917</v>
      </c>
      <c r="D14" s="4" t="s">
        <v>1954</v>
      </c>
      <c r="E14" s="4" t="s">
        <v>1930</v>
      </c>
    </row>
    <row r="15" spans="1:5" ht="15" customHeight="1">
      <c r="A15" s="4" t="s">
        <v>1955</v>
      </c>
      <c r="B15" s="4" t="s">
        <v>1956</v>
      </c>
      <c r="C15" s="4" t="s">
        <v>1912</v>
      </c>
      <c r="D15" s="4" t="s">
        <v>150</v>
      </c>
      <c r="E15" s="4" t="s">
        <v>1914</v>
      </c>
    </row>
    <row r="16" spans="1:5" ht="15" customHeight="1">
      <c r="A16" s="4" t="s">
        <v>1957</v>
      </c>
      <c r="B16" s="4" t="s">
        <v>1958</v>
      </c>
      <c r="C16" s="4" t="s">
        <v>1921</v>
      </c>
      <c r="D16" s="4" t="s">
        <v>228</v>
      </c>
      <c r="E16" s="4" t="s">
        <v>1923</v>
      </c>
    </row>
    <row r="17" spans="1:5" ht="15" customHeight="1">
      <c r="A17" s="4" t="s">
        <v>1959</v>
      </c>
      <c r="B17" s="4" t="s">
        <v>1960</v>
      </c>
      <c r="C17" s="4" t="s">
        <v>1917</v>
      </c>
      <c r="D17" s="4" t="s">
        <v>1961</v>
      </c>
      <c r="E17" s="4" t="s">
        <v>1914</v>
      </c>
    </row>
    <row r="18" spans="1:5" ht="15" customHeight="1">
      <c r="A18" s="4" t="s">
        <v>1962</v>
      </c>
      <c r="B18" s="4" t="s">
        <v>1963</v>
      </c>
      <c r="C18" s="4" t="s">
        <v>1942</v>
      </c>
      <c r="D18" s="4" t="s">
        <v>1964</v>
      </c>
      <c r="E18" s="4" t="s">
        <v>1914</v>
      </c>
    </row>
    <row r="19" spans="1:5" ht="15" customHeight="1">
      <c r="A19" s="4" t="s">
        <v>1965</v>
      </c>
      <c r="B19" s="4" t="s">
        <v>1966</v>
      </c>
      <c r="C19" s="4" t="s">
        <v>1917</v>
      </c>
      <c r="D19" s="4" t="s">
        <v>1967</v>
      </c>
      <c r="E19" s="4" t="s">
        <v>1914</v>
      </c>
    </row>
    <row r="20" spans="1:5" ht="15" customHeight="1">
      <c r="A20" s="4" t="s">
        <v>1968</v>
      </c>
      <c r="B20" s="4" t="s">
        <v>1969</v>
      </c>
      <c r="C20" s="4" t="s">
        <v>1912</v>
      </c>
      <c r="D20" s="4" t="s">
        <v>1970</v>
      </c>
      <c r="E20" s="4" t="s">
        <v>1914</v>
      </c>
    </row>
    <row r="21" spans="1:5" ht="15.75" customHeight="1">
      <c r="A21" s="4" t="s">
        <v>1971</v>
      </c>
      <c r="B21" s="4" t="s">
        <v>1972</v>
      </c>
      <c r="C21" s="4" t="s">
        <v>1912</v>
      </c>
      <c r="D21" s="4" t="s">
        <v>1973</v>
      </c>
      <c r="E21" s="4" t="s">
        <v>1930</v>
      </c>
    </row>
    <row r="22" spans="1:5" ht="15.75" customHeight="1"/>
    <row r="23" spans="1:5" ht="15.75" customHeight="1"/>
    <row r="24" spans="1:5" ht="15.75" customHeight="1"/>
    <row r="25" spans="1:5" ht="15.75" customHeight="1"/>
    <row r="26" spans="1:5" ht="15.75" customHeight="1"/>
    <row r="27" spans="1:5" ht="15.75" customHeight="1"/>
    <row r="28" spans="1:5" ht="15.75" customHeight="1"/>
    <row r="29" spans="1:5" ht="15.75" customHeight="1"/>
    <row r="30" spans="1:5" ht="15.75" customHeight="1"/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2001"/>
  <sheetViews>
    <sheetView zoomScaleNormal="100" workbookViewId="0"/>
  </sheetViews>
  <sheetFormatPr defaultColWidth="12.625" defaultRowHeight="13.9"/>
  <cols>
    <col min="1" max="1" width="9" customWidth="1"/>
    <col min="2" max="2" width="10.875" customWidth="1"/>
    <col min="3" max="3" width="9.75" customWidth="1"/>
    <col min="4" max="4" width="8" customWidth="1"/>
    <col min="5" max="5" width="8.75" customWidth="1"/>
    <col min="6" max="6" width="4.625" customWidth="1"/>
    <col min="7" max="7" width="6.875" customWidth="1"/>
    <col min="8" max="8" width="4.875" customWidth="1"/>
    <col min="9" max="9" width="10.75" customWidth="1"/>
    <col min="10" max="10" width="10.125" customWidth="1"/>
    <col min="11" max="11" width="10.875" customWidth="1"/>
    <col min="12" max="12" width="4.75" customWidth="1"/>
    <col min="13" max="13" width="7.75" customWidth="1"/>
    <col min="14" max="14" width="7.875" customWidth="1"/>
    <col min="15" max="15" width="10.125" customWidth="1"/>
    <col min="16" max="16" width="9.625" customWidth="1"/>
    <col min="17" max="18" width="4.875" customWidth="1"/>
    <col min="19" max="19" width="21.125" customWidth="1"/>
    <col min="20" max="20" width="10.25" customWidth="1"/>
    <col min="21" max="21" width="26.875" customWidth="1"/>
    <col min="22" max="22" width="6" customWidth="1"/>
    <col min="23" max="23" width="8.875" customWidth="1"/>
    <col min="24" max="24" width="4.875" customWidth="1"/>
    <col min="25" max="27" width="8.75" customWidth="1"/>
    <col min="28" max="28" width="11.125" customWidth="1"/>
  </cols>
  <sheetData>
    <row r="1" spans="1:28" ht="15" customHeight="1">
      <c r="A1" s="1" t="s">
        <v>1974</v>
      </c>
      <c r="B1" s="1" t="s">
        <v>1975</v>
      </c>
      <c r="C1" s="1" t="s">
        <v>9</v>
      </c>
      <c r="D1" s="1" t="s">
        <v>1565</v>
      </c>
      <c r="E1" s="1" t="s">
        <v>1906</v>
      </c>
      <c r="F1" s="1" t="s">
        <v>1976</v>
      </c>
      <c r="G1" s="1" t="s">
        <v>1977</v>
      </c>
      <c r="H1" s="1" t="s">
        <v>1978</v>
      </c>
      <c r="I1" s="1" t="s">
        <v>1979</v>
      </c>
      <c r="J1" s="6" t="s">
        <v>1980</v>
      </c>
      <c r="K1" s="2" t="s">
        <v>1981</v>
      </c>
      <c r="L1" s="2" t="s">
        <v>1982</v>
      </c>
      <c r="M1" s="2" t="s">
        <v>1983</v>
      </c>
      <c r="N1" s="7" t="s">
        <v>1984</v>
      </c>
      <c r="O1" s="7" t="s">
        <v>1985</v>
      </c>
      <c r="P1" s="7" t="s">
        <v>1986</v>
      </c>
      <c r="Q1" s="8" t="s">
        <v>1987</v>
      </c>
      <c r="R1" s="2" t="s">
        <v>1988</v>
      </c>
      <c r="S1" s="2" t="s">
        <v>1989</v>
      </c>
      <c r="T1" s="2" t="s">
        <v>1990</v>
      </c>
      <c r="U1" s="2" t="s">
        <v>1991</v>
      </c>
      <c r="V1" s="2" t="s">
        <v>1992</v>
      </c>
      <c r="W1" s="2" t="s">
        <v>1993</v>
      </c>
      <c r="X1" s="2" t="s">
        <v>1994</v>
      </c>
    </row>
    <row r="2" spans="1:28" ht="15" customHeight="1">
      <c r="A2" s="4" t="s">
        <v>1995</v>
      </c>
      <c r="B2" s="9">
        <v>45480</v>
      </c>
      <c r="C2" s="4" t="s">
        <v>1301</v>
      </c>
      <c r="D2" s="4" t="s">
        <v>1897</v>
      </c>
      <c r="E2" s="4" t="s">
        <v>1924</v>
      </c>
      <c r="F2" s="4">
        <v>1</v>
      </c>
      <c r="G2" s="4">
        <v>218.04</v>
      </c>
      <c r="H2" s="4">
        <v>0.09</v>
      </c>
      <c r="I2" s="4" t="s">
        <v>1996</v>
      </c>
      <c r="J2" s="10">
        <v>198.41640000000001</v>
      </c>
      <c r="K2" s="4" t="str">
        <f t="shared" ref="K2:K65" si="0">TEXT(B2,"dd-mm-yyyy")</f>
        <v>07-07-2024</v>
      </c>
      <c r="L2" s="4" t="str">
        <f>TEXT(Sales_Fact!$B2,"mmm")</f>
        <v>Jul</v>
      </c>
      <c r="M2" s="4">
        <f t="shared" ref="M2:M65" si="1">IF(ISBLANK(F2),1,F2)</f>
        <v>1</v>
      </c>
      <c r="N2" s="10">
        <f t="shared" ref="N2:N65" si="2">ROUNDUP(IF(ISBLANK(G2),AVERAGE(C:C,G2,G:G),G2),2)</f>
        <v>218.04</v>
      </c>
      <c r="O2" s="10">
        <f t="shared" ref="O2:O65" si="3">M2*N2*(1-H2)</f>
        <v>198.41640000000001</v>
      </c>
      <c r="P2" s="10">
        <f t="shared" ref="P2:P65" si="4">M2*N2</f>
        <v>218.04</v>
      </c>
      <c r="Q2" s="3">
        <f t="shared" ref="Q2:Q65" si="5">(P2-O2)/P2</f>
        <v>8.9999999999999927E-2</v>
      </c>
      <c r="R2" s="4" t="str">
        <f>IF(Sales_Fact!$O2&gt;1000,"High","Low")</f>
        <v>Low</v>
      </c>
      <c r="S2" s="4" t="str">
        <f>VLOOKUP(C2,Customer_Dim!$A:$N,9,FALSE())</f>
        <v>Sarah Smith</v>
      </c>
      <c r="T2" s="4" t="str">
        <f>VLOOKUP(D2,Product_Dim!$A:$M,3,FALSE())</f>
        <v>Sports</v>
      </c>
      <c r="U2" s="11" t="str">
        <f>VLOOKUP(D2,Product_Dim!$A:$M,2,FALSE())</f>
        <v>Cricket Bat</v>
      </c>
      <c r="V2" s="11" t="str">
        <f>VLOOKUP(E2,Store_Dim!$A:$E,3,FALSE())</f>
        <v>North</v>
      </c>
      <c r="W2" s="11" t="str">
        <f>VLOOKUP(C2,Customer_Dim!$A:$N,13,FALSE())</f>
        <v>Gold</v>
      </c>
      <c r="X2" s="11" t="str">
        <f t="shared" ref="X2:X65" si="6">IF(F2&gt;3,"High","Low")</f>
        <v>Low</v>
      </c>
    </row>
    <row r="3" spans="1:28" ht="15" customHeight="1">
      <c r="A3" s="4" t="s">
        <v>1997</v>
      </c>
      <c r="B3" s="9">
        <v>45285</v>
      </c>
      <c r="C3" s="4" t="s">
        <v>1469</v>
      </c>
      <c r="D3" s="4" t="s">
        <v>1828</v>
      </c>
      <c r="E3" s="4" t="s">
        <v>1965</v>
      </c>
      <c r="F3" s="4">
        <v>3</v>
      </c>
      <c r="G3" s="4">
        <v>104.47</v>
      </c>
      <c r="H3" s="4">
        <v>0.27</v>
      </c>
      <c r="I3" s="4" t="s">
        <v>1998</v>
      </c>
      <c r="J3" s="10">
        <v>228.7893</v>
      </c>
      <c r="K3" s="4" t="str">
        <f t="shared" si="0"/>
        <v>25-12-2023</v>
      </c>
      <c r="L3" s="4" t="str">
        <f>TEXT(Sales_Fact!$B3,"mmm")</f>
        <v>Dec</v>
      </c>
      <c r="M3" s="4">
        <f t="shared" si="1"/>
        <v>3</v>
      </c>
      <c r="N3" s="10">
        <f t="shared" si="2"/>
        <v>104.47</v>
      </c>
      <c r="O3" s="10">
        <f t="shared" si="3"/>
        <v>228.78929999999997</v>
      </c>
      <c r="P3" s="10">
        <f t="shared" si="4"/>
        <v>313.40999999999997</v>
      </c>
      <c r="Q3" s="3">
        <f t="shared" si="5"/>
        <v>0.27</v>
      </c>
      <c r="R3" s="4" t="str">
        <f>IF(Sales_Fact!$O3&gt;1000,"High","Low")</f>
        <v>Low</v>
      </c>
      <c r="S3" s="4" t="str">
        <f>VLOOKUP(C3,Customer_Dim!$A:$N,9,FALSE())</f>
        <v>Michael Foley</v>
      </c>
      <c r="T3" s="4" t="str">
        <f>VLOOKUP(D3,Product_Dim!$A:$M,3,FALSE())</f>
        <v>Electronics</v>
      </c>
      <c r="U3" s="11" t="str">
        <f>VLOOKUP(D3,Product_Dim!$A:$M,2,FALSE())</f>
        <v>Bluetooth Car Audio System</v>
      </c>
      <c r="V3" s="11" t="str">
        <f>VLOOKUP(E3,Store_Dim!$A:$E,3,FALSE())</f>
        <v>North</v>
      </c>
      <c r="W3" s="11" t="str">
        <f>VLOOKUP(C3,Customer_Dim!$A:$N,13,FALSE())</f>
        <v>Gold</v>
      </c>
      <c r="X3" s="11" t="str">
        <f t="shared" si="6"/>
        <v>Low</v>
      </c>
    </row>
    <row r="4" spans="1:28" ht="15" customHeight="1">
      <c r="A4" s="4" t="s">
        <v>1999</v>
      </c>
      <c r="B4" s="9">
        <v>45335</v>
      </c>
      <c r="C4" s="4" t="s">
        <v>262</v>
      </c>
      <c r="D4" s="4" t="s">
        <v>1671</v>
      </c>
      <c r="E4" s="4" t="s">
        <v>1957</v>
      </c>
      <c r="F4" s="4">
        <v>1</v>
      </c>
      <c r="G4" s="4">
        <v>278.63</v>
      </c>
      <c r="H4" s="4">
        <v>7.0000000000000007E-2</v>
      </c>
      <c r="I4" s="4" t="s">
        <v>1996</v>
      </c>
      <c r="J4" s="10">
        <v>259.1259</v>
      </c>
      <c r="K4" s="4" t="str">
        <f t="shared" si="0"/>
        <v>13-02-2024</v>
      </c>
      <c r="L4" s="4" t="str">
        <f>TEXT(Sales_Fact!$B4,"mmm")</f>
        <v>Feb</v>
      </c>
      <c r="M4" s="4">
        <f t="shared" si="1"/>
        <v>1</v>
      </c>
      <c r="N4" s="10">
        <f t="shared" si="2"/>
        <v>278.63</v>
      </c>
      <c r="O4" s="10">
        <f t="shared" si="3"/>
        <v>259.1259</v>
      </c>
      <c r="P4" s="10">
        <f t="shared" si="4"/>
        <v>278.63</v>
      </c>
      <c r="Q4" s="3">
        <f t="shared" si="5"/>
        <v>6.9999999999999979E-2</v>
      </c>
      <c r="R4" s="4" t="str">
        <f>IF(Sales_Fact!$O4&gt;1000,"High","Low")</f>
        <v>Low</v>
      </c>
      <c r="S4" s="4" t="str">
        <f>VLOOKUP(C4,Customer_Dim!$A:$N,9,FALSE())</f>
        <v>Michael Thomas</v>
      </c>
      <c r="T4" s="4" t="str">
        <f>VLOOKUP(D4,Product_Dim!$A:$M,3,FALSE())</f>
        <v>Sports</v>
      </c>
      <c r="U4" s="11" t="str">
        <f>VLOOKUP(D4,Product_Dim!$A:$M,2,FALSE())</f>
        <v>Foldable Camping Chair</v>
      </c>
      <c r="V4" s="11" t="str">
        <f>VLOOKUP(E4,Store_Dim!$A:$E,3,FALSE())</f>
        <v>South</v>
      </c>
      <c r="W4" s="11" t="str">
        <f>VLOOKUP(C4,Customer_Dim!$A:$N,13,FALSE())</f>
        <v>Silver</v>
      </c>
      <c r="X4" s="11" t="str">
        <f t="shared" si="6"/>
        <v>Low</v>
      </c>
    </row>
    <row r="5" spans="1:28" ht="15" customHeight="1">
      <c r="A5" s="4" t="s">
        <v>2000</v>
      </c>
      <c r="B5" s="9">
        <v>45677</v>
      </c>
      <c r="C5" s="4" t="s">
        <v>1183</v>
      </c>
      <c r="D5" s="4" t="s">
        <v>1700</v>
      </c>
      <c r="E5" s="4" t="s">
        <v>1931</v>
      </c>
      <c r="F5" s="4">
        <v>2</v>
      </c>
      <c r="G5" s="4">
        <v>401.5</v>
      </c>
      <c r="H5" s="4">
        <v>0.18</v>
      </c>
      <c r="I5" s="4" t="s">
        <v>1996</v>
      </c>
      <c r="J5" s="10">
        <v>658.46</v>
      </c>
      <c r="K5" s="4" t="str">
        <f t="shared" si="0"/>
        <v>20-01-2025</v>
      </c>
      <c r="L5" s="4" t="str">
        <f>TEXT(Sales_Fact!$B5,"mmm")</f>
        <v>Jan</v>
      </c>
      <c r="M5" s="4">
        <f t="shared" si="1"/>
        <v>2</v>
      </c>
      <c r="N5" s="10">
        <f t="shared" si="2"/>
        <v>401.5</v>
      </c>
      <c r="O5" s="10">
        <f t="shared" si="3"/>
        <v>658.46</v>
      </c>
      <c r="P5" s="10">
        <f t="shared" si="4"/>
        <v>803</v>
      </c>
      <c r="Q5" s="3">
        <f t="shared" si="5"/>
        <v>0.17999999999999997</v>
      </c>
      <c r="R5" s="4" t="str">
        <f>IF(Sales_Fact!$O5&gt;1000,"High","Low")</f>
        <v>Low</v>
      </c>
      <c r="S5" s="4" t="str">
        <f>VLOOKUP(C5,Customer_Dim!$A:$N,9,FALSE())</f>
        <v>Gregory Allen</v>
      </c>
      <c r="T5" s="4" t="str">
        <f>VLOOKUP(D5,Product_Dim!$A:$M,3,FALSE())</f>
        <v>Home</v>
      </c>
      <c r="U5" s="11" t="str">
        <f>VLOOKUP(D5,Product_Dim!$A:$M,2,FALSE())</f>
        <v>Modern Wall Clock</v>
      </c>
      <c r="V5" s="11" t="str">
        <f>VLOOKUP(E5,Store_Dim!$A:$E,3,FALSE())</f>
        <v>North</v>
      </c>
      <c r="W5" s="11" t="str">
        <f>VLOOKUP(C5,Customer_Dim!$A:$N,13,FALSE())</f>
        <v>Platinum</v>
      </c>
      <c r="X5" s="11" t="str">
        <f t="shared" si="6"/>
        <v>Low</v>
      </c>
    </row>
    <row r="6" spans="1:28" ht="15" customHeight="1">
      <c r="A6" s="4" t="s">
        <v>2001</v>
      </c>
      <c r="B6" s="9">
        <v>45456</v>
      </c>
      <c r="C6" s="4" t="s">
        <v>650</v>
      </c>
      <c r="D6" s="4" t="s">
        <v>1782</v>
      </c>
      <c r="E6" s="4" t="s">
        <v>1919</v>
      </c>
      <c r="F6" s="4">
        <v>2</v>
      </c>
      <c r="G6" s="4">
        <v>909.51</v>
      </c>
      <c r="H6" s="4">
        <v>0.27</v>
      </c>
      <c r="I6" s="4" t="s">
        <v>1996</v>
      </c>
      <c r="J6" s="10">
        <v>1327.8846000000001</v>
      </c>
      <c r="K6" s="4" t="str">
        <f t="shared" si="0"/>
        <v>13-06-2024</v>
      </c>
      <c r="L6" s="4" t="str">
        <f>TEXT(Sales_Fact!$B6,"mmm")</f>
        <v>Jun</v>
      </c>
      <c r="M6" s="4">
        <f t="shared" si="1"/>
        <v>2</v>
      </c>
      <c r="N6" s="10">
        <f t="shared" si="2"/>
        <v>909.51</v>
      </c>
      <c r="O6" s="10">
        <f t="shared" si="3"/>
        <v>1327.8845999999999</v>
      </c>
      <c r="P6" s="10">
        <f t="shared" si="4"/>
        <v>1819.02</v>
      </c>
      <c r="Q6" s="3">
        <f t="shared" si="5"/>
        <v>0.27000000000000007</v>
      </c>
      <c r="R6" s="4" t="str">
        <f>IF(Sales_Fact!$O6&gt;1000,"High","Low")</f>
        <v>High</v>
      </c>
      <c r="S6" s="4" t="str">
        <f>VLOOKUP(C6,Customer_Dim!$A:$N,9,FALSE())</f>
        <v>Christopher Stewart</v>
      </c>
      <c r="T6" s="4" t="str">
        <f>VLOOKUP(D6,Product_Dim!$A:$M,3,FALSE())</f>
        <v>Beauty</v>
      </c>
      <c r="U6" s="11" t="str">
        <f>VLOOKUP(D6,Product_Dim!$A:$M,2,FALSE())</f>
        <v>Men's Hair Styling Gel</v>
      </c>
      <c r="V6" s="11" t="str">
        <f>VLOOKUP(E6,Store_Dim!$A:$E,3,FALSE())</f>
        <v>South</v>
      </c>
      <c r="W6" s="11" t="str">
        <f>VLOOKUP(C6,Customer_Dim!$A:$N,13,FALSE())</f>
        <v>Bronze</v>
      </c>
      <c r="X6" s="11" t="str">
        <f t="shared" si="6"/>
        <v>Low</v>
      </c>
    </row>
    <row r="7" spans="1:28" ht="15" customHeight="1">
      <c r="A7" s="4" t="s">
        <v>2002</v>
      </c>
      <c r="B7" s="9">
        <v>45776</v>
      </c>
      <c r="C7" s="4" t="s">
        <v>219</v>
      </c>
      <c r="D7" s="4" t="s">
        <v>1813</v>
      </c>
      <c r="E7" s="4" t="s">
        <v>1957</v>
      </c>
      <c r="F7" s="4">
        <v>4</v>
      </c>
      <c r="G7" s="4">
        <v>593.84</v>
      </c>
      <c r="H7" s="4">
        <v>0.24</v>
      </c>
      <c r="I7" s="4" t="s">
        <v>1998</v>
      </c>
      <c r="J7" s="10">
        <v>1805.2736</v>
      </c>
      <c r="K7" s="4" t="str">
        <f t="shared" si="0"/>
        <v>29-04-2025</v>
      </c>
      <c r="L7" s="4" t="str">
        <f>TEXT(Sales_Fact!$B7,"mmm")</f>
        <v>Apr</v>
      </c>
      <c r="M7" s="4">
        <f t="shared" si="1"/>
        <v>4</v>
      </c>
      <c r="N7" s="10">
        <f t="shared" si="2"/>
        <v>593.84</v>
      </c>
      <c r="O7" s="10">
        <f t="shared" si="3"/>
        <v>1805.2736000000002</v>
      </c>
      <c r="P7" s="10">
        <f t="shared" si="4"/>
        <v>2375.36</v>
      </c>
      <c r="Q7" s="3">
        <f t="shared" si="5"/>
        <v>0.23999999999999996</v>
      </c>
      <c r="R7" s="4" t="str">
        <f>IF(Sales_Fact!$O7&gt;1000,"High","Low")</f>
        <v>High</v>
      </c>
      <c r="S7" s="4" t="str">
        <f>VLOOKUP(C7,Customer_Dim!$A:$N,9,FALSE())</f>
        <v>Debra Liu</v>
      </c>
      <c r="T7" s="4" t="str">
        <f>VLOOKUP(D7,Product_Dim!$A:$M,3,FALSE())</f>
        <v>Clothing</v>
      </c>
      <c r="U7" s="11" t="str">
        <f>VLOOKUP(D7,Product_Dim!$A:$M,2,FALSE())</f>
        <v>Men's Sports Shorts</v>
      </c>
      <c r="V7" s="11" t="str">
        <f>VLOOKUP(E7,Store_Dim!$A:$E,3,FALSE())</f>
        <v>South</v>
      </c>
      <c r="W7" s="11" t="str">
        <f>VLOOKUP(C7,Customer_Dim!$A:$N,13,FALSE())</f>
        <v>Bronze</v>
      </c>
      <c r="X7" s="11" t="str">
        <f t="shared" si="6"/>
        <v>High</v>
      </c>
      <c r="AB7" s="10"/>
    </row>
    <row r="8" spans="1:28" ht="15" customHeight="1">
      <c r="A8" s="4" t="s">
        <v>2003</v>
      </c>
      <c r="B8" s="9">
        <v>45566</v>
      </c>
      <c r="C8" s="4" t="s">
        <v>405</v>
      </c>
      <c r="D8" s="4" t="s">
        <v>1825</v>
      </c>
      <c r="E8" s="4" t="s">
        <v>1947</v>
      </c>
      <c r="F8" s="4">
        <v>3</v>
      </c>
      <c r="G8" s="4">
        <v>909.11</v>
      </c>
      <c r="H8" s="4">
        <v>0.23</v>
      </c>
      <c r="I8" s="4" t="s">
        <v>2004</v>
      </c>
      <c r="J8" s="10">
        <v>2100.0441000000001</v>
      </c>
      <c r="K8" s="4" t="str">
        <f t="shared" si="0"/>
        <v>01-10-2024</v>
      </c>
      <c r="L8" s="4" t="str">
        <f>TEXT(Sales_Fact!$B8,"mmm")</f>
        <v>Oct</v>
      </c>
      <c r="M8" s="4">
        <f t="shared" si="1"/>
        <v>3</v>
      </c>
      <c r="N8" s="10">
        <f t="shared" si="2"/>
        <v>909.11</v>
      </c>
      <c r="O8" s="10">
        <f t="shared" si="3"/>
        <v>2100.0441000000001</v>
      </c>
      <c r="P8" s="10">
        <f t="shared" si="4"/>
        <v>2727.33</v>
      </c>
      <c r="Q8" s="3">
        <f t="shared" si="5"/>
        <v>0.22999999999999995</v>
      </c>
      <c r="R8" s="4" t="str">
        <f>IF(Sales_Fact!$O8&gt;1000,"High","Low")</f>
        <v>High</v>
      </c>
      <c r="S8" s="4" t="str">
        <f>VLOOKUP(C8,Customer_Dim!$A:$N,9,FALSE())</f>
        <v>Amy Walker</v>
      </c>
      <c r="T8" s="4" t="str">
        <f>VLOOKUP(D8,Product_Dim!$A:$M,3,FALSE())</f>
        <v>Sports</v>
      </c>
      <c r="U8" s="11" t="str">
        <f>VLOOKUP(D8,Product_Dim!$A:$M,2,FALSE())</f>
        <v>Shin Guards – Adult</v>
      </c>
      <c r="V8" s="11" t="str">
        <f>VLOOKUP(E8,Store_Dim!$A:$E,3,FALSE())</f>
        <v>East</v>
      </c>
      <c r="W8" s="11" t="str">
        <f>VLOOKUP(C8,Customer_Dim!$A:$N,13,FALSE())</f>
        <v>Silver</v>
      </c>
      <c r="X8" s="11" t="str">
        <f t="shared" si="6"/>
        <v>Low</v>
      </c>
      <c r="AB8" s="10"/>
    </row>
    <row r="9" spans="1:28" ht="15" customHeight="1">
      <c r="A9" s="4" t="s">
        <v>2005</v>
      </c>
      <c r="B9" s="9">
        <v>45542</v>
      </c>
      <c r="C9" s="4" t="s">
        <v>1272</v>
      </c>
      <c r="D9" s="4" t="s">
        <v>1671</v>
      </c>
      <c r="E9" s="4" t="s">
        <v>1915</v>
      </c>
      <c r="F9" s="4">
        <v>4</v>
      </c>
      <c r="G9" s="4">
        <v>996.85</v>
      </c>
      <c r="H9" s="4">
        <v>0.24</v>
      </c>
      <c r="I9" s="4" t="s">
        <v>1998</v>
      </c>
      <c r="J9" s="10">
        <v>3030.424</v>
      </c>
      <c r="K9" s="4" t="str">
        <f t="shared" si="0"/>
        <v>07-09-2024</v>
      </c>
      <c r="L9" s="4" t="str">
        <f>TEXT(Sales_Fact!$B9,"mmm")</f>
        <v>Sep</v>
      </c>
      <c r="M9" s="4">
        <f t="shared" si="1"/>
        <v>4</v>
      </c>
      <c r="N9" s="10">
        <f t="shared" si="2"/>
        <v>996.85</v>
      </c>
      <c r="O9" s="10">
        <f t="shared" si="3"/>
        <v>3030.424</v>
      </c>
      <c r="P9" s="10">
        <f t="shared" si="4"/>
        <v>3987.4</v>
      </c>
      <c r="Q9" s="3">
        <f t="shared" si="5"/>
        <v>0.24000000000000002</v>
      </c>
      <c r="R9" s="4" t="str">
        <f>IF(Sales_Fact!$O9&gt;1000,"High","Low")</f>
        <v>High</v>
      </c>
      <c r="S9" s="4" t="str">
        <f>VLOOKUP(C9,Customer_Dim!$A:$N,9,FALSE())</f>
        <v>John Donaldson</v>
      </c>
      <c r="T9" s="4" t="str">
        <f>VLOOKUP(D9,Product_Dim!$A:$M,3,FALSE())</f>
        <v>Sports</v>
      </c>
      <c r="U9" s="11" t="str">
        <f>VLOOKUP(D9,Product_Dim!$A:$M,2,FALSE())</f>
        <v>Foldable Camping Chair</v>
      </c>
      <c r="V9" s="11" t="str">
        <f>VLOOKUP(E9,Store_Dim!$A:$E,3,FALSE())</f>
        <v>North</v>
      </c>
      <c r="W9" s="11" t="str">
        <f>VLOOKUP(C9,Customer_Dim!$A:$N,13,FALSE())</f>
        <v>Bronze</v>
      </c>
      <c r="X9" s="11" t="str">
        <f t="shared" si="6"/>
        <v>High</v>
      </c>
    </row>
    <row r="10" spans="1:28" ht="15" customHeight="1">
      <c r="A10" s="4" t="s">
        <v>2006</v>
      </c>
      <c r="B10" s="9">
        <v>45834</v>
      </c>
      <c r="C10" s="4" t="s">
        <v>976</v>
      </c>
      <c r="D10" s="4" t="s">
        <v>1578</v>
      </c>
      <c r="E10" s="4" t="s">
        <v>1965</v>
      </c>
      <c r="F10" s="4">
        <v>1</v>
      </c>
      <c r="G10" s="4">
        <v>522.69000000000005</v>
      </c>
      <c r="H10" s="4">
        <v>0.06</v>
      </c>
      <c r="I10" s="4" t="s">
        <v>2004</v>
      </c>
      <c r="J10" s="10">
        <v>491.32859999999999</v>
      </c>
      <c r="K10" s="4" t="str">
        <f t="shared" si="0"/>
        <v>26-06-2025</v>
      </c>
      <c r="L10" s="4" t="str">
        <f>TEXT(Sales_Fact!$B10,"mmm")</f>
        <v>Jun</v>
      </c>
      <c r="M10" s="4">
        <f t="shared" si="1"/>
        <v>1</v>
      </c>
      <c r="N10" s="10">
        <f t="shared" si="2"/>
        <v>522.69000000000005</v>
      </c>
      <c r="O10" s="10">
        <f t="shared" si="3"/>
        <v>491.32860000000005</v>
      </c>
      <c r="P10" s="10">
        <f t="shared" si="4"/>
        <v>522.69000000000005</v>
      </c>
      <c r="Q10" s="3">
        <f t="shared" si="5"/>
        <v>0.06</v>
      </c>
      <c r="R10" s="4" t="str">
        <f>IF(Sales_Fact!$O10&gt;1000,"High","Low")</f>
        <v>Low</v>
      </c>
      <c r="S10" s="4" t="str">
        <f>VLOOKUP(C10,Customer_Dim!$A:$N,9,FALSE())</f>
        <v>Matthew Avery</v>
      </c>
      <c r="T10" s="4" t="str">
        <f>VLOOKUP(D10,Product_Dim!$A:$M,3,FALSE())</f>
        <v>Electronics</v>
      </c>
      <c r="U10" s="11" t="str">
        <f>VLOOKUP(D10,Product_Dim!$A:$M,2,FALSE())</f>
        <v>Brother Laser Printer</v>
      </c>
      <c r="V10" s="11" t="str">
        <f>VLOOKUP(E10,Store_Dim!$A:$E,3,FALSE())</f>
        <v>North</v>
      </c>
      <c r="W10" s="11" t="str">
        <f>VLOOKUP(C10,Customer_Dim!$A:$N,13,FALSE())</f>
        <v>Silver</v>
      </c>
      <c r="X10" s="11" t="str">
        <f t="shared" si="6"/>
        <v>Low</v>
      </c>
      <c r="AB10" s="10"/>
    </row>
    <row r="11" spans="1:28" ht="15" customHeight="1">
      <c r="A11" s="4" t="s">
        <v>2007</v>
      </c>
      <c r="B11" s="9">
        <v>45405</v>
      </c>
      <c r="C11" s="4" t="s">
        <v>662</v>
      </c>
      <c r="D11" s="4" t="s">
        <v>1767</v>
      </c>
      <c r="E11" s="4" t="s">
        <v>1924</v>
      </c>
      <c r="F11" s="4">
        <v>3</v>
      </c>
      <c r="G11" s="4">
        <v>261.05</v>
      </c>
      <c r="H11" s="4">
        <v>0.12</v>
      </c>
      <c r="I11" s="4" t="s">
        <v>1998</v>
      </c>
      <c r="J11" s="10">
        <v>689.17200000000003</v>
      </c>
      <c r="K11" s="4" t="str">
        <f t="shared" si="0"/>
        <v>23-04-2024</v>
      </c>
      <c r="L11" s="4" t="str">
        <f>TEXT(Sales_Fact!$B11,"mmm")</f>
        <v>Apr</v>
      </c>
      <c r="M11" s="4">
        <f t="shared" si="1"/>
        <v>3</v>
      </c>
      <c r="N11" s="10">
        <f t="shared" si="2"/>
        <v>261.05</v>
      </c>
      <c r="O11" s="10">
        <f t="shared" si="3"/>
        <v>689.17200000000014</v>
      </c>
      <c r="P11" s="10">
        <f t="shared" si="4"/>
        <v>783.15000000000009</v>
      </c>
      <c r="Q11" s="3">
        <f t="shared" si="5"/>
        <v>0.11999999999999993</v>
      </c>
      <c r="R11" s="4" t="str">
        <f>IF(Sales_Fact!$O11&gt;1000,"High","Low")</f>
        <v>Low</v>
      </c>
      <c r="S11" s="4" t="str">
        <f>VLOOKUP(C11,Customer_Dim!$A:$N,9,FALSE())</f>
        <v>Ashley Ferguson</v>
      </c>
      <c r="T11" s="4" t="str">
        <f>VLOOKUP(D11,Product_Dim!$A:$M,3,FALSE())</f>
        <v>Sports</v>
      </c>
      <c r="U11" s="11" t="str">
        <f>VLOOKUP(D11,Product_Dim!$A:$M,2,FALSE())</f>
        <v>Sports Stopwatch Pro</v>
      </c>
      <c r="V11" s="11" t="str">
        <f>VLOOKUP(E11,Store_Dim!$A:$E,3,FALSE())</f>
        <v>North</v>
      </c>
      <c r="W11" s="11" t="str">
        <f>VLOOKUP(C11,Customer_Dim!$A:$N,13,FALSE())</f>
        <v>Gold</v>
      </c>
      <c r="X11" s="11" t="str">
        <f t="shared" si="6"/>
        <v>Low</v>
      </c>
    </row>
    <row r="12" spans="1:28" ht="15" customHeight="1">
      <c r="A12" s="4" t="s">
        <v>2008</v>
      </c>
      <c r="B12" s="9">
        <v>45918</v>
      </c>
      <c r="C12" s="4" t="s">
        <v>335</v>
      </c>
      <c r="D12" s="4" t="s">
        <v>1668</v>
      </c>
      <c r="E12" s="4" t="s">
        <v>1965</v>
      </c>
      <c r="F12" s="4">
        <v>3</v>
      </c>
      <c r="G12" s="4">
        <v>644.73</v>
      </c>
      <c r="H12" s="4">
        <v>0.01</v>
      </c>
      <c r="I12" s="4" t="s">
        <v>2004</v>
      </c>
      <c r="J12" s="10">
        <v>1914.8480999999999</v>
      </c>
      <c r="K12" s="4" t="str">
        <f t="shared" si="0"/>
        <v>18-09-2025</v>
      </c>
      <c r="L12" s="4" t="str">
        <f>TEXT(Sales_Fact!$B12,"mmm")</f>
        <v>Sep</v>
      </c>
      <c r="M12" s="4">
        <f t="shared" si="1"/>
        <v>3</v>
      </c>
      <c r="N12" s="10">
        <f t="shared" si="2"/>
        <v>644.73</v>
      </c>
      <c r="O12" s="10">
        <f t="shared" si="3"/>
        <v>1914.8480999999999</v>
      </c>
      <c r="P12" s="10">
        <f t="shared" si="4"/>
        <v>1934.19</v>
      </c>
      <c r="Q12" s="3">
        <f t="shared" si="5"/>
        <v>1.0000000000000063E-2</v>
      </c>
      <c r="R12" s="4" t="str">
        <f>IF(Sales_Fact!$O12&gt;1000,"High","Low")</f>
        <v>High</v>
      </c>
      <c r="S12" s="4" t="str">
        <f>VLOOKUP(C12,Customer_Dim!$A:$N,9,FALSE())</f>
        <v>Melissa Duffy Md</v>
      </c>
      <c r="T12" s="4" t="str">
        <f>VLOOKUP(D12,Product_Dim!$A:$M,3,FALSE())</f>
        <v>Clothing</v>
      </c>
      <c r="U12" s="11" t="str">
        <f>VLOOKUP(D12,Product_Dim!$A:$M,2,FALSE())</f>
        <v>Men's Formal Shirt</v>
      </c>
      <c r="V12" s="11" t="str">
        <f>VLOOKUP(E12,Store_Dim!$A:$E,3,FALSE())</f>
        <v>North</v>
      </c>
      <c r="W12" s="11" t="str">
        <f>VLOOKUP(C12,Customer_Dim!$A:$N,13,FALSE())</f>
        <v>Bronze</v>
      </c>
      <c r="X12" s="11" t="str">
        <f t="shared" si="6"/>
        <v>Low</v>
      </c>
    </row>
    <row r="13" spans="1:28" ht="15" customHeight="1">
      <c r="A13" s="4" t="s">
        <v>2009</v>
      </c>
      <c r="B13" s="9">
        <v>45217</v>
      </c>
      <c r="C13" s="4" t="s">
        <v>673</v>
      </c>
      <c r="D13" s="4" t="s">
        <v>1831</v>
      </c>
      <c r="E13" s="4" t="s">
        <v>1919</v>
      </c>
      <c r="F13" s="4">
        <v>2</v>
      </c>
      <c r="G13" s="4">
        <v>541.52</v>
      </c>
      <c r="H13" s="4">
        <v>0.26</v>
      </c>
      <c r="I13" s="4" t="s">
        <v>1998</v>
      </c>
      <c r="J13" s="10">
        <v>801.44960000000003</v>
      </c>
      <c r="K13" s="4" t="str">
        <f t="shared" si="0"/>
        <v>18-10-2023</v>
      </c>
      <c r="L13" s="4" t="str">
        <f>TEXT(Sales_Fact!$B13,"mmm")</f>
        <v>Oct</v>
      </c>
      <c r="M13" s="4">
        <f t="shared" si="1"/>
        <v>2</v>
      </c>
      <c r="N13" s="10">
        <f t="shared" si="2"/>
        <v>541.52</v>
      </c>
      <c r="O13" s="10">
        <f t="shared" si="3"/>
        <v>801.44959999999992</v>
      </c>
      <c r="P13" s="10">
        <f t="shared" si="4"/>
        <v>1083.04</v>
      </c>
      <c r="Q13" s="3">
        <f t="shared" si="5"/>
        <v>0.26000000000000006</v>
      </c>
      <c r="R13" s="4" t="str">
        <f>IF(Sales_Fact!$O13&gt;1000,"High","Low")</f>
        <v>Low</v>
      </c>
      <c r="S13" s="4" t="str">
        <f>VLOOKUP(C13,Customer_Dim!$A:$N,9,FALSE())</f>
        <v>Wanda Snyder</v>
      </c>
      <c r="T13" s="4" t="str">
        <f>VLOOKUP(D13,Product_Dim!$A:$M,3,FALSE())</f>
        <v>Clothing</v>
      </c>
      <c r="U13" s="11" t="str">
        <f>VLOOKUP(D13,Product_Dim!$A:$M,2,FALSE())</f>
        <v>Women's Ankle Boots</v>
      </c>
      <c r="V13" s="11" t="str">
        <f>VLOOKUP(E13,Store_Dim!$A:$E,3,FALSE())</f>
        <v>South</v>
      </c>
      <c r="W13" s="11" t="str">
        <f>VLOOKUP(C13,Customer_Dim!$A:$N,13,FALSE())</f>
        <v>Bronze</v>
      </c>
      <c r="X13" s="11" t="str">
        <f t="shared" si="6"/>
        <v>Low</v>
      </c>
    </row>
    <row r="14" spans="1:28" ht="15" customHeight="1">
      <c r="A14" s="4" t="s">
        <v>2010</v>
      </c>
      <c r="B14" s="9">
        <v>45259</v>
      </c>
      <c r="C14" s="4" t="s">
        <v>1351</v>
      </c>
      <c r="D14" s="4" t="s">
        <v>1794</v>
      </c>
      <c r="E14" s="4" t="s">
        <v>1947</v>
      </c>
      <c r="F14" s="4">
        <v>1</v>
      </c>
      <c r="G14" s="4">
        <v>395.18</v>
      </c>
      <c r="H14" s="4">
        <v>0.09</v>
      </c>
      <c r="I14" s="4" t="s">
        <v>1998</v>
      </c>
      <c r="J14" s="10">
        <v>359.61380000000003</v>
      </c>
      <c r="K14" s="4" t="str">
        <f t="shared" si="0"/>
        <v>29-11-2023</v>
      </c>
      <c r="L14" s="4" t="str">
        <f>TEXT(Sales_Fact!$B14,"mmm")</f>
        <v>Nov</v>
      </c>
      <c r="M14" s="4">
        <f t="shared" si="1"/>
        <v>1</v>
      </c>
      <c r="N14" s="10">
        <f t="shared" si="2"/>
        <v>395.18</v>
      </c>
      <c r="O14" s="10">
        <f t="shared" si="3"/>
        <v>359.61380000000003</v>
      </c>
      <c r="P14" s="10">
        <f t="shared" si="4"/>
        <v>395.18</v>
      </c>
      <c r="Q14" s="3">
        <f t="shared" si="5"/>
        <v>8.9999999999999955E-2</v>
      </c>
      <c r="R14" s="4" t="str">
        <f>IF(Sales_Fact!$O14&gt;1000,"High","Low")</f>
        <v>Low</v>
      </c>
      <c r="S14" s="4" t="str">
        <f>VLOOKUP(C14,Customer_Dim!$A:$N,9,FALSE())</f>
        <v>Jeanette Nichols</v>
      </c>
      <c r="T14" s="4" t="str">
        <f>VLOOKUP(D14,Product_Dim!$A:$M,3,FALSE())</f>
        <v>Beauty</v>
      </c>
      <c r="U14" s="11" t="str">
        <f>VLOOKUP(D14,Product_Dim!$A:$M,2,FALSE())</f>
        <v>Organic Sunscreen Lotion</v>
      </c>
      <c r="V14" s="11" t="str">
        <f>VLOOKUP(E14,Store_Dim!$A:$E,3,FALSE())</f>
        <v>East</v>
      </c>
      <c r="W14" s="11" t="str">
        <f>VLOOKUP(C14,Customer_Dim!$A:$N,13,FALSE())</f>
        <v>Platinum</v>
      </c>
      <c r="X14" s="11" t="str">
        <f t="shared" si="6"/>
        <v>Low</v>
      </c>
    </row>
    <row r="15" spans="1:28" ht="15" customHeight="1">
      <c r="A15" s="4" t="s">
        <v>2011</v>
      </c>
      <c r="B15" s="9">
        <v>45740</v>
      </c>
      <c r="C15" s="4" t="s">
        <v>377</v>
      </c>
      <c r="D15" s="4" t="s">
        <v>1613</v>
      </c>
      <c r="E15" s="4" t="s">
        <v>1940</v>
      </c>
      <c r="F15" s="4">
        <v>4</v>
      </c>
      <c r="G15" s="4">
        <v>56.37</v>
      </c>
      <c r="H15" s="4">
        <v>0.17</v>
      </c>
      <c r="I15" s="4" t="s">
        <v>1996</v>
      </c>
      <c r="J15" s="10">
        <v>187.14840000000001</v>
      </c>
      <c r="K15" s="4" t="str">
        <f t="shared" si="0"/>
        <v>24-03-2025</v>
      </c>
      <c r="L15" s="4" t="str">
        <f>TEXT(Sales_Fact!$B15,"mmm")</f>
        <v>Mar</v>
      </c>
      <c r="M15" s="4">
        <f t="shared" si="1"/>
        <v>4</v>
      </c>
      <c r="N15" s="10">
        <f t="shared" si="2"/>
        <v>56.37</v>
      </c>
      <c r="O15" s="10">
        <f t="shared" si="3"/>
        <v>187.14839999999998</v>
      </c>
      <c r="P15" s="10">
        <f t="shared" si="4"/>
        <v>225.48</v>
      </c>
      <c r="Q15" s="3">
        <f t="shared" si="5"/>
        <v>0.17000000000000004</v>
      </c>
      <c r="R15" s="4" t="str">
        <f>IF(Sales_Fact!$O15&gt;1000,"High","Low")</f>
        <v>Low</v>
      </c>
      <c r="S15" s="4" t="str">
        <f>VLOOKUP(C15,Customer_Dim!$A:$N,9,FALSE())</f>
        <v>Diane Watson</v>
      </c>
      <c r="T15" s="4" t="str">
        <f>VLOOKUP(D15,Product_Dim!$A:$M,3,FALSE())</f>
        <v>Electronics</v>
      </c>
      <c r="U15" s="11" t="str">
        <f>VLOOKUP(D15,Product_Dim!$A:$M,2,FALSE())</f>
        <v>Wireless Bluetooth Earbuds</v>
      </c>
      <c r="V15" s="11" t="str">
        <f>VLOOKUP(E15,Store_Dim!$A:$E,3,FALSE())</f>
        <v>West</v>
      </c>
      <c r="W15" s="11" t="str">
        <f>VLOOKUP(C15,Customer_Dim!$A:$N,13,FALSE())</f>
        <v>Platinum</v>
      </c>
      <c r="X15" s="11" t="str">
        <f t="shared" si="6"/>
        <v>High</v>
      </c>
      <c r="AB15" s="10"/>
    </row>
    <row r="16" spans="1:28" ht="15" customHeight="1">
      <c r="A16" s="4" t="s">
        <v>2012</v>
      </c>
      <c r="B16" s="9">
        <v>45453</v>
      </c>
      <c r="C16" s="4" t="s">
        <v>325</v>
      </c>
      <c r="D16" s="4" t="s">
        <v>1675</v>
      </c>
      <c r="E16" s="4" t="s">
        <v>1955</v>
      </c>
      <c r="F16" s="4">
        <v>3</v>
      </c>
      <c r="G16" s="4">
        <v>359.56</v>
      </c>
      <c r="H16" s="4">
        <v>0.17</v>
      </c>
      <c r="I16" s="4" t="s">
        <v>1998</v>
      </c>
      <c r="J16" s="10">
        <v>895.30439999999999</v>
      </c>
      <c r="K16" s="4" t="str">
        <f t="shared" si="0"/>
        <v>10-06-2024</v>
      </c>
      <c r="L16" s="4" t="str">
        <f>TEXT(Sales_Fact!$B16,"mmm")</f>
        <v>Jun</v>
      </c>
      <c r="M16" s="4">
        <f t="shared" si="1"/>
        <v>3</v>
      </c>
      <c r="N16" s="10">
        <f t="shared" si="2"/>
        <v>359.56</v>
      </c>
      <c r="O16" s="10">
        <f t="shared" si="3"/>
        <v>895.30439999999999</v>
      </c>
      <c r="P16" s="10">
        <f t="shared" si="4"/>
        <v>1078.68</v>
      </c>
      <c r="Q16" s="3">
        <f t="shared" si="5"/>
        <v>0.17000000000000007</v>
      </c>
      <c r="R16" s="4" t="str">
        <f>IF(Sales_Fact!$O16&gt;1000,"High","Low")</f>
        <v>Low</v>
      </c>
      <c r="S16" s="4" t="str">
        <f>VLOOKUP(C16,Customer_Dim!$A:$N,9,FALSE())</f>
        <v>Christy Hoffman</v>
      </c>
      <c r="T16" s="4" t="str">
        <f>VLOOKUP(D16,Product_Dim!$A:$M,3,FALSE())</f>
        <v>Clothing</v>
      </c>
      <c r="U16" s="11" t="str">
        <f>VLOOKUP(D16,Product_Dim!$A:$M,2,FALSE())</f>
        <v>Women's Scarf Set</v>
      </c>
      <c r="V16" s="11" t="str">
        <f>VLOOKUP(E16,Store_Dim!$A:$E,3,FALSE())</f>
        <v>East</v>
      </c>
      <c r="W16" s="11" t="str">
        <f>VLOOKUP(C16,Customer_Dim!$A:$N,13,FALSE())</f>
        <v>Platinum</v>
      </c>
      <c r="X16" s="11" t="str">
        <f t="shared" si="6"/>
        <v>Low</v>
      </c>
      <c r="AB16" s="10"/>
    </row>
    <row r="17" spans="1:28" ht="15" customHeight="1">
      <c r="A17" s="4" t="s">
        <v>2013</v>
      </c>
      <c r="B17" s="9">
        <v>45908</v>
      </c>
      <c r="C17" s="4" t="s">
        <v>706</v>
      </c>
      <c r="D17" s="4" t="s">
        <v>1843</v>
      </c>
      <c r="E17" s="4" t="s">
        <v>1944</v>
      </c>
      <c r="F17" s="4">
        <v>4</v>
      </c>
      <c r="G17" s="4">
        <v>202.59</v>
      </c>
      <c r="H17" s="4">
        <v>0.06</v>
      </c>
      <c r="I17" s="4" t="s">
        <v>2004</v>
      </c>
      <c r="J17" s="10">
        <v>761.73839999999996</v>
      </c>
      <c r="K17" s="4" t="str">
        <f t="shared" si="0"/>
        <v>08-09-2025</v>
      </c>
      <c r="L17" s="4" t="str">
        <f>TEXT(Sales_Fact!$B17,"mmm")</f>
        <v>Sep</v>
      </c>
      <c r="M17" s="4">
        <f t="shared" si="1"/>
        <v>4</v>
      </c>
      <c r="N17" s="10">
        <f t="shared" si="2"/>
        <v>202.59</v>
      </c>
      <c r="O17" s="10">
        <f t="shared" si="3"/>
        <v>761.73839999999996</v>
      </c>
      <c r="P17" s="10">
        <f t="shared" si="4"/>
        <v>810.36</v>
      </c>
      <c r="Q17" s="3">
        <f t="shared" si="5"/>
        <v>6.0000000000000067E-2</v>
      </c>
      <c r="R17" s="4" t="str">
        <f>IF(Sales_Fact!$O17&gt;1000,"High","Low")</f>
        <v>Low</v>
      </c>
      <c r="S17" s="4" t="str">
        <f>VLOOKUP(C17,Customer_Dim!$A:$N,9,FALSE())</f>
        <v>Joan Johnson</v>
      </c>
      <c r="T17" s="4" t="str">
        <f>VLOOKUP(D17,Product_Dim!$A:$M,3,FALSE())</f>
        <v>Home</v>
      </c>
      <c r="U17" s="11" t="str">
        <f>VLOOKUP(D17,Product_Dim!$A:$M,2,FALSE())</f>
        <v>Decorative Lamp Shade</v>
      </c>
      <c r="V17" s="11" t="str">
        <f>VLOOKUP(E17,Store_Dim!$A:$E,3,FALSE())</f>
        <v>South</v>
      </c>
      <c r="W17" s="11" t="str">
        <f>VLOOKUP(C17,Customer_Dim!$A:$N,13,FALSE())</f>
        <v>Platinum</v>
      </c>
      <c r="X17" s="11" t="str">
        <f t="shared" si="6"/>
        <v>High</v>
      </c>
      <c r="AB17" s="10"/>
    </row>
    <row r="18" spans="1:28" ht="15" customHeight="1">
      <c r="A18" s="4" t="s">
        <v>2014</v>
      </c>
      <c r="B18" s="9">
        <v>45601</v>
      </c>
      <c r="C18" s="4" t="s">
        <v>46</v>
      </c>
      <c r="D18" s="4" t="s">
        <v>1849</v>
      </c>
      <c r="E18" s="4" t="s">
        <v>1931</v>
      </c>
      <c r="F18" s="4">
        <v>2</v>
      </c>
      <c r="G18" s="4">
        <v>358.36</v>
      </c>
      <c r="H18" s="4">
        <v>0.05</v>
      </c>
      <c r="I18" s="4" t="s">
        <v>1998</v>
      </c>
      <c r="J18" s="10">
        <v>680.88400000000001</v>
      </c>
      <c r="K18" s="4" t="str">
        <f t="shared" si="0"/>
        <v>05-11-2024</v>
      </c>
      <c r="L18" s="4" t="str">
        <f>TEXT(Sales_Fact!$B18,"mmm")</f>
        <v>Nov</v>
      </c>
      <c r="M18" s="4">
        <f t="shared" si="1"/>
        <v>2</v>
      </c>
      <c r="N18" s="10">
        <f t="shared" si="2"/>
        <v>358.36</v>
      </c>
      <c r="O18" s="10">
        <f t="shared" si="3"/>
        <v>680.88400000000001</v>
      </c>
      <c r="P18" s="10">
        <f t="shared" si="4"/>
        <v>716.72</v>
      </c>
      <c r="Q18" s="3">
        <f t="shared" si="5"/>
        <v>5.0000000000000017E-2</v>
      </c>
      <c r="R18" s="4" t="str">
        <f>IF(Sales_Fact!$O18&gt;1000,"High","Low")</f>
        <v>Low</v>
      </c>
      <c r="S18" s="4" t="str">
        <f>VLOOKUP(C18,Customer_Dim!$A:$N,9,FALSE())</f>
        <v>Caroline Collins</v>
      </c>
      <c r="T18" s="4" t="str">
        <f>VLOOKUP(D18,Product_Dim!$A:$M,3,FALSE())</f>
        <v>Sports</v>
      </c>
      <c r="U18" s="11" t="str">
        <f>VLOOKUP(D18,Product_Dim!$A:$M,2,FALSE())</f>
        <v>Badminton Racket Set</v>
      </c>
      <c r="V18" s="11" t="str">
        <f>VLOOKUP(E18,Store_Dim!$A:$E,3,FALSE())</f>
        <v>North</v>
      </c>
      <c r="W18" s="11" t="str">
        <f>VLOOKUP(C18,Customer_Dim!$A:$N,13,FALSE())</f>
        <v>Silver</v>
      </c>
      <c r="X18" s="11" t="str">
        <f t="shared" si="6"/>
        <v>Low</v>
      </c>
      <c r="AB18" s="3"/>
    </row>
    <row r="19" spans="1:28" ht="15" customHeight="1">
      <c r="A19" s="4" t="s">
        <v>2015</v>
      </c>
      <c r="B19" s="9">
        <v>45535</v>
      </c>
      <c r="C19" s="4" t="s">
        <v>285</v>
      </c>
      <c r="D19" s="4" t="s">
        <v>1712</v>
      </c>
      <c r="E19" s="4" t="s">
        <v>1968</v>
      </c>
      <c r="F19" s="4">
        <v>4</v>
      </c>
      <c r="G19" s="4">
        <v>85.62</v>
      </c>
      <c r="H19" s="4">
        <v>0.28000000000000003</v>
      </c>
      <c r="I19" s="4" t="s">
        <v>2004</v>
      </c>
      <c r="J19" s="10">
        <v>246.5856</v>
      </c>
      <c r="K19" s="4" t="str">
        <f t="shared" si="0"/>
        <v>31-08-2024</v>
      </c>
      <c r="L19" s="4" t="str">
        <f>TEXT(Sales_Fact!$B19,"mmm")</f>
        <v>Aug</v>
      </c>
      <c r="M19" s="4">
        <f t="shared" si="1"/>
        <v>4</v>
      </c>
      <c r="N19" s="10">
        <f t="shared" si="2"/>
        <v>85.62</v>
      </c>
      <c r="O19" s="10">
        <f t="shared" si="3"/>
        <v>246.5856</v>
      </c>
      <c r="P19" s="10">
        <f t="shared" si="4"/>
        <v>342.48</v>
      </c>
      <c r="Q19" s="3">
        <f t="shared" si="5"/>
        <v>0.28000000000000003</v>
      </c>
      <c r="R19" s="4" t="str">
        <f>IF(Sales_Fact!$O19&gt;1000,"High","Low")</f>
        <v>Low</v>
      </c>
      <c r="S19" s="4" t="str">
        <f>VLOOKUP(C19,Customer_Dim!$A:$N,9,FALSE())</f>
        <v>Tonya Burch</v>
      </c>
      <c r="T19" s="4" t="str">
        <f>VLOOKUP(D19,Product_Dim!$A:$M,3,FALSE())</f>
        <v>Clothing</v>
      </c>
      <c r="U19" s="11" t="str">
        <f>VLOOKUP(D19,Product_Dim!$A:$M,2,FALSE())</f>
        <v>Men's Casual Sneakers</v>
      </c>
      <c r="V19" s="11" t="str">
        <f>VLOOKUP(E19,Store_Dim!$A:$E,3,FALSE())</f>
        <v>East</v>
      </c>
      <c r="W19" s="11" t="str">
        <f>VLOOKUP(C19,Customer_Dim!$A:$N,13,FALSE())</f>
        <v>Gold</v>
      </c>
      <c r="X19" s="11" t="str">
        <f t="shared" si="6"/>
        <v>High</v>
      </c>
    </row>
    <row r="20" spans="1:28" ht="15" customHeight="1">
      <c r="A20" s="4" t="s">
        <v>2016</v>
      </c>
      <c r="B20" s="9">
        <v>45459</v>
      </c>
      <c r="C20" s="4" t="s">
        <v>635</v>
      </c>
      <c r="D20" s="4" t="s">
        <v>1608</v>
      </c>
      <c r="E20" s="4" t="s">
        <v>1965</v>
      </c>
      <c r="F20" s="4">
        <v>4</v>
      </c>
      <c r="G20" s="4">
        <v>929.26</v>
      </c>
      <c r="H20" s="4">
        <v>0.23</v>
      </c>
      <c r="I20" s="4" t="s">
        <v>1998</v>
      </c>
      <c r="J20" s="10">
        <v>2862.1208000000001</v>
      </c>
      <c r="K20" s="4" t="str">
        <f t="shared" si="0"/>
        <v>16-06-2024</v>
      </c>
      <c r="L20" s="4" t="str">
        <f>TEXT(Sales_Fact!$B20,"mmm")</f>
        <v>Jun</v>
      </c>
      <c r="M20" s="4">
        <f t="shared" si="1"/>
        <v>4</v>
      </c>
      <c r="N20" s="10">
        <f t="shared" si="2"/>
        <v>929.26</v>
      </c>
      <c r="O20" s="10">
        <f t="shared" si="3"/>
        <v>2862.1208000000001</v>
      </c>
      <c r="P20" s="10">
        <f t="shared" si="4"/>
        <v>3717.04</v>
      </c>
      <c r="Q20" s="3">
        <f t="shared" si="5"/>
        <v>0.22999999999999995</v>
      </c>
      <c r="R20" s="4" t="str">
        <f>IF(Sales_Fact!$O20&gt;1000,"High","Low")</f>
        <v>High</v>
      </c>
      <c r="S20" s="4" t="str">
        <f>VLOOKUP(C20,Customer_Dim!$A:$N,9,FALSE())</f>
        <v>Brent Rivas</v>
      </c>
      <c r="T20" s="4" t="str">
        <f>VLOOKUP(D20,Product_Dim!$A:$M,3,FALSE())</f>
        <v>Home</v>
      </c>
      <c r="U20" s="11" t="str">
        <f>VLOOKUP(D20,Product_Dim!$A:$M,2,FALSE())</f>
        <v>LED Table Lamp</v>
      </c>
      <c r="V20" s="11" t="str">
        <f>VLOOKUP(E20,Store_Dim!$A:$E,3,FALSE())</f>
        <v>North</v>
      </c>
      <c r="W20" s="11" t="str">
        <f>VLOOKUP(C20,Customer_Dim!$A:$N,13,FALSE())</f>
        <v>Platinum</v>
      </c>
      <c r="X20" s="11" t="str">
        <f t="shared" si="6"/>
        <v>High</v>
      </c>
    </row>
    <row r="21" spans="1:28" ht="15.75" customHeight="1">
      <c r="A21" s="4" t="s">
        <v>2017</v>
      </c>
      <c r="B21" s="9">
        <v>45681</v>
      </c>
      <c r="C21" s="4" t="s">
        <v>1003</v>
      </c>
      <c r="D21" s="4" t="s">
        <v>1785</v>
      </c>
      <c r="E21" s="4" t="s">
        <v>1955</v>
      </c>
      <c r="F21" s="4">
        <v>2</v>
      </c>
      <c r="G21" s="4">
        <v>92.64</v>
      </c>
      <c r="H21" s="4">
        <v>0.14000000000000001</v>
      </c>
      <c r="I21" s="4" t="s">
        <v>2004</v>
      </c>
      <c r="J21" s="10">
        <v>159.3408</v>
      </c>
      <c r="K21" s="4" t="str">
        <f t="shared" si="0"/>
        <v>24-01-2025</v>
      </c>
      <c r="L21" s="4" t="str">
        <f>TEXT(Sales_Fact!$B21,"mmm")</f>
        <v>Jan</v>
      </c>
      <c r="M21" s="4">
        <f t="shared" si="1"/>
        <v>2</v>
      </c>
      <c r="N21" s="10">
        <f t="shared" si="2"/>
        <v>92.64</v>
      </c>
      <c r="O21" s="10">
        <f t="shared" si="3"/>
        <v>159.3408</v>
      </c>
      <c r="P21" s="10">
        <f t="shared" si="4"/>
        <v>185.28</v>
      </c>
      <c r="Q21" s="3">
        <f t="shared" si="5"/>
        <v>0.13999999999999999</v>
      </c>
      <c r="R21" s="4" t="str">
        <f>IF(Sales_Fact!$O21&gt;1000,"High","Low")</f>
        <v>Low</v>
      </c>
      <c r="S21" s="4" t="str">
        <f>VLOOKUP(C21,Customer_Dim!$A:$N,9,FALSE())</f>
        <v>Stacy Collins</v>
      </c>
      <c r="T21" s="4" t="str">
        <f>VLOOKUP(D21,Product_Dim!$A:$M,3,FALSE())</f>
        <v>Beauty</v>
      </c>
      <c r="U21" s="11" t="str">
        <f>VLOOKUP(D21,Product_Dim!$A:$M,2,FALSE())</f>
        <v>Luxury Perfume Spray</v>
      </c>
      <c r="V21" s="11" t="str">
        <f>VLOOKUP(E21,Store_Dim!$A:$E,3,FALSE())</f>
        <v>East</v>
      </c>
      <c r="W21" s="11" t="str">
        <f>VLOOKUP(C21,Customer_Dim!$A:$N,13,FALSE())</f>
        <v>Bronze</v>
      </c>
      <c r="X21" s="11" t="str">
        <f t="shared" si="6"/>
        <v>Low</v>
      </c>
    </row>
    <row r="22" spans="1:28" ht="15.75" customHeight="1">
      <c r="A22" s="4" t="s">
        <v>2018</v>
      </c>
      <c r="B22" s="9">
        <v>45725</v>
      </c>
      <c r="C22" s="4" t="s">
        <v>822</v>
      </c>
      <c r="D22" s="4" t="s">
        <v>1791</v>
      </c>
      <c r="E22" s="4" t="s">
        <v>1927</v>
      </c>
      <c r="F22" s="4">
        <v>4</v>
      </c>
      <c r="G22" s="4">
        <v>139.05000000000001</v>
      </c>
      <c r="H22" s="4">
        <v>0.28999999999999998</v>
      </c>
      <c r="I22" s="4" t="s">
        <v>2004</v>
      </c>
      <c r="J22" s="10">
        <v>394.90199999999999</v>
      </c>
      <c r="K22" s="4" t="str">
        <f t="shared" si="0"/>
        <v>09-03-2025</v>
      </c>
      <c r="L22" s="4" t="str">
        <f>TEXT(Sales_Fact!$B22,"mmm")</f>
        <v>Mar</v>
      </c>
      <c r="M22" s="4">
        <f t="shared" si="1"/>
        <v>4</v>
      </c>
      <c r="N22" s="10">
        <f t="shared" si="2"/>
        <v>139.05000000000001</v>
      </c>
      <c r="O22" s="10">
        <f t="shared" si="3"/>
        <v>394.90199999999999</v>
      </c>
      <c r="P22" s="10">
        <f t="shared" si="4"/>
        <v>556.20000000000005</v>
      </c>
      <c r="Q22" s="3">
        <f t="shared" si="5"/>
        <v>0.29000000000000009</v>
      </c>
      <c r="R22" s="4" t="str">
        <f>IF(Sales_Fact!$O22&gt;1000,"High","Low")</f>
        <v>Low</v>
      </c>
      <c r="S22" s="4" t="str">
        <f>VLOOKUP(C22,Customer_Dim!$A:$N,9,FALSE())</f>
        <v>Nicholas Webb</v>
      </c>
      <c r="T22" s="4" t="str">
        <f>VLOOKUP(D22,Product_Dim!$A:$M,3,FALSE())</f>
        <v>Electronics</v>
      </c>
      <c r="U22" s="11" t="str">
        <f>VLOOKUP(D22,Product_Dim!$A:$M,2,FALSE())</f>
        <v>Laptop Cooling Pad</v>
      </c>
      <c r="V22" s="11" t="str">
        <f>VLOOKUP(E22,Store_Dim!$A:$E,3,FALSE())</f>
        <v>South</v>
      </c>
      <c r="W22" s="11" t="str">
        <f>VLOOKUP(C22,Customer_Dim!$A:$N,13,FALSE())</f>
        <v>Gold</v>
      </c>
      <c r="X22" s="11" t="str">
        <f t="shared" si="6"/>
        <v>High</v>
      </c>
    </row>
    <row r="23" spans="1:28" ht="15.75" customHeight="1">
      <c r="A23" s="4" t="s">
        <v>2019</v>
      </c>
      <c r="B23" s="9">
        <v>45461</v>
      </c>
      <c r="C23" s="4" t="s">
        <v>499</v>
      </c>
      <c r="D23" s="4" t="s">
        <v>1764</v>
      </c>
      <c r="E23" s="4" t="s">
        <v>1927</v>
      </c>
      <c r="F23" s="4">
        <v>3</v>
      </c>
      <c r="G23" s="4">
        <v>155.87</v>
      </c>
      <c r="H23" s="4">
        <v>0.03</v>
      </c>
      <c r="I23" s="4" t="s">
        <v>2004</v>
      </c>
      <c r="J23" s="10">
        <v>453.58170000000001</v>
      </c>
      <c r="K23" s="4" t="str">
        <f t="shared" si="0"/>
        <v>18-06-2024</v>
      </c>
      <c r="L23" s="4" t="str">
        <f>TEXT(Sales_Fact!$B23,"mmm")</f>
        <v>Jun</v>
      </c>
      <c r="M23" s="4">
        <f t="shared" si="1"/>
        <v>3</v>
      </c>
      <c r="N23" s="10">
        <f t="shared" si="2"/>
        <v>155.87</v>
      </c>
      <c r="O23" s="10">
        <f t="shared" si="3"/>
        <v>453.58170000000001</v>
      </c>
      <c r="P23" s="10">
        <f t="shared" si="4"/>
        <v>467.61</v>
      </c>
      <c r="Q23" s="3">
        <f t="shared" si="5"/>
        <v>3.0000000000000002E-2</v>
      </c>
      <c r="R23" s="4" t="str">
        <f>IF(Sales_Fact!$O23&gt;1000,"High","Low")</f>
        <v>Low</v>
      </c>
      <c r="S23" s="4" t="str">
        <f>VLOOKUP(C23,Customer_Dim!$A:$N,9,FALSE())</f>
        <v>Patty Francis</v>
      </c>
      <c r="T23" s="4" t="str">
        <f>VLOOKUP(D23,Product_Dim!$A:$M,3,FALSE())</f>
        <v>Clothing</v>
      </c>
      <c r="U23" s="11" t="str">
        <f>VLOOKUP(D23,Product_Dim!$A:$M,2,FALSE())</f>
        <v>Men's Track Pants</v>
      </c>
      <c r="V23" s="11" t="str">
        <f>VLOOKUP(E23,Store_Dim!$A:$E,3,FALSE())</f>
        <v>South</v>
      </c>
      <c r="W23" s="11" t="str">
        <f>VLOOKUP(C23,Customer_Dim!$A:$N,13,FALSE())</f>
        <v>Gold</v>
      </c>
      <c r="X23" s="11" t="str">
        <f t="shared" si="6"/>
        <v>Low</v>
      </c>
    </row>
    <row r="24" spans="1:28" ht="15.75" customHeight="1">
      <c r="A24" s="4" t="s">
        <v>2020</v>
      </c>
      <c r="B24" s="9">
        <v>45837</v>
      </c>
      <c r="C24" s="4" t="s">
        <v>1397</v>
      </c>
      <c r="D24" s="4" t="s">
        <v>1703</v>
      </c>
      <c r="E24" s="4" t="s">
        <v>1962</v>
      </c>
      <c r="F24" s="4">
        <v>4</v>
      </c>
      <c r="G24" s="4">
        <v>115.42</v>
      </c>
      <c r="H24" s="4">
        <v>0.03</v>
      </c>
      <c r="I24" s="4" t="s">
        <v>2004</v>
      </c>
      <c r="J24" s="10">
        <v>447.82960000000003</v>
      </c>
      <c r="K24" s="4" t="str">
        <f t="shared" si="0"/>
        <v>29-06-2025</v>
      </c>
      <c r="L24" s="4" t="str">
        <f>TEXT(Sales_Fact!$B24,"mmm")</f>
        <v>Jun</v>
      </c>
      <c r="M24" s="4">
        <f t="shared" si="1"/>
        <v>4</v>
      </c>
      <c r="N24" s="10">
        <f t="shared" si="2"/>
        <v>115.42</v>
      </c>
      <c r="O24" s="10">
        <f t="shared" si="3"/>
        <v>447.82959999999997</v>
      </c>
      <c r="P24" s="10">
        <f t="shared" si="4"/>
        <v>461.68</v>
      </c>
      <c r="Q24" s="3">
        <f t="shared" si="5"/>
        <v>3.0000000000000079E-2</v>
      </c>
      <c r="R24" s="4" t="str">
        <f>IF(Sales_Fact!$O24&gt;1000,"High","Low")</f>
        <v>Low</v>
      </c>
      <c r="S24" s="4" t="str">
        <f>VLOOKUP(C24,Customer_Dim!$A:$N,9,FALSE())</f>
        <v>Kelli Smith</v>
      </c>
      <c r="T24" s="4" t="str">
        <f>VLOOKUP(D24,Product_Dim!$A:$M,3,FALSE())</f>
        <v>Electronics</v>
      </c>
      <c r="U24" s="11" t="str">
        <f>VLOOKUP(D24,Product_Dim!$A:$M,2,FALSE())</f>
        <v>Gaming Mechanical Keyboard</v>
      </c>
      <c r="V24" s="11" t="str">
        <f>VLOOKUP(E24,Store_Dim!$A:$E,3,FALSE())</f>
        <v>West</v>
      </c>
      <c r="W24" s="11" t="str">
        <f>VLOOKUP(C24,Customer_Dim!$A:$N,13,FALSE())</f>
        <v>Bronze</v>
      </c>
      <c r="X24" s="11" t="str">
        <f t="shared" si="6"/>
        <v>High</v>
      </c>
    </row>
    <row r="25" spans="1:28" ht="15.75" customHeight="1">
      <c r="A25" s="4" t="s">
        <v>2021</v>
      </c>
      <c r="B25" s="9">
        <v>45823</v>
      </c>
      <c r="C25" s="4" t="s">
        <v>444</v>
      </c>
      <c r="D25" s="4" t="s">
        <v>1761</v>
      </c>
      <c r="E25" s="4" t="s">
        <v>1934</v>
      </c>
      <c r="F25" s="4">
        <v>3</v>
      </c>
      <c r="G25" s="4">
        <v>593.62</v>
      </c>
      <c r="H25" s="4">
        <v>0.08</v>
      </c>
      <c r="I25" s="4" t="s">
        <v>1996</v>
      </c>
      <c r="J25" s="10">
        <v>1638.3912</v>
      </c>
      <c r="K25" s="4" t="str">
        <f t="shared" si="0"/>
        <v>15-06-2025</v>
      </c>
      <c r="L25" s="4" t="str">
        <f>TEXT(Sales_Fact!$B25,"mmm")</f>
        <v>Jun</v>
      </c>
      <c r="M25" s="4">
        <f t="shared" si="1"/>
        <v>3</v>
      </c>
      <c r="N25" s="10">
        <f t="shared" si="2"/>
        <v>593.62</v>
      </c>
      <c r="O25" s="10">
        <f t="shared" si="3"/>
        <v>1638.3912000000003</v>
      </c>
      <c r="P25" s="10">
        <f t="shared" si="4"/>
        <v>1780.8600000000001</v>
      </c>
      <c r="Q25" s="3">
        <f t="shared" si="5"/>
        <v>7.9999999999999918E-2</v>
      </c>
      <c r="R25" s="4" t="str">
        <f>IF(Sales_Fact!$O25&gt;1000,"High","Low")</f>
        <v>High</v>
      </c>
      <c r="S25" s="4" t="str">
        <f>VLOOKUP(C25,Customer_Dim!$A:$N,9,FALSE())</f>
        <v>Michael Chang</v>
      </c>
      <c r="T25" s="4" t="str">
        <f>VLOOKUP(D25,Product_Dim!$A:$M,3,FALSE())</f>
        <v>Sports</v>
      </c>
      <c r="U25" s="11" t="str">
        <f>VLOOKUP(D25,Product_Dim!$A:$M,2,FALSE())</f>
        <v>Rugby Ball</v>
      </c>
      <c r="V25" s="11" t="str">
        <f>VLOOKUP(E25,Store_Dim!$A:$E,3,FALSE())</f>
        <v>East</v>
      </c>
      <c r="W25" s="11" t="str">
        <f>VLOOKUP(C25,Customer_Dim!$A:$N,13,FALSE())</f>
        <v>Platinum</v>
      </c>
      <c r="X25" s="11" t="str">
        <f t="shared" si="6"/>
        <v>Low</v>
      </c>
    </row>
    <row r="26" spans="1:28" ht="15.75" customHeight="1">
      <c r="A26" s="4" t="s">
        <v>2022</v>
      </c>
      <c r="B26" s="9">
        <v>45733</v>
      </c>
      <c r="C26" s="4" t="s">
        <v>1135</v>
      </c>
      <c r="D26" s="4" t="s">
        <v>1738</v>
      </c>
      <c r="E26" s="4" t="s">
        <v>1927</v>
      </c>
      <c r="F26" s="4">
        <v>2</v>
      </c>
      <c r="G26" s="4">
        <v>825.04</v>
      </c>
      <c r="H26" s="4">
        <v>0.2</v>
      </c>
      <c r="I26" s="4" t="s">
        <v>1996</v>
      </c>
      <c r="J26" s="10">
        <v>1320.0640000000001</v>
      </c>
      <c r="K26" s="4" t="str">
        <f t="shared" si="0"/>
        <v>17-03-2025</v>
      </c>
      <c r="L26" s="4" t="str">
        <f>TEXT(Sales_Fact!$B26,"mmm")</f>
        <v>Mar</v>
      </c>
      <c r="M26" s="4">
        <f t="shared" si="1"/>
        <v>2</v>
      </c>
      <c r="N26" s="10">
        <f t="shared" si="2"/>
        <v>825.04</v>
      </c>
      <c r="O26" s="10">
        <f t="shared" si="3"/>
        <v>1320.0640000000001</v>
      </c>
      <c r="P26" s="10">
        <f t="shared" si="4"/>
        <v>1650.08</v>
      </c>
      <c r="Q26" s="3">
        <f t="shared" si="5"/>
        <v>0.19999999999999993</v>
      </c>
      <c r="R26" s="4" t="str">
        <f>IF(Sales_Fact!$O26&gt;1000,"High","Low")</f>
        <v>High</v>
      </c>
      <c r="S26" s="4" t="str">
        <f>VLOOKUP(C26,Customer_Dim!$A:$N,9,FALSE())</f>
        <v>Laura Green</v>
      </c>
      <c r="T26" s="4" t="str">
        <f>VLOOKUP(D26,Product_Dim!$A:$M,3,FALSE())</f>
        <v>Sports</v>
      </c>
      <c r="U26" s="11" t="str">
        <f>VLOOKUP(D26,Product_Dim!$A:$M,2,FALSE())</f>
        <v>High-Grip Football</v>
      </c>
      <c r="V26" s="11" t="str">
        <f>VLOOKUP(E26,Store_Dim!$A:$E,3,FALSE())</f>
        <v>South</v>
      </c>
      <c r="W26" s="11" t="str">
        <f>VLOOKUP(C26,Customer_Dim!$A:$N,13,FALSE())</f>
        <v>Platinum</v>
      </c>
      <c r="X26" s="11" t="str">
        <f t="shared" si="6"/>
        <v>Low</v>
      </c>
    </row>
    <row r="27" spans="1:28" ht="15.75" customHeight="1">
      <c r="A27" s="4" t="s">
        <v>2023</v>
      </c>
      <c r="B27" s="9">
        <v>45552</v>
      </c>
      <c r="C27" s="4" t="s">
        <v>368</v>
      </c>
      <c r="D27" s="4" t="s">
        <v>1846</v>
      </c>
      <c r="E27" s="4" t="s">
        <v>1952</v>
      </c>
      <c r="F27" s="4">
        <v>2</v>
      </c>
      <c r="G27" s="4">
        <v>471.88</v>
      </c>
      <c r="H27" s="4">
        <v>0.24</v>
      </c>
      <c r="I27" s="4" t="s">
        <v>1998</v>
      </c>
      <c r="J27" s="10">
        <v>717.25760000000002</v>
      </c>
      <c r="K27" s="4" t="str">
        <f t="shared" si="0"/>
        <v>17-09-2024</v>
      </c>
      <c r="L27" s="4" t="str">
        <f>TEXT(Sales_Fact!$B27,"mmm")</f>
        <v>Sep</v>
      </c>
      <c r="M27" s="4">
        <f t="shared" si="1"/>
        <v>2</v>
      </c>
      <c r="N27" s="10">
        <f t="shared" si="2"/>
        <v>471.88</v>
      </c>
      <c r="O27" s="10">
        <f t="shared" si="3"/>
        <v>717.25760000000002</v>
      </c>
      <c r="P27" s="10">
        <f t="shared" si="4"/>
        <v>943.76</v>
      </c>
      <c r="Q27" s="3">
        <f t="shared" si="5"/>
        <v>0.23999999999999996</v>
      </c>
      <c r="R27" s="4" t="str">
        <f>IF(Sales_Fact!$O27&gt;1000,"High","Low")</f>
        <v>Low</v>
      </c>
      <c r="S27" s="4" t="str">
        <f>VLOOKUP(C27,Customer_Dim!$A:$N,9,FALSE())</f>
        <v>David Cobb</v>
      </c>
      <c r="T27" s="4" t="str">
        <f>VLOOKUP(D27,Product_Dim!$A:$M,3,FALSE())</f>
        <v>Home</v>
      </c>
      <c r="U27" s="11" t="str">
        <f>VLOOKUP(D27,Product_Dim!$A:$M,2,FALSE())</f>
        <v>Wall-Mounted Spice Rack</v>
      </c>
      <c r="V27" s="11" t="str">
        <f>VLOOKUP(E27,Store_Dim!$A:$E,3,FALSE())</f>
        <v>North</v>
      </c>
      <c r="W27" s="11" t="str">
        <f>VLOOKUP(C27,Customer_Dim!$A:$N,13,FALSE())</f>
        <v>Silver</v>
      </c>
      <c r="X27" s="11" t="str">
        <f t="shared" si="6"/>
        <v>Low</v>
      </c>
    </row>
    <row r="28" spans="1:28" ht="15.75" customHeight="1">
      <c r="A28" s="4" t="s">
        <v>2024</v>
      </c>
      <c r="B28" s="9">
        <v>45322</v>
      </c>
      <c r="C28" s="4" t="s">
        <v>1460</v>
      </c>
      <c r="D28" s="4" t="s">
        <v>1675</v>
      </c>
      <c r="E28" s="4" t="s">
        <v>1955</v>
      </c>
      <c r="F28" s="4">
        <v>1</v>
      </c>
      <c r="G28" s="4">
        <v>963.76</v>
      </c>
      <c r="H28" s="4">
        <v>0.14000000000000001</v>
      </c>
      <c r="I28" s="4" t="s">
        <v>1998</v>
      </c>
      <c r="J28" s="10">
        <v>828.83360000000005</v>
      </c>
      <c r="K28" s="4" t="str">
        <f t="shared" si="0"/>
        <v>31-01-2024</v>
      </c>
      <c r="L28" s="4" t="str">
        <f>TEXT(Sales_Fact!$B28,"mmm")</f>
        <v>Jan</v>
      </c>
      <c r="M28" s="4">
        <f t="shared" si="1"/>
        <v>1</v>
      </c>
      <c r="N28" s="10">
        <f t="shared" si="2"/>
        <v>963.76</v>
      </c>
      <c r="O28" s="10">
        <f t="shared" si="3"/>
        <v>828.83359999999993</v>
      </c>
      <c r="P28" s="10">
        <f t="shared" si="4"/>
        <v>963.76</v>
      </c>
      <c r="Q28" s="3">
        <f t="shared" si="5"/>
        <v>0.14000000000000007</v>
      </c>
      <c r="R28" s="4" t="str">
        <f>IF(Sales_Fact!$O28&gt;1000,"High","Low")</f>
        <v>Low</v>
      </c>
      <c r="S28" s="4" t="str">
        <f>VLOOKUP(C28,Customer_Dim!$A:$N,9,FALSE())</f>
        <v>David Pierce</v>
      </c>
      <c r="T28" s="4" t="str">
        <f>VLOOKUP(D28,Product_Dim!$A:$M,3,FALSE())</f>
        <v>Clothing</v>
      </c>
      <c r="U28" s="11" t="str">
        <f>VLOOKUP(D28,Product_Dim!$A:$M,2,FALSE())</f>
        <v>Women's Scarf Set</v>
      </c>
      <c r="V28" s="11" t="str">
        <f>VLOOKUP(E28,Store_Dim!$A:$E,3,FALSE())</f>
        <v>East</v>
      </c>
      <c r="W28" s="11" t="str">
        <f>VLOOKUP(C28,Customer_Dim!$A:$N,13,FALSE())</f>
        <v>Platinum</v>
      </c>
      <c r="X28" s="11" t="str">
        <f t="shared" si="6"/>
        <v>Low</v>
      </c>
    </row>
    <row r="29" spans="1:28" ht="15.75" customHeight="1">
      <c r="A29" s="4" t="s">
        <v>2025</v>
      </c>
      <c r="B29" s="9">
        <v>45415</v>
      </c>
      <c r="C29" s="4" t="s">
        <v>954</v>
      </c>
      <c r="D29" s="4" t="s">
        <v>1770</v>
      </c>
      <c r="E29" s="4" t="s">
        <v>1934</v>
      </c>
      <c r="F29" s="4">
        <v>1</v>
      </c>
      <c r="G29" s="4">
        <v>238.24</v>
      </c>
      <c r="H29" s="4">
        <v>0.12</v>
      </c>
      <c r="I29" s="4" t="s">
        <v>1998</v>
      </c>
      <c r="J29" s="10">
        <v>209.65119999999999</v>
      </c>
      <c r="K29" s="4" t="str">
        <f t="shared" si="0"/>
        <v>03-05-2024</v>
      </c>
      <c r="L29" s="4" t="str">
        <f>TEXT(Sales_Fact!$B29,"mmm")</f>
        <v>May</v>
      </c>
      <c r="M29" s="4">
        <f t="shared" si="1"/>
        <v>1</v>
      </c>
      <c r="N29" s="10">
        <f t="shared" si="2"/>
        <v>238.24</v>
      </c>
      <c r="O29" s="10">
        <f t="shared" si="3"/>
        <v>209.65120000000002</v>
      </c>
      <c r="P29" s="10">
        <f t="shared" si="4"/>
        <v>238.24</v>
      </c>
      <c r="Q29" s="3">
        <f t="shared" si="5"/>
        <v>0.11999999999999997</v>
      </c>
      <c r="R29" s="4" t="str">
        <f>IF(Sales_Fact!$O29&gt;1000,"High","Low")</f>
        <v>Low</v>
      </c>
      <c r="S29" s="4" t="str">
        <f>VLOOKUP(C29,Customer_Dim!$A:$N,9,FALSE())</f>
        <v>Ricardo Jones</v>
      </c>
      <c r="T29" s="4" t="str">
        <f>VLOOKUP(D29,Product_Dim!$A:$M,3,FALSE())</f>
        <v>Home</v>
      </c>
      <c r="U29" s="11" t="str">
        <f>VLOOKUP(D29,Product_Dim!$A:$M,2,FALSE())</f>
        <v>Ceramic Plant Pot</v>
      </c>
      <c r="V29" s="11" t="str">
        <f>VLOOKUP(E29,Store_Dim!$A:$E,3,FALSE())</f>
        <v>East</v>
      </c>
      <c r="W29" s="11" t="str">
        <f>VLOOKUP(C29,Customer_Dim!$A:$N,13,FALSE())</f>
        <v>Silver</v>
      </c>
      <c r="X29" s="11" t="str">
        <f t="shared" si="6"/>
        <v>Low</v>
      </c>
    </row>
    <row r="30" spans="1:28" ht="15.75" customHeight="1">
      <c r="A30" s="4" t="s">
        <v>2026</v>
      </c>
      <c r="B30" s="9">
        <v>45644</v>
      </c>
      <c r="C30" s="4" t="s">
        <v>1440</v>
      </c>
      <c r="D30" s="4" t="s">
        <v>1852</v>
      </c>
      <c r="E30" s="4" t="s">
        <v>1962</v>
      </c>
      <c r="F30" s="4">
        <v>1</v>
      </c>
      <c r="G30" s="4">
        <v>756.63</v>
      </c>
      <c r="H30" s="4">
        <v>0.04</v>
      </c>
      <c r="I30" s="4" t="s">
        <v>1998</v>
      </c>
      <c r="J30" s="10">
        <v>726.36479999999995</v>
      </c>
      <c r="K30" s="4" t="str">
        <f t="shared" si="0"/>
        <v>18-12-2024</v>
      </c>
      <c r="L30" s="4" t="str">
        <f>TEXT(Sales_Fact!$B30,"mmm")</f>
        <v>Dec</v>
      </c>
      <c r="M30" s="4">
        <f t="shared" si="1"/>
        <v>1</v>
      </c>
      <c r="N30" s="10">
        <f t="shared" si="2"/>
        <v>756.63</v>
      </c>
      <c r="O30" s="10">
        <f t="shared" si="3"/>
        <v>726.36479999999995</v>
      </c>
      <c r="P30" s="10">
        <f t="shared" si="4"/>
        <v>756.63</v>
      </c>
      <c r="Q30" s="3">
        <f t="shared" si="5"/>
        <v>4.0000000000000063E-2</v>
      </c>
      <c r="R30" s="4" t="str">
        <f>IF(Sales_Fact!$O30&gt;1000,"High","Low")</f>
        <v>Low</v>
      </c>
      <c r="S30" s="4" t="str">
        <f>VLOOKUP(C30,Customer_Dim!$A:$N,9,FALSE())</f>
        <v>Christina Robertson</v>
      </c>
      <c r="T30" s="4" t="str">
        <f>VLOOKUP(D30,Product_Dim!$A:$M,3,FALSE())</f>
        <v>Sports</v>
      </c>
      <c r="U30" s="11" t="str">
        <f>VLOOKUP(D30,Product_Dim!$A:$M,2,FALSE())</f>
        <v>Fitness Resistance Bands</v>
      </c>
      <c r="V30" s="11" t="str">
        <f>VLOOKUP(E30,Store_Dim!$A:$E,3,FALSE())</f>
        <v>West</v>
      </c>
      <c r="W30" s="11" t="str">
        <f>VLOOKUP(C30,Customer_Dim!$A:$N,13,FALSE())</f>
        <v>Platinum</v>
      </c>
      <c r="X30" s="11" t="str">
        <f t="shared" si="6"/>
        <v>Low</v>
      </c>
    </row>
    <row r="31" spans="1:28" ht="15.75" customHeight="1">
      <c r="A31" s="4" t="s">
        <v>2027</v>
      </c>
      <c r="B31" s="9">
        <v>45845</v>
      </c>
      <c r="C31" s="4" t="s">
        <v>105</v>
      </c>
      <c r="D31" s="4" t="s">
        <v>1885</v>
      </c>
      <c r="E31" s="4" t="s">
        <v>1937</v>
      </c>
      <c r="F31" s="4">
        <v>3</v>
      </c>
      <c r="G31" s="4">
        <v>159.76</v>
      </c>
      <c r="H31" s="4">
        <v>0.22</v>
      </c>
      <c r="I31" s="4" t="s">
        <v>1996</v>
      </c>
      <c r="J31" s="10">
        <v>373.83839999999998</v>
      </c>
      <c r="K31" s="4" t="str">
        <f t="shared" si="0"/>
        <v>07-07-2025</v>
      </c>
      <c r="L31" s="4" t="str">
        <f>TEXT(Sales_Fact!$B31,"mmm")</f>
        <v>Jul</v>
      </c>
      <c r="M31" s="4">
        <f t="shared" si="1"/>
        <v>3</v>
      </c>
      <c r="N31" s="10">
        <f t="shared" si="2"/>
        <v>159.76</v>
      </c>
      <c r="O31" s="10">
        <f t="shared" si="3"/>
        <v>373.83839999999998</v>
      </c>
      <c r="P31" s="10">
        <f t="shared" si="4"/>
        <v>479.28</v>
      </c>
      <c r="Q31" s="3">
        <f t="shared" si="5"/>
        <v>0.22</v>
      </c>
      <c r="R31" s="4" t="str">
        <f>IF(Sales_Fact!$O31&gt;1000,"High","Low")</f>
        <v>Low</v>
      </c>
      <c r="S31" s="4" t="str">
        <f>VLOOKUP(C31,Customer_Dim!$A:$N,9,FALSE())</f>
        <v>Michael Torres</v>
      </c>
      <c r="T31" s="4" t="str">
        <f>VLOOKUP(D31,Product_Dim!$A:$M,3,FALSE())</f>
        <v>Electronics</v>
      </c>
      <c r="U31" s="11" t="str">
        <f>VLOOKUP(D31,Product_Dim!$A:$M,2,FALSE())</f>
        <v>USB-C Laptop Charger</v>
      </c>
      <c r="V31" s="11" t="str">
        <f>VLOOKUP(E31,Store_Dim!$A:$E,3,FALSE())</f>
        <v>South</v>
      </c>
      <c r="W31" s="11" t="str">
        <f>VLOOKUP(C31,Customer_Dim!$A:$N,13,FALSE())</f>
        <v>Platinum</v>
      </c>
      <c r="X31" s="11" t="str">
        <f t="shared" si="6"/>
        <v>Low</v>
      </c>
    </row>
    <row r="32" spans="1:28" ht="15.75" customHeight="1">
      <c r="A32" s="4" t="s">
        <v>2028</v>
      </c>
      <c r="B32" s="9">
        <v>45354</v>
      </c>
      <c r="C32" s="4" t="s">
        <v>1180</v>
      </c>
      <c r="D32" s="4" t="s">
        <v>1891</v>
      </c>
      <c r="E32" s="4" t="s">
        <v>1940</v>
      </c>
      <c r="F32" s="4">
        <v>1</v>
      </c>
      <c r="G32" s="4">
        <v>329.94</v>
      </c>
      <c r="H32" s="4">
        <v>0.14000000000000001</v>
      </c>
      <c r="I32" s="4" t="s">
        <v>2004</v>
      </c>
      <c r="J32" s="10">
        <v>283.7484</v>
      </c>
      <c r="K32" s="4" t="str">
        <f t="shared" si="0"/>
        <v>03-03-2024</v>
      </c>
      <c r="L32" s="4" t="str">
        <f>TEXT(Sales_Fact!$B32,"mmm")</f>
        <v>Mar</v>
      </c>
      <c r="M32" s="4">
        <f t="shared" si="1"/>
        <v>1</v>
      </c>
      <c r="N32" s="10">
        <f t="shared" si="2"/>
        <v>329.94</v>
      </c>
      <c r="O32" s="10">
        <f t="shared" si="3"/>
        <v>283.7484</v>
      </c>
      <c r="P32" s="10">
        <f t="shared" si="4"/>
        <v>329.94</v>
      </c>
      <c r="Q32" s="3">
        <f t="shared" si="5"/>
        <v>0.13999999999999999</v>
      </c>
      <c r="R32" s="4" t="str">
        <f>IF(Sales_Fact!$O32&gt;1000,"High","Low")</f>
        <v>Low</v>
      </c>
      <c r="S32" s="4" t="str">
        <f>VLOOKUP(C32,Customer_Dim!$A:$N,9,FALSE())</f>
        <v>Miranda King</v>
      </c>
      <c r="T32" s="4" t="str">
        <f>VLOOKUP(D32,Product_Dim!$A:$M,3,FALSE())</f>
        <v>Sports</v>
      </c>
      <c r="U32" s="11" t="str">
        <f>VLOOKUP(D32,Product_Dim!$A:$M,2,FALSE())</f>
        <v>Sports Stopwatch Basic</v>
      </c>
      <c r="V32" s="11" t="str">
        <f>VLOOKUP(E32,Store_Dim!$A:$E,3,FALSE())</f>
        <v>West</v>
      </c>
      <c r="W32" s="11" t="str">
        <f>VLOOKUP(C32,Customer_Dim!$A:$N,13,FALSE())</f>
        <v>Platinum</v>
      </c>
      <c r="X32" s="11" t="str">
        <f t="shared" si="6"/>
        <v>Low</v>
      </c>
    </row>
    <row r="33" spans="1:24" ht="15.75" customHeight="1">
      <c r="A33" s="4" t="s">
        <v>2029</v>
      </c>
      <c r="B33" s="9">
        <v>45720</v>
      </c>
      <c r="C33" s="4" t="s">
        <v>245</v>
      </c>
      <c r="D33" s="4" t="s">
        <v>1648</v>
      </c>
      <c r="E33" s="4" t="s">
        <v>1940</v>
      </c>
      <c r="F33" s="4">
        <v>1</v>
      </c>
      <c r="G33" s="4">
        <v>234.06</v>
      </c>
      <c r="H33" s="4">
        <v>0.11</v>
      </c>
      <c r="I33" s="4" t="s">
        <v>1998</v>
      </c>
      <c r="J33" s="10">
        <v>208.3134</v>
      </c>
      <c r="K33" s="4" t="str">
        <f t="shared" si="0"/>
        <v>04-03-2025</v>
      </c>
      <c r="L33" s="4" t="str">
        <f>TEXT(Sales_Fact!$B33,"mmm")</f>
        <v>Mar</v>
      </c>
      <c r="M33" s="4">
        <f t="shared" si="1"/>
        <v>1</v>
      </c>
      <c r="N33" s="10">
        <f t="shared" si="2"/>
        <v>234.06</v>
      </c>
      <c r="O33" s="10">
        <f t="shared" si="3"/>
        <v>208.3134</v>
      </c>
      <c r="P33" s="10">
        <f t="shared" si="4"/>
        <v>234.06</v>
      </c>
      <c r="Q33" s="3">
        <f t="shared" si="5"/>
        <v>0.11</v>
      </c>
      <c r="R33" s="4" t="str">
        <f>IF(Sales_Fact!$O33&gt;1000,"High","Low")</f>
        <v>Low</v>
      </c>
      <c r="S33" s="4" t="str">
        <f>VLOOKUP(C33,Customer_Dim!$A:$N,9,FALSE())</f>
        <v>Dr. David Smith</v>
      </c>
      <c r="T33" s="4" t="str">
        <f>VLOOKUP(D33,Product_Dim!$A:$M,3,FALSE())</f>
        <v>Sports</v>
      </c>
      <c r="U33" s="11" t="str">
        <f>VLOOKUP(D33,Product_Dim!$A:$M,2,FALSE())</f>
        <v>Soccer Training Cone Set</v>
      </c>
      <c r="V33" s="11" t="str">
        <f>VLOOKUP(E33,Store_Dim!$A:$E,3,FALSE())</f>
        <v>West</v>
      </c>
      <c r="W33" s="11" t="str">
        <f>VLOOKUP(C33,Customer_Dim!$A:$N,13,FALSE())</f>
        <v>Silver</v>
      </c>
      <c r="X33" s="11" t="str">
        <f t="shared" si="6"/>
        <v>Low</v>
      </c>
    </row>
    <row r="34" spans="1:24" ht="15.75" customHeight="1">
      <c r="A34" s="4" t="s">
        <v>2030</v>
      </c>
      <c r="B34" s="9">
        <v>45278</v>
      </c>
      <c r="C34" s="4" t="s">
        <v>1027</v>
      </c>
      <c r="D34" s="4" t="s">
        <v>1849</v>
      </c>
      <c r="E34" s="4" t="s">
        <v>1910</v>
      </c>
      <c r="F34" s="4">
        <v>2</v>
      </c>
      <c r="G34" s="4">
        <v>773.75</v>
      </c>
      <c r="H34" s="4">
        <v>0.16</v>
      </c>
      <c r="I34" s="4" t="s">
        <v>1998</v>
      </c>
      <c r="J34" s="10">
        <v>1299.9000000000001</v>
      </c>
      <c r="K34" s="4" t="str">
        <f t="shared" si="0"/>
        <v>18-12-2023</v>
      </c>
      <c r="L34" s="4" t="str">
        <f>TEXT(Sales_Fact!$B34,"mmm")</f>
        <v>Dec</v>
      </c>
      <c r="M34" s="4">
        <f t="shared" si="1"/>
        <v>2</v>
      </c>
      <c r="N34" s="10">
        <f t="shared" si="2"/>
        <v>773.75</v>
      </c>
      <c r="O34" s="10">
        <f t="shared" si="3"/>
        <v>1299.8999999999999</v>
      </c>
      <c r="P34" s="10">
        <f t="shared" si="4"/>
        <v>1547.5</v>
      </c>
      <c r="Q34" s="3">
        <f t="shared" si="5"/>
        <v>0.16000000000000009</v>
      </c>
      <c r="R34" s="4" t="str">
        <f>IF(Sales_Fact!$O34&gt;1000,"High","Low")</f>
        <v>High</v>
      </c>
      <c r="S34" s="4" t="str">
        <f>VLOOKUP(C34,Customer_Dim!$A:$N,9,FALSE())</f>
        <v>Tiffany Williams</v>
      </c>
      <c r="T34" s="4" t="str">
        <f>VLOOKUP(D34,Product_Dim!$A:$M,3,FALSE())</f>
        <v>Sports</v>
      </c>
      <c r="U34" s="11" t="str">
        <f>VLOOKUP(D34,Product_Dim!$A:$M,2,FALSE())</f>
        <v>Badminton Racket Set</v>
      </c>
      <c r="V34" s="11" t="str">
        <f>VLOOKUP(E34,Store_Dim!$A:$E,3,FALSE())</f>
        <v>East</v>
      </c>
      <c r="W34" s="11" t="str">
        <f>VLOOKUP(C34,Customer_Dim!$A:$N,13,FALSE())</f>
        <v>Gold</v>
      </c>
      <c r="X34" s="11" t="str">
        <f t="shared" si="6"/>
        <v>Low</v>
      </c>
    </row>
    <row r="35" spans="1:24" ht="15.75" customHeight="1">
      <c r="A35" s="4" t="s">
        <v>2031</v>
      </c>
      <c r="B35" s="9">
        <v>45422</v>
      </c>
      <c r="C35" s="4" t="s">
        <v>1381</v>
      </c>
      <c r="D35" s="4" t="s">
        <v>1761</v>
      </c>
      <c r="E35" s="4" t="s">
        <v>1968</v>
      </c>
      <c r="F35" s="4">
        <v>1</v>
      </c>
      <c r="G35" s="4">
        <v>73.88</v>
      </c>
      <c r="H35" s="4">
        <v>0.04</v>
      </c>
      <c r="I35" s="4" t="s">
        <v>1996</v>
      </c>
      <c r="J35" s="10">
        <v>70.924800000000005</v>
      </c>
      <c r="K35" s="4" t="str">
        <f t="shared" si="0"/>
        <v>10-05-2024</v>
      </c>
      <c r="L35" s="4" t="str">
        <f>TEXT(Sales_Fact!$B35,"mmm")</f>
        <v>May</v>
      </c>
      <c r="M35" s="4">
        <f t="shared" si="1"/>
        <v>1</v>
      </c>
      <c r="N35" s="10">
        <f t="shared" si="2"/>
        <v>73.88</v>
      </c>
      <c r="O35" s="10">
        <f t="shared" si="3"/>
        <v>70.924799999999991</v>
      </c>
      <c r="P35" s="10">
        <f t="shared" si="4"/>
        <v>73.88</v>
      </c>
      <c r="Q35" s="3">
        <f t="shared" si="5"/>
        <v>4.000000000000007E-2</v>
      </c>
      <c r="R35" s="4" t="str">
        <f>IF(Sales_Fact!$O35&gt;1000,"High","Low")</f>
        <v>Low</v>
      </c>
      <c r="S35" s="4" t="str">
        <f>VLOOKUP(C35,Customer_Dim!$A:$N,9,FALSE())</f>
        <v>Sharon Simpson</v>
      </c>
      <c r="T35" s="4" t="str">
        <f>VLOOKUP(D35,Product_Dim!$A:$M,3,FALSE())</f>
        <v>Sports</v>
      </c>
      <c r="U35" s="11" t="str">
        <f>VLOOKUP(D35,Product_Dim!$A:$M,2,FALSE())</f>
        <v>Rugby Ball</v>
      </c>
      <c r="V35" s="11" t="str">
        <f>VLOOKUP(E35,Store_Dim!$A:$E,3,FALSE())</f>
        <v>East</v>
      </c>
      <c r="W35" s="11" t="str">
        <f>VLOOKUP(C35,Customer_Dim!$A:$N,13,FALSE())</f>
        <v>Gold</v>
      </c>
      <c r="X35" s="11" t="str">
        <f t="shared" si="6"/>
        <v>Low</v>
      </c>
    </row>
    <row r="36" spans="1:24" ht="15.75" customHeight="1">
      <c r="A36" s="4" t="s">
        <v>2032</v>
      </c>
      <c r="B36" s="9">
        <v>45337</v>
      </c>
      <c r="C36" s="4" t="s">
        <v>51</v>
      </c>
      <c r="D36" s="4" t="s">
        <v>1864</v>
      </c>
      <c r="E36" s="4" t="s">
        <v>1968</v>
      </c>
      <c r="F36" s="4">
        <v>1</v>
      </c>
      <c r="G36" s="4">
        <v>859.3</v>
      </c>
      <c r="H36" s="4">
        <v>0.16</v>
      </c>
      <c r="I36" s="4" t="s">
        <v>1998</v>
      </c>
      <c r="J36" s="10">
        <v>721.81200000000001</v>
      </c>
      <c r="K36" s="4" t="str">
        <f t="shared" si="0"/>
        <v>15-02-2024</v>
      </c>
      <c r="L36" s="4" t="str">
        <f>TEXT(Sales_Fact!$B36,"mmm")</f>
        <v>Feb</v>
      </c>
      <c r="M36" s="4">
        <f t="shared" si="1"/>
        <v>1</v>
      </c>
      <c r="N36" s="10">
        <f t="shared" si="2"/>
        <v>859.3</v>
      </c>
      <c r="O36" s="10">
        <f t="shared" si="3"/>
        <v>721.8119999999999</v>
      </c>
      <c r="P36" s="10">
        <f t="shared" si="4"/>
        <v>859.3</v>
      </c>
      <c r="Q36" s="3">
        <f t="shared" si="5"/>
        <v>0.16000000000000009</v>
      </c>
      <c r="R36" s="4" t="str">
        <f>IF(Sales_Fact!$O36&gt;1000,"High","Low")</f>
        <v>Low</v>
      </c>
      <c r="S36" s="4" t="str">
        <f>VLOOKUP(C36,Customer_Dim!$A:$N,9,FALSE())</f>
        <v>Christine Vaughn</v>
      </c>
      <c r="T36" s="4" t="str">
        <f>VLOOKUP(D36,Product_Dim!$A:$M,3,FALSE())</f>
        <v>Home</v>
      </c>
      <c r="U36" s="11" t="str">
        <f>VLOOKUP(D36,Product_Dim!$A:$M,2,FALSE())</f>
        <v>Kitchen Cutting Board</v>
      </c>
      <c r="V36" s="11" t="str">
        <f>VLOOKUP(E36,Store_Dim!$A:$E,3,FALSE())</f>
        <v>East</v>
      </c>
      <c r="W36" s="11" t="str">
        <f>VLOOKUP(C36,Customer_Dim!$A:$N,13,FALSE())</f>
        <v>Bronze</v>
      </c>
      <c r="X36" s="11" t="str">
        <f t="shared" si="6"/>
        <v>Low</v>
      </c>
    </row>
    <row r="37" spans="1:24" ht="15.75" customHeight="1">
      <c r="A37" s="4" t="s">
        <v>2033</v>
      </c>
      <c r="B37" s="9">
        <v>45564</v>
      </c>
      <c r="C37" s="4" t="s">
        <v>466</v>
      </c>
      <c r="D37" s="4" t="s">
        <v>1849</v>
      </c>
      <c r="E37" s="4" t="s">
        <v>1934</v>
      </c>
      <c r="F37" s="4">
        <v>4</v>
      </c>
      <c r="G37" s="4">
        <v>762.43</v>
      </c>
      <c r="H37" s="4">
        <v>0.05</v>
      </c>
      <c r="I37" s="4" t="s">
        <v>1996</v>
      </c>
      <c r="J37" s="10">
        <v>2897.2339999999999</v>
      </c>
      <c r="K37" s="4" t="str">
        <f t="shared" si="0"/>
        <v>29-09-2024</v>
      </c>
      <c r="L37" s="4" t="str">
        <f>TEXT(Sales_Fact!$B37,"mmm")</f>
        <v>Sep</v>
      </c>
      <c r="M37" s="4">
        <f t="shared" si="1"/>
        <v>4</v>
      </c>
      <c r="N37" s="10">
        <f t="shared" si="2"/>
        <v>762.43</v>
      </c>
      <c r="O37" s="10">
        <f t="shared" si="3"/>
        <v>2897.2339999999995</v>
      </c>
      <c r="P37" s="10">
        <f t="shared" si="4"/>
        <v>3049.72</v>
      </c>
      <c r="Q37" s="3">
        <f t="shared" si="5"/>
        <v>5.0000000000000114E-2</v>
      </c>
      <c r="R37" s="4" t="str">
        <f>IF(Sales_Fact!$O37&gt;1000,"High","Low")</f>
        <v>High</v>
      </c>
      <c r="S37" s="4" t="str">
        <f>VLOOKUP(C37,Customer_Dim!$A:$N,9,FALSE())</f>
        <v>Jessica Mitchell</v>
      </c>
      <c r="T37" s="4" t="str">
        <f>VLOOKUP(D37,Product_Dim!$A:$M,3,FALSE())</f>
        <v>Sports</v>
      </c>
      <c r="U37" s="11" t="str">
        <f>VLOOKUP(D37,Product_Dim!$A:$M,2,FALSE())</f>
        <v>Badminton Racket Set</v>
      </c>
      <c r="V37" s="11" t="str">
        <f>VLOOKUP(E37,Store_Dim!$A:$E,3,FALSE())</f>
        <v>East</v>
      </c>
      <c r="W37" s="11" t="str">
        <f>VLOOKUP(C37,Customer_Dim!$A:$N,13,FALSE())</f>
        <v>Silver</v>
      </c>
      <c r="X37" s="11" t="str">
        <f t="shared" si="6"/>
        <v>High</v>
      </c>
    </row>
    <row r="38" spans="1:24" ht="15.75" customHeight="1">
      <c r="A38" s="4" t="s">
        <v>2034</v>
      </c>
      <c r="B38" s="9">
        <v>45907</v>
      </c>
      <c r="C38" s="4" t="s">
        <v>626</v>
      </c>
      <c r="D38" s="4" t="s">
        <v>1703</v>
      </c>
      <c r="E38" s="4" t="s">
        <v>1927</v>
      </c>
      <c r="F38" s="4">
        <v>4</v>
      </c>
      <c r="G38" s="4">
        <v>925.19</v>
      </c>
      <c r="H38" s="4">
        <v>0.19</v>
      </c>
      <c r="I38" s="4" t="s">
        <v>1998</v>
      </c>
      <c r="J38" s="10">
        <v>2997.6156000000001</v>
      </c>
      <c r="K38" s="4" t="str">
        <f t="shared" si="0"/>
        <v>07-09-2025</v>
      </c>
      <c r="L38" s="4" t="str">
        <f>TEXT(Sales_Fact!$B38,"mmm")</f>
        <v>Sep</v>
      </c>
      <c r="M38" s="4">
        <f t="shared" si="1"/>
        <v>4</v>
      </c>
      <c r="N38" s="10">
        <f t="shared" si="2"/>
        <v>925.19</v>
      </c>
      <c r="O38" s="10">
        <f t="shared" si="3"/>
        <v>2997.6156000000005</v>
      </c>
      <c r="P38" s="10">
        <f t="shared" si="4"/>
        <v>3700.76</v>
      </c>
      <c r="Q38" s="3">
        <f t="shared" si="5"/>
        <v>0.18999999999999989</v>
      </c>
      <c r="R38" s="4" t="str">
        <f>IF(Sales_Fact!$O38&gt;1000,"High","Low")</f>
        <v>High</v>
      </c>
      <c r="S38" s="4" t="str">
        <f>VLOOKUP(C38,Customer_Dim!$A:$N,9,FALSE())</f>
        <v>Melissa Hamilton</v>
      </c>
      <c r="T38" s="4" t="str">
        <f>VLOOKUP(D38,Product_Dim!$A:$M,3,FALSE())</f>
        <v>Electronics</v>
      </c>
      <c r="U38" s="11" t="str">
        <f>VLOOKUP(D38,Product_Dim!$A:$M,2,FALSE())</f>
        <v>Gaming Mechanical Keyboard</v>
      </c>
      <c r="V38" s="11" t="str">
        <f>VLOOKUP(E38,Store_Dim!$A:$E,3,FALSE())</f>
        <v>South</v>
      </c>
      <c r="W38" s="11" t="str">
        <f>VLOOKUP(C38,Customer_Dim!$A:$N,13,FALSE())</f>
        <v>Silver</v>
      </c>
      <c r="X38" s="11" t="str">
        <f t="shared" si="6"/>
        <v>High</v>
      </c>
    </row>
    <row r="39" spans="1:24" ht="15.75" customHeight="1">
      <c r="A39" s="4" t="s">
        <v>2035</v>
      </c>
      <c r="B39" s="9">
        <v>45424</v>
      </c>
      <c r="C39" s="4" t="s">
        <v>450</v>
      </c>
      <c r="D39" s="4" t="s">
        <v>1825</v>
      </c>
      <c r="E39" s="4" t="s">
        <v>1910</v>
      </c>
      <c r="F39" s="4">
        <v>1</v>
      </c>
      <c r="G39" s="4">
        <v>328.51</v>
      </c>
      <c r="H39" s="4">
        <v>0.2</v>
      </c>
      <c r="I39" s="4" t="s">
        <v>2004</v>
      </c>
      <c r="J39" s="10">
        <v>262.80799999999999</v>
      </c>
      <c r="K39" s="4" t="str">
        <f t="shared" si="0"/>
        <v>12-05-2024</v>
      </c>
      <c r="L39" s="4" t="str">
        <f>TEXT(Sales_Fact!$B39,"mmm")</f>
        <v>May</v>
      </c>
      <c r="M39" s="4">
        <f t="shared" si="1"/>
        <v>1</v>
      </c>
      <c r="N39" s="10">
        <f t="shared" si="2"/>
        <v>328.51</v>
      </c>
      <c r="O39" s="10">
        <f t="shared" si="3"/>
        <v>262.80799999999999</v>
      </c>
      <c r="P39" s="10">
        <f t="shared" si="4"/>
        <v>328.51</v>
      </c>
      <c r="Q39" s="3">
        <f t="shared" si="5"/>
        <v>0.2</v>
      </c>
      <c r="R39" s="4" t="str">
        <f>IF(Sales_Fact!$O39&gt;1000,"High","Low")</f>
        <v>Low</v>
      </c>
      <c r="S39" s="4" t="str">
        <f>VLOOKUP(C39,Customer_Dim!$A:$N,9,FALSE())</f>
        <v>Donald Lee</v>
      </c>
      <c r="T39" s="4" t="str">
        <f>VLOOKUP(D39,Product_Dim!$A:$M,3,FALSE())</f>
        <v>Sports</v>
      </c>
      <c r="U39" s="11" t="str">
        <f>VLOOKUP(D39,Product_Dim!$A:$M,2,FALSE())</f>
        <v>Shin Guards – Adult</v>
      </c>
      <c r="V39" s="11" t="str">
        <f>VLOOKUP(E39,Store_Dim!$A:$E,3,FALSE())</f>
        <v>East</v>
      </c>
      <c r="W39" s="11" t="str">
        <f>VLOOKUP(C39,Customer_Dim!$A:$N,13,FALSE())</f>
        <v>Bronze</v>
      </c>
      <c r="X39" s="11" t="str">
        <f t="shared" si="6"/>
        <v>Low</v>
      </c>
    </row>
    <row r="40" spans="1:24" ht="15.75" customHeight="1">
      <c r="A40" s="4" t="s">
        <v>2036</v>
      </c>
      <c r="B40" s="9">
        <v>45719</v>
      </c>
      <c r="C40" s="4" t="s">
        <v>900</v>
      </c>
      <c r="D40" s="4" t="s">
        <v>1735</v>
      </c>
      <c r="E40" s="4" t="s">
        <v>1927</v>
      </c>
      <c r="F40" s="4">
        <v>1</v>
      </c>
      <c r="G40" s="4">
        <v>34.51</v>
      </c>
      <c r="H40" s="4">
        <v>0.04</v>
      </c>
      <c r="I40" s="4" t="s">
        <v>2004</v>
      </c>
      <c r="J40" s="10">
        <v>33.129600000000003</v>
      </c>
      <c r="K40" s="4" t="str">
        <f t="shared" si="0"/>
        <v>03-03-2025</v>
      </c>
      <c r="L40" s="4" t="str">
        <f>TEXT(Sales_Fact!$B40,"mmm")</f>
        <v>Mar</v>
      </c>
      <c r="M40" s="4">
        <f t="shared" si="1"/>
        <v>1</v>
      </c>
      <c r="N40" s="10">
        <f t="shared" si="2"/>
        <v>34.51</v>
      </c>
      <c r="O40" s="10">
        <f t="shared" si="3"/>
        <v>33.129599999999996</v>
      </c>
      <c r="P40" s="10">
        <f t="shared" si="4"/>
        <v>34.51</v>
      </c>
      <c r="Q40" s="3">
        <f t="shared" si="5"/>
        <v>4.0000000000000049E-2</v>
      </c>
      <c r="R40" s="4" t="str">
        <f>IF(Sales_Fact!$O40&gt;1000,"High","Low")</f>
        <v>Low</v>
      </c>
      <c r="S40" s="4" t="str">
        <f>VLOOKUP(C40,Customer_Dim!$A:$N,9,FALSE())</f>
        <v>Sarah Lane</v>
      </c>
      <c r="T40" s="4" t="str">
        <f>VLOOKUP(D40,Product_Dim!$A:$M,3,FALSE())</f>
        <v>Sports</v>
      </c>
      <c r="U40" s="11" t="str">
        <f>VLOOKUP(D40,Product_Dim!$A:$M,2,FALSE())</f>
        <v>Adjustable Jump Rope</v>
      </c>
      <c r="V40" s="11" t="str">
        <f>VLOOKUP(E40,Store_Dim!$A:$E,3,FALSE())</f>
        <v>South</v>
      </c>
      <c r="W40" s="11" t="str">
        <f>VLOOKUP(C40,Customer_Dim!$A:$N,13,FALSE())</f>
        <v>Silver</v>
      </c>
      <c r="X40" s="11" t="str">
        <f t="shared" si="6"/>
        <v>Low</v>
      </c>
    </row>
    <row r="41" spans="1:24" ht="15.75" customHeight="1">
      <c r="A41" s="4" t="s">
        <v>2037</v>
      </c>
      <c r="B41" s="9">
        <v>45250</v>
      </c>
      <c r="C41" s="4" t="s">
        <v>393</v>
      </c>
      <c r="D41" s="4" t="s">
        <v>1654</v>
      </c>
      <c r="E41" s="4" t="s">
        <v>1950</v>
      </c>
      <c r="F41" s="4">
        <v>3</v>
      </c>
      <c r="G41" s="4">
        <v>663.73</v>
      </c>
      <c r="H41" s="4">
        <v>0.06</v>
      </c>
      <c r="I41" s="4" t="s">
        <v>2004</v>
      </c>
      <c r="J41" s="10">
        <v>1871.7185999999999</v>
      </c>
      <c r="K41" s="4" t="str">
        <f t="shared" si="0"/>
        <v>20-11-2023</v>
      </c>
      <c r="L41" s="4" t="str">
        <f>TEXT(Sales_Fact!$B41,"mmm")</f>
        <v>Nov</v>
      </c>
      <c r="M41" s="4">
        <f t="shared" si="1"/>
        <v>3</v>
      </c>
      <c r="N41" s="10">
        <f t="shared" si="2"/>
        <v>663.73</v>
      </c>
      <c r="O41" s="10">
        <f t="shared" si="3"/>
        <v>1871.7185999999999</v>
      </c>
      <c r="P41" s="10">
        <f t="shared" si="4"/>
        <v>1991.19</v>
      </c>
      <c r="Q41" s="3">
        <f t="shared" si="5"/>
        <v>6.0000000000000067E-2</v>
      </c>
      <c r="R41" s="4" t="str">
        <f>IF(Sales_Fact!$O41&gt;1000,"High","Low")</f>
        <v>High</v>
      </c>
      <c r="S41" s="4" t="str">
        <f>VLOOKUP(C41,Customer_Dim!$A:$N,9,FALSE())</f>
        <v>Lance Baker</v>
      </c>
      <c r="T41" s="4" t="str">
        <f>VLOOKUP(D41,Product_Dim!$A:$M,3,FALSE())</f>
        <v>Sports</v>
      </c>
      <c r="U41" s="11" t="str">
        <f>VLOOKUP(D41,Product_Dim!$A:$M,2,FALSE())</f>
        <v>Knee Support Brace</v>
      </c>
      <c r="V41" s="11" t="str">
        <f>VLOOKUP(E41,Store_Dim!$A:$E,3,FALSE())</f>
        <v>South</v>
      </c>
      <c r="W41" s="11" t="str">
        <f>VLOOKUP(C41,Customer_Dim!$A:$N,13,FALSE())</f>
        <v>Gold</v>
      </c>
      <c r="X41" s="11" t="str">
        <f t="shared" si="6"/>
        <v>Low</v>
      </c>
    </row>
    <row r="42" spans="1:24" ht="15.75" customHeight="1">
      <c r="A42" s="4" t="s">
        <v>2038</v>
      </c>
      <c r="B42" s="9">
        <v>45479</v>
      </c>
      <c r="C42" s="4" t="s">
        <v>816</v>
      </c>
      <c r="D42" s="4" t="s">
        <v>1700</v>
      </c>
      <c r="E42" s="4" t="s">
        <v>1944</v>
      </c>
      <c r="F42" s="4">
        <v>1</v>
      </c>
      <c r="G42" s="4">
        <v>409.41</v>
      </c>
      <c r="H42" s="4">
        <v>0.13</v>
      </c>
      <c r="I42" s="4" t="s">
        <v>1998</v>
      </c>
      <c r="J42" s="10">
        <v>356.18669999999997</v>
      </c>
      <c r="K42" s="4" t="str">
        <f t="shared" si="0"/>
        <v>06-07-2024</v>
      </c>
      <c r="L42" s="4" t="str">
        <f>TEXT(Sales_Fact!$B42,"mmm")</f>
        <v>Jul</v>
      </c>
      <c r="M42" s="4">
        <f t="shared" si="1"/>
        <v>1</v>
      </c>
      <c r="N42" s="10">
        <f t="shared" si="2"/>
        <v>409.41</v>
      </c>
      <c r="O42" s="10">
        <f t="shared" si="3"/>
        <v>356.18670000000003</v>
      </c>
      <c r="P42" s="10">
        <f t="shared" si="4"/>
        <v>409.41</v>
      </c>
      <c r="Q42" s="3">
        <f t="shared" si="5"/>
        <v>0.12999999999999998</v>
      </c>
      <c r="R42" s="4" t="str">
        <f>IF(Sales_Fact!$O42&gt;1000,"High","Low")</f>
        <v>Low</v>
      </c>
      <c r="S42" s="4" t="str">
        <f>VLOOKUP(C42,Customer_Dim!$A:$N,9,FALSE())</f>
        <v>Mary Russell</v>
      </c>
      <c r="T42" s="4" t="str">
        <f>VLOOKUP(D42,Product_Dim!$A:$M,3,FALSE())</f>
        <v>Home</v>
      </c>
      <c r="U42" s="11" t="str">
        <f>VLOOKUP(D42,Product_Dim!$A:$M,2,FALSE())</f>
        <v>Modern Wall Clock</v>
      </c>
      <c r="V42" s="11" t="str">
        <f>VLOOKUP(E42,Store_Dim!$A:$E,3,FALSE())</f>
        <v>South</v>
      </c>
      <c r="W42" s="11" t="str">
        <f>VLOOKUP(C42,Customer_Dim!$A:$N,13,FALSE())</f>
        <v>Bronze</v>
      </c>
      <c r="X42" s="11" t="str">
        <f t="shared" si="6"/>
        <v>Low</v>
      </c>
    </row>
    <row r="43" spans="1:24" ht="15.75" customHeight="1">
      <c r="A43" s="4" t="s">
        <v>2039</v>
      </c>
      <c r="B43" s="9">
        <v>45727</v>
      </c>
      <c r="C43" s="4" t="s">
        <v>353</v>
      </c>
      <c r="D43" s="4" t="s">
        <v>1840</v>
      </c>
      <c r="E43" s="4" t="s">
        <v>1924</v>
      </c>
      <c r="F43" s="4">
        <v>3</v>
      </c>
      <c r="G43" s="4">
        <v>461.03</v>
      </c>
      <c r="H43" s="4">
        <v>0.11</v>
      </c>
      <c r="I43" s="4" t="s">
        <v>1998</v>
      </c>
      <c r="J43" s="10">
        <v>1230.9501</v>
      </c>
      <c r="K43" s="4" t="str">
        <f t="shared" si="0"/>
        <v>11-03-2025</v>
      </c>
      <c r="L43" s="4" t="str">
        <f>TEXT(Sales_Fact!$B43,"mmm")</f>
        <v>Mar</v>
      </c>
      <c r="M43" s="4">
        <f t="shared" si="1"/>
        <v>3</v>
      </c>
      <c r="N43" s="10">
        <f t="shared" si="2"/>
        <v>461.03</v>
      </c>
      <c r="O43" s="10">
        <f t="shared" si="3"/>
        <v>1230.9501</v>
      </c>
      <c r="P43" s="10">
        <f t="shared" si="4"/>
        <v>1383.09</v>
      </c>
      <c r="Q43" s="3">
        <f t="shared" si="5"/>
        <v>0.10999999999999993</v>
      </c>
      <c r="R43" s="4" t="str">
        <f>IF(Sales_Fact!$O43&gt;1000,"High","Low")</f>
        <v>High</v>
      </c>
      <c r="S43" s="4" t="str">
        <f>VLOOKUP(C43,Customer_Dim!$A:$N,9,FALSE())</f>
        <v>Robert Jackson</v>
      </c>
      <c r="T43" s="4" t="str">
        <f>VLOOKUP(D43,Product_Dim!$A:$M,3,FALSE())</f>
        <v>Home</v>
      </c>
      <c r="U43" s="11" t="str">
        <f>VLOOKUP(D43,Product_Dim!$A:$M,2,FALSE())</f>
        <v>Essential Oil Diffuser</v>
      </c>
      <c r="V43" s="11" t="str">
        <f>VLOOKUP(E43,Store_Dim!$A:$E,3,FALSE())</f>
        <v>North</v>
      </c>
      <c r="W43" s="11" t="str">
        <f>VLOOKUP(C43,Customer_Dim!$A:$N,13,FALSE())</f>
        <v>Platinum</v>
      </c>
      <c r="X43" s="11" t="str">
        <f t="shared" si="6"/>
        <v>Low</v>
      </c>
    </row>
    <row r="44" spans="1:24" ht="15.75" customHeight="1">
      <c r="A44" s="4" t="s">
        <v>2040</v>
      </c>
      <c r="B44" s="9">
        <v>45394</v>
      </c>
      <c r="C44" s="4" t="s">
        <v>1180</v>
      </c>
      <c r="D44" s="4" t="s">
        <v>1654</v>
      </c>
      <c r="E44" s="4" t="s">
        <v>1957</v>
      </c>
      <c r="F44" s="4">
        <v>2</v>
      </c>
      <c r="G44" s="4">
        <v>760.14</v>
      </c>
      <c r="H44" s="4">
        <v>0.02</v>
      </c>
      <c r="I44" s="4" t="s">
        <v>2004</v>
      </c>
      <c r="J44" s="10">
        <v>1489.8743999999999</v>
      </c>
      <c r="K44" s="4" t="str">
        <f t="shared" si="0"/>
        <v>12-04-2024</v>
      </c>
      <c r="L44" s="4" t="str">
        <f>TEXT(Sales_Fact!$B44,"mmm")</f>
        <v>Apr</v>
      </c>
      <c r="M44" s="4">
        <f t="shared" si="1"/>
        <v>2</v>
      </c>
      <c r="N44" s="10">
        <f t="shared" si="2"/>
        <v>760.14</v>
      </c>
      <c r="O44" s="10">
        <f t="shared" si="3"/>
        <v>1489.8743999999999</v>
      </c>
      <c r="P44" s="10">
        <f t="shared" si="4"/>
        <v>1520.28</v>
      </c>
      <c r="Q44" s="3">
        <f t="shared" si="5"/>
        <v>2.0000000000000032E-2</v>
      </c>
      <c r="R44" s="4" t="str">
        <f>IF(Sales_Fact!$O44&gt;1000,"High","Low")</f>
        <v>High</v>
      </c>
      <c r="S44" s="4" t="str">
        <f>VLOOKUP(C44,Customer_Dim!$A:$N,9,FALSE())</f>
        <v>Miranda King</v>
      </c>
      <c r="T44" s="4" t="str">
        <f>VLOOKUP(D44,Product_Dim!$A:$M,3,FALSE())</f>
        <v>Sports</v>
      </c>
      <c r="U44" s="11" t="str">
        <f>VLOOKUP(D44,Product_Dim!$A:$M,2,FALSE())</f>
        <v>Knee Support Brace</v>
      </c>
      <c r="V44" s="11" t="str">
        <f>VLOOKUP(E44,Store_Dim!$A:$E,3,FALSE())</f>
        <v>South</v>
      </c>
      <c r="W44" s="11" t="str">
        <f>VLOOKUP(C44,Customer_Dim!$A:$N,13,FALSE())</f>
        <v>Platinum</v>
      </c>
      <c r="X44" s="11" t="str">
        <f t="shared" si="6"/>
        <v>Low</v>
      </c>
    </row>
    <row r="45" spans="1:24" ht="15.75" customHeight="1">
      <c r="A45" s="4" t="s">
        <v>2041</v>
      </c>
      <c r="B45" s="9">
        <v>45773</v>
      </c>
      <c r="C45" s="4" t="s">
        <v>912</v>
      </c>
      <c r="D45" s="4" t="s">
        <v>1668</v>
      </c>
      <c r="E45" s="4" t="s">
        <v>1915</v>
      </c>
      <c r="F45" s="4">
        <v>3</v>
      </c>
      <c r="G45" s="4">
        <v>688.76</v>
      </c>
      <c r="H45" s="4">
        <v>0.12</v>
      </c>
      <c r="I45" s="4" t="s">
        <v>1998</v>
      </c>
      <c r="J45" s="10">
        <v>1818.3263999999999</v>
      </c>
      <c r="K45" s="4" t="str">
        <f t="shared" si="0"/>
        <v>26-04-2025</v>
      </c>
      <c r="L45" s="4" t="str">
        <f>TEXT(Sales_Fact!$B45,"mmm")</f>
        <v>Apr</v>
      </c>
      <c r="M45" s="4">
        <f t="shared" si="1"/>
        <v>3</v>
      </c>
      <c r="N45" s="10">
        <f t="shared" si="2"/>
        <v>688.76</v>
      </c>
      <c r="O45" s="10">
        <f t="shared" si="3"/>
        <v>1818.3263999999997</v>
      </c>
      <c r="P45" s="10">
        <f t="shared" si="4"/>
        <v>2066.2799999999997</v>
      </c>
      <c r="Q45" s="3">
        <f t="shared" si="5"/>
        <v>0.12000000000000004</v>
      </c>
      <c r="R45" s="4" t="str">
        <f>IF(Sales_Fact!$O45&gt;1000,"High","Low")</f>
        <v>High</v>
      </c>
      <c r="S45" s="4" t="str">
        <f>VLOOKUP(C45,Customer_Dim!$A:$N,9,FALSE())</f>
        <v>Stephen Fowler</v>
      </c>
      <c r="T45" s="4" t="str">
        <f>VLOOKUP(D45,Product_Dim!$A:$M,3,FALSE())</f>
        <v>Clothing</v>
      </c>
      <c r="U45" s="11" t="str">
        <f>VLOOKUP(D45,Product_Dim!$A:$M,2,FALSE())</f>
        <v>Men's Formal Shirt</v>
      </c>
      <c r="V45" s="11" t="str">
        <f>VLOOKUP(E45,Store_Dim!$A:$E,3,FALSE())</f>
        <v>North</v>
      </c>
      <c r="W45" s="11" t="str">
        <f>VLOOKUP(C45,Customer_Dim!$A:$N,13,FALSE())</f>
        <v>Platinum</v>
      </c>
      <c r="X45" s="11" t="str">
        <f t="shared" si="6"/>
        <v>Low</v>
      </c>
    </row>
    <row r="46" spans="1:24" ht="15.75" customHeight="1">
      <c r="A46" s="4" t="s">
        <v>2042</v>
      </c>
      <c r="B46" s="9">
        <v>45779</v>
      </c>
      <c r="C46" s="4" t="s">
        <v>556</v>
      </c>
      <c r="D46" s="4" t="s">
        <v>1732</v>
      </c>
      <c r="E46" s="4" t="s">
        <v>1944</v>
      </c>
      <c r="F46" s="4">
        <v>2</v>
      </c>
      <c r="G46" s="4">
        <v>257.77999999999997</v>
      </c>
      <c r="H46" s="4">
        <v>0.05</v>
      </c>
      <c r="I46" s="4" t="s">
        <v>1996</v>
      </c>
      <c r="J46" s="10">
        <v>489.78199999999998</v>
      </c>
      <c r="K46" s="4" t="str">
        <f t="shared" si="0"/>
        <v>02-05-2025</v>
      </c>
      <c r="L46" s="4" t="str">
        <f>TEXT(Sales_Fact!$B46,"mmm")</f>
        <v>May</v>
      </c>
      <c r="M46" s="4">
        <f t="shared" si="1"/>
        <v>2</v>
      </c>
      <c r="N46" s="10">
        <f t="shared" si="2"/>
        <v>257.77999999999997</v>
      </c>
      <c r="O46" s="10">
        <f t="shared" si="3"/>
        <v>489.78199999999993</v>
      </c>
      <c r="P46" s="10">
        <f t="shared" si="4"/>
        <v>515.55999999999995</v>
      </c>
      <c r="Q46" s="3">
        <f t="shared" si="5"/>
        <v>5.0000000000000044E-2</v>
      </c>
      <c r="R46" s="4" t="str">
        <f>IF(Sales_Fact!$O46&gt;1000,"High","Low")</f>
        <v>Low</v>
      </c>
      <c r="S46" s="4" t="str">
        <f>VLOOKUP(C46,Customer_Dim!$A:$N,9,FALSE())</f>
        <v>Brian Choi</v>
      </c>
      <c r="T46" s="4" t="str">
        <f>VLOOKUP(D46,Product_Dim!$A:$M,3,FALSE())</f>
        <v>Electronics</v>
      </c>
      <c r="U46" s="11" t="str">
        <f>VLOOKUP(D46,Product_Dim!$A:$M,2,FALSE())</f>
        <v>USB External Hard Drive</v>
      </c>
      <c r="V46" s="11" t="str">
        <f>VLOOKUP(E46,Store_Dim!$A:$E,3,FALSE())</f>
        <v>South</v>
      </c>
      <c r="W46" s="11" t="str">
        <f>VLOOKUP(C46,Customer_Dim!$A:$N,13,FALSE())</f>
        <v>Gold</v>
      </c>
      <c r="X46" s="11" t="str">
        <f t="shared" si="6"/>
        <v>Low</v>
      </c>
    </row>
    <row r="47" spans="1:24" ht="15.75" customHeight="1">
      <c r="A47" s="4" t="s">
        <v>2043</v>
      </c>
      <c r="B47" s="9">
        <v>45400</v>
      </c>
      <c r="C47" s="4" t="s">
        <v>219</v>
      </c>
      <c r="D47" s="4" t="s">
        <v>1764</v>
      </c>
      <c r="E47" s="4" t="s">
        <v>1937</v>
      </c>
      <c r="F47" s="4">
        <v>2</v>
      </c>
      <c r="G47" s="4">
        <v>314.29000000000002</v>
      </c>
      <c r="H47" s="4">
        <v>0.19</v>
      </c>
      <c r="I47" s="4" t="s">
        <v>2004</v>
      </c>
      <c r="J47" s="10">
        <v>509.14980000000003</v>
      </c>
      <c r="K47" s="4" t="str">
        <f t="shared" si="0"/>
        <v>18-04-2024</v>
      </c>
      <c r="L47" s="4" t="str">
        <f>TEXT(Sales_Fact!$B47,"mmm")</f>
        <v>Apr</v>
      </c>
      <c r="M47" s="4">
        <f t="shared" si="1"/>
        <v>2</v>
      </c>
      <c r="N47" s="10">
        <f t="shared" si="2"/>
        <v>314.29000000000002</v>
      </c>
      <c r="O47" s="10">
        <f t="shared" si="3"/>
        <v>509.14980000000008</v>
      </c>
      <c r="P47" s="10">
        <f t="shared" si="4"/>
        <v>628.58000000000004</v>
      </c>
      <c r="Q47" s="3">
        <f t="shared" si="5"/>
        <v>0.18999999999999992</v>
      </c>
      <c r="R47" s="4" t="str">
        <f>IF(Sales_Fact!$O47&gt;1000,"High","Low")</f>
        <v>Low</v>
      </c>
      <c r="S47" s="4" t="str">
        <f>VLOOKUP(C47,Customer_Dim!$A:$N,9,FALSE())</f>
        <v>Debra Liu</v>
      </c>
      <c r="T47" s="4" t="str">
        <f>VLOOKUP(D47,Product_Dim!$A:$M,3,FALSE())</f>
        <v>Clothing</v>
      </c>
      <c r="U47" s="11" t="str">
        <f>VLOOKUP(D47,Product_Dim!$A:$M,2,FALSE())</f>
        <v>Men's Track Pants</v>
      </c>
      <c r="V47" s="11" t="str">
        <f>VLOOKUP(E47,Store_Dim!$A:$E,3,FALSE())</f>
        <v>South</v>
      </c>
      <c r="W47" s="11" t="str">
        <f>VLOOKUP(C47,Customer_Dim!$A:$N,13,FALSE())</f>
        <v>Bronze</v>
      </c>
      <c r="X47" s="11" t="str">
        <f t="shared" si="6"/>
        <v>Low</v>
      </c>
    </row>
    <row r="48" spans="1:24" ht="15.75" customHeight="1">
      <c r="A48" s="4" t="s">
        <v>2044</v>
      </c>
      <c r="B48" s="9">
        <v>45520</v>
      </c>
      <c r="C48" s="4" t="s">
        <v>544</v>
      </c>
      <c r="D48" s="4" t="s">
        <v>1822</v>
      </c>
      <c r="E48" s="4" t="s">
        <v>1957</v>
      </c>
      <c r="F48" s="4">
        <v>3</v>
      </c>
      <c r="G48" s="4">
        <v>336.09</v>
      </c>
      <c r="H48" s="4">
        <v>0.01</v>
      </c>
      <c r="I48" s="4" t="s">
        <v>1998</v>
      </c>
      <c r="J48" s="10">
        <v>998.18730000000005</v>
      </c>
      <c r="K48" s="4" t="str">
        <f t="shared" si="0"/>
        <v>16-08-2024</v>
      </c>
      <c r="L48" s="4" t="str">
        <f>TEXT(Sales_Fact!$B48,"mmm")</f>
        <v>Aug</v>
      </c>
      <c r="M48" s="4">
        <f t="shared" si="1"/>
        <v>3</v>
      </c>
      <c r="N48" s="10">
        <f t="shared" si="2"/>
        <v>336.09</v>
      </c>
      <c r="O48" s="10">
        <f t="shared" si="3"/>
        <v>998.18729999999994</v>
      </c>
      <c r="P48" s="10">
        <f t="shared" si="4"/>
        <v>1008.27</v>
      </c>
      <c r="Q48" s="3">
        <f t="shared" si="5"/>
        <v>1.0000000000000045E-2</v>
      </c>
      <c r="R48" s="4" t="str">
        <f>IF(Sales_Fact!$O48&gt;1000,"High","Low")</f>
        <v>Low</v>
      </c>
      <c r="S48" s="4" t="str">
        <f>VLOOKUP(C48,Customer_Dim!$A:$N,9,FALSE())</f>
        <v>Curtis Haynes</v>
      </c>
      <c r="T48" s="4" t="str">
        <f>VLOOKUP(D48,Product_Dim!$A:$M,3,FALSE())</f>
        <v>Sports</v>
      </c>
      <c r="U48" s="11" t="str">
        <f>VLOOKUP(D48,Product_Dim!$A:$M,2,FALSE())</f>
        <v>Professional Jump Rope</v>
      </c>
      <c r="V48" s="11" t="str">
        <f>VLOOKUP(E48,Store_Dim!$A:$E,3,FALSE())</f>
        <v>South</v>
      </c>
      <c r="W48" s="11" t="str">
        <f>VLOOKUP(C48,Customer_Dim!$A:$N,13,FALSE())</f>
        <v>Gold</v>
      </c>
      <c r="X48" s="11" t="str">
        <f t="shared" si="6"/>
        <v>Low</v>
      </c>
    </row>
    <row r="49" spans="1:24" ht="15.75" customHeight="1">
      <c r="A49" s="4" t="s">
        <v>2045</v>
      </c>
      <c r="B49" s="9">
        <v>45330</v>
      </c>
      <c r="C49" s="4" t="s">
        <v>142</v>
      </c>
      <c r="D49" s="4" t="s">
        <v>1864</v>
      </c>
      <c r="E49" s="4" t="s">
        <v>1950</v>
      </c>
      <c r="F49" s="4">
        <v>2</v>
      </c>
      <c r="G49" s="4">
        <v>879.63</v>
      </c>
      <c r="H49" s="4">
        <v>7.0000000000000007E-2</v>
      </c>
      <c r="I49" s="4" t="s">
        <v>2004</v>
      </c>
      <c r="J49" s="10">
        <v>1636.1117999999999</v>
      </c>
      <c r="K49" s="4" t="str">
        <f t="shared" si="0"/>
        <v>08-02-2024</v>
      </c>
      <c r="L49" s="4" t="str">
        <f>TEXT(Sales_Fact!$B49,"mmm")</f>
        <v>Feb</v>
      </c>
      <c r="M49" s="4">
        <f t="shared" si="1"/>
        <v>2</v>
      </c>
      <c r="N49" s="10">
        <f t="shared" si="2"/>
        <v>879.63</v>
      </c>
      <c r="O49" s="10">
        <f t="shared" si="3"/>
        <v>1636.1117999999999</v>
      </c>
      <c r="P49" s="10">
        <f t="shared" si="4"/>
        <v>1759.26</v>
      </c>
      <c r="Q49" s="3">
        <f t="shared" si="5"/>
        <v>7.0000000000000048E-2</v>
      </c>
      <c r="R49" s="4" t="str">
        <f>IF(Sales_Fact!$O49&gt;1000,"High","Low")</f>
        <v>High</v>
      </c>
      <c r="S49" s="4" t="str">
        <f>VLOOKUP(C49,Customer_Dim!$A:$N,9,FALSE())</f>
        <v>David Arnold</v>
      </c>
      <c r="T49" s="4" t="str">
        <f>VLOOKUP(D49,Product_Dim!$A:$M,3,FALSE())</f>
        <v>Home</v>
      </c>
      <c r="U49" s="11" t="str">
        <f>VLOOKUP(D49,Product_Dim!$A:$M,2,FALSE())</f>
        <v>Kitchen Cutting Board</v>
      </c>
      <c r="V49" s="11" t="str">
        <f>VLOOKUP(E49,Store_Dim!$A:$E,3,FALSE())</f>
        <v>South</v>
      </c>
      <c r="W49" s="11" t="str">
        <f>VLOOKUP(C49,Customer_Dim!$A:$N,13,FALSE())</f>
        <v>Silver</v>
      </c>
      <c r="X49" s="11" t="str">
        <f t="shared" si="6"/>
        <v>Low</v>
      </c>
    </row>
    <row r="50" spans="1:24" ht="15.75" customHeight="1">
      <c r="A50" s="4" t="s">
        <v>2046</v>
      </c>
      <c r="B50" s="9">
        <v>45861</v>
      </c>
      <c r="C50" s="4" t="s">
        <v>35</v>
      </c>
      <c r="D50" s="4" t="s">
        <v>1831</v>
      </c>
      <c r="E50" s="4" t="s">
        <v>1965</v>
      </c>
      <c r="F50" s="4">
        <v>3</v>
      </c>
      <c r="G50" s="4">
        <v>202.07</v>
      </c>
      <c r="H50" s="4">
        <v>0.23</v>
      </c>
      <c r="I50" s="4" t="s">
        <v>1998</v>
      </c>
      <c r="J50" s="10">
        <v>466.7817</v>
      </c>
      <c r="K50" s="4" t="str">
        <f t="shared" si="0"/>
        <v>23-07-2025</v>
      </c>
      <c r="L50" s="4" t="str">
        <f>TEXT(Sales_Fact!$B50,"mmm")</f>
        <v>Jul</v>
      </c>
      <c r="M50" s="4">
        <f t="shared" si="1"/>
        <v>3</v>
      </c>
      <c r="N50" s="10">
        <f t="shared" si="2"/>
        <v>202.07</v>
      </c>
      <c r="O50" s="10">
        <f t="shared" si="3"/>
        <v>466.78170000000006</v>
      </c>
      <c r="P50" s="10">
        <f t="shared" si="4"/>
        <v>606.21</v>
      </c>
      <c r="Q50" s="3">
        <f t="shared" si="5"/>
        <v>0.22999999999999995</v>
      </c>
      <c r="R50" s="4" t="str">
        <f>IF(Sales_Fact!$O50&gt;1000,"High","Low")</f>
        <v>Low</v>
      </c>
      <c r="S50" s="4" t="str">
        <f>VLOOKUP(C50,Customer_Dim!$A:$N,9,FALSE())</f>
        <v>Dr. Benjamin Price</v>
      </c>
      <c r="T50" s="4" t="str">
        <f>VLOOKUP(D50,Product_Dim!$A:$M,3,FALSE())</f>
        <v>Clothing</v>
      </c>
      <c r="U50" s="11" t="str">
        <f>VLOOKUP(D50,Product_Dim!$A:$M,2,FALSE())</f>
        <v>Women's Ankle Boots</v>
      </c>
      <c r="V50" s="11" t="str">
        <f>VLOOKUP(E50,Store_Dim!$A:$E,3,FALSE())</f>
        <v>North</v>
      </c>
      <c r="W50" s="11" t="str">
        <f>VLOOKUP(C50,Customer_Dim!$A:$N,13,FALSE())</f>
        <v>Platinum</v>
      </c>
      <c r="X50" s="11" t="str">
        <f t="shared" si="6"/>
        <v>Low</v>
      </c>
    </row>
    <row r="51" spans="1:24" ht="15.75" customHeight="1">
      <c r="A51" s="4" t="s">
        <v>2047</v>
      </c>
      <c r="B51" s="9">
        <v>45781</v>
      </c>
      <c r="C51" s="4" t="s">
        <v>1006</v>
      </c>
      <c r="D51" s="4" t="s">
        <v>1648</v>
      </c>
      <c r="E51" s="4" t="s">
        <v>1940</v>
      </c>
      <c r="F51" s="4">
        <v>2</v>
      </c>
      <c r="G51" s="4">
        <v>485.25</v>
      </c>
      <c r="H51" s="4">
        <v>0.28000000000000003</v>
      </c>
      <c r="I51" s="4" t="s">
        <v>1996</v>
      </c>
      <c r="J51" s="10">
        <v>698.76</v>
      </c>
      <c r="K51" s="4" t="str">
        <f t="shared" si="0"/>
        <v>04-05-2025</v>
      </c>
      <c r="L51" s="4" t="str">
        <f>TEXT(Sales_Fact!$B51,"mmm")</f>
        <v>May</v>
      </c>
      <c r="M51" s="4">
        <f t="shared" si="1"/>
        <v>2</v>
      </c>
      <c r="N51" s="10">
        <f t="shared" si="2"/>
        <v>485.25</v>
      </c>
      <c r="O51" s="10">
        <f t="shared" si="3"/>
        <v>698.76</v>
      </c>
      <c r="P51" s="10">
        <f t="shared" si="4"/>
        <v>970.5</v>
      </c>
      <c r="Q51" s="3">
        <f t="shared" si="5"/>
        <v>0.28000000000000003</v>
      </c>
      <c r="R51" s="4" t="str">
        <f>IF(Sales_Fact!$O51&gt;1000,"High","Low")</f>
        <v>Low</v>
      </c>
      <c r="S51" s="4" t="str">
        <f>VLOOKUP(C51,Customer_Dim!$A:$N,9,FALSE())</f>
        <v>Kara Dodson</v>
      </c>
      <c r="T51" s="4" t="str">
        <f>VLOOKUP(D51,Product_Dim!$A:$M,3,FALSE())</f>
        <v>Sports</v>
      </c>
      <c r="U51" s="11" t="str">
        <f>VLOOKUP(D51,Product_Dim!$A:$M,2,FALSE())</f>
        <v>Soccer Training Cone Set</v>
      </c>
      <c r="V51" s="11" t="str">
        <f>VLOOKUP(E51,Store_Dim!$A:$E,3,FALSE())</f>
        <v>West</v>
      </c>
      <c r="W51" s="11" t="str">
        <f>VLOOKUP(C51,Customer_Dim!$A:$N,13,FALSE())</f>
        <v>Silver</v>
      </c>
      <c r="X51" s="11" t="str">
        <f t="shared" si="6"/>
        <v>Low</v>
      </c>
    </row>
    <row r="52" spans="1:24" ht="15.75" customHeight="1">
      <c r="A52" s="4" t="s">
        <v>2048</v>
      </c>
      <c r="B52" s="9">
        <v>45906</v>
      </c>
      <c r="C52" s="4" t="s">
        <v>592</v>
      </c>
      <c r="D52" s="4" t="s">
        <v>1831</v>
      </c>
      <c r="E52" s="4" t="s">
        <v>1947</v>
      </c>
      <c r="F52" s="4">
        <v>4</v>
      </c>
      <c r="G52" s="4">
        <v>552.38</v>
      </c>
      <c r="H52" s="4">
        <v>0.1</v>
      </c>
      <c r="I52" s="4" t="s">
        <v>1998</v>
      </c>
      <c r="J52" s="10">
        <v>1988.568</v>
      </c>
      <c r="K52" s="4" t="str">
        <f t="shared" si="0"/>
        <v>06-09-2025</v>
      </c>
      <c r="L52" s="4" t="str">
        <f>TEXT(Sales_Fact!$B52,"mmm")</f>
        <v>Sep</v>
      </c>
      <c r="M52" s="4">
        <f t="shared" si="1"/>
        <v>4</v>
      </c>
      <c r="N52" s="10">
        <f t="shared" si="2"/>
        <v>552.38</v>
      </c>
      <c r="O52" s="10">
        <f t="shared" si="3"/>
        <v>1988.568</v>
      </c>
      <c r="P52" s="10">
        <f t="shared" si="4"/>
        <v>2209.52</v>
      </c>
      <c r="Q52" s="3">
        <f t="shared" si="5"/>
        <v>0.1</v>
      </c>
      <c r="R52" s="4" t="str">
        <f>IF(Sales_Fact!$O52&gt;1000,"High","Low")</f>
        <v>High</v>
      </c>
      <c r="S52" s="4" t="str">
        <f>VLOOKUP(C52,Customer_Dim!$A:$N,9,FALSE())</f>
        <v>Amy Wilson</v>
      </c>
      <c r="T52" s="4" t="str">
        <f>VLOOKUP(D52,Product_Dim!$A:$M,3,FALSE())</f>
        <v>Clothing</v>
      </c>
      <c r="U52" s="11" t="str">
        <f>VLOOKUP(D52,Product_Dim!$A:$M,2,FALSE())</f>
        <v>Women's Ankle Boots</v>
      </c>
      <c r="V52" s="11" t="str">
        <f>VLOOKUP(E52,Store_Dim!$A:$E,3,FALSE())</f>
        <v>East</v>
      </c>
      <c r="W52" s="11" t="str">
        <f>VLOOKUP(C52,Customer_Dim!$A:$N,13,FALSE())</f>
        <v>Platinum</v>
      </c>
      <c r="X52" s="11" t="str">
        <f t="shared" si="6"/>
        <v>High</v>
      </c>
    </row>
    <row r="53" spans="1:24" ht="15.75" customHeight="1">
      <c r="A53" s="4" t="s">
        <v>2049</v>
      </c>
      <c r="B53" s="9">
        <v>45251</v>
      </c>
      <c r="C53" s="4" t="s">
        <v>399</v>
      </c>
      <c r="D53" s="4" t="s">
        <v>1779</v>
      </c>
      <c r="E53" s="4" t="s">
        <v>1965</v>
      </c>
      <c r="F53" s="4">
        <v>4</v>
      </c>
      <c r="G53" s="4">
        <v>377.26</v>
      </c>
      <c r="H53" s="4">
        <v>0.22</v>
      </c>
      <c r="I53" s="4" t="s">
        <v>2004</v>
      </c>
      <c r="J53" s="10">
        <v>1177.0512000000001</v>
      </c>
      <c r="K53" s="4" t="str">
        <f t="shared" si="0"/>
        <v>21-11-2023</v>
      </c>
      <c r="L53" s="4" t="str">
        <f>TEXT(Sales_Fact!$B53,"mmm")</f>
        <v>Nov</v>
      </c>
      <c r="M53" s="4">
        <f t="shared" si="1"/>
        <v>4</v>
      </c>
      <c r="N53" s="10">
        <f t="shared" si="2"/>
        <v>377.26</v>
      </c>
      <c r="O53" s="10">
        <f t="shared" si="3"/>
        <v>1177.0512000000001</v>
      </c>
      <c r="P53" s="10">
        <f t="shared" si="4"/>
        <v>1509.04</v>
      </c>
      <c r="Q53" s="3">
        <f t="shared" si="5"/>
        <v>0.21999999999999992</v>
      </c>
      <c r="R53" s="4" t="str">
        <f>IF(Sales_Fact!$O53&gt;1000,"High","Low")</f>
        <v>High</v>
      </c>
      <c r="S53" s="4" t="str">
        <f>VLOOKUP(C53,Customer_Dim!$A:$N,9,FALSE())</f>
        <v>Erica Carney</v>
      </c>
      <c r="T53" s="4" t="str">
        <f>VLOOKUP(D53,Product_Dim!$A:$M,3,FALSE())</f>
        <v>Clothing</v>
      </c>
      <c r="U53" s="11" t="str">
        <f>VLOOKUP(D53,Product_Dim!$A:$M,2,FALSE())</f>
        <v>Womens Cotton Scarf</v>
      </c>
      <c r="V53" s="11" t="str">
        <f>VLOOKUP(E53,Store_Dim!$A:$E,3,FALSE())</f>
        <v>North</v>
      </c>
      <c r="W53" s="11" t="str">
        <f>VLOOKUP(C53,Customer_Dim!$A:$N,13,FALSE())</f>
        <v>Platinum</v>
      </c>
      <c r="X53" s="11" t="str">
        <f t="shared" si="6"/>
        <v>High</v>
      </c>
    </row>
    <row r="54" spans="1:24" ht="15.75" customHeight="1">
      <c r="A54" s="4" t="s">
        <v>2050</v>
      </c>
      <c r="B54" s="9">
        <v>45257</v>
      </c>
      <c r="C54" s="4" t="s">
        <v>223</v>
      </c>
      <c r="D54" s="4" t="s">
        <v>1744</v>
      </c>
      <c r="E54" s="4" t="s">
        <v>1971</v>
      </c>
      <c r="F54" s="4">
        <v>4</v>
      </c>
      <c r="G54" s="4">
        <v>189.07</v>
      </c>
      <c r="H54" s="4">
        <v>0.1</v>
      </c>
      <c r="I54" s="4" t="s">
        <v>2004</v>
      </c>
      <c r="J54" s="10">
        <v>680.65200000000004</v>
      </c>
      <c r="K54" s="4" t="str">
        <f t="shared" si="0"/>
        <v>27-11-2023</v>
      </c>
      <c r="L54" s="4" t="str">
        <f>TEXT(Sales_Fact!$B54,"mmm")</f>
        <v>Nov</v>
      </c>
      <c r="M54" s="4">
        <f t="shared" si="1"/>
        <v>4</v>
      </c>
      <c r="N54" s="10">
        <f t="shared" si="2"/>
        <v>189.07</v>
      </c>
      <c r="O54" s="10">
        <f t="shared" si="3"/>
        <v>680.65200000000004</v>
      </c>
      <c r="P54" s="10">
        <f t="shared" si="4"/>
        <v>756.28</v>
      </c>
      <c r="Q54" s="3">
        <f t="shared" si="5"/>
        <v>9.9999999999999908E-2</v>
      </c>
      <c r="R54" s="4" t="str">
        <f>IF(Sales_Fact!$O54&gt;1000,"High","Low")</f>
        <v>Low</v>
      </c>
      <c r="S54" s="4" t="str">
        <f>VLOOKUP(C54,Customer_Dim!$A:$N,9,FALSE())</f>
        <v>Sharon Brown</v>
      </c>
      <c r="T54" s="4" t="str">
        <f>VLOOKUP(D54,Product_Dim!$A:$M,3,FALSE())</f>
        <v>Beauty</v>
      </c>
      <c r="U54" s="11" t="str">
        <f>VLOOKUP(D54,Product_Dim!$A:$M,2,FALSE())</f>
        <v>Makeup Brush Set</v>
      </c>
      <c r="V54" s="11" t="str">
        <f>VLOOKUP(E54,Store_Dim!$A:$E,3,FALSE())</f>
        <v>East</v>
      </c>
      <c r="W54" s="11" t="str">
        <f>VLOOKUP(C54,Customer_Dim!$A:$N,13,FALSE())</f>
        <v>Gold</v>
      </c>
      <c r="X54" s="11" t="str">
        <f t="shared" si="6"/>
        <v>High</v>
      </c>
    </row>
    <row r="55" spans="1:24" ht="15.75" customHeight="1">
      <c r="A55" s="4" t="s">
        <v>2051</v>
      </c>
      <c r="B55" s="9">
        <v>45818</v>
      </c>
      <c r="C55" s="4" t="s">
        <v>1562</v>
      </c>
      <c r="D55" s="4" t="s">
        <v>1690</v>
      </c>
      <c r="E55" s="4" t="s">
        <v>1927</v>
      </c>
      <c r="F55" s="4">
        <v>3</v>
      </c>
      <c r="G55" s="4">
        <v>272.27</v>
      </c>
      <c r="H55" s="4">
        <v>0.01</v>
      </c>
      <c r="I55" s="4" t="s">
        <v>1996</v>
      </c>
      <c r="J55" s="10">
        <v>808.64189999999996</v>
      </c>
      <c r="K55" s="4" t="str">
        <f t="shared" si="0"/>
        <v>10-06-2025</v>
      </c>
      <c r="L55" s="4" t="str">
        <f>TEXT(Sales_Fact!$B55,"mmm")</f>
        <v>Jun</v>
      </c>
      <c r="M55" s="4">
        <f t="shared" si="1"/>
        <v>3</v>
      </c>
      <c r="N55" s="10">
        <f t="shared" si="2"/>
        <v>272.27</v>
      </c>
      <c r="O55" s="10">
        <f t="shared" si="3"/>
        <v>808.64189999999996</v>
      </c>
      <c r="P55" s="10">
        <f t="shared" si="4"/>
        <v>816.81</v>
      </c>
      <c r="Q55" s="3">
        <f t="shared" si="5"/>
        <v>9.9999999999999777E-3</v>
      </c>
      <c r="R55" s="4" t="str">
        <f>IF(Sales_Fact!$O55&gt;1000,"High","Low")</f>
        <v>Low</v>
      </c>
      <c r="S55" s="4" t="str">
        <f>VLOOKUP(C55,Customer_Dim!$A:$N,9,FALSE())</f>
        <v>Philip Pennington</v>
      </c>
      <c r="T55" s="4" t="str">
        <f>VLOOKUP(D55,Product_Dim!$A:$M,3,FALSE())</f>
        <v>Home</v>
      </c>
      <c r="U55" s="11" t="str">
        <f>VLOOKUP(D55,Product_Dim!$A:$M,2,FALSE())</f>
        <v>Stainless Steel Cutlery Set</v>
      </c>
      <c r="V55" s="11" t="str">
        <f>VLOOKUP(E55,Store_Dim!$A:$E,3,FALSE())</f>
        <v>South</v>
      </c>
      <c r="W55" s="11" t="str">
        <f>VLOOKUP(C55,Customer_Dim!$A:$N,13,FALSE())</f>
        <v>Platinum</v>
      </c>
      <c r="X55" s="11" t="str">
        <f t="shared" si="6"/>
        <v>Low</v>
      </c>
    </row>
    <row r="56" spans="1:24" ht="15.75" customHeight="1">
      <c r="A56" s="4" t="s">
        <v>2052</v>
      </c>
      <c r="B56" s="9">
        <v>45806</v>
      </c>
      <c r="C56" s="4" t="s">
        <v>870</v>
      </c>
      <c r="D56" s="4" t="s">
        <v>1882</v>
      </c>
      <c r="E56" s="4" t="s">
        <v>1950</v>
      </c>
      <c r="F56" s="4">
        <v>1</v>
      </c>
      <c r="G56" s="4">
        <v>209.39</v>
      </c>
      <c r="H56" s="4">
        <v>0.28000000000000003</v>
      </c>
      <c r="I56" s="4" t="s">
        <v>1998</v>
      </c>
      <c r="J56" s="10">
        <v>150.76079999999999</v>
      </c>
      <c r="K56" s="4" t="str">
        <f t="shared" si="0"/>
        <v>29-05-2025</v>
      </c>
      <c r="L56" s="4" t="str">
        <f>TEXT(Sales_Fact!$B56,"mmm")</f>
        <v>May</v>
      </c>
      <c r="M56" s="4">
        <f t="shared" si="1"/>
        <v>1</v>
      </c>
      <c r="N56" s="10">
        <f t="shared" si="2"/>
        <v>209.39</v>
      </c>
      <c r="O56" s="10">
        <f t="shared" si="3"/>
        <v>150.76079999999999</v>
      </c>
      <c r="P56" s="10">
        <f t="shared" si="4"/>
        <v>209.39</v>
      </c>
      <c r="Q56" s="3">
        <f t="shared" si="5"/>
        <v>0.28000000000000003</v>
      </c>
      <c r="R56" s="4" t="str">
        <f>IF(Sales_Fact!$O56&gt;1000,"High","Low")</f>
        <v>Low</v>
      </c>
      <c r="S56" s="4" t="str">
        <f>VLOOKUP(C56,Customer_Dim!$A:$N,9,FALSE())</f>
        <v>Matthew Payne</v>
      </c>
      <c r="T56" s="4" t="str">
        <f>VLOOKUP(D56,Product_Dim!$A:$M,3,FALSE())</f>
        <v>Home</v>
      </c>
      <c r="U56" s="11" t="str">
        <f>VLOOKUP(D56,Product_Dim!$A:$M,2,FALSE())</f>
        <v>Microwave Oven</v>
      </c>
      <c r="V56" s="11" t="str">
        <f>VLOOKUP(E56,Store_Dim!$A:$E,3,FALSE())</f>
        <v>South</v>
      </c>
      <c r="W56" s="11" t="str">
        <f>VLOOKUP(C56,Customer_Dim!$A:$N,13,FALSE())</f>
        <v>Gold</v>
      </c>
      <c r="X56" s="11" t="str">
        <f t="shared" si="6"/>
        <v>Low</v>
      </c>
    </row>
    <row r="57" spans="1:24" ht="15.75" customHeight="1">
      <c r="A57" s="4" t="s">
        <v>2053</v>
      </c>
      <c r="B57" s="9">
        <v>45288</v>
      </c>
      <c r="C57" s="4" t="s">
        <v>223</v>
      </c>
      <c r="D57" s="4" t="s">
        <v>1846</v>
      </c>
      <c r="E57" s="4" t="s">
        <v>1944</v>
      </c>
      <c r="F57" s="4">
        <v>1</v>
      </c>
      <c r="G57" s="4">
        <v>813.87</v>
      </c>
      <c r="H57" s="4">
        <v>0.23</v>
      </c>
      <c r="I57" s="4" t="s">
        <v>1996</v>
      </c>
      <c r="J57" s="10">
        <v>626.67989999999998</v>
      </c>
      <c r="K57" s="4" t="str">
        <f t="shared" si="0"/>
        <v>28-12-2023</v>
      </c>
      <c r="L57" s="4" t="str">
        <f>TEXT(Sales_Fact!$B57,"mmm")</f>
        <v>Dec</v>
      </c>
      <c r="M57" s="4">
        <f t="shared" si="1"/>
        <v>1</v>
      </c>
      <c r="N57" s="10">
        <f t="shared" si="2"/>
        <v>813.87</v>
      </c>
      <c r="O57" s="10">
        <f t="shared" si="3"/>
        <v>626.67989999999998</v>
      </c>
      <c r="P57" s="10">
        <f t="shared" si="4"/>
        <v>813.87</v>
      </c>
      <c r="Q57" s="3">
        <f t="shared" si="5"/>
        <v>0.23000000000000004</v>
      </c>
      <c r="R57" s="4" t="str">
        <f>IF(Sales_Fact!$O57&gt;1000,"High","Low")</f>
        <v>Low</v>
      </c>
      <c r="S57" s="4" t="str">
        <f>VLOOKUP(C57,Customer_Dim!$A:$N,9,FALSE())</f>
        <v>Sharon Brown</v>
      </c>
      <c r="T57" s="4" t="str">
        <f>VLOOKUP(D57,Product_Dim!$A:$M,3,FALSE())</f>
        <v>Home</v>
      </c>
      <c r="U57" s="11" t="str">
        <f>VLOOKUP(D57,Product_Dim!$A:$M,2,FALSE())</f>
        <v>Wall-Mounted Spice Rack</v>
      </c>
      <c r="V57" s="11" t="str">
        <f>VLOOKUP(E57,Store_Dim!$A:$E,3,FALSE())</f>
        <v>South</v>
      </c>
      <c r="W57" s="11" t="str">
        <f>VLOOKUP(C57,Customer_Dim!$A:$N,13,FALSE())</f>
        <v>Gold</v>
      </c>
      <c r="X57" s="11" t="str">
        <f t="shared" si="6"/>
        <v>Low</v>
      </c>
    </row>
    <row r="58" spans="1:24" ht="15.75" customHeight="1">
      <c r="A58" s="4" t="s">
        <v>2054</v>
      </c>
      <c r="B58" s="9">
        <v>45783</v>
      </c>
      <c r="C58" s="4" t="s">
        <v>849</v>
      </c>
      <c r="D58" s="4" t="s">
        <v>1684</v>
      </c>
      <c r="E58" s="4" t="s">
        <v>1910</v>
      </c>
      <c r="F58" s="4">
        <v>1</v>
      </c>
      <c r="G58" s="4">
        <v>143.69999999999999</v>
      </c>
      <c r="H58" s="4">
        <v>0.19</v>
      </c>
      <c r="I58" s="4" t="s">
        <v>1998</v>
      </c>
      <c r="J58" s="10">
        <v>116.39700000000001</v>
      </c>
      <c r="K58" s="4" t="str">
        <f t="shared" si="0"/>
        <v>06-05-2025</v>
      </c>
      <c r="L58" s="4" t="str">
        <f>TEXT(Sales_Fact!$B58,"mmm")</f>
        <v>May</v>
      </c>
      <c r="M58" s="4">
        <f t="shared" si="1"/>
        <v>1</v>
      </c>
      <c r="N58" s="10">
        <f t="shared" si="2"/>
        <v>143.69999999999999</v>
      </c>
      <c r="O58" s="10">
        <f t="shared" si="3"/>
        <v>116.39699999999999</v>
      </c>
      <c r="P58" s="10">
        <f t="shared" si="4"/>
        <v>143.69999999999999</v>
      </c>
      <c r="Q58" s="3">
        <f t="shared" si="5"/>
        <v>0.19</v>
      </c>
      <c r="R58" s="4" t="str">
        <f>IF(Sales_Fact!$O58&gt;1000,"High","Low")</f>
        <v>Low</v>
      </c>
      <c r="S58" s="4" t="str">
        <f>VLOOKUP(C58,Customer_Dim!$A:$N,9,FALSE())</f>
        <v>Christopher David</v>
      </c>
      <c r="T58" s="4" t="str">
        <f>VLOOKUP(D58,Product_Dim!$A:$M,3,FALSE())</f>
        <v>Sports</v>
      </c>
      <c r="U58" s="11" t="str">
        <f>VLOOKUP(D58,Product_Dim!$A:$M,2,FALSE())</f>
        <v>Sports Stopwatch Timer</v>
      </c>
      <c r="V58" s="11" t="str">
        <f>VLOOKUP(E58,Store_Dim!$A:$E,3,FALSE())</f>
        <v>East</v>
      </c>
      <c r="W58" s="11" t="str">
        <f>VLOOKUP(C58,Customer_Dim!$A:$N,13,FALSE())</f>
        <v>Silver</v>
      </c>
      <c r="X58" s="11" t="str">
        <f t="shared" si="6"/>
        <v>Low</v>
      </c>
    </row>
    <row r="59" spans="1:24" ht="15.75" customHeight="1">
      <c r="A59" s="4" t="s">
        <v>2055</v>
      </c>
      <c r="B59" s="9">
        <v>45385</v>
      </c>
      <c r="C59" s="4" t="s">
        <v>1478</v>
      </c>
      <c r="D59" s="4" t="s">
        <v>1741</v>
      </c>
      <c r="E59" s="4" t="s">
        <v>1915</v>
      </c>
      <c r="F59" s="4">
        <v>4</v>
      </c>
      <c r="G59" s="4">
        <v>837.34</v>
      </c>
      <c r="H59" s="4">
        <v>0.05</v>
      </c>
      <c r="I59" s="4" t="s">
        <v>1998</v>
      </c>
      <c r="J59" s="10">
        <v>3181.8919999999998</v>
      </c>
      <c r="K59" s="4" t="str">
        <f t="shared" si="0"/>
        <v>03-04-2024</v>
      </c>
      <c r="L59" s="4" t="str">
        <f>TEXT(Sales_Fact!$B59,"mmm")</f>
        <v>Apr</v>
      </c>
      <c r="M59" s="4">
        <f t="shared" si="1"/>
        <v>4</v>
      </c>
      <c r="N59" s="10">
        <f t="shared" si="2"/>
        <v>837.34</v>
      </c>
      <c r="O59" s="10">
        <f t="shared" si="3"/>
        <v>3181.8919999999998</v>
      </c>
      <c r="P59" s="10">
        <f t="shared" si="4"/>
        <v>3349.36</v>
      </c>
      <c r="Q59" s="3">
        <f t="shared" si="5"/>
        <v>5.0000000000000086E-2</v>
      </c>
      <c r="R59" s="4" t="str">
        <f>IF(Sales_Fact!$O59&gt;1000,"High","Low")</f>
        <v>High</v>
      </c>
      <c r="S59" s="4" t="str">
        <f>VLOOKUP(C59,Customer_Dim!$A:$N,9,FALSE())</f>
        <v>Manuel Fisher</v>
      </c>
      <c r="T59" s="4" t="str">
        <f>VLOOKUP(D59,Product_Dim!$A:$M,3,FALSE())</f>
        <v>Clothing</v>
      </c>
      <c r="U59" s="11" t="str">
        <f>VLOOKUP(D59,Product_Dim!$A:$M,2,FALSE())</f>
        <v>Men's Winter Jacket</v>
      </c>
      <c r="V59" s="11" t="str">
        <f>VLOOKUP(E59,Store_Dim!$A:$E,3,FALSE())</f>
        <v>North</v>
      </c>
      <c r="W59" s="11" t="str">
        <f>VLOOKUP(C59,Customer_Dim!$A:$N,13,FALSE())</f>
        <v>Gold</v>
      </c>
      <c r="X59" s="11" t="str">
        <f t="shared" si="6"/>
        <v>High</v>
      </c>
    </row>
    <row r="60" spans="1:24" ht="15.75" customHeight="1">
      <c r="A60" s="4" t="s">
        <v>2056</v>
      </c>
      <c r="B60" s="9">
        <v>45214</v>
      </c>
      <c r="C60" s="4" t="s">
        <v>35</v>
      </c>
      <c r="D60" s="4" t="s">
        <v>1843</v>
      </c>
      <c r="E60" s="4" t="s">
        <v>1965</v>
      </c>
      <c r="F60" s="4">
        <v>2</v>
      </c>
      <c r="G60" s="4">
        <v>418.23</v>
      </c>
      <c r="H60" s="4">
        <v>0.28000000000000003</v>
      </c>
      <c r="I60" s="4" t="s">
        <v>1996</v>
      </c>
      <c r="J60" s="10">
        <v>602.25120000000004</v>
      </c>
      <c r="K60" s="4" t="str">
        <f t="shared" si="0"/>
        <v>15-10-2023</v>
      </c>
      <c r="L60" s="4" t="str">
        <f>TEXT(Sales_Fact!$B60,"mmm")</f>
        <v>Oct</v>
      </c>
      <c r="M60" s="4">
        <f t="shared" si="1"/>
        <v>2</v>
      </c>
      <c r="N60" s="10">
        <f t="shared" si="2"/>
        <v>418.23</v>
      </c>
      <c r="O60" s="10">
        <f t="shared" si="3"/>
        <v>602.25120000000004</v>
      </c>
      <c r="P60" s="10">
        <f t="shared" si="4"/>
        <v>836.46</v>
      </c>
      <c r="Q60" s="3">
        <f t="shared" si="5"/>
        <v>0.27999999999999997</v>
      </c>
      <c r="R60" s="4" t="str">
        <f>IF(Sales_Fact!$O60&gt;1000,"High","Low")</f>
        <v>Low</v>
      </c>
      <c r="S60" s="4" t="str">
        <f>VLOOKUP(C60,Customer_Dim!$A:$N,9,FALSE())</f>
        <v>Dr. Benjamin Price</v>
      </c>
      <c r="T60" s="4" t="str">
        <f>VLOOKUP(D60,Product_Dim!$A:$M,3,FALSE())</f>
        <v>Home</v>
      </c>
      <c r="U60" s="11" t="str">
        <f>VLOOKUP(D60,Product_Dim!$A:$M,2,FALSE())</f>
        <v>Decorative Lamp Shade</v>
      </c>
      <c r="V60" s="11" t="str">
        <f>VLOOKUP(E60,Store_Dim!$A:$E,3,FALSE())</f>
        <v>North</v>
      </c>
      <c r="W60" s="11" t="str">
        <f>VLOOKUP(C60,Customer_Dim!$A:$N,13,FALSE())</f>
        <v>Platinum</v>
      </c>
      <c r="X60" s="11" t="str">
        <f t="shared" si="6"/>
        <v>Low</v>
      </c>
    </row>
    <row r="61" spans="1:24" ht="15.75" customHeight="1">
      <c r="A61" s="4" t="s">
        <v>2057</v>
      </c>
      <c r="B61" s="9">
        <v>45878</v>
      </c>
      <c r="C61" s="4" t="s">
        <v>438</v>
      </c>
      <c r="D61" s="4" t="s">
        <v>1640</v>
      </c>
      <c r="E61" s="4" t="s">
        <v>1971</v>
      </c>
      <c r="F61" s="4">
        <v>1</v>
      </c>
      <c r="G61" s="4">
        <v>151.66</v>
      </c>
      <c r="H61" s="4">
        <v>0.16</v>
      </c>
      <c r="I61" s="4" t="s">
        <v>2004</v>
      </c>
      <c r="J61" s="10">
        <v>127.3944</v>
      </c>
      <c r="K61" s="4" t="str">
        <f t="shared" si="0"/>
        <v>09-08-2025</v>
      </c>
      <c r="L61" s="4" t="str">
        <f>TEXT(Sales_Fact!$B61,"mmm")</f>
        <v>Aug</v>
      </c>
      <c r="M61" s="4">
        <f t="shared" si="1"/>
        <v>1</v>
      </c>
      <c r="N61" s="10">
        <f t="shared" si="2"/>
        <v>151.66</v>
      </c>
      <c r="O61" s="10">
        <f t="shared" si="3"/>
        <v>127.39439999999999</v>
      </c>
      <c r="P61" s="10">
        <f t="shared" si="4"/>
        <v>151.66</v>
      </c>
      <c r="Q61" s="3">
        <f t="shared" si="5"/>
        <v>0.16000000000000006</v>
      </c>
      <c r="R61" s="4" t="str">
        <f>IF(Sales_Fact!$O61&gt;1000,"High","Low")</f>
        <v>Low</v>
      </c>
      <c r="S61" s="4" t="str">
        <f>VLOOKUP(C61,Customer_Dim!$A:$N,9,FALSE())</f>
        <v>Jacob Hopkins</v>
      </c>
      <c r="T61" s="4" t="str">
        <f>VLOOKUP(D61,Product_Dim!$A:$M,3,FALSE())</f>
        <v>Electronics</v>
      </c>
      <c r="U61" s="11" t="str">
        <f>VLOOKUP(D61,Product_Dim!$A:$M,2,FALSE())</f>
        <v>4K Home Projector</v>
      </c>
      <c r="V61" s="11" t="str">
        <f>VLOOKUP(E61,Store_Dim!$A:$E,3,FALSE())</f>
        <v>East</v>
      </c>
      <c r="W61" s="11" t="str">
        <f>VLOOKUP(C61,Customer_Dim!$A:$N,13,FALSE())</f>
        <v>Platinum</v>
      </c>
      <c r="X61" s="11" t="str">
        <f t="shared" si="6"/>
        <v>Low</v>
      </c>
    </row>
    <row r="62" spans="1:24" ht="15.75" customHeight="1">
      <c r="A62" s="4" t="s">
        <v>2058</v>
      </c>
      <c r="B62" s="9">
        <v>45720</v>
      </c>
      <c r="C62" s="4" t="s">
        <v>1562</v>
      </c>
      <c r="D62" s="4" t="s">
        <v>1735</v>
      </c>
      <c r="E62" s="4" t="s">
        <v>1940</v>
      </c>
      <c r="F62" s="4">
        <v>3</v>
      </c>
      <c r="G62" s="4">
        <v>961.4</v>
      </c>
      <c r="H62" s="4">
        <v>0.02</v>
      </c>
      <c r="I62" s="4" t="s">
        <v>1998</v>
      </c>
      <c r="J62" s="10">
        <v>2826.5160000000001</v>
      </c>
      <c r="K62" s="4" t="str">
        <f t="shared" si="0"/>
        <v>04-03-2025</v>
      </c>
      <c r="L62" s="4" t="str">
        <f>TEXT(Sales_Fact!$B62,"mmm")</f>
        <v>Mar</v>
      </c>
      <c r="M62" s="4">
        <f t="shared" si="1"/>
        <v>3</v>
      </c>
      <c r="N62" s="10">
        <f t="shared" si="2"/>
        <v>961.4</v>
      </c>
      <c r="O62" s="10">
        <f t="shared" si="3"/>
        <v>2826.5159999999996</v>
      </c>
      <c r="P62" s="10">
        <f t="shared" si="4"/>
        <v>2884.2</v>
      </c>
      <c r="Q62" s="3">
        <f t="shared" si="5"/>
        <v>2.000000000000007E-2</v>
      </c>
      <c r="R62" s="4" t="str">
        <f>IF(Sales_Fact!$O62&gt;1000,"High","Low")</f>
        <v>High</v>
      </c>
      <c r="S62" s="4" t="str">
        <f>VLOOKUP(C62,Customer_Dim!$A:$N,9,FALSE())</f>
        <v>Philip Pennington</v>
      </c>
      <c r="T62" s="4" t="str">
        <f>VLOOKUP(D62,Product_Dim!$A:$M,3,FALSE())</f>
        <v>Sports</v>
      </c>
      <c r="U62" s="11" t="str">
        <f>VLOOKUP(D62,Product_Dim!$A:$M,2,FALSE())</f>
        <v>Adjustable Jump Rope</v>
      </c>
      <c r="V62" s="11" t="str">
        <f>VLOOKUP(E62,Store_Dim!$A:$E,3,FALSE())</f>
        <v>West</v>
      </c>
      <c r="W62" s="11" t="str">
        <f>VLOOKUP(C62,Customer_Dim!$A:$N,13,FALSE())</f>
        <v>Platinum</v>
      </c>
      <c r="X62" s="11" t="str">
        <f t="shared" si="6"/>
        <v>Low</v>
      </c>
    </row>
    <row r="63" spans="1:24" ht="15.75" customHeight="1">
      <c r="A63" s="4" t="s">
        <v>2059</v>
      </c>
      <c r="B63" s="9">
        <v>45503</v>
      </c>
      <c r="C63" s="4" t="s">
        <v>1186</v>
      </c>
      <c r="D63" s="4" t="s">
        <v>1828</v>
      </c>
      <c r="E63" s="4" t="s">
        <v>1968</v>
      </c>
      <c r="F63" s="4">
        <v>4</v>
      </c>
      <c r="G63" s="4">
        <v>475.98</v>
      </c>
      <c r="H63" s="4">
        <v>0.19</v>
      </c>
      <c r="I63" s="4" t="s">
        <v>1998</v>
      </c>
      <c r="J63" s="10">
        <v>1542.1751999999999</v>
      </c>
      <c r="K63" s="4" t="str">
        <f t="shared" si="0"/>
        <v>30-07-2024</v>
      </c>
      <c r="L63" s="4" t="str">
        <f>TEXT(Sales_Fact!$B63,"mmm")</f>
        <v>Jul</v>
      </c>
      <c r="M63" s="4">
        <f t="shared" si="1"/>
        <v>4</v>
      </c>
      <c r="N63" s="10">
        <f t="shared" si="2"/>
        <v>475.98</v>
      </c>
      <c r="O63" s="10">
        <f t="shared" si="3"/>
        <v>1542.1752000000001</v>
      </c>
      <c r="P63" s="10">
        <f t="shared" si="4"/>
        <v>1903.92</v>
      </c>
      <c r="Q63" s="3">
        <f t="shared" si="5"/>
        <v>0.18999999999999997</v>
      </c>
      <c r="R63" s="4" t="str">
        <f>IF(Sales_Fact!$O63&gt;1000,"High","Low")</f>
        <v>High</v>
      </c>
      <c r="S63" s="4" t="str">
        <f>VLOOKUP(C63,Customer_Dim!$A:$N,9,FALSE())</f>
        <v>James Holloway Jr.</v>
      </c>
      <c r="T63" s="4" t="str">
        <f>VLOOKUP(D63,Product_Dim!$A:$M,3,FALSE())</f>
        <v>Electronics</v>
      </c>
      <c r="U63" s="11" t="str">
        <f>VLOOKUP(D63,Product_Dim!$A:$M,2,FALSE())</f>
        <v>Bluetooth Car Audio System</v>
      </c>
      <c r="V63" s="11" t="str">
        <f>VLOOKUP(E63,Store_Dim!$A:$E,3,FALSE())</f>
        <v>East</v>
      </c>
      <c r="W63" s="11" t="str">
        <f>VLOOKUP(C63,Customer_Dim!$A:$N,13,FALSE())</f>
        <v>Silver</v>
      </c>
      <c r="X63" s="11" t="str">
        <f t="shared" si="6"/>
        <v>High</v>
      </c>
    </row>
    <row r="64" spans="1:24" ht="15.75" customHeight="1">
      <c r="A64" s="4" t="s">
        <v>2060</v>
      </c>
      <c r="B64" s="9">
        <v>45551</v>
      </c>
      <c r="C64" s="4" t="s">
        <v>1216</v>
      </c>
      <c r="D64" s="4" t="s">
        <v>1716</v>
      </c>
      <c r="E64" s="4" t="s">
        <v>1959</v>
      </c>
      <c r="F64" s="4">
        <v>4</v>
      </c>
      <c r="G64" s="4">
        <v>132.88999999999999</v>
      </c>
      <c r="H64" s="4">
        <v>0.12</v>
      </c>
      <c r="I64" s="4" t="s">
        <v>1996</v>
      </c>
      <c r="J64" s="10">
        <v>467.77280000000002</v>
      </c>
      <c r="K64" s="4" t="str">
        <f t="shared" si="0"/>
        <v>16-09-2024</v>
      </c>
      <c r="L64" s="4" t="str">
        <f>TEXT(Sales_Fact!$B64,"mmm")</f>
        <v>Sep</v>
      </c>
      <c r="M64" s="4">
        <f t="shared" si="1"/>
        <v>4</v>
      </c>
      <c r="N64" s="10">
        <f t="shared" si="2"/>
        <v>132.88999999999999</v>
      </c>
      <c r="O64" s="10">
        <f t="shared" si="3"/>
        <v>467.77279999999996</v>
      </c>
      <c r="P64" s="10">
        <f t="shared" si="4"/>
        <v>531.55999999999995</v>
      </c>
      <c r="Q64" s="3">
        <f t="shared" si="5"/>
        <v>0.11999999999999998</v>
      </c>
      <c r="R64" s="4" t="str">
        <f>IF(Sales_Fact!$O64&gt;1000,"High","Low")</f>
        <v>Low</v>
      </c>
      <c r="S64" s="4" t="str">
        <f>VLOOKUP(C64,Customer_Dim!$A:$N,9,FALSE())</f>
        <v>Shelley Ponce</v>
      </c>
      <c r="T64" s="4" t="str">
        <f>VLOOKUP(D64,Product_Dim!$A:$M,3,FALSE())</f>
        <v>Sports</v>
      </c>
      <c r="U64" s="11" t="str">
        <f>VLOOKUP(D64,Product_Dim!$A:$M,2,FALSE())</f>
        <v>Sports Water Hydration Pack</v>
      </c>
      <c r="V64" s="11" t="str">
        <f>VLOOKUP(E64,Store_Dim!$A:$E,3,FALSE())</f>
        <v>North</v>
      </c>
      <c r="W64" s="11" t="str">
        <f>VLOOKUP(C64,Customer_Dim!$A:$N,13,FALSE())</f>
        <v>Gold</v>
      </c>
      <c r="X64" s="11" t="str">
        <f t="shared" si="6"/>
        <v>High</v>
      </c>
    </row>
    <row r="65" spans="1:24" ht="15.75" customHeight="1">
      <c r="A65" s="4" t="s">
        <v>2061</v>
      </c>
      <c r="B65" s="9">
        <v>45850</v>
      </c>
      <c r="C65" s="4" t="s">
        <v>1384</v>
      </c>
      <c r="D65" s="4" t="s">
        <v>1706</v>
      </c>
      <c r="E65" s="4" t="s">
        <v>1952</v>
      </c>
      <c r="F65" s="4">
        <v>3</v>
      </c>
      <c r="G65" s="4">
        <v>471.31</v>
      </c>
      <c r="H65" s="4">
        <v>0</v>
      </c>
      <c r="I65" s="4" t="s">
        <v>1998</v>
      </c>
      <c r="J65" s="10">
        <v>1413.93</v>
      </c>
      <c r="K65" s="4" t="str">
        <f t="shared" si="0"/>
        <v>12-07-2025</v>
      </c>
      <c r="L65" s="4" t="str">
        <f>TEXT(Sales_Fact!$B65,"mmm")</f>
        <v>Jul</v>
      </c>
      <c r="M65" s="4">
        <f t="shared" si="1"/>
        <v>3</v>
      </c>
      <c r="N65" s="10">
        <f t="shared" si="2"/>
        <v>471.31</v>
      </c>
      <c r="O65" s="10">
        <f t="shared" si="3"/>
        <v>1413.93</v>
      </c>
      <c r="P65" s="10">
        <f t="shared" si="4"/>
        <v>1413.93</v>
      </c>
      <c r="Q65" s="3">
        <f t="shared" si="5"/>
        <v>0</v>
      </c>
      <c r="R65" s="4" t="str">
        <f>IF(Sales_Fact!$O65&gt;1000,"High","Low")</f>
        <v>High</v>
      </c>
      <c r="S65" s="4" t="str">
        <f>VLOOKUP(C65,Customer_Dim!$A:$N,9,FALSE())</f>
        <v>Melinda Rivera</v>
      </c>
      <c r="T65" s="4" t="str">
        <f>VLOOKUP(D65,Product_Dim!$A:$M,3,FALSE())</f>
        <v>Home</v>
      </c>
      <c r="U65" s="11" t="str">
        <f>VLOOKUP(D65,Product_Dim!$A:$M,2,FALSE())</f>
        <v>Bedroom Table Lamp</v>
      </c>
      <c r="V65" s="11" t="str">
        <f>VLOOKUP(E65,Store_Dim!$A:$E,3,FALSE())</f>
        <v>North</v>
      </c>
      <c r="W65" s="11" t="str">
        <f>VLOOKUP(C65,Customer_Dim!$A:$N,13,FALSE())</f>
        <v>Platinum</v>
      </c>
      <c r="X65" s="11" t="str">
        <f t="shared" si="6"/>
        <v>Low</v>
      </c>
    </row>
    <row r="66" spans="1:24" ht="15.75" customHeight="1">
      <c r="A66" s="4" t="s">
        <v>2062</v>
      </c>
      <c r="B66" s="9">
        <v>45441</v>
      </c>
      <c r="C66" s="4" t="s">
        <v>1460</v>
      </c>
      <c r="D66" s="4" t="s">
        <v>1834</v>
      </c>
      <c r="E66" s="4" t="s">
        <v>1957</v>
      </c>
      <c r="F66" s="4">
        <v>2</v>
      </c>
      <c r="G66" s="4">
        <v>720.32</v>
      </c>
      <c r="H66" s="4">
        <v>0.26</v>
      </c>
      <c r="I66" s="4" t="s">
        <v>1996</v>
      </c>
      <c r="J66" s="10">
        <v>1066.0735999999999</v>
      </c>
      <c r="K66" s="4" t="str">
        <f t="shared" ref="K66:K129" si="7">TEXT(B66,"dd-mm-yyyy")</f>
        <v>29-05-2024</v>
      </c>
      <c r="L66" s="4" t="str">
        <f>TEXT(Sales_Fact!$B66,"mmm")</f>
        <v>May</v>
      </c>
      <c r="M66" s="4">
        <f t="shared" ref="M66:M129" si="8">IF(ISBLANK(F66),1,F66)</f>
        <v>2</v>
      </c>
      <c r="N66" s="10">
        <f t="shared" ref="N66:N129" si="9">ROUNDUP(IF(ISBLANK(G66),AVERAGE(C:C,G66,G:G),G66),2)</f>
        <v>720.32</v>
      </c>
      <c r="O66" s="10">
        <f t="shared" ref="O66:O129" si="10">M66*N66*(1-H66)</f>
        <v>1066.0736000000002</v>
      </c>
      <c r="P66" s="10">
        <f t="shared" ref="P66:P129" si="11">M66*N66</f>
        <v>1440.64</v>
      </c>
      <c r="Q66" s="3">
        <f t="shared" ref="Q66:Q129" si="12">(P66-O66)/P66</f>
        <v>0.25999999999999995</v>
      </c>
      <c r="R66" s="4" t="str">
        <f>IF(Sales_Fact!$O66&gt;1000,"High","Low")</f>
        <v>High</v>
      </c>
      <c r="S66" s="4" t="str">
        <f>VLOOKUP(C66,Customer_Dim!$A:$N,9,FALSE())</f>
        <v>David Pierce</v>
      </c>
      <c r="T66" s="4" t="str">
        <f>VLOOKUP(D66,Product_Dim!$A:$M,3,FALSE())</f>
        <v>Electronics</v>
      </c>
      <c r="U66" s="11" t="str">
        <f>VLOOKUP(D66,Product_Dim!$A:$M,2,FALSE())</f>
        <v>Wireless Mouse</v>
      </c>
      <c r="V66" s="11" t="str">
        <f>VLOOKUP(E66,Store_Dim!$A:$E,3,FALSE())</f>
        <v>South</v>
      </c>
      <c r="W66" s="11" t="str">
        <f>VLOOKUP(C66,Customer_Dim!$A:$N,13,FALSE())</f>
        <v>Platinum</v>
      </c>
      <c r="X66" s="11" t="str">
        <f t="shared" ref="X66:X129" si="13">IF(F66&gt;3,"High","Low")</f>
        <v>Low</v>
      </c>
    </row>
    <row r="67" spans="1:24" ht="15.75" customHeight="1">
      <c r="A67" s="4" t="s">
        <v>2063</v>
      </c>
      <c r="B67" s="9">
        <v>45431</v>
      </c>
      <c r="C67" s="4" t="s">
        <v>296</v>
      </c>
      <c r="D67" s="4" t="s">
        <v>1803</v>
      </c>
      <c r="E67" s="4" t="s">
        <v>1968</v>
      </c>
      <c r="F67" s="4">
        <v>4</v>
      </c>
      <c r="G67" s="4">
        <v>99.92</v>
      </c>
      <c r="H67" s="4">
        <v>0.11</v>
      </c>
      <c r="I67" s="4" t="s">
        <v>2004</v>
      </c>
      <c r="J67" s="10">
        <v>355.71519999999998</v>
      </c>
      <c r="K67" s="4" t="str">
        <f t="shared" si="7"/>
        <v>19-05-2024</v>
      </c>
      <c r="L67" s="4" t="str">
        <f>TEXT(Sales_Fact!$B67,"mmm")</f>
        <v>May</v>
      </c>
      <c r="M67" s="4">
        <f t="shared" si="8"/>
        <v>4</v>
      </c>
      <c r="N67" s="10">
        <f t="shared" si="9"/>
        <v>99.92</v>
      </c>
      <c r="O67" s="10">
        <f t="shared" si="10"/>
        <v>355.71520000000004</v>
      </c>
      <c r="P67" s="10">
        <f t="shared" si="11"/>
        <v>399.68</v>
      </c>
      <c r="Q67" s="3">
        <f t="shared" si="12"/>
        <v>0.10999999999999992</v>
      </c>
      <c r="R67" s="4" t="str">
        <f>IF(Sales_Fact!$O67&gt;1000,"High","Low")</f>
        <v>Low</v>
      </c>
      <c r="S67" s="4" t="str">
        <f>VLOOKUP(C67,Customer_Dim!$A:$N,9,FALSE())</f>
        <v>Rhonda Morales</v>
      </c>
      <c r="T67" s="4" t="str">
        <f>VLOOKUP(D67,Product_Dim!$A:$M,3,FALSE())</f>
        <v>Beauty</v>
      </c>
      <c r="U67" s="11" t="str">
        <f>VLOOKUP(D67,Product_Dim!$A:$M,2,FALSE())</f>
        <v>Women's Hair Dryer Brush</v>
      </c>
      <c r="V67" s="11" t="str">
        <f>VLOOKUP(E67,Store_Dim!$A:$E,3,FALSE())</f>
        <v>East</v>
      </c>
      <c r="W67" s="11" t="str">
        <f>VLOOKUP(C67,Customer_Dim!$A:$N,13,FALSE())</f>
        <v>Gold</v>
      </c>
      <c r="X67" s="11" t="str">
        <f t="shared" si="13"/>
        <v>High</v>
      </c>
    </row>
    <row r="68" spans="1:24" ht="15.75" customHeight="1">
      <c r="A68" s="4" t="s">
        <v>2064</v>
      </c>
      <c r="B68" s="9">
        <v>45873</v>
      </c>
      <c r="C68" s="4" t="s">
        <v>268</v>
      </c>
      <c r="D68" s="4" t="s">
        <v>1622</v>
      </c>
      <c r="E68" s="4" t="s">
        <v>1924</v>
      </c>
      <c r="F68" s="4">
        <v>3</v>
      </c>
      <c r="G68" s="4">
        <v>900.63</v>
      </c>
      <c r="H68" s="4">
        <v>0.11</v>
      </c>
      <c r="I68" s="4" t="s">
        <v>2004</v>
      </c>
      <c r="J68" s="10">
        <v>2404.6821</v>
      </c>
      <c r="K68" s="4" t="str">
        <f t="shared" si="7"/>
        <v>04-08-2025</v>
      </c>
      <c r="L68" s="4" t="str">
        <f>TEXT(Sales_Fact!$B68,"mmm")</f>
        <v>Aug</v>
      </c>
      <c r="M68" s="4">
        <f t="shared" si="8"/>
        <v>3</v>
      </c>
      <c r="N68" s="10">
        <f t="shared" si="9"/>
        <v>900.63</v>
      </c>
      <c r="O68" s="10">
        <f t="shared" si="10"/>
        <v>2404.6821</v>
      </c>
      <c r="P68" s="10">
        <f t="shared" si="11"/>
        <v>2701.89</v>
      </c>
      <c r="Q68" s="3">
        <f t="shared" si="12"/>
        <v>0.10999999999999996</v>
      </c>
      <c r="R68" s="4" t="str">
        <f>IF(Sales_Fact!$O68&gt;1000,"High","Low")</f>
        <v>High</v>
      </c>
      <c r="S68" s="4" t="str">
        <f>VLOOKUP(C68,Customer_Dim!$A:$N,9,FALSE())</f>
        <v>Amber Mcclain</v>
      </c>
      <c r="T68" s="4" t="str">
        <f>VLOOKUP(D68,Product_Dim!$A:$M,3,FALSE())</f>
        <v>Home</v>
      </c>
      <c r="U68" s="11" t="str">
        <f>VLOOKUP(D68,Product_Dim!$A:$M,2,FALSE())</f>
        <v>Ceramic Kitchen Bowl Set</v>
      </c>
      <c r="V68" s="11" t="str">
        <f>VLOOKUP(E68,Store_Dim!$A:$E,3,FALSE())</f>
        <v>North</v>
      </c>
      <c r="W68" s="11" t="str">
        <f>VLOOKUP(C68,Customer_Dim!$A:$N,13,FALSE())</f>
        <v>Silver</v>
      </c>
      <c r="X68" s="11" t="str">
        <f t="shared" si="13"/>
        <v>Low</v>
      </c>
    </row>
    <row r="69" spans="1:24" ht="15.75" customHeight="1">
      <c r="A69" s="4" t="s">
        <v>2065</v>
      </c>
      <c r="B69" s="9">
        <v>45629</v>
      </c>
      <c r="C69" s="4" t="s">
        <v>1397</v>
      </c>
      <c r="D69" s="4" t="s">
        <v>1741</v>
      </c>
      <c r="E69" s="4" t="s">
        <v>1940</v>
      </c>
      <c r="F69" s="4">
        <v>1</v>
      </c>
      <c r="G69" s="4">
        <v>681.72</v>
      </c>
      <c r="H69" s="4">
        <v>0.11</v>
      </c>
      <c r="I69" s="4" t="s">
        <v>1998</v>
      </c>
      <c r="J69" s="10">
        <v>606.73080000000004</v>
      </c>
      <c r="K69" s="4" t="str">
        <f t="shared" si="7"/>
        <v>03-12-2024</v>
      </c>
      <c r="L69" s="4" t="str">
        <f>TEXT(Sales_Fact!$B69,"mmm")</f>
        <v>Dec</v>
      </c>
      <c r="M69" s="4">
        <f t="shared" si="8"/>
        <v>1</v>
      </c>
      <c r="N69" s="10">
        <f t="shared" si="9"/>
        <v>681.72</v>
      </c>
      <c r="O69" s="10">
        <f t="shared" si="10"/>
        <v>606.73080000000004</v>
      </c>
      <c r="P69" s="10">
        <f t="shared" si="11"/>
        <v>681.72</v>
      </c>
      <c r="Q69" s="3">
        <f t="shared" si="12"/>
        <v>0.10999999999999997</v>
      </c>
      <c r="R69" s="4" t="str">
        <f>IF(Sales_Fact!$O69&gt;1000,"High","Low")</f>
        <v>Low</v>
      </c>
      <c r="S69" s="4" t="str">
        <f>VLOOKUP(C69,Customer_Dim!$A:$N,9,FALSE())</f>
        <v>Kelli Smith</v>
      </c>
      <c r="T69" s="4" t="str">
        <f>VLOOKUP(D69,Product_Dim!$A:$M,3,FALSE())</f>
        <v>Clothing</v>
      </c>
      <c r="U69" s="11" t="str">
        <f>VLOOKUP(D69,Product_Dim!$A:$M,2,FALSE())</f>
        <v>Men's Winter Jacket</v>
      </c>
      <c r="V69" s="11" t="str">
        <f>VLOOKUP(E69,Store_Dim!$A:$E,3,FALSE())</f>
        <v>West</v>
      </c>
      <c r="W69" s="11" t="str">
        <f>VLOOKUP(C69,Customer_Dim!$A:$N,13,FALSE())</f>
        <v>Bronze</v>
      </c>
      <c r="X69" s="11" t="str">
        <f t="shared" si="13"/>
        <v>Low</v>
      </c>
    </row>
    <row r="70" spans="1:24" ht="15.75" customHeight="1">
      <c r="A70" s="4" t="s">
        <v>2066</v>
      </c>
      <c r="B70" s="9">
        <v>45222</v>
      </c>
      <c r="C70" s="4" t="s">
        <v>68</v>
      </c>
      <c r="D70" s="4" t="s">
        <v>1840</v>
      </c>
      <c r="E70" s="4" t="s">
        <v>1955</v>
      </c>
      <c r="F70" s="4">
        <v>2</v>
      </c>
      <c r="G70" s="4">
        <v>838.22</v>
      </c>
      <c r="H70" s="4">
        <v>0.3</v>
      </c>
      <c r="I70" s="4" t="s">
        <v>1996</v>
      </c>
      <c r="J70" s="10">
        <v>1173.508</v>
      </c>
      <c r="K70" s="4" t="str">
        <f t="shared" si="7"/>
        <v>23-10-2023</v>
      </c>
      <c r="L70" s="4" t="str">
        <f>TEXT(Sales_Fact!$B70,"mmm")</f>
        <v>Oct</v>
      </c>
      <c r="M70" s="4">
        <f t="shared" si="8"/>
        <v>2</v>
      </c>
      <c r="N70" s="10">
        <f t="shared" si="9"/>
        <v>838.22</v>
      </c>
      <c r="O70" s="10">
        <f t="shared" si="10"/>
        <v>1173.508</v>
      </c>
      <c r="P70" s="10">
        <f t="shared" si="11"/>
        <v>1676.44</v>
      </c>
      <c r="Q70" s="3">
        <f t="shared" si="12"/>
        <v>0.3</v>
      </c>
      <c r="R70" s="4" t="str">
        <f>IF(Sales_Fact!$O70&gt;1000,"High","Low")</f>
        <v>High</v>
      </c>
      <c r="S70" s="4" t="str">
        <f>VLOOKUP(C70,Customer_Dim!$A:$N,9,FALSE())</f>
        <v>Ms. Maria Leach</v>
      </c>
      <c r="T70" s="4" t="str">
        <f>VLOOKUP(D70,Product_Dim!$A:$M,3,FALSE())</f>
        <v>Home</v>
      </c>
      <c r="U70" s="11" t="str">
        <f>VLOOKUP(D70,Product_Dim!$A:$M,2,FALSE())</f>
        <v>Essential Oil Diffuser</v>
      </c>
      <c r="V70" s="11" t="str">
        <f>VLOOKUP(E70,Store_Dim!$A:$E,3,FALSE())</f>
        <v>East</v>
      </c>
      <c r="W70" s="11" t="str">
        <f>VLOOKUP(C70,Customer_Dim!$A:$N,13,FALSE())</f>
        <v>Platinum</v>
      </c>
      <c r="X70" s="11" t="str">
        <f t="shared" si="13"/>
        <v>Low</v>
      </c>
    </row>
    <row r="71" spans="1:24" ht="15.75" customHeight="1">
      <c r="A71" s="4" t="s">
        <v>2067</v>
      </c>
      <c r="B71" s="9">
        <v>45891</v>
      </c>
      <c r="C71" s="4" t="s">
        <v>885</v>
      </c>
      <c r="D71" s="4" t="s">
        <v>1654</v>
      </c>
      <c r="E71" s="4" t="s">
        <v>1968</v>
      </c>
      <c r="F71" s="4">
        <v>3</v>
      </c>
      <c r="G71" s="4">
        <v>551.72</v>
      </c>
      <c r="H71" s="4">
        <v>0.03</v>
      </c>
      <c r="I71" s="4" t="s">
        <v>2004</v>
      </c>
      <c r="J71" s="10">
        <v>1605.5052000000001</v>
      </c>
      <c r="K71" s="4" t="str">
        <f t="shared" si="7"/>
        <v>22-08-2025</v>
      </c>
      <c r="L71" s="4" t="str">
        <f>TEXT(Sales_Fact!$B71,"mmm")</f>
        <v>Aug</v>
      </c>
      <c r="M71" s="4">
        <f t="shared" si="8"/>
        <v>3</v>
      </c>
      <c r="N71" s="10">
        <f t="shared" si="9"/>
        <v>551.72</v>
      </c>
      <c r="O71" s="10">
        <f t="shared" si="10"/>
        <v>1605.5052000000001</v>
      </c>
      <c r="P71" s="10">
        <f t="shared" si="11"/>
        <v>1655.16</v>
      </c>
      <c r="Q71" s="3">
        <f t="shared" si="12"/>
        <v>3.0000000000000013E-2</v>
      </c>
      <c r="R71" s="4" t="str">
        <f>IF(Sales_Fact!$O71&gt;1000,"High","Low")</f>
        <v>High</v>
      </c>
      <c r="S71" s="4" t="str">
        <f>VLOOKUP(C71,Customer_Dim!$A:$N,9,FALSE())</f>
        <v>Tyrone Olson</v>
      </c>
      <c r="T71" s="4" t="str">
        <f>VLOOKUP(D71,Product_Dim!$A:$M,3,FALSE())</f>
        <v>Sports</v>
      </c>
      <c r="U71" s="11" t="str">
        <f>VLOOKUP(D71,Product_Dim!$A:$M,2,FALSE())</f>
        <v>Knee Support Brace</v>
      </c>
      <c r="V71" s="11" t="str">
        <f>VLOOKUP(E71,Store_Dim!$A:$E,3,FALSE())</f>
        <v>East</v>
      </c>
      <c r="W71" s="11" t="str">
        <f>VLOOKUP(C71,Customer_Dim!$A:$N,13,FALSE())</f>
        <v>Silver</v>
      </c>
      <c r="X71" s="11" t="str">
        <f t="shared" si="13"/>
        <v>Low</v>
      </c>
    </row>
    <row r="72" spans="1:24" ht="15.75" customHeight="1">
      <c r="A72" s="4" t="s">
        <v>2068</v>
      </c>
      <c r="B72" s="9">
        <v>45797</v>
      </c>
      <c r="C72" s="4" t="s">
        <v>662</v>
      </c>
      <c r="D72" s="4" t="s">
        <v>1867</v>
      </c>
      <c r="E72" s="4" t="s">
        <v>1952</v>
      </c>
      <c r="F72" s="4">
        <v>2</v>
      </c>
      <c r="G72" s="4">
        <v>816.22</v>
      </c>
      <c r="H72" s="4">
        <v>0.27</v>
      </c>
      <c r="I72" s="4" t="s">
        <v>1996</v>
      </c>
      <c r="J72" s="10">
        <v>1191.6812</v>
      </c>
      <c r="K72" s="4" t="str">
        <f t="shared" si="7"/>
        <v>20-05-2025</v>
      </c>
      <c r="L72" s="4" t="str">
        <f>TEXT(Sales_Fact!$B72,"mmm")</f>
        <v>May</v>
      </c>
      <c r="M72" s="4">
        <f t="shared" si="8"/>
        <v>2</v>
      </c>
      <c r="N72" s="10">
        <f t="shared" si="9"/>
        <v>816.22</v>
      </c>
      <c r="O72" s="10">
        <f t="shared" si="10"/>
        <v>1191.6812</v>
      </c>
      <c r="P72" s="10">
        <f t="shared" si="11"/>
        <v>1632.44</v>
      </c>
      <c r="Q72" s="3">
        <f t="shared" si="12"/>
        <v>0.27</v>
      </c>
      <c r="R72" s="4" t="str">
        <f>IF(Sales_Fact!$O72&gt;1000,"High","Low")</f>
        <v>High</v>
      </c>
      <c r="S72" s="4" t="str">
        <f>VLOOKUP(C72,Customer_Dim!$A:$N,9,FALSE())</f>
        <v>Ashley Ferguson</v>
      </c>
      <c r="T72" s="4" t="str">
        <f>VLOOKUP(D72,Product_Dim!$A:$M,3,FALSE())</f>
        <v>Home</v>
      </c>
      <c r="U72" s="11" t="str">
        <f>VLOOKUP(D72,Product_Dim!$A:$M,2,FALSE())</f>
        <v>LED Bedside Lamp</v>
      </c>
      <c r="V72" s="11" t="str">
        <f>VLOOKUP(E72,Store_Dim!$A:$E,3,FALSE())</f>
        <v>North</v>
      </c>
      <c r="W72" s="11" t="str">
        <f>VLOOKUP(C72,Customer_Dim!$A:$N,13,FALSE())</f>
        <v>Gold</v>
      </c>
      <c r="X72" s="11" t="str">
        <f t="shared" si="13"/>
        <v>Low</v>
      </c>
    </row>
    <row r="73" spans="1:24" ht="15.75" customHeight="1">
      <c r="A73" s="4" t="s">
        <v>2069</v>
      </c>
      <c r="B73" s="9">
        <v>45554</v>
      </c>
      <c r="C73" s="4" t="s">
        <v>1216</v>
      </c>
      <c r="D73" s="4" t="s">
        <v>1788</v>
      </c>
      <c r="E73" s="4" t="s">
        <v>1937</v>
      </c>
      <c r="F73" s="4">
        <v>2</v>
      </c>
      <c r="G73" s="4">
        <v>654.12</v>
      </c>
      <c r="H73" s="4">
        <v>0.27</v>
      </c>
      <c r="I73" s="4" t="s">
        <v>1998</v>
      </c>
      <c r="J73" s="10">
        <v>955.01520000000005</v>
      </c>
      <c r="K73" s="4" t="str">
        <f t="shared" si="7"/>
        <v>19-09-2024</v>
      </c>
      <c r="L73" s="4" t="str">
        <f>TEXT(Sales_Fact!$B73,"mmm")</f>
        <v>Sep</v>
      </c>
      <c r="M73" s="4">
        <f t="shared" si="8"/>
        <v>2</v>
      </c>
      <c r="N73" s="10">
        <f t="shared" si="9"/>
        <v>654.12</v>
      </c>
      <c r="O73" s="10">
        <f t="shared" si="10"/>
        <v>955.01519999999994</v>
      </c>
      <c r="P73" s="10">
        <f t="shared" si="11"/>
        <v>1308.24</v>
      </c>
      <c r="Q73" s="3">
        <f t="shared" si="12"/>
        <v>0.27000000000000007</v>
      </c>
      <c r="R73" s="4" t="str">
        <f>IF(Sales_Fact!$O73&gt;1000,"High","Low")</f>
        <v>Low</v>
      </c>
      <c r="S73" s="4" t="str">
        <f>VLOOKUP(C73,Customer_Dim!$A:$N,9,FALSE())</f>
        <v>Shelley Ponce</v>
      </c>
      <c r="T73" s="4" t="str">
        <f>VLOOKUP(D73,Product_Dim!$A:$M,3,FALSE())</f>
        <v>Sports</v>
      </c>
      <c r="U73" s="11" t="str">
        <f>VLOOKUP(D73,Product_Dim!$A:$M,2,FALSE())</f>
        <v>Tennis Ball 3-Pack</v>
      </c>
      <c r="V73" s="11" t="str">
        <f>VLOOKUP(E73,Store_Dim!$A:$E,3,FALSE())</f>
        <v>South</v>
      </c>
      <c r="W73" s="11" t="str">
        <f>VLOOKUP(C73,Customer_Dim!$A:$N,13,FALSE())</f>
        <v>Gold</v>
      </c>
      <c r="X73" s="11" t="str">
        <f t="shared" si="13"/>
        <v>Low</v>
      </c>
    </row>
    <row r="74" spans="1:24" ht="15.75" customHeight="1">
      <c r="A74" s="4" t="s">
        <v>2070</v>
      </c>
      <c r="B74" s="9">
        <v>45385</v>
      </c>
      <c r="C74" s="4" t="s">
        <v>393</v>
      </c>
      <c r="D74" s="4" t="s">
        <v>1825</v>
      </c>
      <c r="E74" s="4" t="s">
        <v>1955</v>
      </c>
      <c r="F74" s="4">
        <v>4</v>
      </c>
      <c r="G74" s="4">
        <v>528.22</v>
      </c>
      <c r="H74" s="4">
        <v>0.2</v>
      </c>
      <c r="I74" s="4" t="s">
        <v>1998</v>
      </c>
      <c r="J74" s="10">
        <v>1690.3040000000001</v>
      </c>
      <c r="K74" s="4" t="str">
        <f t="shared" si="7"/>
        <v>03-04-2024</v>
      </c>
      <c r="L74" s="4" t="str">
        <f>TEXT(Sales_Fact!$B74,"mmm")</f>
        <v>Apr</v>
      </c>
      <c r="M74" s="4">
        <f t="shared" si="8"/>
        <v>4</v>
      </c>
      <c r="N74" s="10">
        <f t="shared" si="9"/>
        <v>528.22</v>
      </c>
      <c r="O74" s="10">
        <f t="shared" si="10"/>
        <v>1690.3040000000001</v>
      </c>
      <c r="P74" s="10">
        <f t="shared" si="11"/>
        <v>2112.88</v>
      </c>
      <c r="Q74" s="3">
        <f t="shared" si="12"/>
        <v>0.2</v>
      </c>
      <c r="R74" s="4" t="str">
        <f>IF(Sales_Fact!$O74&gt;1000,"High","Low")</f>
        <v>High</v>
      </c>
      <c r="S74" s="4" t="str">
        <f>VLOOKUP(C74,Customer_Dim!$A:$N,9,FALSE())</f>
        <v>Lance Baker</v>
      </c>
      <c r="T74" s="4" t="str">
        <f>VLOOKUP(D74,Product_Dim!$A:$M,3,FALSE())</f>
        <v>Sports</v>
      </c>
      <c r="U74" s="11" t="str">
        <f>VLOOKUP(D74,Product_Dim!$A:$M,2,FALSE())</f>
        <v>Shin Guards – Adult</v>
      </c>
      <c r="V74" s="11" t="str">
        <f>VLOOKUP(E74,Store_Dim!$A:$E,3,FALSE())</f>
        <v>East</v>
      </c>
      <c r="W74" s="11" t="str">
        <f>VLOOKUP(C74,Customer_Dim!$A:$N,13,FALSE())</f>
        <v>Gold</v>
      </c>
      <c r="X74" s="11" t="str">
        <f t="shared" si="13"/>
        <v>High</v>
      </c>
    </row>
    <row r="75" spans="1:24" ht="15.75" customHeight="1">
      <c r="A75" s="4" t="s">
        <v>2071</v>
      </c>
      <c r="B75" s="9">
        <v>45704</v>
      </c>
      <c r="C75" s="4" t="s">
        <v>743</v>
      </c>
      <c r="D75" s="4" t="s">
        <v>1703</v>
      </c>
      <c r="E75" s="4" t="s">
        <v>1937</v>
      </c>
      <c r="F75" s="4">
        <v>4</v>
      </c>
      <c r="G75" s="4">
        <v>36.72</v>
      </c>
      <c r="H75" s="4">
        <v>7.0000000000000007E-2</v>
      </c>
      <c r="I75" s="4" t="s">
        <v>2004</v>
      </c>
      <c r="J75" s="10">
        <v>136.5984</v>
      </c>
      <c r="K75" s="4" t="str">
        <f t="shared" si="7"/>
        <v>16-02-2025</v>
      </c>
      <c r="L75" s="4" t="str">
        <f>TEXT(Sales_Fact!$B75,"mmm")</f>
        <v>Feb</v>
      </c>
      <c r="M75" s="4">
        <f t="shared" si="8"/>
        <v>4</v>
      </c>
      <c r="N75" s="10">
        <f t="shared" si="9"/>
        <v>36.72</v>
      </c>
      <c r="O75" s="10">
        <f t="shared" si="10"/>
        <v>136.5984</v>
      </c>
      <c r="P75" s="10">
        <f t="shared" si="11"/>
        <v>146.88</v>
      </c>
      <c r="Q75" s="3">
        <f t="shared" si="12"/>
        <v>6.9999999999999979E-2</v>
      </c>
      <c r="R75" s="4" t="str">
        <f>IF(Sales_Fact!$O75&gt;1000,"High","Low")</f>
        <v>Low</v>
      </c>
      <c r="S75" s="4" t="str">
        <f>VLOOKUP(C75,Customer_Dim!$A:$N,9,FALSE())</f>
        <v>Lisa Young</v>
      </c>
      <c r="T75" s="4" t="str">
        <f>VLOOKUP(D75,Product_Dim!$A:$M,3,FALSE())</f>
        <v>Electronics</v>
      </c>
      <c r="U75" s="11" t="str">
        <f>VLOOKUP(D75,Product_Dim!$A:$M,2,FALSE())</f>
        <v>Gaming Mechanical Keyboard</v>
      </c>
      <c r="V75" s="11" t="str">
        <f>VLOOKUP(E75,Store_Dim!$A:$E,3,FALSE())</f>
        <v>South</v>
      </c>
      <c r="W75" s="11" t="str">
        <f>VLOOKUP(C75,Customer_Dim!$A:$N,13,FALSE())</f>
        <v>Platinum</v>
      </c>
      <c r="X75" s="11" t="str">
        <f t="shared" si="13"/>
        <v>High</v>
      </c>
    </row>
    <row r="76" spans="1:24" ht="15.75" customHeight="1">
      <c r="A76" s="4" t="s">
        <v>2072</v>
      </c>
      <c r="B76" s="9">
        <v>45545</v>
      </c>
      <c r="C76" s="4" t="s">
        <v>1186</v>
      </c>
      <c r="D76" s="4" t="s">
        <v>1840</v>
      </c>
      <c r="E76" s="4" t="s">
        <v>1971</v>
      </c>
      <c r="F76" s="4">
        <v>2</v>
      </c>
      <c r="G76" s="4">
        <v>705.97</v>
      </c>
      <c r="H76" s="4">
        <v>0.1</v>
      </c>
      <c r="I76" s="4" t="s">
        <v>1998</v>
      </c>
      <c r="J76" s="10">
        <v>1270.7460000000001</v>
      </c>
      <c r="K76" s="4" t="str">
        <f t="shared" si="7"/>
        <v>10-09-2024</v>
      </c>
      <c r="L76" s="4" t="str">
        <f>TEXT(Sales_Fact!$B76,"mmm")</f>
        <v>Sep</v>
      </c>
      <c r="M76" s="4">
        <f t="shared" si="8"/>
        <v>2</v>
      </c>
      <c r="N76" s="10">
        <f t="shared" si="9"/>
        <v>705.97</v>
      </c>
      <c r="O76" s="10">
        <f t="shared" si="10"/>
        <v>1270.7460000000001</v>
      </c>
      <c r="P76" s="10">
        <f t="shared" si="11"/>
        <v>1411.94</v>
      </c>
      <c r="Q76" s="3">
        <f t="shared" si="12"/>
        <v>9.9999999999999964E-2</v>
      </c>
      <c r="R76" s="4" t="str">
        <f>IF(Sales_Fact!$O76&gt;1000,"High","Low")</f>
        <v>High</v>
      </c>
      <c r="S76" s="4" t="str">
        <f>VLOOKUP(C76,Customer_Dim!$A:$N,9,FALSE())</f>
        <v>James Holloway Jr.</v>
      </c>
      <c r="T76" s="4" t="str">
        <f>VLOOKUP(D76,Product_Dim!$A:$M,3,FALSE())</f>
        <v>Home</v>
      </c>
      <c r="U76" s="11" t="str">
        <f>VLOOKUP(D76,Product_Dim!$A:$M,2,FALSE())</f>
        <v>Essential Oil Diffuser</v>
      </c>
      <c r="V76" s="11" t="str">
        <f>VLOOKUP(E76,Store_Dim!$A:$E,3,FALSE())</f>
        <v>East</v>
      </c>
      <c r="W76" s="11" t="str">
        <f>VLOOKUP(C76,Customer_Dim!$A:$N,13,FALSE())</f>
        <v>Silver</v>
      </c>
      <c r="X76" s="11" t="str">
        <f t="shared" si="13"/>
        <v>Low</v>
      </c>
    </row>
    <row r="77" spans="1:24" ht="15.75" customHeight="1">
      <c r="A77" s="4" t="s">
        <v>2073</v>
      </c>
      <c r="B77" s="9">
        <v>45736</v>
      </c>
      <c r="C77" s="4" t="s">
        <v>121</v>
      </c>
      <c r="D77" s="4" t="s">
        <v>1723</v>
      </c>
      <c r="E77" s="4" t="s">
        <v>1915</v>
      </c>
      <c r="F77" s="4">
        <v>2</v>
      </c>
      <c r="G77" s="4">
        <v>994.29</v>
      </c>
      <c r="H77" s="4">
        <v>0.01</v>
      </c>
      <c r="I77" s="4" t="s">
        <v>1998</v>
      </c>
      <c r="J77" s="10">
        <v>1968.6941999999999</v>
      </c>
      <c r="K77" s="4" t="str">
        <f t="shared" si="7"/>
        <v>20-03-2025</v>
      </c>
      <c r="L77" s="4" t="str">
        <f>TEXT(Sales_Fact!$B77,"mmm")</f>
        <v>Mar</v>
      </c>
      <c r="M77" s="4">
        <f t="shared" si="8"/>
        <v>2</v>
      </c>
      <c r="N77" s="10">
        <f t="shared" si="9"/>
        <v>994.29</v>
      </c>
      <c r="O77" s="10">
        <f t="shared" si="10"/>
        <v>1968.6941999999999</v>
      </c>
      <c r="P77" s="10">
        <f t="shared" si="11"/>
        <v>1988.58</v>
      </c>
      <c r="Q77" s="3">
        <f t="shared" si="12"/>
        <v>1.0000000000000009E-2</v>
      </c>
      <c r="R77" s="4" t="str">
        <f>IF(Sales_Fact!$O77&gt;1000,"High","Low")</f>
        <v>High</v>
      </c>
      <c r="S77" s="4" t="str">
        <f>VLOOKUP(C77,Customer_Dim!$A:$N,9,FALSE())</f>
        <v>Jonathan Steele</v>
      </c>
      <c r="T77" s="4" t="str">
        <f>VLOOKUP(D77,Product_Dim!$A:$M,3,FALSE())</f>
        <v>Electronics</v>
      </c>
      <c r="U77" s="11" t="str">
        <f>VLOOKUP(D77,Product_Dim!$A:$M,2,FALSE())</f>
        <v>Noise-Canceling Headphones</v>
      </c>
      <c r="V77" s="11" t="str">
        <f>VLOOKUP(E77,Store_Dim!$A:$E,3,FALSE())</f>
        <v>North</v>
      </c>
      <c r="W77" s="11" t="str">
        <f>VLOOKUP(C77,Customer_Dim!$A:$N,13,FALSE())</f>
        <v>Silver</v>
      </c>
      <c r="X77" s="11" t="str">
        <f t="shared" si="13"/>
        <v>Low</v>
      </c>
    </row>
    <row r="78" spans="1:24" ht="15.75" customHeight="1">
      <c r="A78" s="4" t="s">
        <v>2074</v>
      </c>
      <c r="B78" s="9">
        <v>45608</v>
      </c>
      <c r="C78" s="4" t="s">
        <v>1336</v>
      </c>
      <c r="D78" s="4" t="s">
        <v>1882</v>
      </c>
      <c r="E78" s="4" t="s">
        <v>1968</v>
      </c>
      <c r="F78" s="4">
        <v>1</v>
      </c>
      <c r="G78" s="4">
        <v>909.04</v>
      </c>
      <c r="H78" s="4">
        <v>0.11</v>
      </c>
      <c r="I78" s="4" t="s">
        <v>1996</v>
      </c>
      <c r="J78" s="10">
        <v>809.04560000000004</v>
      </c>
      <c r="K78" s="4" t="str">
        <f t="shared" si="7"/>
        <v>12-11-2024</v>
      </c>
      <c r="L78" s="4" t="str">
        <f>TEXT(Sales_Fact!$B78,"mmm")</f>
        <v>Nov</v>
      </c>
      <c r="M78" s="4">
        <f t="shared" si="8"/>
        <v>1</v>
      </c>
      <c r="N78" s="10">
        <f t="shared" si="9"/>
        <v>909.04</v>
      </c>
      <c r="O78" s="10">
        <f t="shared" si="10"/>
        <v>809.04560000000004</v>
      </c>
      <c r="P78" s="10">
        <f t="shared" si="11"/>
        <v>909.04</v>
      </c>
      <c r="Q78" s="3">
        <f t="shared" si="12"/>
        <v>0.10999999999999993</v>
      </c>
      <c r="R78" s="4" t="str">
        <f>IF(Sales_Fact!$O78&gt;1000,"High","Low")</f>
        <v>Low</v>
      </c>
      <c r="S78" s="4" t="str">
        <f>VLOOKUP(C78,Customer_Dim!$A:$N,9,FALSE())</f>
        <v>Holly Robinson</v>
      </c>
      <c r="T78" s="4" t="str">
        <f>VLOOKUP(D78,Product_Dim!$A:$M,3,FALSE())</f>
        <v>Home</v>
      </c>
      <c r="U78" s="11" t="str">
        <f>VLOOKUP(D78,Product_Dim!$A:$M,2,FALSE())</f>
        <v>Microwave Oven</v>
      </c>
      <c r="V78" s="11" t="str">
        <f>VLOOKUP(E78,Store_Dim!$A:$E,3,FALSE())</f>
        <v>East</v>
      </c>
      <c r="W78" s="11" t="str">
        <f>VLOOKUP(C78,Customer_Dim!$A:$N,13,FALSE())</f>
        <v>Platinum</v>
      </c>
      <c r="X78" s="11" t="str">
        <f t="shared" si="13"/>
        <v>Low</v>
      </c>
    </row>
    <row r="79" spans="1:24" ht="15.75" customHeight="1">
      <c r="A79" s="4" t="s">
        <v>2075</v>
      </c>
      <c r="B79" s="9">
        <v>45334</v>
      </c>
      <c r="C79" s="4" t="s">
        <v>1123</v>
      </c>
      <c r="D79" s="4" t="s">
        <v>1703</v>
      </c>
      <c r="E79" s="4" t="s">
        <v>1950</v>
      </c>
      <c r="F79" s="4">
        <v>1</v>
      </c>
      <c r="G79" s="4">
        <v>164.73</v>
      </c>
      <c r="H79" s="4">
        <v>0.12</v>
      </c>
      <c r="I79" s="4" t="s">
        <v>1998</v>
      </c>
      <c r="J79" s="10">
        <v>144.9624</v>
      </c>
      <c r="K79" s="4" t="str">
        <f t="shared" si="7"/>
        <v>12-02-2024</v>
      </c>
      <c r="L79" s="4" t="str">
        <f>TEXT(Sales_Fact!$B79,"mmm")</f>
        <v>Feb</v>
      </c>
      <c r="M79" s="4">
        <f t="shared" si="8"/>
        <v>1</v>
      </c>
      <c r="N79" s="10">
        <f t="shared" si="9"/>
        <v>164.73</v>
      </c>
      <c r="O79" s="10">
        <f t="shared" si="10"/>
        <v>144.9624</v>
      </c>
      <c r="P79" s="10">
        <f t="shared" si="11"/>
        <v>164.73</v>
      </c>
      <c r="Q79" s="3">
        <f t="shared" si="12"/>
        <v>0.11999999999999993</v>
      </c>
      <c r="R79" s="4" t="str">
        <f>IF(Sales_Fact!$O79&gt;1000,"High","Low")</f>
        <v>Low</v>
      </c>
      <c r="S79" s="4" t="str">
        <f>VLOOKUP(C79,Customer_Dim!$A:$N,9,FALSE())</f>
        <v>Heather Valenzuela</v>
      </c>
      <c r="T79" s="4" t="str">
        <f>VLOOKUP(D79,Product_Dim!$A:$M,3,FALSE())</f>
        <v>Electronics</v>
      </c>
      <c r="U79" s="11" t="str">
        <f>VLOOKUP(D79,Product_Dim!$A:$M,2,FALSE())</f>
        <v>Gaming Mechanical Keyboard</v>
      </c>
      <c r="V79" s="11" t="str">
        <f>VLOOKUP(E79,Store_Dim!$A:$E,3,FALSE())</f>
        <v>South</v>
      </c>
      <c r="W79" s="11" t="str">
        <f>VLOOKUP(C79,Customer_Dim!$A:$N,13,FALSE())</f>
        <v>Bronze</v>
      </c>
      <c r="X79" s="11" t="str">
        <f t="shared" si="13"/>
        <v>Low</v>
      </c>
    </row>
    <row r="80" spans="1:24" ht="15.75" customHeight="1">
      <c r="A80" s="4" t="s">
        <v>2076</v>
      </c>
      <c r="B80" s="9">
        <v>45690</v>
      </c>
      <c r="C80" s="4" t="s">
        <v>251</v>
      </c>
      <c r="D80" s="4" t="s">
        <v>1712</v>
      </c>
      <c r="E80" s="4" t="s">
        <v>1937</v>
      </c>
      <c r="F80" s="4">
        <v>2</v>
      </c>
      <c r="G80" s="4">
        <v>606.35</v>
      </c>
      <c r="H80" s="4">
        <v>0.16</v>
      </c>
      <c r="I80" s="4" t="s">
        <v>2004</v>
      </c>
      <c r="J80" s="10">
        <v>1018.668</v>
      </c>
      <c r="K80" s="4" t="str">
        <f t="shared" si="7"/>
        <v>02-02-2025</v>
      </c>
      <c r="L80" s="4" t="str">
        <f>TEXT(Sales_Fact!$B80,"mmm")</f>
        <v>Feb</v>
      </c>
      <c r="M80" s="4">
        <f t="shared" si="8"/>
        <v>2</v>
      </c>
      <c r="N80" s="10">
        <f t="shared" si="9"/>
        <v>606.35</v>
      </c>
      <c r="O80" s="10">
        <f t="shared" si="10"/>
        <v>1018.668</v>
      </c>
      <c r="P80" s="10">
        <f t="shared" si="11"/>
        <v>1212.7</v>
      </c>
      <c r="Q80" s="3">
        <f t="shared" si="12"/>
        <v>0.16000000000000003</v>
      </c>
      <c r="R80" s="4" t="str">
        <f>IF(Sales_Fact!$O80&gt;1000,"High","Low")</f>
        <v>High</v>
      </c>
      <c r="S80" s="4" t="str">
        <f>VLOOKUP(C80,Customer_Dim!$A:$N,9,FALSE())</f>
        <v>James Bean</v>
      </c>
      <c r="T80" s="4" t="str">
        <f>VLOOKUP(D80,Product_Dim!$A:$M,3,FALSE())</f>
        <v>Clothing</v>
      </c>
      <c r="U80" s="11" t="str">
        <f>VLOOKUP(D80,Product_Dim!$A:$M,2,FALSE())</f>
        <v>Men's Casual Sneakers</v>
      </c>
      <c r="V80" s="11" t="str">
        <f>VLOOKUP(E80,Store_Dim!$A:$E,3,FALSE())</f>
        <v>South</v>
      </c>
      <c r="W80" s="11" t="str">
        <f>VLOOKUP(C80,Customer_Dim!$A:$N,13,FALSE())</f>
        <v>Bronze</v>
      </c>
      <c r="X80" s="11" t="str">
        <f t="shared" si="13"/>
        <v>Low</v>
      </c>
    </row>
    <row r="81" spans="1:24" ht="15.75" customHeight="1">
      <c r="A81" s="4" t="s">
        <v>2077</v>
      </c>
      <c r="B81" s="9">
        <v>45481</v>
      </c>
      <c r="C81" s="4" t="s">
        <v>568</v>
      </c>
      <c r="D81" s="4" t="s">
        <v>1900</v>
      </c>
      <c r="E81" s="4" t="s">
        <v>1927</v>
      </c>
      <c r="F81" s="4">
        <v>3</v>
      </c>
      <c r="G81" s="4">
        <v>904.19</v>
      </c>
      <c r="H81" s="4">
        <v>0.09</v>
      </c>
      <c r="I81" s="4" t="s">
        <v>1996</v>
      </c>
      <c r="J81" s="10">
        <v>2468.4387000000002</v>
      </c>
      <c r="K81" s="4" t="str">
        <f t="shared" si="7"/>
        <v>08-07-2024</v>
      </c>
      <c r="L81" s="4" t="str">
        <f>TEXT(Sales_Fact!$B81,"mmm")</f>
        <v>Jul</v>
      </c>
      <c r="M81" s="4">
        <f t="shared" si="8"/>
        <v>3</v>
      </c>
      <c r="N81" s="10">
        <f t="shared" si="9"/>
        <v>904.19</v>
      </c>
      <c r="O81" s="10">
        <f t="shared" si="10"/>
        <v>2468.4387000000002</v>
      </c>
      <c r="P81" s="10">
        <f t="shared" si="11"/>
        <v>2712.57</v>
      </c>
      <c r="Q81" s="3">
        <f t="shared" si="12"/>
        <v>0.09</v>
      </c>
      <c r="R81" s="4" t="str">
        <f>IF(Sales_Fact!$O81&gt;1000,"High","Low")</f>
        <v>High</v>
      </c>
      <c r="S81" s="4" t="str">
        <f>VLOOKUP(C81,Customer_Dim!$A:$N,9,FALSE())</f>
        <v>Joseph Jones</v>
      </c>
      <c r="T81" s="4" t="str">
        <f>VLOOKUP(D81,Product_Dim!$A:$M,3,FALSE())</f>
        <v>Electronics</v>
      </c>
      <c r="U81" s="11" t="str">
        <f>VLOOKUP(D81,Product_Dim!$A:$M,2,FALSE())</f>
        <v>Portable Bluetooth Speaker</v>
      </c>
      <c r="V81" s="11" t="str">
        <f>VLOOKUP(E81,Store_Dim!$A:$E,3,FALSE())</f>
        <v>South</v>
      </c>
      <c r="W81" s="11" t="str">
        <f>VLOOKUP(C81,Customer_Dim!$A:$N,13,FALSE())</f>
        <v>Bronze</v>
      </c>
      <c r="X81" s="11" t="str">
        <f t="shared" si="13"/>
        <v>Low</v>
      </c>
    </row>
    <row r="82" spans="1:24" ht="15.75" customHeight="1">
      <c r="A82" s="4" t="s">
        <v>2078</v>
      </c>
      <c r="B82" s="9">
        <v>45323</v>
      </c>
      <c r="C82" s="4" t="s">
        <v>1090</v>
      </c>
      <c r="D82" s="4" t="s">
        <v>1864</v>
      </c>
      <c r="E82" s="4" t="s">
        <v>1937</v>
      </c>
      <c r="F82" s="4">
        <v>4</v>
      </c>
      <c r="G82" s="4">
        <v>525.61</v>
      </c>
      <c r="H82" s="4">
        <v>0.02</v>
      </c>
      <c r="I82" s="4" t="s">
        <v>1998</v>
      </c>
      <c r="J82" s="10">
        <v>2060.3912</v>
      </c>
      <c r="K82" s="4" t="str">
        <f t="shared" si="7"/>
        <v>01-02-2024</v>
      </c>
      <c r="L82" s="4" t="str">
        <f>TEXT(Sales_Fact!$B82,"mmm")</f>
        <v>Feb</v>
      </c>
      <c r="M82" s="4">
        <f t="shared" si="8"/>
        <v>4</v>
      </c>
      <c r="N82" s="10">
        <f t="shared" si="9"/>
        <v>525.61</v>
      </c>
      <c r="O82" s="10">
        <f t="shared" si="10"/>
        <v>2060.3912</v>
      </c>
      <c r="P82" s="10">
        <f t="shared" si="11"/>
        <v>2102.44</v>
      </c>
      <c r="Q82" s="3">
        <f t="shared" si="12"/>
        <v>2.0000000000000014E-2</v>
      </c>
      <c r="R82" s="4" t="str">
        <f>IF(Sales_Fact!$O82&gt;1000,"High","Low")</f>
        <v>High</v>
      </c>
      <c r="S82" s="4" t="str">
        <f>VLOOKUP(C82,Customer_Dim!$A:$N,9,FALSE())</f>
        <v>Jasmine Snyder</v>
      </c>
      <c r="T82" s="4" t="str">
        <f>VLOOKUP(D82,Product_Dim!$A:$M,3,FALSE())</f>
        <v>Home</v>
      </c>
      <c r="U82" s="11" t="str">
        <f>VLOOKUP(D82,Product_Dim!$A:$M,2,FALSE())</f>
        <v>Kitchen Cutting Board</v>
      </c>
      <c r="V82" s="11" t="str">
        <f>VLOOKUP(E82,Store_Dim!$A:$E,3,FALSE())</f>
        <v>South</v>
      </c>
      <c r="W82" s="11" t="str">
        <f>VLOOKUP(C82,Customer_Dim!$A:$N,13,FALSE())</f>
        <v>Silver</v>
      </c>
      <c r="X82" s="11" t="str">
        <f t="shared" si="13"/>
        <v>High</v>
      </c>
    </row>
    <row r="83" spans="1:24" ht="15.75" customHeight="1">
      <c r="A83" s="4" t="s">
        <v>2079</v>
      </c>
      <c r="B83" s="9">
        <v>45576</v>
      </c>
      <c r="C83" s="4" t="s">
        <v>532</v>
      </c>
      <c r="D83" s="4" t="s">
        <v>1755</v>
      </c>
      <c r="E83" s="4" t="s">
        <v>1919</v>
      </c>
      <c r="F83" s="4">
        <v>4</v>
      </c>
      <c r="G83" s="4">
        <v>694.61</v>
      </c>
      <c r="H83" s="4">
        <v>0.18</v>
      </c>
      <c r="I83" s="4" t="s">
        <v>2004</v>
      </c>
      <c r="J83" s="10">
        <v>2278.3208</v>
      </c>
      <c r="K83" s="4" t="str">
        <f t="shared" si="7"/>
        <v>11-10-2024</v>
      </c>
      <c r="L83" s="4" t="str">
        <f>TEXT(Sales_Fact!$B83,"mmm")</f>
        <v>Oct</v>
      </c>
      <c r="M83" s="4">
        <f t="shared" si="8"/>
        <v>4</v>
      </c>
      <c r="N83" s="10">
        <f t="shared" si="9"/>
        <v>694.61</v>
      </c>
      <c r="O83" s="10">
        <f t="shared" si="10"/>
        <v>2278.3208000000004</v>
      </c>
      <c r="P83" s="10">
        <f t="shared" si="11"/>
        <v>2778.44</v>
      </c>
      <c r="Q83" s="3">
        <f t="shared" si="12"/>
        <v>0.17999999999999985</v>
      </c>
      <c r="R83" s="4" t="str">
        <f>IF(Sales_Fact!$O83&gt;1000,"High","Low")</f>
        <v>High</v>
      </c>
      <c r="S83" s="4" t="str">
        <f>VLOOKUP(C83,Customer_Dim!$A:$N,9,FALSE())</f>
        <v>Michael Davies</v>
      </c>
      <c r="T83" s="4" t="str">
        <f>VLOOKUP(D83,Product_Dim!$A:$M,3,FALSE())</f>
        <v>Sports</v>
      </c>
      <c r="U83" s="11" t="str">
        <f>VLOOKUP(D83,Product_Dim!$A:$M,2,FALSE())</f>
        <v>Boxing Hand Wraps</v>
      </c>
      <c r="V83" s="11" t="str">
        <f>VLOOKUP(E83,Store_Dim!$A:$E,3,FALSE())</f>
        <v>South</v>
      </c>
      <c r="W83" s="11" t="str">
        <f>VLOOKUP(C83,Customer_Dim!$A:$N,13,FALSE())</f>
        <v>Gold</v>
      </c>
      <c r="X83" s="11" t="str">
        <f t="shared" si="13"/>
        <v>High</v>
      </c>
    </row>
    <row r="84" spans="1:24" ht="15.75" customHeight="1">
      <c r="A84" s="4" t="s">
        <v>2080</v>
      </c>
      <c r="B84" s="9">
        <v>45215</v>
      </c>
      <c r="C84" s="4" t="s">
        <v>755</v>
      </c>
      <c r="D84" s="4" t="s">
        <v>1873</v>
      </c>
      <c r="E84" s="4" t="s">
        <v>1919</v>
      </c>
      <c r="F84" s="4">
        <v>4</v>
      </c>
      <c r="G84" s="4">
        <v>753.83</v>
      </c>
      <c r="H84" s="4">
        <v>0.24</v>
      </c>
      <c r="I84" s="4" t="s">
        <v>1996</v>
      </c>
      <c r="J84" s="10">
        <v>2291.6432</v>
      </c>
      <c r="K84" s="4" t="str">
        <f t="shared" si="7"/>
        <v>16-10-2023</v>
      </c>
      <c r="L84" s="4" t="str">
        <f>TEXT(Sales_Fact!$B84,"mmm")</f>
        <v>Oct</v>
      </c>
      <c r="M84" s="4">
        <f t="shared" si="8"/>
        <v>4</v>
      </c>
      <c r="N84" s="10">
        <f t="shared" si="9"/>
        <v>753.83</v>
      </c>
      <c r="O84" s="10">
        <f t="shared" si="10"/>
        <v>2291.6432</v>
      </c>
      <c r="P84" s="10">
        <f t="shared" si="11"/>
        <v>3015.32</v>
      </c>
      <c r="Q84" s="3">
        <f t="shared" si="12"/>
        <v>0.24000000000000005</v>
      </c>
      <c r="R84" s="4" t="str">
        <f>IF(Sales_Fact!$O84&gt;1000,"High","Low")</f>
        <v>High</v>
      </c>
      <c r="S84" s="4" t="str">
        <f>VLOOKUP(C84,Customer_Dim!$A:$N,9,FALSE())</f>
        <v>Elizabeth Stanley</v>
      </c>
      <c r="T84" s="4" t="str">
        <f>VLOOKUP(D84,Product_Dim!$A:$M,3,FALSE())</f>
        <v>Beauty</v>
      </c>
      <c r="U84" s="11" t="str">
        <f>VLOOKUP(D84,Product_Dim!$A:$M,2,FALSE())</f>
        <v>Face Foundation Kit</v>
      </c>
      <c r="V84" s="11" t="str">
        <f>VLOOKUP(E84,Store_Dim!$A:$E,3,FALSE())</f>
        <v>South</v>
      </c>
      <c r="W84" s="11" t="str">
        <f>VLOOKUP(C84,Customer_Dim!$A:$N,13,FALSE())</f>
        <v>Platinum</v>
      </c>
      <c r="X84" s="11" t="str">
        <f t="shared" si="13"/>
        <v>High</v>
      </c>
    </row>
    <row r="85" spans="1:24" ht="15.75" customHeight="1">
      <c r="A85" s="4" t="s">
        <v>2081</v>
      </c>
      <c r="B85" s="9">
        <v>45653</v>
      </c>
      <c r="C85" s="4" t="s">
        <v>671</v>
      </c>
      <c r="D85" s="4" t="s">
        <v>1661</v>
      </c>
      <c r="E85" s="4" t="s">
        <v>1940</v>
      </c>
      <c r="F85" s="4">
        <v>1</v>
      </c>
      <c r="G85" s="4">
        <v>66.22</v>
      </c>
      <c r="H85" s="4">
        <v>0.02</v>
      </c>
      <c r="I85" s="4" t="s">
        <v>1996</v>
      </c>
      <c r="J85" s="10">
        <v>64.895600000000002</v>
      </c>
      <c r="K85" s="4" t="str">
        <f t="shared" si="7"/>
        <v>27-12-2024</v>
      </c>
      <c r="L85" s="4" t="str">
        <f>TEXT(Sales_Fact!$B85,"mmm")</f>
        <v>Dec</v>
      </c>
      <c r="M85" s="4">
        <f t="shared" si="8"/>
        <v>1</v>
      </c>
      <c r="N85" s="10">
        <f t="shared" si="9"/>
        <v>66.22</v>
      </c>
      <c r="O85" s="10">
        <f t="shared" si="10"/>
        <v>64.895600000000002</v>
      </c>
      <c r="P85" s="10">
        <f t="shared" si="11"/>
        <v>66.22</v>
      </c>
      <c r="Q85" s="3">
        <f t="shared" si="12"/>
        <v>1.9999999999999959E-2</v>
      </c>
      <c r="R85" s="4" t="str">
        <f>IF(Sales_Fact!$O85&gt;1000,"High","Low")</f>
        <v>Low</v>
      </c>
      <c r="S85" s="4" t="str">
        <f>VLOOKUP(C85,Customer_Dim!$A:$N,9,FALSE())</f>
        <v>Andrea Jacobs</v>
      </c>
      <c r="T85" s="4" t="str">
        <f>VLOOKUP(D85,Product_Dim!$A:$M,3,FALSE())</f>
        <v>Home</v>
      </c>
      <c r="U85" s="11" t="str">
        <f>VLOOKUP(D85,Product_Dim!$A:$M,2,FALSE())</f>
        <v>Multi-Purpose Storage Box</v>
      </c>
      <c r="V85" s="11" t="str">
        <f>VLOOKUP(E85,Store_Dim!$A:$E,3,FALSE())</f>
        <v>West</v>
      </c>
      <c r="W85" s="11" t="str">
        <f>VLOOKUP(C85,Customer_Dim!$A:$N,13,FALSE())</f>
        <v>Platinum</v>
      </c>
      <c r="X85" s="11" t="str">
        <f t="shared" si="13"/>
        <v>Low</v>
      </c>
    </row>
    <row r="86" spans="1:24" ht="15.75" customHeight="1">
      <c r="A86" s="4" t="s">
        <v>2082</v>
      </c>
      <c r="B86" s="9">
        <v>45241</v>
      </c>
      <c r="C86" s="4" t="s">
        <v>1087</v>
      </c>
      <c r="D86" s="4" t="s">
        <v>1797</v>
      </c>
      <c r="E86" s="4" t="s">
        <v>1957</v>
      </c>
      <c r="F86" s="4">
        <v>2</v>
      </c>
      <c r="G86" s="4">
        <v>891.8</v>
      </c>
      <c r="H86" s="4">
        <v>0.28999999999999998</v>
      </c>
      <c r="I86" s="4" t="s">
        <v>2004</v>
      </c>
      <c r="J86" s="10">
        <v>1266.356</v>
      </c>
      <c r="K86" s="4" t="str">
        <f t="shared" si="7"/>
        <v>11-11-2023</v>
      </c>
      <c r="L86" s="4" t="str">
        <f>TEXT(Sales_Fact!$B86,"mmm")</f>
        <v>Nov</v>
      </c>
      <c r="M86" s="4">
        <f t="shared" si="8"/>
        <v>2</v>
      </c>
      <c r="N86" s="10">
        <f t="shared" si="9"/>
        <v>891.8</v>
      </c>
      <c r="O86" s="10">
        <f t="shared" si="10"/>
        <v>1266.3559999999998</v>
      </c>
      <c r="P86" s="10">
        <f t="shared" si="11"/>
        <v>1783.6</v>
      </c>
      <c r="Q86" s="3">
        <f t="shared" si="12"/>
        <v>0.29000000000000009</v>
      </c>
      <c r="R86" s="4" t="str">
        <f>IF(Sales_Fact!$O86&gt;1000,"High","Low")</f>
        <v>High</v>
      </c>
      <c r="S86" s="4" t="str">
        <f>VLOOKUP(C86,Customer_Dim!$A:$N,9,FALSE())</f>
        <v>Carol Lewis</v>
      </c>
      <c r="T86" s="4" t="str">
        <f>VLOOKUP(D86,Product_Dim!$A:$M,3,FALSE())</f>
        <v>Beauty</v>
      </c>
      <c r="U86" s="11" t="str">
        <f>VLOOKUP(D86,Product_Dim!$A:$M,2,FALSE())</f>
        <v>Matte Lipstick Set</v>
      </c>
      <c r="V86" s="11" t="str">
        <f>VLOOKUP(E86,Store_Dim!$A:$E,3,FALSE())</f>
        <v>South</v>
      </c>
      <c r="W86" s="11" t="str">
        <f>VLOOKUP(C86,Customer_Dim!$A:$N,13,FALSE())</f>
        <v>Bronze</v>
      </c>
      <c r="X86" s="11" t="str">
        <f t="shared" si="13"/>
        <v>Low</v>
      </c>
    </row>
    <row r="87" spans="1:24" ht="15.75" customHeight="1">
      <c r="A87" s="4" t="s">
        <v>2083</v>
      </c>
      <c r="B87" s="9">
        <v>45428</v>
      </c>
      <c r="C87" s="4" t="s">
        <v>1165</v>
      </c>
      <c r="D87" s="4" t="s">
        <v>1831</v>
      </c>
      <c r="E87" s="4" t="s">
        <v>1944</v>
      </c>
      <c r="F87" s="4">
        <v>4</v>
      </c>
      <c r="G87" s="4">
        <v>255.48</v>
      </c>
      <c r="H87" s="4">
        <v>0.03</v>
      </c>
      <c r="I87" s="4" t="s">
        <v>2004</v>
      </c>
      <c r="J87" s="10">
        <v>991.26239999999996</v>
      </c>
      <c r="K87" s="4" t="str">
        <f t="shared" si="7"/>
        <v>16-05-2024</v>
      </c>
      <c r="L87" s="4" t="str">
        <f>TEXT(Sales_Fact!$B87,"mmm")</f>
        <v>May</v>
      </c>
      <c r="M87" s="4">
        <f t="shared" si="8"/>
        <v>4</v>
      </c>
      <c r="N87" s="10">
        <f t="shared" si="9"/>
        <v>255.48</v>
      </c>
      <c r="O87" s="10">
        <f t="shared" si="10"/>
        <v>991.26239999999996</v>
      </c>
      <c r="P87" s="10">
        <f t="shared" si="11"/>
        <v>1021.92</v>
      </c>
      <c r="Q87" s="3">
        <f t="shared" si="12"/>
        <v>3.0000000000000002E-2</v>
      </c>
      <c r="R87" s="4" t="str">
        <f>IF(Sales_Fact!$O87&gt;1000,"High","Low")</f>
        <v>Low</v>
      </c>
      <c r="S87" s="4" t="str">
        <f>VLOOKUP(C87,Customer_Dim!$A:$N,9,FALSE())</f>
        <v>Elizabeth Smith</v>
      </c>
      <c r="T87" s="4" t="str">
        <f>VLOOKUP(D87,Product_Dim!$A:$M,3,FALSE())</f>
        <v>Clothing</v>
      </c>
      <c r="U87" s="11" t="str">
        <f>VLOOKUP(D87,Product_Dim!$A:$M,2,FALSE())</f>
        <v>Women's Ankle Boots</v>
      </c>
      <c r="V87" s="11" t="str">
        <f>VLOOKUP(E87,Store_Dim!$A:$E,3,FALSE())</f>
        <v>South</v>
      </c>
      <c r="W87" s="11" t="str">
        <f>VLOOKUP(C87,Customer_Dim!$A:$N,13,FALSE())</f>
        <v>Bronze</v>
      </c>
      <c r="X87" s="11" t="str">
        <f t="shared" si="13"/>
        <v>High</v>
      </c>
    </row>
    <row r="88" spans="1:24" ht="15.75" customHeight="1">
      <c r="A88" s="4" t="s">
        <v>2084</v>
      </c>
      <c r="B88" s="9">
        <v>45593</v>
      </c>
      <c r="C88" s="4" t="s">
        <v>979</v>
      </c>
      <c r="D88" s="4" t="s">
        <v>1858</v>
      </c>
      <c r="E88" s="4" t="s">
        <v>1965</v>
      </c>
      <c r="F88" s="4">
        <v>4</v>
      </c>
      <c r="G88" s="4">
        <v>604.87</v>
      </c>
      <c r="H88" s="4">
        <v>0.28000000000000003</v>
      </c>
      <c r="I88" s="4" t="s">
        <v>1998</v>
      </c>
      <c r="J88" s="10">
        <v>1742.0255999999999</v>
      </c>
      <c r="K88" s="4" t="str">
        <f t="shared" si="7"/>
        <v>28-10-2024</v>
      </c>
      <c r="L88" s="4" t="str">
        <f>TEXT(Sales_Fact!$B88,"mmm")</f>
        <v>Oct</v>
      </c>
      <c r="M88" s="4">
        <f t="shared" si="8"/>
        <v>4</v>
      </c>
      <c r="N88" s="10">
        <f t="shared" si="9"/>
        <v>604.87</v>
      </c>
      <c r="O88" s="10">
        <f t="shared" si="10"/>
        <v>1742.0255999999999</v>
      </c>
      <c r="P88" s="10">
        <f t="shared" si="11"/>
        <v>2419.48</v>
      </c>
      <c r="Q88" s="3">
        <f t="shared" si="12"/>
        <v>0.28000000000000003</v>
      </c>
      <c r="R88" s="4" t="str">
        <f>IF(Sales_Fact!$O88&gt;1000,"High","Low")</f>
        <v>High</v>
      </c>
      <c r="S88" s="4" t="str">
        <f>VLOOKUP(C88,Customer_Dim!$A:$N,9,FALSE())</f>
        <v>Ryan Kane</v>
      </c>
      <c r="T88" s="4" t="str">
        <f>VLOOKUP(D88,Product_Dim!$A:$M,3,FALSE())</f>
        <v>Home</v>
      </c>
      <c r="U88" s="11" t="str">
        <f>VLOOKUP(D88,Product_Dim!$A:$M,2,FALSE())</f>
        <v>Wooden Bookshelf</v>
      </c>
      <c r="V88" s="11" t="str">
        <f>VLOOKUP(E88,Store_Dim!$A:$E,3,FALSE())</f>
        <v>North</v>
      </c>
      <c r="W88" s="11" t="str">
        <f>VLOOKUP(C88,Customer_Dim!$A:$N,13,FALSE())</f>
        <v>Gold</v>
      </c>
      <c r="X88" s="11" t="str">
        <f t="shared" si="13"/>
        <v>High</v>
      </c>
    </row>
    <row r="89" spans="1:24" ht="15.75" customHeight="1">
      <c r="A89" s="4" t="s">
        <v>2085</v>
      </c>
      <c r="B89" s="9">
        <v>45370</v>
      </c>
      <c r="C89" s="4" t="s">
        <v>196</v>
      </c>
      <c r="D89" s="4" t="s">
        <v>1700</v>
      </c>
      <c r="E89" s="4" t="s">
        <v>1965</v>
      </c>
      <c r="F89" s="4">
        <v>3</v>
      </c>
      <c r="G89" s="4">
        <v>623.82000000000005</v>
      </c>
      <c r="H89" s="4">
        <v>0.13</v>
      </c>
      <c r="I89" s="4" t="s">
        <v>2004</v>
      </c>
      <c r="J89" s="10">
        <v>1628.1702</v>
      </c>
      <c r="K89" s="4" t="str">
        <f t="shared" si="7"/>
        <v>19-03-2024</v>
      </c>
      <c r="L89" s="4" t="str">
        <f>TEXT(Sales_Fact!$B89,"mmm")</f>
        <v>Mar</v>
      </c>
      <c r="M89" s="4">
        <f t="shared" si="8"/>
        <v>3</v>
      </c>
      <c r="N89" s="10">
        <f t="shared" si="9"/>
        <v>623.82000000000005</v>
      </c>
      <c r="O89" s="10">
        <f t="shared" si="10"/>
        <v>1628.1702</v>
      </c>
      <c r="P89" s="10">
        <f t="shared" si="11"/>
        <v>1871.46</v>
      </c>
      <c r="Q89" s="3">
        <f t="shared" si="12"/>
        <v>0.13</v>
      </c>
      <c r="R89" s="4" t="str">
        <f>IF(Sales_Fact!$O89&gt;1000,"High","Low")</f>
        <v>High</v>
      </c>
      <c r="S89" s="4" t="str">
        <f>VLOOKUP(C89,Customer_Dim!$A:$N,9,FALSE())</f>
        <v>Jordan Jackson Dds</v>
      </c>
      <c r="T89" s="4" t="str">
        <f>VLOOKUP(D89,Product_Dim!$A:$M,3,FALSE())</f>
        <v>Home</v>
      </c>
      <c r="U89" s="11" t="str">
        <f>VLOOKUP(D89,Product_Dim!$A:$M,2,FALSE())</f>
        <v>Modern Wall Clock</v>
      </c>
      <c r="V89" s="11" t="str">
        <f>VLOOKUP(E89,Store_Dim!$A:$E,3,FALSE())</f>
        <v>North</v>
      </c>
      <c r="W89" s="11" t="str">
        <f>VLOOKUP(C89,Customer_Dim!$A:$N,13,FALSE())</f>
        <v>Gold</v>
      </c>
      <c r="X89" s="11" t="str">
        <f t="shared" si="13"/>
        <v>Low</v>
      </c>
    </row>
    <row r="90" spans="1:24" ht="15.75" customHeight="1">
      <c r="A90" s="4" t="s">
        <v>2086</v>
      </c>
      <c r="B90" s="9">
        <v>45882</v>
      </c>
      <c r="C90" s="4" t="s">
        <v>494</v>
      </c>
      <c r="D90" s="4" t="s">
        <v>1819</v>
      </c>
      <c r="E90" s="4" t="s">
        <v>1962</v>
      </c>
      <c r="F90" s="4">
        <v>3</v>
      </c>
      <c r="G90" s="4">
        <v>575.24</v>
      </c>
      <c r="H90" s="4">
        <v>0.12</v>
      </c>
      <c r="I90" s="4" t="s">
        <v>2004</v>
      </c>
      <c r="J90" s="10">
        <v>1518.6335999999999</v>
      </c>
      <c r="K90" s="4" t="str">
        <f t="shared" si="7"/>
        <v>13-08-2025</v>
      </c>
      <c r="L90" s="4" t="str">
        <f>TEXT(Sales_Fact!$B90,"mmm")</f>
        <v>Aug</v>
      </c>
      <c r="M90" s="4">
        <f t="shared" si="8"/>
        <v>3</v>
      </c>
      <c r="N90" s="10">
        <f t="shared" si="9"/>
        <v>575.24</v>
      </c>
      <c r="O90" s="10">
        <f t="shared" si="10"/>
        <v>1518.6336000000001</v>
      </c>
      <c r="P90" s="10">
        <f t="shared" si="11"/>
        <v>1725.72</v>
      </c>
      <c r="Q90" s="3">
        <f t="shared" si="12"/>
        <v>0.11999999999999995</v>
      </c>
      <c r="R90" s="4" t="str">
        <f>IF(Sales_Fact!$O90&gt;1000,"High","Low")</f>
        <v>High</v>
      </c>
      <c r="S90" s="4" t="str">
        <f>VLOOKUP(C90,Customer_Dim!$A:$N,9,FALSE())</f>
        <v>Sean Roth</v>
      </c>
      <c r="T90" s="4" t="str">
        <f>VLOOKUP(D90,Product_Dim!$A:$M,3,FALSE())</f>
        <v>Beauty</v>
      </c>
      <c r="U90" s="11" t="str">
        <f>VLOOKUP(D90,Product_Dim!$A:$M,2,FALSE())</f>
        <v>Hair Repair Oil Treatment</v>
      </c>
      <c r="V90" s="11" t="str">
        <f>VLOOKUP(E90,Store_Dim!$A:$E,3,FALSE())</f>
        <v>West</v>
      </c>
      <c r="W90" s="11" t="str">
        <f>VLOOKUP(C90,Customer_Dim!$A:$N,13,FALSE())</f>
        <v>Gold</v>
      </c>
      <c r="X90" s="11" t="str">
        <f t="shared" si="13"/>
        <v>Low</v>
      </c>
    </row>
    <row r="91" spans="1:24" ht="15.75" customHeight="1">
      <c r="A91" s="4" t="s">
        <v>2087</v>
      </c>
      <c r="B91" s="9">
        <v>45878</v>
      </c>
      <c r="C91" s="4" t="s">
        <v>1315</v>
      </c>
      <c r="D91" s="4" t="s">
        <v>1595</v>
      </c>
      <c r="E91" s="4" t="s">
        <v>1950</v>
      </c>
      <c r="F91" s="4">
        <v>1</v>
      </c>
      <c r="G91" s="4">
        <v>769.4</v>
      </c>
      <c r="H91" s="4">
        <v>0.16</v>
      </c>
      <c r="I91" s="4" t="s">
        <v>1996</v>
      </c>
      <c r="J91" s="10">
        <v>646.29600000000005</v>
      </c>
      <c r="K91" s="4" t="str">
        <f t="shared" si="7"/>
        <v>09-08-2025</v>
      </c>
      <c r="L91" s="4" t="str">
        <f>TEXT(Sales_Fact!$B91,"mmm")</f>
        <v>Aug</v>
      </c>
      <c r="M91" s="4">
        <f t="shared" si="8"/>
        <v>1</v>
      </c>
      <c r="N91" s="10">
        <f t="shared" si="9"/>
        <v>769.4</v>
      </c>
      <c r="O91" s="10">
        <f t="shared" si="10"/>
        <v>646.29599999999994</v>
      </c>
      <c r="P91" s="10">
        <f t="shared" si="11"/>
        <v>769.4</v>
      </c>
      <c r="Q91" s="3">
        <f t="shared" si="12"/>
        <v>0.16000000000000006</v>
      </c>
      <c r="R91" s="4" t="str">
        <f>IF(Sales_Fact!$O91&gt;1000,"High","Low")</f>
        <v>Low</v>
      </c>
      <c r="S91" s="4" t="str">
        <f>VLOOKUP(C91,Customer_Dim!$A:$N,9,FALSE())</f>
        <v>Melissa Valentine</v>
      </c>
      <c r="T91" s="4" t="str">
        <f>VLOOKUP(D91,Product_Dim!$A:$M,3,FALSE())</f>
        <v>Clothing</v>
      </c>
      <c r="U91" s="11" t="str">
        <f>VLOOKUP(D91,Product_Dim!$A:$M,2,FALSE())</f>
        <v>Women's Yoga Pants</v>
      </c>
      <c r="V91" s="11" t="str">
        <f>VLOOKUP(E91,Store_Dim!$A:$E,3,FALSE())</f>
        <v>South</v>
      </c>
      <c r="W91" s="11" t="str">
        <f>VLOOKUP(C91,Customer_Dim!$A:$N,13,FALSE())</f>
        <v>Gold</v>
      </c>
      <c r="X91" s="11" t="str">
        <f t="shared" si="13"/>
        <v>Low</v>
      </c>
    </row>
    <row r="92" spans="1:24" ht="15.75" customHeight="1">
      <c r="A92" s="4" t="s">
        <v>2088</v>
      </c>
      <c r="B92" s="9">
        <v>45420</v>
      </c>
      <c r="C92" s="4" t="s">
        <v>1063</v>
      </c>
      <c r="D92" s="4" t="s">
        <v>1595</v>
      </c>
      <c r="E92" s="4" t="s">
        <v>1965</v>
      </c>
      <c r="F92" s="4">
        <v>1</v>
      </c>
      <c r="G92" s="4">
        <v>227.28</v>
      </c>
      <c r="H92" s="4">
        <v>0.13</v>
      </c>
      <c r="I92" s="4" t="s">
        <v>2004</v>
      </c>
      <c r="J92" s="10">
        <v>197.7336</v>
      </c>
      <c r="K92" s="4" t="str">
        <f t="shared" si="7"/>
        <v>08-05-2024</v>
      </c>
      <c r="L92" s="4" t="str">
        <f>TEXT(Sales_Fact!$B92,"mmm")</f>
        <v>May</v>
      </c>
      <c r="M92" s="4">
        <f t="shared" si="8"/>
        <v>1</v>
      </c>
      <c r="N92" s="10">
        <f t="shared" si="9"/>
        <v>227.28</v>
      </c>
      <c r="O92" s="10">
        <f t="shared" si="10"/>
        <v>197.7336</v>
      </c>
      <c r="P92" s="10">
        <f t="shared" si="11"/>
        <v>227.28</v>
      </c>
      <c r="Q92" s="3">
        <f t="shared" si="12"/>
        <v>0.13000000000000003</v>
      </c>
      <c r="R92" s="4" t="str">
        <f>IF(Sales_Fact!$O92&gt;1000,"High","Low")</f>
        <v>Low</v>
      </c>
      <c r="S92" s="4" t="str">
        <f>VLOOKUP(C92,Customer_Dim!$A:$N,9,FALSE())</f>
        <v>Victor Mcintosh</v>
      </c>
      <c r="T92" s="4" t="str">
        <f>VLOOKUP(D92,Product_Dim!$A:$M,3,FALSE())</f>
        <v>Clothing</v>
      </c>
      <c r="U92" s="11" t="str">
        <f>VLOOKUP(D92,Product_Dim!$A:$M,2,FALSE())</f>
        <v>Women's Yoga Pants</v>
      </c>
      <c r="V92" s="11" t="str">
        <f>VLOOKUP(E92,Store_Dim!$A:$E,3,FALSE())</f>
        <v>North</v>
      </c>
      <c r="W92" s="11" t="str">
        <f>VLOOKUP(C92,Customer_Dim!$A:$N,13,FALSE())</f>
        <v>Bronze</v>
      </c>
      <c r="X92" s="11" t="str">
        <f t="shared" si="13"/>
        <v>Low</v>
      </c>
    </row>
    <row r="93" spans="1:24" ht="15.75" customHeight="1">
      <c r="A93" s="4" t="s">
        <v>2089</v>
      </c>
      <c r="B93" s="9">
        <v>45785</v>
      </c>
      <c r="C93" s="4" t="s">
        <v>181</v>
      </c>
      <c r="D93" s="4" t="s">
        <v>1665</v>
      </c>
      <c r="E93" s="4" t="s">
        <v>1955</v>
      </c>
      <c r="F93" s="4">
        <v>3</v>
      </c>
      <c r="G93" s="4">
        <v>815.3</v>
      </c>
      <c r="H93" s="4">
        <v>0.03</v>
      </c>
      <c r="I93" s="4" t="s">
        <v>1996</v>
      </c>
      <c r="J93" s="10">
        <v>2372.5230000000001</v>
      </c>
      <c r="K93" s="4" t="str">
        <f t="shared" si="7"/>
        <v>08-05-2025</v>
      </c>
      <c r="L93" s="4" t="str">
        <f>TEXT(Sales_Fact!$B93,"mmm")</f>
        <v>May</v>
      </c>
      <c r="M93" s="4">
        <f t="shared" si="8"/>
        <v>3</v>
      </c>
      <c r="N93" s="10">
        <f t="shared" si="9"/>
        <v>815.3</v>
      </c>
      <c r="O93" s="10">
        <f t="shared" si="10"/>
        <v>2372.5229999999997</v>
      </c>
      <c r="P93" s="10">
        <f t="shared" si="11"/>
        <v>2445.8999999999996</v>
      </c>
      <c r="Q93" s="3">
        <f t="shared" si="12"/>
        <v>2.9999999999999985E-2</v>
      </c>
      <c r="R93" s="4" t="str">
        <f>IF(Sales_Fact!$O93&gt;1000,"High","Low")</f>
        <v>High</v>
      </c>
      <c r="S93" s="4" t="str">
        <f>VLOOKUP(C93,Customer_Dim!$A:$N,9,FALSE())</f>
        <v>James Gibbs</v>
      </c>
      <c r="T93" s="4" t="str">
        <f>VLOOKUP(D93,Product_Dim!$A:$M,3,FALSE())</f>
        <v>Sports</v>
      </c>
      <c r="U93" s="11" t="str">
        <f>VLOOKUP(D93,Product_Dim!$A:$M,2,FALSE())</f>
        <v>Carbon Fiber Tennis Racket</v>
      </c>
      <c r="V93" s="11" t="str">
        <f>VLOOKUP(E93,Store_Dim!$A:$E,3,FALSE())</f>
        <v>East</v>
      </c>
      <c r="W93" s="11" t="str">
        <f>VLOOKUP(C93,Customer_Dim!$A:$N,13,FALSE())</f>
        <v>Platinum</v>
      </c>
      <c r="X93" s="11" t="str">
        <f t="shared" si="13"/>
        <v>Low</v>
      </c>
    </row>
    <row r="94" spans="1:24" ht="15.75" customHeight="1">
      <c r="A94" s="4" t="s">
        <v>2090</v>
      </c>
      <c r="B94" s="9">
        <v>45361</v>
      </c>
      <c r="C94" s="4" t="s">
        <v>216</v>
      </c>
      <c r="D94" s="4" t="s">
        <v>1588</v>
      </c>
      <c r="E94" s="4" t="s">
        <v>1965</v>
      </c>
      <c r="F94" s="4">
        <v>4</v>
      </c>
      <c r="G94" s="4">
        <v>127.58</v>
      </c>
      <c r="H94" s="4">
        <v>0.15</v>
      </c>
      <c r="I94" s="4" t="s">
        <v>1996</v>
      </c>
      <c r="J94" s="10">
        <v>433.77199999999999</v>
      </c>
      <c r="K94" s="4" t="str">
        <f t="shared" si="7"/>
        <v>10-03-2024</v>
      </c>
      <c r="L94" s="4" t="str">
        <f>TEXT(Sales_Fact!$B94,"mmm")</f>
        <v>Mar</v>
      </c>
      <c r="M94" s="4">
        <f t="shared" si="8"/>
        <v>4</v>
      </c>
      <c r="N94" s="10">
        <f t="shared" si="9"/>
        <v>127.58</v>
      </c>
      <c r="O94" s="10">
        <f t="shared" si="10"/>
        <v>433.77199999999999</v>
      </c>
      <c r="P94" s="10">
        <f t="shared" si="11"/>
        <v>510.32</v>
      </c>
      <c r="Q94" s="3">
        <f t="shared" si="12"/>
        <v>0.15</v>
      </c>
      <c r="R94" s="4" t="str">
        <f>IF(Sales_Fact!$O94&gt;1000,"High","Low")</f>
        <v>Low</v>
      </c>
      <c r="S94" s="4" t="str">
        <f>VLOOKUP(C94,Customer_Dim!$A:$N,9,FALSE())</f>
        <v>Sarah Rodgers</v>
      </c>
      <c r="T94" s="4" t="str">
        <f>VLOOKUP(D94,Product_Dim!$A:$M,3,FALSE())</f>
        <v>Clothing</v>
      </c>
      <c r="U94" s="11" t="str">
        <f>VLOOKUP(D94,Product_Dim!$A:$M,2,FALSE())</f>
        <v>Women's Casual Hoodie</v>
      </c>
      <c r="V94" s="11" t="str">
        <f>VLOOKUP(E94,Store_Dim!$A:$E,3,FALSE())</f>
        <v>North</v>
      </c>
      <c r="W94" s="11" t="str">
        <f>VLOOKUP(C94,Customer_Dim!$A:$N,13,FALSE())</f>
        <v>Gold</v>
      </c>
      <c r="X94" s="11" t="str">
        <f t="shared" si="13"/>
        <v>High</v>
      </c>
    </row>
    <row r="95" spans="1:24" ht="15.75" customHeight="1">
      <c r="A95" s="4" t="s">
        <v>2091</v>
      </c>
      <c r="B95" s="9">
        <v>45702</v>
      </c>
      <c r="C95" s="4" t="s">
        <v>1327</v>
      </c>
      <c r="D95" s="4" t="s">
        <v>1735</v>
      </c>
      <c r="E95" s="4" t="s">
        <v>1924</v>
      </c>
      <c r="F95" s="4">
        <v>1</v>
      </c>
      <c r="G95" s="4">
        <v>793.21</v>
      </c>
      <c r="H95" s="4">
        <v>0.09</v>
      </c>
      <c r="I95" s="4" t="s">
        <v>1996</v>
      </c>
      <c r="J95" s="10">
        <v>721.8211</v>
      </c>
      <c r="K95" s="4" t="str">
        <f t="shared" si="7"/>
        <v>14-02-2025</v>
      </c>
      <c r="L95" s="4" t="str">
        <f>TEXT(Sales_Fact!$B95,"mmm")</f>
        <v>Feb</v>
      </c>
      <c r="M95" s="4">
        <f t="shared" si="8"/>
        <v>1</v>
      </c>
      <c r="N95" s="10">
        <f t="shared" si="9"/>
        <v>793.21</v>
      </c>
      <c r="O95" s="10">
        <f t="shared" si="10"/>
        <v>721.8211</v>
      </c>
      <c r="P95" s="10">
        <f t="shared" si="11"/>
        <v>793.21</v>
      </c>
      <c r="Q95" s="3">
        <f t="shared" si="12"/>
        <v>9.0000000000000038E-2</v>
      </c>
      <c r="R95" s="4" t="str">
        <f>IF(Sales_Fact!$O95&gt;1000,"High","Low")</f>
        <v>Low</v>
      </c>
      <c r="S95" s="4" t="str">
        <f>VLOOKUP(C95,Customer_Dim!$A:$N,9,FALSE())</f>
        <v>Luke Parks</v>
      </c>
      <c r="T95" s="4" t="str">
        <f>VLOOKUP(D95,Product_Dim!$A:$M,3,FALSE())</f>
        <v>Sports</v>
      </c>
      <c r="U95" s="11" t="str">
        <f>VLOOKUP(D95,Product_Dim!$A:$M,2,FALSE())</f>
        <v>Adjustable Jump Rope</v>
      </c>
      <c r="V95" s="11" t="str">
        <f>VLOOKUP(E95,Store_Dim!$A:$E,3,FALSE())</f>
        <v>North</v>
      </c>
      <c r="W95" s="11" t="str">
        <f>VLOOKUP(C95,Customer_Dim!$A:$N,13,FALSE())</f>
        <v>Silver</v>
      </c>
      <c r="X95" s="11" t="str">
        <f t="shared" si="13"/>
        <v>Low</v>
      </c>
    </row>
    <row r="96" spans="1:24" ht="15.75" customHeight="1">
      <c r="A96" s="4" t="s">
        <v>2092</v>
      </c>
      <c r="B96" s="9">
        <v>45871</v>
      </c>
      <c r="C96" s="4" t="s">
        <v>979</v>
      </c>
      <c r="D96" s="4" t="s">
        <v>1855</v>
      </c>
      <c r="E96" s="4" t="s">
        <v>1952</v>
      </c>
      <c r="F96" s="4">
        <v>3</v>
      </c>
      <c r="G96" s="4">
        <v>435.61</v>
      </c>
      <c r="H96" s="4">
        <v>0.03</v>
      </c>
      <c r="I96" s="4" t="s">
        <v>1998</v>
      </c>
      <c r="J96" s="10">
        <v>1267.6251</v>
      </c>
      <c r="K96" s="4" t="str">
        <f t="shared" si="7"/>
        <v>02-08-2025</v>
      </c>
      <c r="L96" s="4" t="str">
        <f>TEXT(Sales_Fact!$B96,"mmm")</f>
        <v>Aug</v>
      </c>
      <c r="M96" s="4">
        <f t="shared" si="8"/>
        <v>3</v>
      </c>
      <c r="N96" s="10">
        <f t="shared" si="9"/>
        <v>435.61</v>
      </c>
      <c r="O96" s="10">
        <f t="shared" si="10"/>
        <v>1267.6251</v>
      </c>
      <c r="P96" s="10">
        <f t="shared" si="11"/>
        <v>1306.83</v>
      </c>
      <c r="Q96" s="3">
        <f t="shared" si="12"/>
        <v>2.9999999999999964E-2</v>
      </c>
      <c r="R96" s="4" t="str">
        <f>IF(Sales_Fact!$O96&gt;1000,"High","Low")</f>
        <v>High</v>
      </c>
      <c r="S96" s="4" t="str">
        <f>VLOOKUP(C96,Customer_Dim!$A:$N,9,FALSE())</f>
        <v>Ryan Kane</v>
      </c>
      <c r="T96" s="4" t="str">
        <f>VLOOKUP(D96,Product_Dim!$A:$M,3,FALSE())</f>
        <v>Beauty</v>
      </c>
      <c r="U96" s="11" t="str">
        <f>VLOOKUP(D96,Product_Dim!$A:$M,2,FALSE())</f>
        <v>Hydrating Face Cleanser</v>
      </c>
      <c r="V96" s="11" t="str">
        <f>VLOOKUP(E96,Store_Dim!$A:$E,3,FALSE())</f>
        <v>North</v>
      </c>
      <c r="W96" s="11" t="str">
        <f>VLOOKUP(C96,Customer_Dim!$A:$N,13,FALSE())</f>
        <v>Gold</v>
      </c>
      <c r="X96" s="11" t="str">
        <f t="shared" si="13"/>
        <v>Low</v>
      </c>
    </row>
    <row r="97" spans="1:24" ht="15.75" customHeight="1">
      <c r="A97" s="4" t="s">
        <v>2093</v>
      </c>
      <c r="B97" s="9">
        <v>45531</v>
      </c>
      <c r="C97" s="4" t="s">
        <v>1231</v>
      </c>
      <c r="D97" s="4" t="s">
        <v>1687</v>
      </c>
      <c r="E97" s="4" t="s">
        <v>1962</v>
      </c>
      <c r="F97" s="4">
        <v>1</v>
      </c>
      <c r="G97" s="4">
        <v>850.06</v>
      </c>
      <c r="H97" s="4">
        <v>0.28999999999999998</v>
      </c>
      <c r="I97" s="4" t="s">
        <v>1998</v>
      </c>
      <c r="J97" s="10">
        <v>603.54259999999999</v>
      </c>
      <c r="K97" s="4" t="str">
        <f t="shared" si="7"/>
        <v>27-08-2024</v>
      </c>
      <c r="L97" s="4" t="str">
        <f>TEXT(Sales_Fact!$B97,"mmm")</f>
        <v>Aug</v>
      </c>
      <c r="M97" s="4">
        <f t="shared" si="8"/>
        <v>1</v>
      </c>
      <c r="N97" s="10">
        <f t="shared" si="9"/>
        <v>850.06</v>
      </c>
      <c r="O97" s="10">
        <f t="shared" si="10"/>
        <v>603.54259999999988</v>
      </c>
      <c r="P97" s="10">
        <f t="shared" si="11"/>
        <v>850.06</v>
      </c>
      <c r="Q97" s="3">
        <f t="shared" si="12"/>
        <v>0.29000000000000009</v>
      </c>
      <c r="R97" s="4" t="str">
        <f>IF(Sales_Fact!$O97&gt;1000,"High","Low")</f>
        <v>Low</v>
      </c>
      <c r="S97" s="4" t="str">
        <f>VLOOKUP(C97,Customer_Dim!$A:$N,9,FALSE())</f>
        <v>Tammy Brennan</v>
      </c>
      <c r="T97" s="4" t="str">
        <f>VLOOKUP(D97,Product_Dim!$A:$M,3,FALSE())</f>
        <v>Home</v>
      </c>
      <c r="U97" s="11" t="str">
        <f>VLOOKUP(D97,Product_Dim!$A:$M,2,FALSE())</f>
        <v>Fabric Sofa Throw Blanket</v>
      </c>
      <c r="V97" s="11" t="str">
        <f>VLOOKUP(E97,Store_Dim!$A:$E,3,FALSE())</f>
        <v>West</v>
      </c>
      <c r="W97" s="11" t="str">
        <f>VLOOKUP(C97,Customer_Dim!$A:$N,13,FALSE())</f>
        <v>Gold</v>
      </c>
      <c r="X97" s="11" t="str">
        <f t="shared" si="13"/>
        <v>Low</v>
      </c>
    </row>
    <row r="98" spans="1:24" ht="15.75" customHeight="1">
      <c r="A98" s="4" t="s">
        <v>2094</v>
      </c>
      <c r="B98" s="9">
        <v>45330</v>
      </c>
      <c r="C98" s="4" t="s">
        <v>1117</v>
      </c>
      <c r="D98" s="4" t="s">
        <v>1644</v>
      </c>
      <c r="E98" s="4" t="s">
        <v>1962</v>
      </c>
      <c r="F98" s="4">
        <v>2</v>
      </c>
      <c r="G98" s="4">
        <v>753.92</v>
      </c>
      <c r="H98" s="4">
        <v>0.17</v>
      </c>
      <c r="I98" s="4" t="s">
        <v>1998</v>
      </c>
      <c r="J98" s="10">
        <v>1251.5072</v>
      </c>
      <c r="K98" s="4" t="str">
        <f t="shared" si="7"/>
        <v>08-02-2024</v>
      </c>
      <c r="L98" s="4" t="str">
        <f>TEXT(Sales_Fact!$B98,"mmm")</f>
        <v>Feb</v>
      </c>
      <c r="M98" s="4">
        <f t="shared" si="8"/>
        <v>2</v>
      </c>
      <c r="N98" s="10">
        <f t="shared" si="9"/>
        <v>753.92</v>
      </c>
      <c r="O98" s="10">
        <f t="shared" si="10"/>
        <v>1251.5071999999998</v>
      </c>
      <c r="P98" s="10">
        <f t="shared" si="11"/>
        <v>1507.84</v>
      </c>
      <c r="Q98" s="3">
        <f t="shared" si="12"/>
        <v>0.1700000000000001</v>
      </c>
      <c r="R98" s="4" t="str">
        <f>IF(Sales_Fact!$O98&gt;1000,"High","Low")</f>
        <v>High</v>
      </c>
      <c r="S98" s="4" t="str">
        <f>VLOOKUP(C98,Customer_Dim!$A:$N,9,FALSE())</f>
        <v>Justin Mason Dds</v>
      </c>
      <c r="T98" s="4" t="str">
        <f>VLOOKUP(D98,Product_Dim!$A:$M,3,FALSE())</f>
        <v>Beauty</v>
      </c>
      <c r="U98" s="11" t="str">
        <f>VLOOKUP(D98,Product_Dim!$A:$M,2,FALSE())</f>
        <v>Beard Grooming Kit</v>
      </c>
      <c r="V98" s="11" t="str">
        <f>VLOOKUP(E98,Store_Dim!$A:$E,3,FALSE())</f>
        <v>West</v>
      </c>
      <c r="W98" s="11" t="str">
        <f>VLOOKUP(C98,Customer_Dim!$A:$N,13,FALSE())</f>
        <v>Gold</v>
      </c>
      <c r="X98" s="11" t="str">
        <f t="shared" si="13"/>
        <v>Low</v>
      </c>
    </row>
    <row r="99" spans="1:24" ht="15.75" customHeight="1">
      <c r="A99" s="4" t="s">
        <v>2095</v>
      </c>
      <c r="B99" s="9">
        <v>45311</v>
      </c>
      <c r="C99" s="4" t="s">
        <v>1530</v>
      </c>
      <c r="D99" s="4" t="s">
        <v>1595</v>
      </c>
      <c r="E99" s="4" t="s">
        <v>1955</v>
      </c>
      <c r="F99" s="4">
        <v>3</v>
      </c>
      <c r="G99" s="4">
        <v>408.99</v>
      </c>
      <c r="H99" s="4">
        <v>0.27</v>
      </c>
      <c r="I99" s="4" t="s">
        <v>1998</v>
      </c>
      <c r="J99" s="10">
        <v>895.68809999999996</v>
      </c>
      <c r="K99" s="4" t="str">
        <f t="shared" si="7"/>
        <v>20-01-2024</v>
      </c>
      <c r="L99" s="4" t="str">
        <f>TEXT(Sales_Fact!$B99,"mmm")</f>
        <v>Jan</v>
      </c>
      <c r="M99" s="4">
        <f t="shared" si="8"/>
        <v>3</v>
      </c>
      <c r="N99" s="10">
        <f t="shared" si="9"/>
        <v>408.99</v>
      </c>
      <c r="O99" s="10">
        <f t="shared" si="10"/>
        <v>895.68809999999996</v>
      </c>
      <c r="P99" s="10">
        <f t="shared" si="11"/>
        <v>1226.97</v>
      </c>
      <c r="Q99" s="3">
        <f t="shared" si="12"/>
        <v>0.27000000000000007</v>
      </c>
      <c r="R99" s="4" t="str">
        <f>IF(Sales_Fact!$O99&gt;1000,"High","Low")</f>
        <v>Low</v>
      </c>
      <c r="S99" s="4" t="str">
        <f>VLOOKUP(C99,Customer_Dim!$A:$N,9,FALSE())</f>
        <v>Zachary Andrade</v>
      </c>
      <c r="T99" s="4" t="str">
        <f>VLOOKUP(D99,Product_Dim!$A:$M,3,FALSE())</f>
        <v>Clothing</v>
      </c>
      <c r="U99" s="11" t="str">
        <f>VLOOKUP(D99,Product_Dim!$A:$M,2,FALSE())</f>
        <v>Women's Yoga Pants</v>
      </c>
      <c r="V99" s="11" t="str">
        <f>VLOOKUP(E99,Store_Dim!$A:$E,3,FALSE())</f>
        <v>East</v>
      </c>
      <c r="W99" s="11" t="str">
        <f>VLOOKUP(C99,Customer_Dim!$A:$N,13,FALSE())</f>
        <v>Platinum</v>
      </c>
      <c r="X99" s="11" t="str">
        <f t="shared" si="13"/>
        <v>Low</v>
      </c>
    </row>
    <row r="100" spans="1:24" ht="15.75" customHeight="1">
      <c r="A100" s="4" t="s">
        <v>2096</v>
      </c>
      <c r="B100" s="9">
        <v>45567</v>
      </c>
      <c r="C100" s="4" t="s">
        <v>933</v>
      </c>
      <c r="D100" s="4" t="s">
        <v>1776</v>
      </c>
      <c r="E100" s="4" t="s">
        <v>1931</v>
      </c>
      <c r="F100" s="4">
        <v>3</v>
      </c>
      <c r="G100" s="4">
        <v>404.5</v>
      </c>
      <c r="H100" s="4">
        <v>0.22</v>
      </c>
      <c r="I100" s="4" t="s">
        <v>1998</v>
      </c>
      <c r="J100" s="10">
        <v>946.53</v>
      </c>
      <c r="K100" s="4" t="str">
        <f t="shared" si="7"/>
        <v>02-10-2024</v>
      </c>
      <c r="L100" s="4" t="str">
        <f>TEXT(Sales_Fact!$B100,"mmm")</f>
        <v>Oct</v>
      </c>
      <c r="M100" s="4">
        <f t="shared" si="8"/>
        <v>3</v>
      </c>
      <c r="N100" s="10">
        <f t="shared" si="9"/>
        <v>404.5</v>
      </c>
      <c r="O100" s="10">
        <f t="shared" si="10"/>
        <v>946.53000000000009</v>
      </c>
      <c r="P100" s="10">
        <f t="shared" si="11"/>
        <v>1213.5</v>
      </c>
      <c r="Q100" s="3">
        <f t="shared" si="12"/>
        <v>0.21999999999999992</v>
      </c>
      <c r="R100" s="4" t="str">
        <f>IF(Sales_Fact!$O100&gt;1000,"High","Low")</f>
        <v>Low</v>
      </c>
      <c r="S100" s="4" t="str">
        <f>VLOOKUP(C100,Customer_Dim!$A:$N,9,FALSE())</f>
        <v>Donna Guerra</v>
      </c>
      <c r="T100" s="4" t="str">
        <f>VLOOKUP(D100,Product_Dim!$A:$M,3,FALSE())</f>
        <v>Sports</v>
      </c>
      <c r="U100" s="11" t="str">
        <f>VLOOKUP(D100,Product_Dim!$A:$M,2,FALSE())</f>
        <v>Foam Roller</v>
      </c>
      <c r="V100" s="11" t="str">
        <f>VLOOKUP(E100,Store_Dim!$A:$E,3,FALSE())</f>
        <v>North</v>
      </c>
      <c r="W100" s="11" t="str">
        <f>VLOOKUP(C100,Customer_Dim!$A:$N,13,FALSE())</f>
        <v>Silver</v>
      </c>
      <c r="X100" s="11" t="str">
        <f t="shared" si="13"/>
        <v>Low</v>
      </c>
    </row>
    <row r="101" spans="1:24" ht="15.75" customHeight="1">
      <c r="A101" s="4" t="s">
        <v>2097</v>
      </c>
      <c r="B101" s="9">
        <v>45239</v>
      </c>
      <c r="C101" s="4" t="s">
        <v>1216</v>
      </c>
      <c r="D101" s="4" t="s">
        <v>1719</v>
      </c>
      <c r="E101" s="4" t="s">
        <v>1924</v>
      </c>
      <c r="F101" s="4">
        <v>3</v>
      </c>
      <c r="G101" s="4">
        <v>717.81</v>
      </c>
      <c r="H101" s="4">
        <v>0.17</v>
      </c>
      <c r="I101" s="4" t="s">
        <v>2004</v>
      </c>
      <c r="J101" s="10">
        <v>1787.3469</v>
      </c>
      <c r="K101" s="4" t="str">
        <f t="shared" si="7"/>
        <v>09-11-2023</v>
      </c>
      <c r="L101" s="4" t="str">
        <f>TEXT(Sales_Fact!$B101,"mmm")</f>
        <v>Nov</v>
      </c>
      <c r="M101" s="4">
        <f t="shared" si="8"/>
        <v>3</v>
      </c>
      <c r="N101" s="10">
        <f t="shared" si="9"/>
        <v>717.81</v>
      </c>
      <c r="O101" s="10">
        <f t="shared" si="10"/>
        <v>1787.3468999999998</v>
      </c>
      <c r="P101" s="10">
        <f t="shared" si="11"/>
        <v>2153.4299999999998</v>
      </c>
      <c r="Q101" s="3">
        <f t="shared" si="12"/>
        <v>0.17000000000000004</v>
      </c>
      <c r="R101" s="4" t="str">
        <f>IF(Sales_Fact!$O101&gt;1000,"High","Low")</f>
        <v>High</v>
      </c>
      <c r="S101" s="4" t="str">
        <f>VLOOKUP(C101,Customer_Dim!$A:$N,9,FALSE())</f>
        <v>Shelley Ponce</v>
      </c>
      <c r="T101" s="4" t="str">
        <f>VLOOKUP(D101,Product_Dim!$A:$M,3,FALSE())</f>
        <v>Electronics</v>
      </c>
      <c r="U101" s="11" t="str">
        <f>VLOOKUP(D101,Product_Dim!$A:$M,2,FALSE())</f>
        <v>Portable Power Bank</v>
      </c>
      <c r="V101" s="11" t="str">
        <f>VLOOKUP(E101,Store_Dim!$A:$E,3,FALSE())</f>
        <v>North</v>
      </c>
      <c r="W101" s="11" t="str">
        <f>VLOOKUP(C101,Customer_Dim!$A:$N,13,FALSE())</f>
        <v>Gold</v>
      </c>
      <c r="X101" s="11" t="str">
        <f t="shared" si="13"/>
        <v>Low</v>
      </c>
    </row>
    <row r="102" spans="1:24" ht="15.75" customHeight="1">
      <c r="A102" s="4" t="s">
        <v>2098</v>
      </c>
      <c r="B102" s="9">
        <v>45284</v>
      </c>
      <c r="C102" s="4" t="s">
        <v>831</v>
      </c>
      <c r="D102" s="4" t="s">
        <v>1858</v>
      </c>
      <c r="E102" s="4" t="s">
        <v>1915</v>
      </c>
      <c r="F102" s="4">
        <v>3</v>
      </c>
      <c r="G102" s="4">
        <v>204.77</v>
      </c>
      <c r="H102" s="4">
        <v>0.14000000000000001</v>
      </c>
      <c r="I102" s="4" t="s">
        <v>1996</v>
      </c>
      <c r="J102" s="10">
        <v>528.3066</v>
      </c>
      <c r="K102" s="4" t="str">
        <f t="shared" si="7"/>
        <v>24-12-2023</v>
      </c>
      <c r="L102" s="4" t="str">
        <f>TEXT(Sales_Fact!$B102,"mmm")</f>
        <v>Dec</v>
      </c>
      <c r="M102" s="4">
        <f t="shared" si="8"/>
        <v>3</v>
      </c>
      <c r="N102" s="10">
        <f t="shared" si="9"/>
        <v>204.77</v>
      </c>
      <c r="O102" s="10">
        <f t="shared" si="10"/>
        <v>528.3066</v>
      </c>
      <c r="P102" s="10">
        <f t="shared" si="11"/>
        <v>614.31000000000006</v>
      </c>
      <c r="Q102" s="3">
        <f t="shared" si="12"/>
        <v>0.14000000000000007</v>
      </c>
      <c r="R102" s="4" t="str">
        <f>IF(Sales_Fact!$O102&gt;1000,"High","Low")</f>
        <v>Low</v>
      </c>
      <c r="S102" s="4" t="str">
        <f>VLOOKUP(C102,Customer_Dim!$A:$N,9,FALSE())</f>
        <v>Tyler Garner</v>
      </c>
      <c r="T102" s="4" t="str">
        <f>VLOOKUP(D102,Product_Dim!$A:$M,3,FALSE())</f>
        <v>Home</v>
      </c>
      <c r="U102" s="11" t="str">
        <f>VLOOKUP(D102,Product_Dim!$A:$M,2,FALSE())</f>
        <v>Wooden Bookshelf</v>
      </c>
      <c r="V102" s="11" t="str">
        <f>VLOOKUP(E102,Store_Dim!$A:$E,3,FALSE())</f>
        <v>North</v>
      </c>
      <c r="W102" s="11" t="str">
        <f>VLOOKUP(C102,Customer_Dim!$A:$N,13,FALSE())</f>
        <v>Silver</v>
      </c>
      <c r="X102" s="11" t="str">
        <f t="shared" si="13"/>
        <v>Low</v>
      </c>
    </row>
    <row r="103" spans="1:24" ht="15.75" customHeight="1">
      <c r="A103" s="4" t="s">
        <v>2099</v>
      </c>
      <c r="B103" s="9">
        <v>45686</v>
      </c>
      <c r="C103" s="4" t="s">
        <v>174</v>
      </c>
      <c r="D103" s="4" t="s">
        <v>1748</v>
      </c>
      <c r="E103" s="4" t="s">
        <v>1968</v>
      </c>
      <c r="F103" s="4">
        <v>4</v>
      </c>
      <c r="G103" s="4">
        <v>106.23</v>
      </c>
      <c r="H103" s="4">
        <v>0.28000000000000003</v>
      </c>
      <c r="I103" s="4" t="s">
        <v>2004</v>
      </c>
      <c r="J103" s="10">
        <v>305.94240000000002</v>
      </c>
      <c r="K103" s="4" t="str">
        <f t="shared" si="7"/>
        <v>29-01-2025</v>
      </c>
      <c r="L103" s="4" t="str">
        <f>TEXT(Sales_Fact!$B103,"mmm")</f>
        <v>Jan</v>
      </c>
      <c r="M103" s="4">
        <f t="shared" si="8"/>
        <v>4</v>
      </c>
      <c r="N103" s="10">
        <f t="shared" si="9"/>
        <v>106.23</v>
      </c>
      <c r="O103" s="10">
        <f t="shared" si="10"/>
        <v>305.94240000000002</v>
      </c>
      <c r="P103" s="10">
        <f t="shared" si="11"/>
        <v>424.92</v>
      </c>
      <c r="Q103" s="3">
        <f t="shared" si="12"/>
        <v>0.27999999999999997</v>
      </c>
      <c r="R103" s="4" t="str">
        <f>IF(Sales_Fact!$O103&gt;1000,"High","Low")</f>
        <v>Low</v>
      </c>
      <c r="S103" s="4" t="str">
        <f>VLOOKUP(C103,Customer_Dim!$A:$N,9,FALSE())</f>
        <v>Tonya Reynolds</v>
      </c>
      <c r="T103" s="4" t="str">
        <f>VLOOKUP(D103,Product_Dim!$A:$M,3,FALSE())</f>
        <v>Electronics</v>
      </c>
      <c r="U103" s="11" t="str">
        <f>VLOOKUP(D103,Product_Dim!$A:$M,2,FALSE())</f>
        <v>Car Dashboard Phone Holder</v>
      </c>
      <c r="V103" s="11" t="str">
        <f>VLOOKUP(E103,Store_Dim!$A:$E,3,FALSE())</f>
        <v>East</v>
      </c>
      <c r="W103" s="11" t="str">
        <f>VLOOKUP(C103,Customer_Dim!$A:$N,13,FALSE())</f>
        <v>Gold</v>
      </c>
      <c r="X103" s="11" t="str">
        <f t="shared" si="13"/>
        <v>High</v>
      </c>
    </row>
    <row r="104" spans="1:24" ht="15.75" customHeight="1">
      <c r="A104" s="4" t="s">
        <v>2100</v>
      </c>
      <c r="B104" s="9">
        <v>45738</v>
      </c>
      <c r="C104" s="4" t="s">
        <v>721</v>
      </c>
      <c r="D104" s="4" t="s">
        <v>1879</v>
      </c>
      <c r="E104" s="4" t="s">
        <v>1910</v>
      </c>
      <c r="F104" s="4">
        <v>3</v>
      </c>
      <c r="G104" s="4">
        <v>376.46</v>
      </c>
      <c r="H104" s="4">
        <v>0.09</v>
      </c>
      <c r="I104" s="4" t="s">
        <v>2004</v>
      </c>
      <c r="J104" s="10">
        <v>1027.7357999999999</v>
      </c>
      <c r="K104" s="4" t="str">
        <f t="shared" si="7"/>
        <v>22-03-2025</v>
      </c>
      <c r="L104" s="4" t="str">
        <f>TEXT(Sales_Fact!$B104,"mmm")</f>
        <v>Mar</v>
      </c>
      <c r="M104" s="4">
        <f t="shared" si="8"/>
        <v>3</v>
      </c>
      <c r="N104" s="10">
        <f t="shared" si="9"/>
        <v>376.46</v>
      </c>
      <c r="O104" s="10">
        <f t="shared" si="10"/>
        <v>1027.7357999999999</v>
      </c>
      <c r="P104" s="10">
        <f t="shared" si="11"/>
        <v>1129.3799999999999</v>
      </c>
      <c r="Q104" s="3">
        <f t="shared" si="12"/>
        <v>8.9999999999999969E-2</v>
      </c>
      <c r="R104" s="4" t="str">
        <f>IF(Sales_Fact!$O104&gt;1000,"High","Low")</f>
        <v>High</v>
      </c>
      <c r="S104" s="4" t="str">
        <f>VLOOKUP(C104,Customer_Dim!$A:$N,9,FALSE())</f>
        <v>Eric Todd</v>
      </c>
      <c r="T104" s="4" t="str">
        <f>VLOOKUP(D104,Product_Dim!$A:$M,3,FALSE())</f>
        <v>Clothing</v>
      </c>
      <c r="U104" s="11" t="str">
        <f>VLOOKUP(D104,Product_Dim!$A:$M,2,FALSE())</f>
        <v>Women's High Heels</v>
      </c>
      <c r="V104" s="11" t="str">
        <f>VLOOKUP(E104,Store_Dim!$A:$E,3,FALSE())</f>
        <v>East</v>
      </c>
      <c r="W104" s="11" t="str">
        <f>VLOOKUP(C104,Customer_Dim!$A:$N,13,FALSE())</f>
        <v>Gold</v>
      </c>
      <c r="X104" s="11" t="str">
        <f t="shared" si="13"/>
        <v>Low</v>
      </c>
    </row>
    <row r="105" spans="1:24" ht="15.75" customHeight="1">
      <c r="A105" s="4" t="s">
        <v>2101</v>
      </c>
      <c r="B105" s="9">
        <v>45824</v>
      </c>
      <c r="C105" s="4" t="s">
        <v>1051</v>
      </c>
      <c r="D105" s="4" t="s">
        <v>1803</v>
      </c>
      <c r="E105" s="4" t="s">
        <v>1931</v>
      </c>
      <c r="F105" s="4">
        <v>2</v>
      </c>
      <c r="G105" s="4">
        <v>769.48</v>
      </c>
      <c r="H105" s="4">
        <v>0.11</v>
      </c>
      <c r="I105" s="4" t="s">
        <v>1998</v>
      </c>
      <c r="J105" s="10">
        <v>1369.6744000000001</v>
      </c>
      <c r="K105" s="4" t="str">
        <f t="shared" si="7"/>
        <v>16-06-2025</v>
      </c>
      <c r="L105" s="4" t="str">
        <f>TEXT(Sales_Fact!$B105,"mmm")</f>
        <v>Jun</v>
      </c>
      <c r="M105" s="4">
        <f t="shared" si="8"/>
        <v>2</v>
      </c>
      <c r="N105" s="10">
        <f t="shared" si="9"/>
        <v>769.48</v>
      </c>
      <c r="O105" s="10">
        <f t="shared" si="10"/>
        <v>1369.6744000000001</v>
      </c>
      <c r="P105" s="10">
        <f t="shared" si="11"/>
        <v>1538.96</v>
      </c>
      <c r="Q105" s="3">
        <f t="shared" si="12"/>
        <v>0.10999999999999996</v>
      </c>
      <c r="R105" s="4" t="str">
        <f>IF(Sales_Fact!$O105&gt;1000,"High","Low")</f>
        <v>High</v>
      </c>
      <c r="S105" s="4" t="str">
        <f>VLOOKUP(C105,Customer_Dim!$A:$N,9,FALSE())</f>
        <v>Andrew Smith</v>
      </c>
      <c r="T105" s="4" t="str">
        <f>VLOOKUP(D105,Product_Dim!$A:$M,3,FALSE())</f>
        <v>Beauty</v>
      </c>
      <c r="U105" s="11" t="str">
        <f>VLOOKUP(D105,Product_Dim!$A:$M,2,FALSE())</f>
        <v>Women's Hair Dryer Brush</v>
      </c>
      <c r="V105" s="11" t="str">
        <f>VLOOKUP(E105,Store_Dim!$A:$E,3,FALSE())</f>
        <v>North</v>
      </c>
      <c r="W105" s="11" t="str">
        <f>VLOOKUP(C105,Customer_Dim!$A:$N,13,FALSE())</f>
        <v>Bronze</v>
      </c>
      <c r="X105" s="11" t="str">
        <f t="shared" si="13"/>
        <v>Low</v>
      </c>
    </row>
    <row r="106" spans="1:24" ht="15.75" customHeight="1">
      <c r="A106" s="4" t="s">
        <v>2102</v>
      </c>
      <c r="B106" s="9">
        <v>45867</v>
      </c>
      <c r="C106" s="4" t="s">
        <v>843</v>
      </c>
      <c r="D106" s="4" t="s">
        <v>1776</v>
      </c>
      <c r="E106" s="4" t="s">
        <v>1955</v>
      </c>
      <c r="F106" s="4">
        <v>2</v>
      </c>
      <c r="G106" s="4">
        <v>714.21</v>
      </c>
      <c r="H106" s="4">
        <v>0.14000000000000001</v>
      </c>
      <c r="I106" s="4" t="s">
        <v>1996</v>
      </c>
      <c r="J106" s="10">
        <v>1228.4412</v>
      </c>
      <c r="K106" s="4" t="str">
        <f t="shared" si="7"/>
        <v>29-07-2025</v>
      </c>
      <c r="L106" s="4" t="str">
        <f>TEXT(Sales_Fact!$B106,"mmm")</f>
        <v>Jul</v>
      </c>
      <c r="M106" s="4">
        <f t="shared" si="8"/>
        <v>2</v>
      </c>
      <c r="N106" s="10">
        <f t="shared" si="9"/>
        <v>714.21</v>
      </c>
      <c r="O106" s="10">
        <f t="shared" si="10"/>
        <v>1228.4412</v>
      </c>
      <c r="P106" s="10">
        <f t="shared" si="11"/>
        <v>1428.42</v>
      </c>
      <c r="Q106" s="3">
        <f t="shared" si="12"/>
        <v>0.14000000000000007</v>
      </c>
      <c r="R106" s="4" t="str">
        <f>IF(Sales_Fact!$O106&gt;1000,"High","Low")</f>
        <v>High</v>
      </c>
      <c r="S106" s="4" t="str">
        <f>VLOOKUP(C106,Customer_Dim!$A:$N,9,FALSE())</f>
        <v>Damon Perez</v>
      </c>
      <c r="T106" s="4" t="str">
        <f>VLOOKUP(D106,Product_Dim!$A:$M,3,FALSE())</f>
        <v>Sports</v>
      </c>
      <c r="U106" s="11" t="str">
        <f>VLOOKUP(D106,Product_Dim!$A:$M,2,FALSE())</f>
        <v>Foam Roller</v>
      </c>
      <c r="V106" s="11" t="str">
        <f>VLOOKUP(E106,Store_Dim!$A:$E,3,FALSE())</f>
        <v>East</v>
      </c>
      <c r="W106" s="11" t="str">
        <f>VLOOKUP(C106,Customer_Dim!$A:$N,13,FALSE())</f>
        <v>Gold</v>
      </c>
      <c r="X106" s="11" t="str">
        <f t="shared" si="13"/>
        <v>Low</v>
      </c>
    </row>
    <row r="107" spans="1:24" ht="15.75" customHeight="1">
      <c r="A107" s="4" t="s">
        <v>2103</v>
      </c>
      <c r="B107" s="9">
        <v>45578</v>
      </c>
      <c r="C107" s="4" t="s">
        <v>891</v>
      </c>
      <c r="D107" s="4" t="s">
        <v>1626</v>
      </c>
      <c r="E107" s="4" t="s">
        <v>1959</v>
      </c>
      <c r="F107" s="4">
        <v>4</v>
      </c>
      <c r="G107" s="4">
        <v>632.24</v>
      </c>
      <c r="H107" s="4">
        <v>0.25</v>
      </c>
      <c r="I107" s="4" t="s">
        <v>1998</v>
      </c>
      <c r="J107" s="10">
        <v>1896.72</v>
      </c>
      <c r="K107" s="4" t="str">
        <f t="shared" si="7"/>
        <v>13-10-2024</v>
      </c>
      <c r="L107" s="4" t="str">
        <f>TEXT(Sales_Fact!$B107,"mmm")</f>
        <v>Oct</v>
      </c>
      <c r="M107" s="4">
        <f t="shared" si="8"/>
        <v>4</v>
      </c>
      <c r="N107" s="10">
        <f t="shared" si="9"/>
        <v>632.24</v>
      </c>
      <c r="O107" s="10">
        <f t="shared" si="10"/>
        <v>1896.72</v>
      </c>
      <c r="P107" s="10">
        <f t="shared" si="11"/>
        <v>2528.96</v>
      </c>
      <c r="Q107" s="3">
        <f t="shared" si="12"/>
        <v>0.25</v>
      </c>
      <c r="R107" s="4" t="str">
        <f>IF(Sales_Fact!$O107&gt;1000,"High","Low")</f>
        <v>High</v>
      </c>
      <c r="S107" s="4" t="str">
        <f>VLOOKUP(C107,Customer_Dim!$A:$N,9,FALSE())</f>
        <v>Daisy Johnson Dds</v>
      </c>
      <c r="T107" s="4" t="str">
        <f>VLOOKUP(D107,Product_Dim!$A:$M,3,FALSE())</f>
        <v>Electronics</v>
      </c>
      <c r="U107" s="11" t="str">
        <f>VLOOKUP(D107,Product_Dim!$A:$M,2,FALSE())</f>
        <v>HD Smart TV Stick</v>
      </c>
      <c r="V107" s="11" t="str">
        <f>VLOOKUP(E107,Store_Dim!$A:$E,3,FALSE())</f>
        <v>North</v>
      </c>
      <c r="W107" s="11" t="str">
        <f>VLOOKUP(C107,Customer_Dim!$A:$N,13,FALSE())</f>
        <v>Platinum</v>
      </c>
      <c r="X107" s="11" t="str">
        <f t="shared" si="13"/>
        <v>High</v>
      </c>
    </row>
    <row r="108" spans="1:24" ht="15.75" customHeight="1">
      <c r="A108" s="4" t="s">
        <v>2104</v>
      </c>
      <c r="B108" s="9">
        <v>45575</v>
      </c>
      <c r="C108" s="4" t="s">
        <v>562</v>
      </c>
      <c r="D108" s="4" t="s">
        <v>1840</v>
      </c>
      <c r="E108" s="4" t="s">
        <v>1924</v>
      </c>
      <c r="F108" s="4">
        <v>2</v>
      </c>
      <c r="G108" s="4">
        <v>845.27</v>
      </c>
      <c r="H108" s="4">
        <v>0.18</v>
      </c>
      <c r="I108" s="4" t="s">
        <v>1998</v>
      </c>
      <c r="J108" s="10">
        <v>1386.2428</v>
      </c>
      <c r="K108" s="4" t="str">
        <f t="shared" si="7"/>
        <v>10-10-2024</v>
      </c>
      <c r="L108" s="4" t="str">
        <f>TEXT(Sales_Fact!$B108,"mmm")</f>
        <v>Oct</v>
      </c>
      <c r="M108" s="4">
        <f t="shared" si="8"/>
        <v>2</v>
      </c>
      <c r="N108" s="10">
        <f t="shared" si="9"/>
        <v>845.27</v>
      </c>
      <c r="O108" s="10">
        <f t="shared" si="10"/>
        <v>1386.2428</v>
      </c>
      <c r="P108" s="10">
        <f t="shared" si="11"/>
        <v>1690.54</v>
      </c>
      <c r="Q108" s="3">
        <f t="shared" si="12"/>
        <v>0.18</v>
      </c>
      <c r="R108" s="4" t="str">
        <f>IF(Sales_Fact!$O108&gt;1000,"High","Low")</f>
        <v>High</v>
      </c>
      <c r="S108" s="4" t="str">
        <f>VLOOKUP(C108,Customer_Dim!$A:$N,9,FALSE())</f>
        <v>Cynthia Morris</v>
      </c>
      <c r="T108" s="4" t="str">
        <f>VLOOKUP(D108,Product_Dim!$A:$M,3,FALSE())</f>
        <v>Home</v>
      </c>
      <c r="U108" s="11" t="str">
        <f>VLOOKUP(D108,Product_Dim!$A:$M,2,FALSE())</f>
        <v>Essential Oil Diffuser</v>
      </c>
      <c r="V108" s="11" t="str">
        <f>VLOOKUP(E108,Store_Dim!$A:$E,3,FALSE())</f>
        <v>North</v>
      </c>
      <c r="W108" s="11" t="str">
        <f>VLOOKUP(C108,Customer_Dim!$A:$N,13,FALSE())</f>
        <v>Silver</v>
      </c>
      <c r="X108" s="11" t="str">
        <f t="shared" si="13"/>
        <v>Low</v>
      </c>
    </row>
    <row r="109" spans="1:24" ht="15.75" customHeight="1">
      <c r="A109" s="4" t="s">
        <v>2105</v>
      </c>
      <c r="B109" s="9">
        <v>45816</v>
      </c>
      <c r="C109" s="4" t="s">
        <v>1556</v>
      </c>
      <c r="D109" s="4" t="s">
        <v>1867</v>
      </c>
      <c r="E109" s="4" t="s">
        <v>1955</v>
      </c>
      <c r="F109" s="4">
        <v>1</v>
      </c>
      <c r="G109" s="4">
        <v>575.94000000000005</v>
      </c>
      <c r="H109" s="4">
        <v>0.17</v>
      </c>
      <c r="I109" s="4" t="s">
        <v>1996</v>
      </c>
      <c r="J109" s="10">
        <v>478.03019999999998</v>
      </c>
      <c r="K109" s="4" t="str">
        <f t="shared" si="7"/>
        <v>08-06-2025</v>
      </c>
      <c r="L109" s="4" t="str">
        <f>TEXT(Sales_Fact!$B109,"mmm")</f>
        <v>Jun</v>
      </c>
      <c r="M109" s="4">
        <f t="shared" si="8"/>
        <v>1</v>
      </c>
      <c r="N109" s="10">
        <f t="shared" si="9"/>
        <v>575.94000000000005</v>
      </c>
      <c r="O109" s="10">
        <f t="shared" si="10"/>
        <v>478.03020000000004</v>
      </c>
      <c r="P109" s="10">
        <f t="shared" si="11"/>
        <v>575.94000000000005</v>
      </c>
      <c r="Q109" s="3">
        <f t="shared" si="12"/>
        <v>0.17</v>
      </c>
      <c r="R109" s="4" t="str">
        <f>IF(Sales_Fact!$O109&gt;1000,"High","Low")</f>
        <v>Low</v>
      </c>
      <c r="S109" s="4" t="str">
        <f>VLOOKUP(C109,Customer_Dim!$A:$N,9,FALSE())</f>
        <v>Sarah Marsh</v>
      </c>
      <c r="T109" s="4" t="str">
        <f>VLOOKUP(D109,Product_Dim!$A:$M,3,FALSE())</f>
        <v>Home</v>
      </c>
      <c r="U109" s="11" t="str">
        <f>VLOOKUP(D109,Product_Dim!$A:$M,2,FALSE())</f>
        <v>LED Bedside Lamp</v>
      </c>
      <c r="V109" s="11" t="str">
        <f>VLOOKUP(E109,Store_Dim!$A:$E,3,FALSE())</f>
        <v>East</v>
      </c>
      <c r="W109" s="11" t="str">
        <f>VLOOKUP(C109,Customer_Dim!$A:$N,13,FALSE())</f>
        <v>Gold</v>
      </c>
      <c r="X109" s="11" t="str">
        <f t="shared" si="13"/>
        <v>Low</v>
      </c>
    </row>
    <row r="110" spans="1:24" ht="15.75" customHeight="1">
      <c r="A110" s="4" t="s">
        <v>2106</v>
      </c>
      <c r="B110" s="9">
        <v>45620</v>
      </c>
      <c r="C110" s="4" t="s">
        <v>831</v>
      </c>
      <c r="D110" s="4" t="s">
        <v>1858</v>
      </c>
      <c r="E110" s="4" t="s">
        <v>1959</v>
      </c>
      <c r="F110" s="4">
        <v>1</v>
      </c>
      <c r="G110" s="4">
        <v>907.97</v>
      </c>
      <c r="H110" s="4">
        <v>0.26</v>
      </c>
      <c r="I110" s="4" t="s">
        <v>2004</v>
      </c>
      <c r="J110" s="10">
        <v>671.89779999999996</v>
      </c>
      <c r="K110" s="4" t="str">
        <f t="shared" si="7"/>
        <v>24-11-2024</v>
      </c>
      <c r="L110" s="4" t="str">
        <f>TEXT(Sales_Fact!$B110,"mmm")</f>
        <v>Nov</v>
      </c>
      <c r="M110" s="4">
        <f t="shared" si="8"/>
        <v>1</v>
      </c>
      <c r="N110" s="10">
        <f t="shared" si="9"/>
        <v>907.97</v>
      </c>
      <c r="O110" s="10">
        <f t="shared" si="10"/>
        <v>671.89779999999996</v>
      </c>
      <c r="P110" s="10">
        <f t="shared" si="11"/>
        <v>907.97</v>
      </c>
      <c r="Q110" s="3">
        <f t="shared" si="12"/>
        <v>0.26000000000000006</v>
      </c>
      <c r="R110" s="4" t="str">
        <f>IF(Sales_Fact!$O110&gt;1000,"High","Low")</f>
        <v>Low</v>
      </c>
      <c r="S110" s="4" t="str">
        <f>VLOOKUP(C110,Customer_Dim!$A:$N,9,FALSE())</f>
        <v>Tyler Garner</v>
      </c>
      <c r="T110" s="4" t="str">
        <f>VLOOKUP(D110,Product_Dim!$A:$M,3,FALSE())</f>
        <v>Home</v>
      </c>
      <c r="U110" s="11" t="str">
        <f>VLOOKUP(D110,Product_Dim!$A:$M,2,FALSE())</f>
        <v>Wooden Bookshelf</v>
      </c>
      <c r="V110" s="11" t="str">
        <f>VLOOKUP(E110,Store_Dim!$A:$E,3,FALSE())</f>
        <v>North</v>
      </c>
      <c r="W110" s="11" t="str">
        <f>VLOOKUP(C110,Customer_Dim!$A:$N,13,FALSE())</f>
        <v>Silver</v>
      </c>
      <c r="X110" s="11" t="str">
        <f t="shared" si="13"/>
        <v>Low</v>
      </c>
    </row>
    <row r="111" spans="1:24" ht="15.75" customHeight="1">
      <c r="A111" s="4" t="s">
        <v>2107</v>
      </c>
      <c r="B111" s="9">
        <v>45695</v>
      </c>
      <c r="C111" s="4" t="s">
        <v>877</v>
      </c>
      <c r="D111" s="4" t="s">
        <v>1658</v>
      </c>
      <c r="E111" s="4" t="s">
        <v>1952</v>
      </c>
      <c r="F111" s="4">
        <v>1</v>
      </c>
      <c r="G111" s="4">
        <v>99.35</v>
      </c>
      <c r="H111" s="4">
        <v>0.08</v>
      </c>
      <c r="I111" s="4" t="s">
        <v>2004</v>
      </c>
      <c r="J111" s="10">
        <v>91.402000000000001</v>
      </c>
      <c r="K111" s="4" t="str">
        <f t="shared" si="7"/>
        <v>07-02-2025</v>
      </c>
      <c r="L111" s="4" t="str">
        <f>TEXT(Sales_Fact!$B111,"mmm")</f>
        <v>Feb</v>
      </c>
      <c r="M111" s="4">
        <f t="shared" si="8"/>
        <v>1</v>
      </c>
      <c r="N111" s="10">
        <f t="shared" si="9"/>
        <v>99.35</v>
      </c>
      <c r="O111" s="10">
        <f t="shared" si="10"/>
        <v>91.402000000000001</v>
      </c>
      <c r="P111" s="10">
        <f t="shared" si="11"/>
        <v>99.35</v>
      </c>
      <c r="Q111" s="3">
        <f t="shared" si="12"/>
        <v>7.9999999999999932E-2</v>
      </c>
      <c r="R111" s="4" t="str">
        <f>IF(Sales_Fact!$O111&gt;1000,"High","Low")</f>
        <v>Low</v>
      </c>
      <c r="S111" s="4" t="str">
        <f>VLOOKUP(C111,Customer_Dim!$A:$N,9,FALSE())</f>
        <v>Cynthia Payne</v>
      </c>
      <c r="T111" s="4" t="str">
        <f>VLOOKUP(D111,Product_Dim!$A:$M,3,FALSE())</f>
        <v>Sports</v>
      </c>
      <c r="U111" s="11" t="str">
        <f>VLOOKUP(D111,Product_Dim!$A:$M,2,FALSE())</f>
        <v>Outdoor Sports Water Bottle</v>
      </c>
      <c r="V111" s="11" t="str">
        <f>VLOOKUP(E111,Store_Dim!$A:$E,3,FALSE())</f>
        <v>North</v>
      </c>
      <c r="W111" s="11" t="str">
        <f>VLOOKUP(C111,Customer_Dim!$A:$N,13,FALSE())</f>
        <v>Bronze</v>
      </c>
      <c r="X111" s="11" t="str">
        <f t="shared" si="13"/>
        <v>Low</v>
      </c>
    </row>
    <row r="112" spans="1:24" ht="15.75" customHeight="1">
      <c r="A112" s="4" t="s">
        <v>2108</v>
      </c>
      <c r="B112" s="9">
        <v>45596</v>
      </c>
      <c r="C112" s="4" t="s">
        <v>282</v>
      </c>
      <c r="D112" s="4" t="s">
        <v>1578</v>
      </c>
      <c r="E112" s="4" t="s">
        <v>1924</v>
      </c>
      <c r="F112" s="4">
        <v>2</v>
      </c>
      <c r="G112" s="4">
        <v>374.42</v>
      </c>
      <c r="H112" s="4">
        <v>0.21</v>
      </c>
      <c r="I112" s="4" t="s">
        <v>2004</v>
      </c>
      <c r="J112" s="10">
        <v>591.58360000000005</v>
      </c>
      <c r="K112" s="4" t="str">
        <f t="shared" si="7"/>
        <v>31-10-2024</v>
      </c>
      <c r="L112" s="4" t="str">
        <f>TEXT(Sales_Fact!$B112,"mmm")</f>
        <v>Oct</v>
      </c>
      <c r="M112" s="4">
        <f t="shared" si="8"/>
        <v>2</v>
      </c>
      <c r="N112" s="10">
        <f t="shared" si="9"/>
        <v>374.42</v>
      </c>
      <c r="O112" s="10">
        <f t="shared" si="10"/>
        <v>591.58360000000005</v>
      </c>
      <c r="P112" s="10">
        <f t="shared" si="11"/>
        <v>748.84</v>
      </c>
      <c r="Q112" s="3">
        <f t="shared" si="12"/>
        <v>0.20999999999999996</v>
      </c>
      <c r="R112" s="4" t="str">
        <f>IF(Sales_Fact!$O112&gt;1000,"High","Low")</f>
        <v>Low</v>
      </c>
      <c r="S112" s="4" t="str">
        <f>VLOOKUP(C112,Customer_Dim!$A:$N,9,FALSE())</f>
        <v>Andrea Perez</v>
      </c>
      <c r="T112" s="4" t="str">
        <f>VLOOKUP(D112,Product_Dim!$A:$M,3,FALSE())</f>
        <v>Electronics</v>
      </c>
      <c r="U112" s="11" t="str">
        <f>VLOOKUP(D112,Product_Dim!$A:$M,2,FALSE())</f>
        <v>Brother Laser Printer</v>
      </c>
      <c r="V112" s="11" t="str">
        <f>VLOOKUP(E112,Store_Dim!$A:$E,3,FALSE())</f>
        <v>North</v>
      </c>
      <c r="W112" s="11" t="str">
        <f>VLOOKUP(C112,Customer_Dim!$A:$N,13,FALSE())</f>
        <v>Gold</v>
      </c>
      <c r="X112" s="11" t="str">
        <f t="shared" si="13"/>
        <v>Low</v>
      </c>
    </row>
    <row r="113" spans="1:24" ht="15.75" customHeight="1">
      <c r="A113" s="4" t="s">
        <v>2109</v>
      </c>
      <c r="B113" s="9">
        <v>45869</v>
      </c>
      <c r="C113" s="4" t="s">
        <v>1510</v>
      </c>
      <c r="D113" s="4" t="s">
        <v>1640</v>
      </c>
      <c r="E113" s="4" t="s">
        <v>1959</v>
      </c>
      <c r="F113" s="4">
        <v>3</v>
      </c>
      <c r="G113" s="4">
        <v>248.43</v>
      </c>
      <c r="H113" s="4">
        <v>0.24</v>
      </c>
      <c r="I113" s="4" t="s">
        <v>2004</v>
      </c>
      <c r="J113" s="10">
        <v>566.42039999999997</v>
      </c>
      <c r="K113" s="4" t="str">
        <f t="shared" si="7"/>
        <v>31-07-2025</v>
      </c>
      <c r="L113" s="4" t="str">
        <f>TEXT(Sales_Fact!$B113,"mmm")</f>
        <v>Jul</v>
      </c>
      <c r="M113" s="4">
        <f t="shared" si="8"/>
        <v>3</v>
      </c>
      <c r="N113" s="10">
        <f t="shared" si="9"/>
        <v>248.43</v>
      </c>
      <c r="O113" s="10">
        <f t="shared" si="10"/>
        <v>566.42039999999997</v>
      </c>
      <c r="P113" s="10">
        <f t="shared" si="11"/>
        <v>745.29</v>
      </c>
      <c r="Q113" s="3">
        <f t="shared" si="12"/>
        <v>0.24</v>
      </c>
      <c r="R113" s="4" t="str">
        <f>IF(Sales_Fact!$O113&gt;1000,"High","Low")</f>
        <v>Low</v>
      </c>
      <c r="S113" s="4" t="str">
        <f>VLOOKUP(C113,Customer_Dim!$A:$N,9,FALSE())</f>
        <v>Bryan Tran</v>
      </c>
      <c r="T113" s="4" t="str">
        <f>VLOOKUP(D113,Product_Dim!$A:$M,3,FALSE())</f>
        <v>Electronics</v>
      </c>
      <c r="U113" s="11" t="str">
        <f>VLOOKUP(D113,Product_Dim!$A:$M,2,FALSE())</f>
        <v>4K Home Projector</v>
      </c>
      <c r="V113" s="11" t="str">
        <f>VLOOKUP(E113,Store_Dim!$A:$E,3,FALSE())</f>
        <v>North</v>
      </c>
      <c r="W113" s="11" t="str">
        <f>VLOOKUP(C113,Customer_Dim!$A:$N,13,FALSE())</f>
        <v>Gold</v>
      </c>
      <c r="X113" s="11" t="str">
        <f t="shared" si="13"/>
        <v>Low</v>
      </c>
    </row>
    <row r="114" spans="1:24" ht="15.75" customHeight="1">
      <c r="A114" s="4" t="s">
        <v>2110</v>
      </c>
      <c r="B114" s="9">
        <v>45631</v>
      </c>
      <c r="C114" s="4" t="s">
        <v>1472</v>
      </c>
      <c r="D114" s="4" t="s">
        <v>1861</v>
      </c>
      <c r="E114" s="4" t="s">
        <v>1915</v>
      </c>
      <c r="F114" s="4">
        <v>1</v>
      </c>
      <c r="G114" s="4">
        <v>784.46</v>
      </c>
      <c r="H114" s="4">
        <v>0.14000000000000001</v>
      </c>
      <c r="I114" s="4" t="s">
        <v>2004</v>
      </c>
      <c r="J114" s="10">
        <v>674.63559999999995</v>
      </c>
      <c r="K114" s="4" t="str">
        <f t="shared" si="7"/>
        <v>05-12-2024</v>
      </c>
      <c r="L114" s="4" t="str">
        <f>TEXT(Sales_Fact!$B114,"mmm")</f>
        <v>Dec</v>
      </c>
      <c r="M114" s="4">
        <f t="shared" si="8"/>
        <v>1</v>
      </c>
      <c r="N114" s="10">
        <f t="shared" si="9"/>
        <v>784.46</v>
      </c>
      <c r="O114" s="10">
        <f t="shared" si="10"/>
        <v>674.63560000000007</v>
      </c>
      <c r="P114" s="10">
        <f t="shared" si="11"/>
        <v>784.46</v>
      </c>
      <c r="Q114" s="3">
        <f t="shared" si="12"/>
        <v>0.13999999999999996</v>
      </c>
      <c r="R114" s="4" t="str">
        <f>IF(Sales_Fact!$O114&gt;1000,"High","Low")</f>
        <v>Low</v>
      </c>
      <c r="S114" s="4" t="str">
        <f>VLOOKUP(C114,Customer_Dim!$A:$N,9,FALSE())</f>
        <v>Gregory Curtis</v>
      </c>
      <c r="T114" s="4" t="str">
        <f>VLOOKUP(D114,Product_Dim!$A:$M,3,FALSE())</f>
        <v>Clothing</v>
      </c>
      <c r="U114" s="11" t="str">
        <f>VLOOKUP(D114,Product_Dim!$A:$M,2,FALSE())</f>
        <v>Women's Beanie Hat</v>
      </c>
      <c r="V114" s="11" t="str">
        <f>VLOOKUP(E114,Store_Dim!$A:$E,3,FALSE())</f>
        <v>North</v>
      </c>
      <c r="W114" s="11" t="str">
        <f>VLOOKUP(C114,Customer_Dim!$A:$N,13,FALSE())</f>
        <v>Bronze</v>
      </c>
      <c r="X114" s="11" t="str">
        <f t="shared" si="13"/>
        <v>Low</v>
      </c>
    </row>
    <row r="115" spans="1:24" ht="15.75" customHeight="1">
      <c r="A115" s="4" t="s">
        <v>2111</v>
      </c>
      <c r="B115" s="9">
        <v>45801</v>
      </c>
      <c r="C115" s="4" t="s">
        <v>1036</v>
      </c>
      <c r="D115" s="4" t="s">
        <v>1719</v>
      </c>
      <c r="E115" s="4" t="s">
        <v>1915</v>
      </c>
      <c r="F115" s="4">
        <v>4</v>
      </c>
      <c r="G115" s="4">
        <v>286.92</v>
      </c>
      <c r="H115" s="4">
        <v>0.17</v>
      </c>
      <c r="I115" s="4" t="s">
        <v>1996</v>
      </c>
      <c r="J115" s="10">
        <v>952.57439999999997</v>
      </c>
      <c r="K115" s="4" t="str">
        <f t="shared" si="7"/>
        <v>24-05-2025</v>
      </c>
      <c r="L115" s="4" t="str">
        <f>TEXT(Sales_Fact!$B115,"mmm")</f>
        <v>May</v>
      </c>
      <c r="M115" s="4">
        <f t="shared" si="8"/>
        <v>4</v>
      </c>
      <c r="N115" s="10">
        <f t="shared" si="9"/>
        <v>286.92</v>
      </c>
      <c r="O115" s="10">
        <f t="shared" si="10"/>
        <v>952.57439999999997</v>
      </c>
      <c r="P115" s="10">
        <f t="shared" si="11"/>
        <v>1147.68</v>
      </c>
      <c r="Q115" s="3">
        <f t="shared" si="12"/>
        <v>0.17000000000000007</v>
      </c>
      <c r="R115" s="4" t="str">
        <f>IF(Sales_Fact!$O115&gt;1000,"High","Low")</f>
        <v>Low</v>
      </c>
      <c r="S115" s="4" t="str">
        <f>VLOOKUP(C115,Customer_Dim!$A:$N,9,FALSE())</f>
        <v>Jessica Gonzalez</v>
      </c>
      <c r="T115" s="4" t="str">
        <f>VLOOKUP(D115,Product_Dim!$A:$M,3,FALSE())</f>
        <v>Electronics</v>
      </c>
      <c r="U115" s="11" t="str">
        <f>VLOOKUP(D115,Product_Dim!$A:$M,2,FALSE())</f>
        <v>Portable Power Bank</v>
      </c>
      <c r="V115" s="11" t="str">
        <f>VLOOKUP(E115,Store_Dim!$A:$E,3,FALSE())</f>
        <v>North</v>
      </c>
      <c r="W115" s="11" t="str">
        <f>VLOOKUP(C115,Customer_Dim!$A:$N,13,FALSE())</f>
        <v>Bronze</v>
      </c>
      <c r="X115" s="11" t="str">
        <f t="shared" si="13"/>
        <v>High</v>
      </c>
    </row>
    <row r="116" spans="1:24" ht="15.75" customHeight="1">
      <c r="A116" s="4" t="s">
        <v>2112</v>
      </c>
      <c r="B116" s="9">
        <v>45851</v>
      </c>
      <c r="C116" s="4" t="s">
        <v>59</v>
      </c>
      <c r="D116" s="4" t="s">
        <v>1729</v>
      </c>
      <c r="E116" s="4" t="s">
        <v>1940</v>
      </c>
      <c r="F116" s="4">
        <v>4</v>
      </c>
      <c r="G116" s="4">
        <v>239.83</v>
      </c>
      <c r="H116" s="4">
        <v>0.08</v>
      </c>
      <c r="I116" s="4" t="s">
        <v>1996</v>
      </c>
      <c r="J116" s="10">
        <v>882.57439999999997</v>
      </c>
      <c r="K116" s="4" t="str">
        <f t="shared" si="7"/>
        <v>13-07-2025</v>
      </c>
      <c r="L116" s="4" t="str">
        <f>TEXT(Sales_Fact!$B116,"mmm")</f>
        <v>Jul</v>
      </c>
      <c r="M116" s="4">
        <f t="shared" si="8"/>
        <v>4</v>
      </c>
      <c r="N116" s="10">
        <f t="shared" si="9"/>
        <v>239.83</v>
      </c>
      <c r="O116" s="10">
        <f t="shared" si="10"/>
        <v>882.57440000000008</v>
      </c>
      <c r="P116" s="10">
        <f t="shared" si="11"/>
        <v>959.32</v>
      </c>
      <c r="Q116" s="3">
        <f t="shared" si="12"/>
        <v>7.999999999999996E-2</v>
      </c>
      <c r="R116" s="4" t="str">
        <f>IF(Sales_Fact!$O116&gt;1000,"High","Low")</f>
        <v>Low</v>
      </c>
      <c r="S116" s="4" t="str">
        <f>VLOOKUP(C116,Customer_Dim!$A:$N,9,FALSE())</f>
        <v>Daniel Boyd</v>
      </c>
      <c r="T116" s="4" t="str">
        <f>VLOOKUP(D116,Product_Dim!$A:$M,3,FALSE())</f>
        <v>Electronics</v>
      </c>
      <c r="U116" s="11" t="str">
        <f>VLOOKUP(D116,Product_Dim!$A:$M,2,FALSE())</f>
        <v>Smart Home WiFi Camera</v>
      </c>
      <c r="V116" s="11" t="str">
        <f>VLOOKUP(E116,Store_Dim!$A:$E,3,FALSE())</f>
        <v>West</v>
      </c>
      <c r="W116" s="11" t="str">
        <f>VLOOKUP(C116,Customer_Dim!$A:$N,13,FALSE())</f>
        <v>Bronze</v>
      </c>
      <c r="X116" s="11" t="str">
        <f t="shared" si="13"/>
        <v>High</v>
      </c>
    </row>
    <row r="117" spans="1:24" ht="15.75" customHeight="1">
      <c r="A117" s="4" t="s">
        <v>2113</v>
      </c>
      <c r="B117" s="9">
        <v>45379</v>
      </c>
      <c r="C117" s="4" t="s">
        <v>855</v>
      </c>
      <c r="D117" s="4" t="s">
        <v>1761</v>
      </c>
      <c r="E117" s="4" t="s">
        <v>1947</v>
      </c>
      <c r="F117" s="4">
        <v>3</v>
      </c>
      <c r="G117" s="4">
        <v>70.88</v>
      </c>
      <c r="H117" s="4">
        <v>0.27</v>
      </c>
      <c r="I117" s="4" t="s">
        <v>2004</v>
      </c>
      <c r="J117" s="10">
        <v>155.22720000000001</v>
      </c>
      <c r="K117" s="4" t="str">
        <f t="shared" si="7"/>
        <v>28-03-2024</v>
      </c>
      <c r="L117" s="4" t="str">
        <f>TEXT(Sales_Fact!$B117,"mmm")</f>
        <v>Mar</v>
      </c>
      <c r="M117" s="4">
        <f t="shared" si="8"/>
        <v>3</v>
      </c>
      <c r="N117" s="10">
        <f t="shared" si="9"/>
        <v>70.88</v>
      </c>
      <c r="O117" s="10">
        <f t="shared" si="10"/>
        <v>155.22719999999998</v>
      </c>
      <c r="P117" s="10">
        <f t="shared" si="11"/>
        <v>212.64</v>
      </c>
      <c r="Q117" s="3">
        <f t="shared" si="12"/>
        <v>0.27</v>
      </c>
      <c r="R117" s="4" t="str">
        <f>IF(Sales_Fact!$O117&gt;1000,"High","Low")</f>
        <v>Low</v>
      </c>
      <c r="S117" s="4" t="str">
        <f>VLOOKUP(C117,Customer_Dim!$A:$N,9,FALSE())</f>
        <v>Beth Allen</v>
      </c>
      <c r="T117" s="4" t="str">
        <f>VLOOKUP(D117,Product_Dim!$A:$M,3,FALSE())</f>
        <v>Sports</v>
      </c>
      <c r="U117" s="11" t="str">
        <f>VLOOKUP(D117,Product_Dim!$A:$M,2,FALSE())</f>
        <v>Rugby Ball</v>
      </c>
      <c r="V117" s="11" t="str">
        <f>VLOOKUP(E117,Store_Dim!$A:$E,3,FALSE())</f>
        <v>East</v>
      </c>
      <c r="W117" s="11" t="str">
        <f>VLOOKUP(C117,Customer_Dim!$A:$N,13,FALSE())</f>
        <v>Silver</v>
      </c>
      <c r="X117" s="11" t="str">
        <f t="shared" si="13"/>
        <v>Low</v>
      </c>
    </row>
    <row r="118" spans="1:24" ht="15.75" customHeight="1">
      <c r="A118" s="4" t="s">
        <v>2114</v>
      </c>
      <c r="B118" s="9">
        <v>45641</v>
      </c>
      <c r="C118" s="4" t="s">
        <v>408</v>
      </c>
      <c r="D118" s="4" t="s">
        <v>1613</v>
      </c>
      <c r="E118" s="4" t="s">
        <v>1915</v>
      </c>
      <c r="F118" s="4">
        <v>3</v>
      </c>
      <c r="G118" s="4">
        <v>324.29000000000002</v>
      </c>
      <c r="H118" s="4">
        <v>0.16</v>
      </c>
      <c r="I118" s="4" t="s">
        <v>2004</v>
      </c>
      <c r="J118" s="10">
        <v>817.21079999999995</v>
      </c>
      <c r="K118" s="4" t="str">
        <f t="shared" si="7"/>
        <v>15-12-2024</v>
      </c>
      <c r="L118" s="4" t="str">
        <f>TEXT(Sales_Fact!$B118,"mmm")</f>
        <v>Dec</v>
      </c>
      <c r="M118" s="4">
        <f t="shared" si="8"/>
        <v>3</v>
      </c>
      <c r="N118" s="10">
        <f t="shared" si="9"/>
        <v>324.29000000000002</v>
      </c>
      <c r="O118" s="10">
        <f t="shared" si="10"/>
        <v>817.21080000000006</v>
      </c>
      <c r="P118" s="10">
        <f t="shared" si="11"/>
        <v>972.87000000000012</v>
      </c>
      <c r="Q118" s="3">
        <f t="shared" si="12"/>
        <v>0.16000000000000003</v>
      </c>
      <c r="R118" s="4" t="str">
        <f>IF(Sales_Fact!$O118&gt;1000,"High","Low")</f>
        <v>Low</v>
      </c>
      <c r="S118" s="4" t="str">
        <f>VLOOKUP(C118,Customer_Dim!$A:$N,9,FALSE())</f>
        <v>Ashley Griffin</v>
      </c>
      <c r="T118" s="4" t="str">
        <f>VLOOKUP(D118,Product_Dim!$A:$M,3,FALSE())</f>
        <v>Electronics</v>
      </c>
      <c r="U118" s="11" t="str">
        <f>VLOOKUP(D118,Product_Dim!$A:$M,2,FALSE())</f>
        <v>Wireless Bluetooth Earbuds</v>
      </c>
      <c r="V118" s="11" t="str">
        <f>VLOOKUP(E118,Store_Dim!$A:$E,3,FALSE())</f>
        <v>North</v>
      </c>
      <c r="W118" s="11" t="str">
        <f>VLOOKUP(C118,Customer_Dim!$A:$N,13,FALSE())</f>
        <v>Gold</v>
      </c>
      <c r="X118" s="11" t="str">
        <f t="shared" si="13"/>
        <v>Low</v>
      </c>
    </row>
    <row r="119" spans="1:24" ht="15.75" customHeight="1">
      <c r="A119" s="4" t="s">
        <v>2115</v>
      </c>
      <c r="B119" s="9">
        <v>45842</v>
      </c>
      <c r="C119" s="4" t="s">
        <v>502</v>
      </c>
      <c r="D119" s="4" t="s">
        <v>1640</v>
      </c>
      <c r="E119" s="4" t="s">
        <v>1924</v>
      </c>
      <c r="F119" s="4">
        <v>4</v>
      </c>
      <c r="G119" s="4">
        <v>243.92</v>
      </c>
      <c r="H119" s="4">
        <v>0.02</v>
      </c>
      <c r="I119" s="4" t="s">
        <v>1998</v>
      </c>
      <c r="J119" s="10">
        <v>956.16639999999995</v>
      </c>
      <c r="K119" s="4" t="str">
        <f t="shared" si="7"/>
        <v>04-07-2025</v>
      </c>
      <c r="L119" s="4" t="str">
        <f>TEXT(Sales_Fact!$B119,"mmm")</f>
        <v>Jul</v>
      </c>
      <c r="M119" s="4">
        <f t="shared" si="8"/>
        <v>4</v>
      </c>
      <c r="N119" s="10">
        <f t="shared" si="9"/>
        <v>243.92</v>
      </c>
      <c r="O119" s="10">
        <f t="shared" si="10"/>
        <v>956.16639999999995</v>
      </c>
      <c r="P119" s="10">
        <f t="shared" si="11"/>
        <v>975.68</v>
      </c>
      <c r="Q119" s="3">
        <f t="shared" si="12"/>
        <v>1.9999999999999997E-2</v>
      </c>
      <c r="R119" s="4" t="str">
        <f>IF(Sales_Fact!$O119&gt;1000,"High","Low")</f>
        <v>Low</v>
      </c>
      <c r="S119" s="4" t="str">
        <f>VLOOKUP(C119,Customer_Dim!$A:$N,9,FALSE())</f>
        <v>Cristian Wright</v>
      </c>
      <c r="T119" s="4" t="str">
        <f>VLOOKUP(D119,Product_Dim!$A:$M,3,FALSE())</f>
        <v>Electronics</v>
      </c>
      <c r="U119" s="11" t="str">
        <f>VLOOKUP(D119,Product_Dim!$A:$M,2,FALSE())</f>
        <v>4K Home Projector</v>
      </c>
      <c r="V119" s="11" t="str">
        <f>VLOOKUP(E119,Store_Dim!$A:$E,3,FALSE())</f>
        <v>North</v>
      </c>
      <c r="W119" s="11" t="str">
        <f>VLOOKUP(C119,Customer_Dim!$A:$N,13,FALSE())</f>
        <v>Bronze</v>
      </c>
      <c r="X119" s="11" t="str">
        <f t="shared" si="13"/>
        <v>High</v>
      </c>
    </row>
    <row r="120" spans="1:24" ht="15.75" customHeight="1">
      <c r="A120" s="4" t="s">
        <v>2116</v>
      </c>
      <c r="B120" s="9">
        <v>45257</v>
      </c>
      <c r="C120" s="4" t="s">
        <v>1201</v>
      </c>
      <c r="D120" s="4" t="s">
        <v>1684</v>
      </c>
      <c r="E120" s="4" t="s">
        <v>1955</v>
      </c>
      <c r="F120" s="4">
        <v>1</v>
      </c>
      <c r="G120" s="4">
        <v>664.35</v>
      </c>
      <c r="H120" s="4">
        <v>0</v>
      </c>
      <c r="I120" s="4" t="s">
        <v>1996</v>
      </c>
      <c r="J120" s="10">
        <v>664.35</v>
      </c>
      <c r="K120" s="4" t="str">
        <f t="shared" si="7"/>
        <v>27-11-2023</v>
      </c>
      <c r="L120" s="4" t="str">
        <f>TEXT(Sales_Fact!$B120,"mmm")</f>
        <v>Nov</v>
      </c>
      <c r="M120" s="4">
        <f t="shared" si="8"/>
        <v>1</v>
      </c>
      <c r="N120" s="10">
        <f t="shared" si="9"/>
        <v>664.35</v>
      </c>
      <c r="O120" s="10">
        <f t="shared" si="10"/>
        <v>664.35</v>
      </c>
      <c r="P120" s="10">
        <f t="shared" si="11"/>
        <v>664.35</v>
      </c>
      <c r="Q120" s="3">
        <f t="shared" si="12"/>
        <v>0</v>
      </c>
      <c r="R120" s="4" t="str">
        <f>IF(Sales_Fact!$O120&gt;1000,"High","Low")</f>
        <v>Low</v>
      </c>
      <c r="S120" s="4" t="str">
        <f>VLOOKUP(C120,Customer_Dim!$A:$N,9,FALSE())</f>
        <v>Joshua Bell</v>
      </c>
      <c r="T120" s="4" t="str">
        <f>VLOOKUP(D120,Product_Dim!$A:$M,3,FALSE())</f>
        <v>Sports</v>
      </c>
      <c r="U120" s="11" t="str">
        <f>VLOOKUP(D120,Product_Dim!$A:$M,2,FALSE())</f>
        <v>Sports Stopwatch Timer</v>
      </c>
      <c r="V120" s="11" t="str">
        <f>VLOOKUP(E120,Store_Dim!$A:$E,3,FALSE())</f>
        <v>East</v>
      </c>
      <c r="W120" s="11" t="str">
        <f>VLOOKUP(C120,Customer_Dim!$A:$N,13,FALSE())</f>
        <v>Platinum</v>
      </c>
      <c r="X120" s="11" t="str">
        <f t="shared" si="13"/>
        <v>Low</v>
      </c>
    </row>
    <row r="121" spans="1:24" ht="15.75" customHeight="1">
      <c r="A121" s="4" t="s">
        <v>2117</v>
      </c>
      <c r="B121" s="9">
        <v>45468</v>
      </c>
      <c r="C121" s="4" t="s">
        <v>1228</v>
      </c>
      <c r="D121" s="4" t="s">
        <v>1661</v>
      </c>
      <c r="E121" s="4" t="s">
        <v>1947</v>
      </c>
      <c r="F121" s="4">
        <v>2</v>
      </c>
      <c r="G121" s="4">
        <v>218.07</v>
      </c>
      <c r="H121" s="4">
        <v>0.19</v>
      </c>
      <c r="I121" s="4" t="s">
        <v>1998</v>
      </c>
      <c r="J121" s="10">
        <v>353.27339999999998</v>
      </c>
      <c r="K121" s="4" t="str">
        <f t="shared" si="7"/>
        <v>25-06-2024</v>
      </c>
      <c r="L121" s="4" t="str">
        <f>TEXT(Sales_Fact!$B121,"mmm")</f>
        <v>Jun</v>
      </c>
      <c r="M121" s="4">
        <f t="shared" si="8"/>
        <v>2</v>
      </c>
      <c r="N121" s="10">
        <f t="shared" si="9"/>
        <v>218.07</v>
      </c>
      <c r="O121" s="10">
        <f t="shared" si="10"/>
        <v>353.27340000000004</v>
      </c>
      <c r="P121" s="10">
        <f t="shared" si="11"/>
        <v>436.14</v>
      </c>
      <c r="Q121" s="3">
        <f t="shared" si="12"/>
        <v>0.18999999999999989</v>
      </c>
      <c r="R121" s="4" t="str">
        <f>IF(Sales_Fact!$O121&gt;1000,"High","Low")</f>
        <v>Low</v>
      </c>
      <c r="S121" s="4" t="str">
        <f>VLOOKUP(C121,Customer_Dim!$A:$N,9,FALSE())</f>
        <v>Andrew Mason</v>
      </c>
      <c r="T121" s="4" t="str">
        <f>VLOOKUP(D121,Product_Dim!$A:$M,3,FALSE())</f>
        <v>Home</v>
      </c>
      <c r="U121" s="11" t="str">
        <f>VLOOKUP(D121,Product_Dim!$A:$M,2,FALSE())</f>
        <v>Multi-Purpose Storage Box</v>
      </c>
      <c r="V121" s="11" t="str">
        <f>VLOOKUP(E121,Store_Dim!$A:$E,3,FALSE())</f>
        <v>East</v>
      </c>
      <c r="W121" s="11" t="str">
        <f>VLOOKUP(C121,Customer_Dim!$A:$N,13,FALSE())</f>
        <v>Bronze</v>
      </c>
      <c r="X121" s="11" t="str">
        <f t="shared" si="13"/>
        <v>Low</v>
      </c>
    </row>
    <row r="122" spans="1:24" ht="15.75" customHeight="1">
      <c r="A122" s="4" t="s">
        <v>2118</v>
      </c>
      <c r="B122" s="9">
        <v>45228</v>
      </c>
      <c r="C122" s="4" t="s">
        <v>1225</v>
      </c>
      <c r="D122" s="4" t="s">
        <v>1640</v>
      </c>
      <c r="E122" s="4" t="s">
        <v>1924</v>
      </c>
      <c r="F122" s="4">
        <v>4</v>
      </c>
      <c r="G122" s="4">
        <v>921.83</v>
      </c>
      <c r="H122" s="4">
        <v>0.27</v>
      </c>
      <c r="I122" s="4" t="s">
        <v>1996</v>
      </c>
      <c r="J122" s="10">
        <v>2691.7435999999998</v>
      </c>
      <c r="K122" s="4" t="str">
        <f t="shared" si="7"/>
        <v>29-10-2023</v>
      </c>
      <c r="L122" s="4" t="str">
        <f>TEXT(Sales_Fact!$B122,"mmm")</f>
        <v>Oct</v>
      </c>
      <c r="M122" s="4">
        <f t="shared" si="8"/>
        <v>4</v>
      </c>
      <c r="N122" s="10">
        <f t="shared" si="9"/>
        <v>921.83</v>
      </c>
      <c r="O122" s="10">
        <f t="shared" si="10"/>
        <v>2691.7436000000002</v>
      </c>
      <c r="P122" s="10">
        <f t="shared" si="11"/>
        <v>3687.32</v>
      </c>
      <c r="Q122" s="3">
        <f t="shared" si="12"/>
        <v>0.26999999999999996</v>
      </c>
      <c r="R122" s="4" t="str">
        <f>IF(Sales_Fact!$O122&gt;1000,"High","Low")</f>
        <v>High</v>
      </c>
      <c r="S122" s="4" t="str">
        <f>VLOOKUP(C122,Customer_Dim!$A:$N,9,FALSE())</f>
        <v>Kristine Higgins</v>
      </c>
      <c r="T122" s="4" t="str">
        <f>VLOOKUP(D122,Product_Dim!$A:$M,3,FALSE())</f>
        <v>Electronics</v>
      </c>
      <c r="U122" s="11" t="str">
        <f>VLOOKUP(D122,Product_Dim!$A:$M,2,FALSE())</f>
        <v>4K Home Projector</v>
      </c>
      <c r="V122" s="11" t="str">
        <f>VLOOKUP(E122,Store_Dim!$A:$E,3,FALSE())</f>
        <v>North</v>
      </c>
      <c r="W122" s="11" t="str">
        <f>VLOOKUP(C122,Customer_Dim!$A:$N,13,FALSE())</f>
        <v>Silver</v>
      </c>
      <c r="X122" s="11" t="str">
        <f t="shared" si="13"/>
        <v>High</v>
      </c>
    </row>
    <row r="123" spans="1:24" ht="15.75" customHeight="1">
      <c r="A123" s="4" t="s">
        <v>2119</v>
      </c>
      <c r="B123" s="9">
        <v>45661</v>
      </c>
      <c r="C123" s="4" t="s">
        <v>583</v>
      </c>
      <c r="D123" s="4" t="s">
        <v>1755</v>
      </c>
      <c r="E123" s="4" t="s">
        <v>1915</v>
      </c>
      <c r="F123" s="4">
        <v>3</v>
      </c>
      <c r="G123" s="4">
        <v>326.2</v>
      </c>
      <c r="H123" s="4">
        <v>0.22</v>
      </c>
      <c r="I123" s="4" t="s">
        <v>2004</v>
      </c>
      <c r="J123" s="10">
        <v>763.30799999999999</v>
      </c>
      <c r="K123" s="4" t="str">
        <f t="shared" si="7"/>
        <v>04-01-2025</v>
      </c>
      <c r="L123" s="4" t="str">
        <f>TEXT(Sales_Fact!$B123,"mmm")</f>
        <v>Jan</v>
      </c>
      <c r="M123" s="4">
        <f t="shared" si="8"/>
        <v>3</v>
      </c>
      <c r="N123" s="10">
        <f t="shared" si="9"/>
        <v>326.2</v>
      </c>
      <c r="O123" s="10">
        <f t="shared" si="10"/>
        <v>763.30799999999999</v>
      </c>
      <c r="P123" s="10">
        <f t="shared" si="11"/>
        <v>978.59999999999991</v>
      </c>
      <c r="Q123" s="3">
        <f t="shared" si="12"/>
        <v>0.21999999999999995</v>
      </c>
      <c r="R123" s="4" t="str">
        <f>IF(Sales_Fact!$O123&gt;1000,"High","Low")</f>
        <v>Low</v>
      </c>
      <c r="S123" s="4" t="str">
        <f>VLOOKUP(C123,Customer_Dim!$A:$N,9,FALSE())</f>
        <v>Daniel Contreras</v>
      </c>
      <c r="T123" s="4" t="str">
        <f>VLOOKUP(D123,Product_Dim!$A:$M,3,FALSE())</f>
        <v>Sports</v>
      </c>
      <c r="U123" s="11" t="str">
        <f>VLOOKUP(D123,Product_Dim!$A:$M,2,FALSE())</f>
        <v>Boxing Hand Wraps</v>
      </c>
      <c r="V123" s="11" t="str">
        <f>VLOOKUP(E123,Store_Dim!$A:$E,3,FALSE())</f>
        <v>North</v>
      </c>
      <c r="W123" s="11" t="str">
        <f>VLOOKUP(C123,Customer_Dim!$A:$N,13,FALSE())</f>
        <v>Platinum</v>
      </c>
      <c r="X123" s="11" t="str">
        <f t="shared" si="13"/>
        <v>Low</v>
      </c>
    </row>
    <row r="124" spans="1:24" ht="15.75" customHeight="1">
      <c r="A124" s="4" t="s">
        <v>2120</v>
      </c>
      <c r="B124" s="9">
        <v>45701</v>
      </c>
      <c r="C124" s="4" t="s">
        <v>1443</v>
      </c>
      <c r="D124" s="4" t="s">
        <v>1648</v>
      </c>
      <c r="E124" s="4" t="s">
        <v>1971</v>
      </c>
      <c r="F124" s="4">
        <v>1</v>
      </c>
      <c r="G124" s="4">
        <v>244.25</v>
      </c>
      <c r="H124" s="4">
        <v>0.09</v>
      </c>
      <c r="I124" s="4" t="s">
        <v>1998</v>
      </c>
      <c r="J124" s="10">
        <v>222.26750000000001</v>
      </c>
      <c r="K124" s="4" t="str">
        <f t="shared" si="7"/>
        <v>13-02-2025</v>
      </c>
      <c r="L124" s="4" t="str">
        <f>TEXT(Sales_Fact!$B124,"mmm")</f>
        <v>Feb</v>
      </c>
      <c r="M124" s="4">
        <f t="shared" si="8"/>
        <v>1</v>
      </c>
      <c r="N124" s="10">
        <f t="shared" si="9"/>
        <v>244.25</v>
      </c>
      <c r="O124" s="10">
        <f t="shared" si="10"/>
        <v>222.26750000000001</v>
      </c>
      <c r="P124" s="10">
        <f t="shared" si="11"/>
        <v>244.25</v>
      </c>
      <c r="Q124" s="3">
        <f t="shared" si="12"/>
        <v>8.9999999999999955E-2</v>
      </c>
      <c r="R124" s="4" t="str">
        <f>IF(Sales_Fact!$O124&gt;1000,"High","Low")</f>
        <v>Low</v>
      </c>
      <c r="S124" s="4" t="str">
        <f>VLOOKUP(C124,Customer_Dim!$A:$N,9,FALSE())</f>
        <v>Kelly Garrett</v>
      </c>
      <c r="T124" s="4" t="str">
        <f>VLOOKUP(D124,Product_Dim!$A:$M,3,FALSE())</f>
        <v>Sports</v>
      </c>
      <c r="U124" s="11" t="str">
        <f>VLOOKUP(D124,Product_Dim!$A:$M,2,FALSE())</f>
        <v>Soccer Training Cone Set</v>
      </c>
      <c r="V124" s="11" t="str">
        <f>VLOOKUP(E124,Store_Dim!$A:$E,3,FALSE())</f>
        <v>East</v>
      </c>
      <c r="W124" s="11" t="str">
        <f>VLOOKUP(C124,Customer_Dim!$A:$N,13,FALSE())</f>
        <v>Silver</v>
      </c>
      <c r="X124" s="11" t="str">
        <f t="shared" si="13"/>
        <v>Low</v>
      </c>
    </row>
    <row r="125" spans="1:24" ht="15.75" customHeight="1">
      <c r="A125" s="4" t="s">
        <v>2121</v>
      </c>
      <c r="B125" s="9">
        <v>45448</v>
      </c>
      <c r="C125" s="4" t="s">
        <v>1183</v>
      </c>
      <c r="D125" s="4" t="s">
        <v>1788</v>
      </c>
      <c r="E125" s="4" t="s">
        <v>1947</v>
      </c>
      <c r="F125" s="4">
        <v>3</v>
      </c>
      <c r="G125" s="4">
        <v>808.87</v>
      </c>
      <c r="H125" s="4">
        <v>0.12</v>
      </c>
      <c r="I125" s="4" t="s">
        <v>2004</v>
      </c>
      <c r="J125" s="10">
        <v>2135.4168</v>
      </c>
      <c r="K125" s="4" t="str">
        <f t="shared" si="7"/>
        <v>05-06-2024</v>
      </c>
      <c r="L125" s="4" t="str">
        <f>TEXT(Sales_Fact!$B125,"mmm")</f>
        <v>Jun</v>
      </c>
      <c r="M125" s="4">
        <f t="shared" si="8"/>
        <v>3</v>
      </c>
      <c r="N125" s="10">
        <f t="shared" si="9"/>
        <v>808.87</v>
      </c>
      <c r="O125" s="10">
        <f t="shared" si="10"/>
        <v>2135.4168</v>
      </c>
      <c r="P125" s="10">
        <f t="shared" si="11"/>
        <v>2426.61</v>
      </c>
      <c r="Q125" s="3">
        <f t="shared" si="12"/>
        <v>0.12000000000000006</v>
      </c>
      <c r="R125" s="4" t="str">
        <f>IF(Sales_Fact!$O125&gt;1000,"High","Low")</f>
        <v>High</v>
      </c>
      <c r="S125" s="4" t="str">
        <f>VLOOKUP(C125,Customer_Dim!$A:$N,9,FALSE())</f>
        <v>Gregory Allen</v>
      </c>
      <c r="T125" s="4" t="str">
        <f>VLOOKUP(D125,Product_Dim!$A:$M,3,FALSE())</f>
        <v>Sports</v>
      </c>
      <c r="U125" s="11" t="str">
        <f>VLOOKUP(D125,Product_Dim!$A:$M,2,FALSE())</f>
        <v>Tennis Ball 3-Pack</v>
      </c>
      <c r="V125" s="11" t="str">
        <f>VLOOKUP(E125,Store_Dim!$A:$E,3,FALSE())</f>
        <v>East</v>
      </c>
      <c r="W125" s="11" t="str">
        <f>VLOOKUP(C125,Customer_Dim!$A:$N,13,FALSE())</f>
        <v>Platinum</v>
      </c>
      <c r="X125" s="11" t="str">
        <f t="shared" si="13"/>
        <v>Low</v>
      </c>
    </row>
    <row r="126" spans="1:24" ht="15.75" customHeight="1">
      <c r="A126" s="4" t="s">
        <v>2122</v>
      </c>
      <c r="B126" s="9">
        <v>45387</v>
      </c>
      <c r="C126" s="4" t="s">
        <v>1090</v>
      </c>
      <c r="D126" s="4" t="s">
        <v>1693</v>
      </c>
      <c r="E126" s="4" t="s">
        <v>1919</v>
      </c>
      <c r="F126" s="4">
        <v>3</v>
      </c>
      <c r="G126" s="4">
        <v>826.15</v>
      </c>
      <c r="H126" s="4">
        <v>0</v>
      </c>
      <c r="I126" s="4" t="s">
        <v>1998</v>
      </c>
      <c r="J126" s="10">
        <v>2478.4499999999998</v>
      </c>
      <c r="K126" s="4" t="str">
        <f t="shared" si="7"/>
        <v>05-04-2024</v>
      </c>
      <c r="L126" s="4" t="str">
        <f>TEXT(Sales_Fact!$B126,"mmm")</f>
        <v>Apr</v>
      </c>
      <c r="M126" s="4">
        <f t="shared" si="8"/>
        <v>3</v>
      </c>
      <c r="N126" s="10">
        <f t="shared" si="9"/>
        <v>826.15</v>
      </c>
      <c r="O126" s="10">
        <f t="shared" si="10"/>
        <v>2478.4499999999998</v>
      </c>
      <c r="P126" s="10">
        <f t="shared" si="11"/>
        <v>2478.4499999999998</v>
      </c>
      <c r="Q126" s="3">
        <f t="shared" si="12"/>
        <v>0</v>
      </c>
      <c r="R126" s="4" t="str">
        <f>IF(Sales_Fact!$O126&gt;1000,"High","Low")</f>
        <v>High</v>
      </c>
      <c r="S126" s="4" t="str">
        <f>VLOOKUP(C126,Customer_Dim!$A:$N,9,FALSE())</f>
        <v>Jasmine Snyder</v>
      </c>
      <c r="T126" s="4" t="str">
        <f>VLOOKUP(D126,Product_Dim!$A:$M,3,FALSE())</f>
        <v>Sports</v>
      </c>
      <c r="U126" s="11" t="str">
        <f>VLOOKUP(D126,Product_Dim!$A:$M,2,FALSE())</f>
        <v>Basketball</v>
      </c>
      <c r="V126" s="11" t="str">
        <f>VLOOKUP(E126,Store_Dim!$A:$E,3,FALSE())</f>
        <v>South</v>
      </c>
      <c r="W126" s="11" t="str">
        <f>VLOOKUP(C126,Customer_Dim!$A:$N,13,FALSE())</f>
        <v>Silver</v>
      </c>
      <c r="X126" s="11" t="str">
        <f t="shared" si="13"/>
        <v>Low</v>
      </c>
    </row>
    <row r="127" spans="1:24" ht="15.75" customHeight="1">
      <c r="A127" s="4" t="s">
        <v>2123</v>
      </c>
      <c r="B127" s="9">
        <v>45798</v>
      </c>
      <c r="C127" s="4" t="s">
        <v>435</v>
      </c>
      <c r="D127" s="4" t="s">
        <v>1876</v>
      </c>
      <c r="E127" s="4" t="s">
        <v>1924</v>
      </c>
      <c r="F127" s="4">
        <v>2</v>
      </c>
      <c r="G127" s="4">
        <v>845.71</v>
      </c>
      <c r="H127" s="4">
        <v>0.01</v>
      </c>
      <c r="I127" s="4" t="s">
        <v>1998</v>
      </c>
      <c r="J127" s="10">
        <v>1674.5057999999999</v>
      </c>
      <c r="K127" s="4" t="str">
        <f t="shared" si="7"/>
        <v>21-05-2025</v>
      </c>
      <c r="L127" s="4" t="str">
        <f>TEXT(Sales_Fact!$B127,"mmm")</f>
        <v>May</v>
      </c>
      <c r="M127" s="4">
        <f t="shared" si="8"/>
        <v>2</v>
      </c>
      <c r="N127" s="10">
        <f t="shared" si="9"/>
        <v>845.71</v>
      </c>
      <c r="O127" s="10">
        <f t="shared" si="10"/>
        <v>1674.5058000000001</v>
      </c>
      <c r="P127" s="10">
        <f t="shared" si="11"/>
        <v>1691.42</v>
      </c>
      <c r="Q127" s="3">
        <f t="shared" si="12"/>
        <v>9.999999999999962E-3</v>
      </c>
      <c r="R127" s="4" t="str">
        <f>IF(Sales_Fact!$O127&gt;1000,"High","Low")</f>
        <v>High</v>
      </c>
      <c r="S127" s="4" t="str">
        <f>VLOOKUP(C127,Customer_Dim!$A:$N,9,FALSE())</f>
        <v>Michael Jones</v>
      </c>
      <c r="T127" s="4" t="str">
        <f>VLOOKUP(D127,Product_Dim!$A:$M,3,FALSE())</f>
        <v>Electronics</v>
      </c>
      <c r="U127" s="11" t="str">
        <f>VLOOKUP(D127,Product_Dim!$A:$M,2,FALSE())</f>
        <v>Gaming Mouse Pad XL</v>
      </c>
      <c r="V127" s="11" t="str">
        <f>VLOOKUP(E127,Store_Dim!$A:$E,3,FALSE())</f>
        <v>North</v>
      </c>
      <c r="W127" s="11" t="str">
        <f>VLOOKUP(C127,Customer_Dim!$A:$N,13,FALSE())</f>
        <v>Bronze</v>
      </c>
      <c r="X127" s="11" t="str">
        <f t="shared" si="13"/>
        <v>Low</v>
      </c>
    </row>
    <row r="128" spans="1:24" ht="15.75" customHeight="1">
      <c r="A128" s="4" t="s">
        <v>2124</v>
      </c>
      <c r="B128" s="9">
        <v>45652</v>
      </c>
      <c r="C128" s="4" t="s">
        <v>641</v>
      </c>
      <c r="D128" s="4" t="s">
        <v>1671</v>
      </c>
      <c r="E128" s="4" t="s">
        <v>1971</v>
      </c>
      <c r="F128" s="4">
        <v>3</v>
      </c>
      <c r="G128" s="4">
        <v>631.20000000000005</v>
      </c>
      <c r="H128" s="4">
        <v>0.24</v>
      </c>
      <c r="I128" s="4" t="s">
        <v>1996</v>
      </c>
      <c r="J128" s="10">
        <v>1439.136</v>
      </c>
      <c r="K128" s="4" t="str">
        <f t="shared" si="7"/>
        <v>26-12-2024</v>
      </c>
      <c r="L128" s="4" t="str">
        <f>TEXT(Sales_Fact!$B128,"mmm")</f>
        <v>Dec</v>
      </c>
      <c r="M128" s="4">
        <f t="shared" si="8"/>
        <v>3</v>
      </c>
      <c r="N128" s="10">
        <f t="shared" si="9"/>
        <v>631.20000000000005</v>
      </c>
      <c r="O128" s="10">
        <f t="shared" si="10"/>
        <v>1439.1360000000002</v>
      </c>
      <c r="P128" s="10">
        <f t="shared" si="11"/>
        <v>1893.6000000000001</v>
      </c>
      <c r="Q128" s="3">
        <f t="shared" si="12"/>
        <v>0.23999999999999996</v>
      </c>
      <c r="R128" s="4" t="str">
        <f>IF(Sales_Fact!$O128&gt;1000,"High","Low")</f>
        <v>High</v>
      </c>
      <c r="S128" s="4" t="str">
        <f>VLOOKUP(C128,Customer_Dim!$A:$N,9,FALSE())</f>
        <v>Dr. Suzanne Bullock</v>
      </c>
      <c r="T128" s="4" t="str">
        <f>VLOOKUP(D128,Product_Dim!$A:$M,3,FALSE())</f>
        <v>Sports</v>
      </c>
      <c r="U128" s="11" t="str">
        <f>VLOOKUP(D128,Product_Dim!$A:$M,2,FALSE())</f>
        <v>Foldable Camping Chair</v>
      </c>
      <c r="V128" s="11" t="str">
        <f>VLOOKUP(E128,Store_Dim!$A:$E,3,FALSE())</f>
        <v>East</v>
      </c>
      <c r="W128" s="11" t="str">
        <f>VLOOKUP(C128,Customer_Dim!$A:$N,13,FALSE())</f>
        <v>Platinum</v>
      </c>
      <c r="X128" s="11" t="str">
        <f t="shared" si="13"/>
        <v>Low</v>
      </c>
    </row>
    <row r="129" spans="1:24" ht="15.75" customHeight="1">
      <c r="A129" s="4" t="s">
        <v>2125</v>
      </c>
      <c r="B129" s="9">
        <v>45316</v>
      </c>
      <c r="C129" s="4" t="s">
        <v>900</v>
      </c>
      <c r="D129" s="4" t="s">
        <v>1779</v>
      </c>
      <c r="E129" s="4" t="s">
        <v>1947</v>
      </c>
      <c r="F129" s="4">
        <v>1</v>
      </c>
      <c r="G129" s="4">
        <v>937.01</v>
      </c>
      <c r="H129" s="4">
        <v>7.0000000000000007E-2</v>
      </c>
      <c r="I129" s="4" t="s">
        <v>1996</v>
      </c>
      <c r="J129" s="10">
        <v>871.41930000000002</v>
      </c>
      <c r="K129" s="4" t="str">
        <f t="shared" si="7"/>
        <v>25-01-2024</v>
      </c>
      <c r="L129" s="4" t="str">
        <f>TEXT(Sales_Fact!$B129,"mmm")</f>
        <v>Jan</v>
      </c>
      <c r="M129" s="4">
        <f t="shared" si="8"/>
        <v>1</v>
      </c>
      <c r="N129" s="10">
        <f t="shared" si="9"/>
        <v>937.01</v>
      </c>
      <c r="O129" s="10">
        <f t="shared" si="10"/>
        <v>871.41929999999991</v>
      </c>
      <c r="P129" s="10">
        <f t="shared" si="11"/>
        <v>937.01</v>
      </c>
      <c r="Q129" s="3">
        <f t="shared" si="12"/>
        <v>7.000000000000009E-2</v>
      </c>
      <c r="R129" s="4" t="str">
        <f>IF(Sales_Fact!$O129&gt;1000,"High","Low")</f>
        <v>Low</v>
      </c>
      <c r="S129" s="4" t="str">
        <f>VLOOKUP(C129,Customer_Dim!$A:$N,9,FALSE())</f>
        <v>Sarah Lane</v>
      </c>
      <c r="T129" s="4" t="str">
        <f>VLOOKUP(D129,Product_Dim!$A:$M,3,FALSE())</f>
        <v>Clothing</v>
      </c>
      <c r="U129" s="11" t="str">
        <f>VLOOKUP(D129,Product_Dim!$A:$M,2,FALSE())</f>
        <v>Womens Cotton Scarf</v>
      </c>
      <c r="V129" s="11" t="str">
        <f>VLOOKUP(E129,Store_Dim!$A:$E,3,FALSE())</f>
        <v>East</v>
      </c>
      <c r="W129" s="11" t="str">
        <f>VLOOKUP(C129,Customer_Dim!$A:$N,13,FALSE())</f>
        <v>Silver</v>
      </c>
      <c r="X129" s="11" t="str">
        <f t="shared" si="13"/>
        <v>Low</v>
      </c>
    </row>
    <row r="130" spans="1:24" ht="15.75" customHeight="1">
      <c r="A130" s="4" t="s">
        <v>2126</v>
      </c>
      <c r="B130" s="9">
        <v>45316</v>
      </c>
      <c r="C130" s="4" t="s">
        <v>532</v>
      </c>
      <c r="D130" s="4" t="s">
        <v>1825</v>
      </c>
      <c r="E130" s="4" t="s">
        <v>1931</v>
      </c>
      <c r="F130" s="4">
        <v>2</v>
      </c>
      <c r="G130" s="4">
        <v>644</v>
      </c>
      <c r="H130" s="4">
        <v>0.04</v>
      </c>
      <c r="I130" s="4" t="s">
        <v>1998</v>
      </c>
      <c r="J130" s="10">
        <v>1236.48</v>
      </c>
      <c r="K130" s="4" t="str">
        <f t="shared" ref="K130:K193" si="14">TEXT(B130,"dd-mm-yyyy")</f>
        <v>25-01-2024</v>
      </c>
      <c r="L130" s="4" t="str">
        <f>TEXT(Sales_Fact!$B130,"mmm")</f>
        <v>Jan</v>
      </c>
      <c r="M130" s="4">
        <f t="shared" ref="M130:M193" si="15">IF(ISBLANK(F130),1,F130)</f>
        <v>2</v>
      </c>
      <c r="N130" s="10">
        <f t="shared" ref="N130:N193" si="16">ROUNDUP(IF(ISBLANK(G130),AVERAGE(C:C,G130,G:G),G130),2)</f>
        <v>644</v>
      </c>
      <c r="O130" s="10">
        <f t="shared" ref="O130:O193" si="17">M130*N130*(1-H130)</f>
        <v>1236.48</v>
      </c>
      <c r="P130" s="10">
        <f t="shared" ref="P130:P193" si="18">M130*N130</f>
        <v>1288</v>
      </c>
      <c r="Q130" s="3">
        <f t="shared" ref="Q130:Q193" si="19">(P130-O130)/P130</f>
        <v>3.9999999999999987E-2</v>
      </c>
      <c r="R130" s="4" t="str">
        <f>IF(Sales_Fact!$O130&gt;1000,"High","Low")</f>
        <v>High</v>
      </c>
      <c r="S130" s="4" t="str">
        <f>VLOOKUP(C130,Customer_Dim!$A:$N,9,FALSE())</f>
        <v>Michael Davies</v>
      </c>
      <c r="T130" s="4" t="str">
        <f>VLOOKUP(D130,Product_Dim!$A:$M,3,FALSE())</f>
        <v>Sports</v>
      </c>
      <c r="U130" s="11" t="str">
        <f>VLOOKUP(D130,Product_Dim!$A:$M,2,FALSE())</f>
        <v>Shin Guards – Adult</v>
      </c>
      <c r="V130" s="11" t="str">
        <f>VLOOKUP(E130,Store_Dim!$A:$E,3,FALSE())</f>
        <v>North</v>
      </c>
      <c r="W130" s="11" t="str">
        <f>VLOOKUP(C130,Customer_Dim!$A:$N,13,FALSE())</f>
        <v>Gold</v>
      </c>
      <c r="X130" s="11" t="str">
        <f t="shared" ref="X130:X193" si="20">IF(F130&gt;3,"High","Low")</f>
        <v>Low</v>
      </c>
    </row>
    <row r="131" spans="1:24" ht="15.75" customHeight="1">
      <c r="A131" s="4" t="s">
        <v>2127</v>
      </c>
      <c r="B131" s="9">
        <v>45888</v>
      </c>
      <c r="C131" s="4" t="s">
        <v>359</v>
      </c>
      <c r="D131" s="4" t="s">
        <v>1879</v>
      </c>
      <c r="E131" s="4" t="s">
        <v>1931</v>
      </c>
      <c r="F131" s="4">
        <v>3</v>
      </c>
      <c r="G131" s="4">
        <v>629.58000000000004</v>
      </c>
      <c r="H131" s="4">
        <v>0.05</v>
      </c>
      <c r="I131" s="4" t="s">
        <v>1996</v>
      </c>
      <c r="J131" s="10">
        <v>1794.3030000000001</v>
      </c>
      <c r="K131" s="4" t="str">
        <f t="shared" si="14"/>
        <v>19-08-2025</v>
      </c>
      <c r="L131" s="4" t="str">
        <f>TEXT(Sales_Fact!$B131,"mmm")</f>
        <v>Aug</v>
      </c>
      <c r="M131" s="4">
        <f t="shared" si="15"/>
        <v>3</v>
      </c>
      <c r="N131" s="10">
        <f t="shared" si="16"/>
        <v>629.58000000000004</v>
      </c>
      <c r="O131" s="10">
        <f t="shared" si="17"/>
        <v>1794.3030000000001</v>
      </c>
      <c r="P131" s="10">
        <f t="shared" si="18"/>
        <v>1888.7400000000002</v>
      </c>
      <c r="Q131" s="3">
        <f t="shared" si="19"/>
        <v>5.0000000000000058E-2</v>
      </c>
      <c r="R131" s="4" t="str">
        <f>IF(Sales_Fact!$O131&gt;1000,"High","Low")</f>
        <v>High</v>
      </c>
      <c r="S131" s="4" t="str">
        <f>VLOOKUP(C131,Customer_Dim!$A:$N,9,FALSE())</f>
        <v>David Patterson</v>
      </c>
      <c r="T131" s="4" t="str">
        <f>VLOOKUP(D131,Product_Dim!$A:$M,3,FALSE())</f>
        <v>Clothing</v>
      </c>
      <c r="U131" s="11" t="str">
        <f>VLOOKUP(D131,Product_Dim!$A:$M,2,FALSE())</f>
        <v>Women's High Heels</v>
      </c>
      <c r="V131" s="11" t="str">
        <f>VLOOKUP(E131,Store_Dim!$A:$E,3,FALSE())</f>
        <v>North</v>
      </c>
      <c r="W131" s="11" t="str">
        <f>VLOOKUP(C131,Customer_Dim!$A:$N,13,FALSE())</f>
        <v>Gold</v>
      </c>
      <c r="X131" s="11" t="str">
        <f t="shared" si="20"/>
        <v>Low</v>
      </c>
    </row>
    <row r="132" spans="1:24" ht="15.75" customHeight="1">
      <c r="A132" s="4" t="s">
        <v>2128</v>
      </c>
      <c r="B132" s="9">
        <v>45791</v>
      </c>
      <c r="C132" s="4" t="s">
        <v>1466</v>
      </c>
      <c r="D132" s="4" t="s">
        <v>1867</v>
      </c>
      <c r="E132" s="4" t="s">
        <v>1919</v>
      </c>
      <c r="F132" s="4">
        <v>2</v>
      </c>
      <c r="G132" s="4">
        <v>121.52</v>
      </c>
      <c r="H132" s="4">
        <v>0.18</v>
      </c>
      <c r="I132" s="4" t="s">
        <v>2004</v>
      </c>
      <c r="J132" s="10">
        <v>199.2928</v>
      </c>
      <c r="K132" s="4" t="str">
        <f t="shared" si="14"/>
        <v>14-05-2025</v>
      </c>
      <c r="L132" s="4" t="str">
        <f>TEXT(Sales_Fact!$B132,"mmm")</f>
        <v>May</v>
      </c>
      <c r="M132" s="4">
        <f t="shared" si="15"/>
        <v>2</v>
      </c>
      <c r="N132" s="10">
        <f t="shared" si="16"/>
        <v>121.52</v>
      </c>
      <c r="O132" s="10">
        <f t="shared" si="17"/>
        <v>199.2928</v>
      </c>
      <c r="P132" s="10">
        <f t="shared" si="18"/>
        <v>243.04</v>
      </c>
      <c r="Q132" s="3">
        <f t="shared" si="19"/>
        <v>0.17999999999999997</v>
      </c>
      <c r="R132" s="4" t="str">
        <f>IF(Sales_Fact!$O132&gt;1000,"High","Low")</f>
        <v>Low</v>
      </c>
      <c r="S132" s="4" t="str">
        <f>VLOOKUP(C132,Customer_Dim!$A:$N,9,FALSE())</f>
        <v>Cynthia Parrish</v>
      </c>
      <c r="T132" s="4" t="str">
        <f>VLOOKUP(D132,Product_Dim!$A:$M,3,FALSE())</f>
        <v>Home</v>
      </c>
      <c r="U132" s="11" t="str">
        <f>VLOOKUP(D132,Product_Dim!$A:$M,2,FALSE())</f>
        <v>LED Bedside Lamp</v>
      </c>
      <c r="V132" s="11" t="str">
        <f>VLOOKUP(E132,Store_Dim!$A:$E,3,FALSE())</f>
        <v>South</v>
      </c>
      <c r="W132" s="11" t="str">
        <f>VLOOKUP(C132,Customer_Dim!$A:$N,13,FALSE())</f>
        <v>Silver</v>
      </c>
      <c r="X132" s="11" t="str">
        <f t="shared" si="20"/>
        <v>Low</v>
      </c>
    </row>
    <row r="133" spans="1:24" ht="15.75" customHeight="1">
      <c r="A133" s="4" t="s">
        <v>2129</v>
      </c>
      <c r="B133" s="9">
        <v>45420</v>
      </c>
      <c r="C133" s="4" t="s">
        <v>1278</v>
      </c>
      <c r="D133" s="4" t="s">
        <v>1800</v>
      </c>
      <c r="E133" s="4" t="s">
        <v>1971</v>
      </c>
      <c r="F133" s="4">
        <v>2</v>
      </c>
      <c r="G133" s="4">
        <v>549.83000000000004</v>
      </c>
      <c r="H133" s="4">
        <v>7.0000000000000007E-2</v>
      </c>
      <c r="I133" s="4" t="s">
        <v>1998</v>
      </c>
      <c r="J133" s="10">
        <v>1022.6838</v>
      </c>
      <c r="K133" s="4" t="str">
        <f t="shared" si="14"/>
        <v>08-05-2024</v>
      </c>
      <c r="L133" s="4" t="str">
        <f>TEXT(Sales_Fact!$B133,"mmm")</f>
        <v>May</v>
      </c>
      <c r="M133" s="4">
        <f t="shared" si="15"/>
        <v>2</v>
      </c>
      <c r="N133" s="10">
        <f t="shared" si="16"/>
        <v>549.83000000000004</v>
      </c>
      <c r="O133" s="10">
        <f t="shared" si="17"/>
        <v>1022.6838</v>
      </c>
      <c r="P133" s="10">
        <f t="shared" si="18"/>
        <v>1099.6600000000001</v>
      </c>
      <c r="Q133" s="3">
        <f t="shared" si="19"/>
        <v>7.0000000000000048E-2</v>
      </c>
      <c r="R133" s="4" t="str">
        <f>IF(Sales_Fact!$O133&gt;1000,"High","Low")</f>
        <v>High</v>
      </c>
      <c r="S133" s="4" t="str">
        <f>VLOOKUP(C133,Customer_Dim!$A:$N,9,FALSE())</f>
        <v>Terry Moses</v>
      </c>
      <c r="T133" s="4" t="str">
        <f>VLOOKUP(D133,Product_Dim!$A:$M,3,FALSE())</f>
        <v>Sports</v>
      </c>
      <c r="U133" s="11" t="str">
        <f>VLOOKUP(D133,Product_Dim!$A:$M,2,FALSE())</f>
        <v>Adjustable Dumbbells 20kg</v>
      </c>
      <c r="V133" s="11" t="str">
        <f>VLOOKUP(E133,Store_Dim!$A:$E,3,FALSE())</f>
        <v>East</v>
      </c>
      <c r="W133" s="11" t="str">
        <f>VLOOKUP(C133,Customer_Dim!$A:$N,13,FALSE())</f>
        <v>Platinum</v>
      </c>
      <c r="X133" s="11" t="str">
        <f t="shared" si="20"/>
        <v>Low</v>
      </c>
    </row>
    <row r="134" spans="1:24" ht="15.75" customHeight="1">
      <c r="A134" s="4" t="s">
        <v>2130</v>
      </c>
      <c r="B134" s="9">
        <v>45219</v>
      </c>
      <c r="C134" s="4" t="s">
        <v>499</v>
      </c>
      <c r="D134" s="4" t="s">
        <v>1633</v>
      </c>
      <c r="E134" s="4" t="s">
        <v>1940</v>
      </c>
      <c r="F134" s="4">
        <v>3</v>
      </c>
      <c r="G134" s="4">
        <v>278.38</v>
      </c>
      <c r="H134" s="4">
        <v>0.03</v>
      </c>
      <c r="I134" s="4" t="s">
        <v>1996</v>
      </c>
      <c r="J134" s="10">
        <v>810.08579999999995</v>
      </c>
      <c r="K134" s="4" t="str">
        <f t="shared" si="14"/>
        <v>20-10-2023</v>
      </c>
      <c r="L134" s="4" t="str">
        <f>TEXT(Sales_Fact!$B134,"mmm")</f>
        <v>Oct</v>
      </c>
      <c r="M134" s="4">
        <f t="shared" si="15"/>
        <v>3</v>
      </c>
      <c r="N134" s="10">
        <f t="shared" si="16"/>
        <v>278.38</v>
      </c>
      <c r="O134" s="10">
        <f t="shared" si="17"/>
        <v>810.08579999999995</v>
      </c>
      <c r="P134" s="10">
        <f t="shared" si="18"/>
        <v>835.14</v>
      </c>
      <c r="Q134" s="3">
        <f t="shared" si="19"/>
        <v>3.0000000000000044E-2</v>
      </c>
      <c r="R134" s="4" t="str">
        <f>IF(Sales_Fact!$O134&gt;1000,"High","Low")</f>
        <v>Low</v>
      </c>
      <c r="S134" s="4" t="str">
        <f>VLOOKUP(C134,Customer_Dim!$A:$N,9,FALSE())</f>
        <v>Patty Francis</v>
      </c>
      <c r="T134" s="4" t="str">
        <f>VLOOKUP(D134,Product_Dim!$A:$M,3,FALSE())</f>
        <v>Electronics</v>
      </c>
      <c r="U134" s="11" t="str">
        <f>VLOOKUP(D134,Product_Dim!$A:$M,2,FALSE())</f>
        <v>USB-C Fast Charger</v>
      </c>
      <c r="V134" s="11" t="str">
        <f>VLOOKUP(E134,Store_Dim!$A:$E,3,FALSE())</f>
        <v>West</v>
      </c>
      <c r="W134" s="11" t="str">
        <f>VLOOKUP(C134,Customer_Dim!$A:$N,13,FALSE())</f>
        <v>Gold</v>
      </c>
      <c r="X134" s="11" t="str">
        <f t="shared" si="20"/>
        <v>Low</v>
      </c>
    </row>
    <row r="135" spans="1:24" ht="15.75" customHeight="1">
      <c r="A135" s="4" t="s">
        <v>2131</v>
      </c>
      <c r="B135" s="9">
        <v>45510</v>
      </c>
      <c r="C135" s="4" t="s">
        <v>1384</v>
      </c>
      <c r="D135" s="4" t="s">
        <v>1894</v>
      </c>
      <c r="E135" s="4" t="s">
        <v>1924</v>
      </c>
      <c r="F135" s="4">
        <v>4</v>
      </c>
      <c r="G135" s="4">
        <v>723.66</v>
      </c>
      <c r="H135" s="4">
        <v>0.03</v>
      </c>
      <c r="I135" s="4" t="s">
        <v>1998</v>
      </c>
      <c r="J135" s="10">
        <v>2807.8008</v>
      </c>
      <c r="K135" s="4" t="str">
        <f t="shared" si="14"/>
        <v>06-08-2024</v>
      </c>
      <c r="L135" s="4" t="str">
        <f>TEXT(Sales_Fact!$B135,"mmm")</f>
        <v>Aug</v>
      </c>
      <c r="M135" s="4">
        <f t="shared" si="15"/>
        <v>4</v>
      </c>
      <c r="N135" s="10">
        <f t="shared" si="16"/>
        <v>723.66</v>
      </c>
      <c r="O135" s="10">
        <f t="shared" si="17"/>
        <v>2807.8008</v>
      </c>
      <c r="P135" s="10">
        <f t="shared" si="18"/>
        <v>2894.64</v>
      </c>
      <c r="Q135" s="3">
        <f t="shared" si="19"/>
        <v>2.9999999999999964E-2</v>
      </c>
      <c r="R135" s="4" t="str">
        <f>IF(Sales_Fact!$O135&gt;1000,"High","Low")</f>
        <v>High</v>
      </c>
      <c r="S135" s="4" t="str">
        <f>VLOOKUP(C135,Customer_Dim!$A:$N,9,FALSE())</f>
        <v>Melinda Rivera</v>
      </c>
      <c r="T135" s="4" t="str">
        <f>VLOOKUP(D135,Product_Dim!$A:$M,3,FALSE())</f>
        <v>Clothing</v>
      </c>
      <c r="U135" s="11" t="str">
        <f>VLOOKUP(D135,Product_Dim!$A:$M,2,FALSE())</f>
        <v>Women's Formal Blazer</v>
      </c>
      <c r="V135" s="11" t="str">
        <f>VLOOKUP(E135,Store_Dim!$A:$E,3,FALSE())</f>
        <v>North</v>
      </c>
      <c r="W135" s="11" t="str">
        <f>VLOOKUP(C135,Customer_Dim!$A:$N,13,FALSE())</f>
        <v>Platinum</v>
      </c>
      <c r="X135" s="11" t="str">
        <f t="shared" si="20"/>
        <v>High</v>
      </c>
    </row>
    <row r="136" spans="1:24" ht="15.75" customHeight="1">
      <c r="A136" s="4" t="s">
        <v>2132</v>
      </c>
      <c r="B136" s="9">
        <v>45687</v>
      </c>
      <c r="C136" s="4" t="s">
        <v>694</v>
      </c>
      <c r="D136" s="4" t="s">
        <v>1822</v>
      </c>
      <c r="E136" s="4" t="s">
        <v>1944</v>
      </c>
      <c r="F136" s="4">
        <v>1</v>
      </c>
      <c r="G136" s="4">
        <v>724.74</v>
      </c>
      <c r="H136" s="4">
        <v>0.15</v>
      </c>
      <c r="I136" s="4" t="s">
        <v>1998</v>
      </c>
      <c r="J136" s="10">
        <v>616.029</v>
      </c>
      <c r="K136" s="4" t="str">
        <f t="shared" si="14"/>
        <v>30-01-2025</v>
      </c>
      <c r="L136" s="4" t="str">
        <f>TEXT(Sales_Fact!$B136,"mmm")</f>
        <v>Jan</v>
      </c>
      <c r="M136" s="4">
        <f t="shared" si="15"/>
        <v>1</v>
      </c>
      <c r="N136" s="10">
        <f t="shared" si="16"/>
        <v>724.74</v>
      </c>
      <c r="O136" s="10">
        <f t="shared" si="17"/>
        <v>616.029</v>
      </c>
      <c r="P136" s="10">
        <f t="shared" si="18"/>
        <v>724.74</v>
      </c>
      <c r="Q136" s="3">
        <f t="shared" si="19"/>
        <v>0.15000000000000002</v>
      </c>
      <c r="R136" s="4" t="str">
        <f>IF(Sales_Fact!$O136&gt;1000,"High","Low")</f>
        <v>Low</v>
      </c>
      <c r="S136" s="4" t="str">
        <f>VLOOKUP(C136,Customer_Dim!$A:$N,9,FALSE())</f>
        <v>Michelle Carpenter</v>
      </c>
      <c r="T136" s="4" t="str">
        <f>VLOOKUP(D136,Product_Dim!$A:$M,3,FALSE())</f>
        <v>Sports</v>
      </c>
      <c r="U136" s="11" t="str">
        <f>VLOOKUP(D136,Product_Dim!$A:$M,2,FALSE())</f>
        <v>Professional Jump Rope</v>
      </c>
      <c r="V136" s="11" t="str">
        <f>VLOOKUP(E136,Store_Dim!$A:$E,3,FALSE())</f>
        <v>South</v>
      </c>
      <c r="W136" s="11" t="str">
        <f>VLOOKUP(C136,Customer_Dim!$A:$N,13,FALSE())</f>
        <v>Gold</v>
      </c>
      <c r="X136" s="11" t="str">
        <f t="shared" si="20"/>
        <v>Low</v>
      </c>
    </row>
    <row r="137" spans="1:24" ht="15.75" customHeight="1">
      <c r="A137" s="4" t="s">
        <v>2133</v>
      </c>
      <c r="B137" s="9">
        <v>45271</v>
      </c>
      <c r="C137" s="4" t="s">
        <v>1434</v>
      </c>
      <c r="D137" s="4" t="s">
        <v>1661</v>
      </c>
      <c r="E137" s="4" t="s">
        <v>1927</v>
      </c>
      <c r="F137" s="4">
        <v>2</v>
      </c>
      <c r="G137" s="4">
        <v>961.84</v>
      </c>
      <c r="H137" s="4">
        <v>0.25</v>
      </c>
      <c r="I137" s="4" t="s">
        <v>1998</v>
      </c>
      <c r="J137" s="10">
        <v>1442.76</v>
      </c>
      <c r="K137" s="4" t="str">
        <f t="shared" si="14"/>
        <v>11-12-2023</v>
      </c>
      <c r="L137" s="4" t="str">
        <f>TEXT(Sales_Fact!$B137,"mmm")</f>
        <v>Dec</v>
      </c>
      <c r="M137" s="4">
        <f t="shared" si="15"/>
        <v>2</v>
      </c>
      <c r="N137" s="10">
        <f t="shared" si="16"/>
        <v>961.84</v>
      </c>
      <c r="O137" s="10">
        <f t="shared" si="17"/>
        <v>1442.76</v>
      </c>
      <c r="P137" s="10">
        <f t="shared" si="18"/>
        <v>1923.68</v>
      </c>
      <c r="Q137" s="3">
        <f t="shared" si="19"/>
        <v>0.25000000000000006</v>
      </c>
      <c r="R137" s="4" t="str">
        <f>IF(Sales_Fact!$O137&gt;1000,"High","Low")</f>
        <v>High</v>
      </c>
      <c r="S137" s="4" t="str">
        <f>VLOOKUP(C137,Customer_Dim!$A:$N,9,FALSE())</f>
        <v>Tyler Weber</v>
      </c>
      <c r="T137" s="4" t="str">
        <f>VLOOKUP(D137,Product_Dim!$A:$M,3,FALSE())</f>
        <v>Home</v>
      </c>
      <c r="U137" s="11" t="str">
        <f>VLOOKUP(D137,Product_Dim!$A:$M,2,FALSE())</f>
        <v>Multi-Purpose Storage Box</v>
      </c>
      <c r="V137" s="11" t="str">
        <f>VLOOKUP(E137,Store_Dim!$A:$E,3,FALSE())</f>
        <v>South</v>
      </c>
      <c r="W137" s="11" t="str">
        <f>VLOOKUP(C137,Customer_Dim!$A:$N,13,FALSE())</f>
        <v>Gold</v>
      </c>
      <c r="X137" s="11" t="str">
        <f t="shared" si="20"/>
        <v>Low</v>
      </c>
    </row>
    <row r="138" spans="1:24" ht="15.75" customHeight="1">
      <c r="A138" s="4" t="s">
        <v>2134</v>
      </c>
      <c r="B138" s="9">
        <v>45705</v>
      </c>
      <c r="C138" s="4" t="s">
        <v>335</v>
      </c>
      <c r="D138" s="4" t="s">
        <v>1834</v>
      </c>
      <c r="E138" s="4" t="s">
        <v>1955</v>
      </c>
      <c r="F138" s="4">
        <v>3</v>
      </c>
      <c r="G138" s="4">
        <v>948.69</v>
      </c>
      <c r="H138" s="4">
        <v>0.28999999999999998</v>
      </c>
      <c r="I138" s="4" t="s">
        <v>1996</v>
      </c>
      <c r="J138" s="10">
        <v>2020.7097000000001</v>
      </c>
      <c r="K138" s="4" t="str">
        <f t="shared" si="14"/>
        <v>17-02-2025</v>
      </c>
      <c r="L138" s="4" t="str">
        <f>TEXT(Sales_Fact!$B138,"mmm")</f>
        <v>Feb</v>
      </c>
      <c r="M138" s="4">
        <f t="shared" si="15"/>
        <v>3</v>
      </c>
      <c r="N138" s="10">
        <f t="shared" si="16"/>
        <v>948.69</v>
      </c>
      <c r="O138" s="10">
        <f t="shared" si="17"/>
        <v>2020.7097000000001</v>
      </c>
      <c r="P138" s="10">
        <f t="shared" si="18"/>
        <v>2846.07</v>
      </c>
      <c r="Q138" s="3">
        <f t="shared" si="19"/>
        <v>0.28999999999999998</v>
      </c>
      <c r="R138" s="4" t="str">
        <f>IF(Sales_Fact!$O138&gt;1000,"High","Low")</f>
        <v>High</v>
      </c>
      <c r="S138" s="4" t="str">
        <f>VLOOKUP(C138,Customer_Dim!$A:$N,9,FALSE())</f>
        <v>Melissa Duffy Md</v>
      </c>
      <c r="T138" s="4" t="str">
        <f>VLOOKUP(D138,Product_Dim!$A:$M,3,FALSE())</f>
        <v>Electronics</v>
      </c>
      <c r="U138" s="11" t="str">
        <f>VLOOKUP(D138,Product_Dim!$A:$M,2,FALSE())</f>
        <v>Wireless Mouse</v>
      </c>
      <c r="V138" s="11" t="str">
        <f>VLOOKUP(E138,Store_Dim!$A:$E,3,FALSE())</f>
        <v>East</v>
      </c>
      <c r="W138" s="11" t="str">
        <f>VLOOKUP(C138,Customer_Dim!$A:$N,13,FALSE())</f>
        <v>Bronze</v>
      </c>
      <c r="X138" s="11" t="str">
        <f t="shared" si="20"/>
        <v>Low</v>
      </c>
    </row>
    <row r="139" spans="1:24" ht="15.75" customHeight="1">
      <c r="A139" s="4" t="s">
        <v>2135</v>
      </c>
      <c r="B139" s="9">
        <v>45446</v>
      </c>
      <c r="C139" s="4" t="s">
        <v>109</v>
      </c>
      <c r="D139" s="4" t="s">
        <v>1712</v>
      </c>
      <c r="E139" s="4" t="s">
        <v>1962</v>
      </c>
      <c r="F139" s="4">
        <v>4</v>
      </c>
      <c r="G139" s="4">
        <v>21.12</v>
      </c>
      <c r="H139" s="4">
        <v>0.18</v>
      </c>
      <c r="I139" s="4" t="s">
        <v>2004</v>
      </c>
      <c r="J139" s="10">
        <v>69.273600000000002</v>
      </c>
      <c r="K139" s="4" t="str">
        <f t="shared" si="14"/>
        <v>03-06-2024</v>
      </c>
      <c r="L139" s="4" t="str">
        <f>TEXT(Sales_Fact!$B139,"mmm")</f>
        <v>Jun</v>
      </c>
      <c r="M139" s="4">
        <f t="shared" si="15"/>
        <v>4</v>
      </c>
      <c r="N139" s="10">
        <f t="shared" si="16"/>
        <v>21.12</v>
      </c>
      <c r="O139" s="10">
        <f t="shared" si="17"/>
        <v>69.273600000000002</v>
      </c>
      <c r="P139" s="10">
        <f t="shared" si="18"/>
        <v>84.48</v>
      </c>
      <c r="Q139" s="3">
        <f t="shared" si="19"/>
        <v>0.18000000000000002</v>
      </c>
      <c r="R139" s="4" t="str">
        <f>IF(Sales_Fact!$O139&gt;1000,"High","Low")</f>
        <v>Low</v>
      </c>
      <c r="S139" s="4" t="str">
        <f>VLOOKUP(C139,Customer_Dim!$A:$N,9,FALSE())</f>
        <v>Bridget Allen</v>
      </c>
      <c r="T139" s="4" t="str">
        <f>VLOOKUP(D139,Product_Dim!$A:$M,3,FALSE())</f>
        <v>Clothing</v>
      </c>
      <c r="U139" s="11" t="str">
        <f>VLOOKUP(D139,Product_Dim!$A:$M,2,FALSE())</f>
        <v>Men's Casual Sneakers</v>
      </c>
      <c r="V139" s="11" t="str">
        <f>VLOOKUP(E139,Store_Dim!$A:$E,3,FALSE())</f>
        <v>West</v>
      </c>
      <c r="W139" s="11" t="str">
        <f>VLOOKUP(C139,Customer_Dim!$A:$N,13,FALSE())</f>
        <v>Silver</v>
      </c>
      <c r="X139" s="11" t="str">
        <f t="shared" si="20"/>
        <v>High</v>
      </c>
    </row>
    <row r="140" spans="1:24" ht="15.75" customHeight="1">
      <c r="A140" s="4" t="s">
        <v>2136</v>
      </c>
      <c r="B140" s="9">
        <v>45579</v>
      </c>
      <c r="C140" s="4" t="s">
        <v>1033</v>
      </c>
      <c r="D140" s="4" t="s">
        <v>1578</v>
      </c>
      <c r="E140" s="4" t="s">
        <v>1927</v>
      </c>
      <c r="F140" s="4">
        <v>3</v>
      </c>
      <c r="G140" s="4">
        <v>819.93</v>
      </c>
      <c r="H140" s="4">
        <v>0.08</v>
      </c>
      <c r="I140" s="4" t="s">
        <v>1998</v>
      </c>
      <c r="J140" s="10">
        <v>2263.0068000000001</v>
      </c>
      <c r="K140" s="4" t="str">
        <f t="shared" si="14"/>
        <v>14-10-2024</v>
      </c>
      <c r="L140" s="4" t="str">
        <f>TEXT(Sales_Fact!$B140,"mmm")</f>
        <v>Oct</v>
      </c>
      <c r="M140" s="4">
        <f t="shared" si="15"/>
        <v>3</v>
      </c>
      <c r="N140" s="10">
        <f t="shared" si="16"/>
        <v>819.93</v>
      </c>
      <c r="O140" s="10">
        <f t="shared" si="17"/>
        <v>2263.0068000000001</v>
      </c>
      <c r="P140" s="10">
        <f t="shared" si="18"/>
        <v>2459.79</v>
      </c>
      <c r="Q140" s="3">
        <f t="shared" si="19"/>
        <v>7.9999999999999946E-2</v>
      </c>
      <c r="R140" s="4" t="str">
        <f>IF(Sales_Fact!$O140&gt;1000,"High","Low")</f>
        <v>High</v>
      </c>
      <c r="S140" s="4" t="str">
        <f>VLOOKUP(C140,Customer_Dim!$A:$N,9,FALSE())</f>
        <v>Casey Simpson</v>
      </c>
      <c r="T140" s="4" t="str">
        <f>VLOOKUP(D140,Product_Dim!$A:$M,3,FALSE())</f>
        <v>Electronics</v>
      </c>
      <c r="U140" s="11" t="str">
        <f>VLOOKUP(D140,Product_Dim!$A:$M,2,FALSE())</f>
        <v>Brother Laser Printer</v>
      </c>
      <c r="V140" s="11" t="str">
        <f>VLOOKUP(E140,Store_Dim!$A:$E,3,FALSE())</f>
        <v>South</v>
      </c>
      <c r="W140" s="11" t="str">
        <f>VLOOKUP(C140,Customer_Dim!$A:$N,13,FALSE())</f>
        <v>Platinum</v>
      </c>
      <c r="X140" s="11" t="str">
        <f t="shared" si="20"/>
        <v>Low</v>
      </c>
    </row>
    <row r="141" spans="1:24" ht="15.75" customHeight="1">
      <c r="A141" s="4" t="s">
        <v>2137</v>
      </c>
      <c r="B141" s="9">
        <v>45725</v>
      </c>
      <c r="C141" s="4" t="s">
        <v>960</v>
      </c>
      <c r="D141" s="4" t="s">
        <v>1729</v>
      </c>
      <c r="E141" s="4" t="s">
        <v>1910</v>
      </c>
      <c r="F141" s="4">
        <v>2</v>
      </c>
      <c r="G141" s="4">
        <v>700.95</v>
      </c>
      <c r="H141" s="4">
        <v>0.18</v>
      </c>
      <c r="I141" s="4" t="s">
        <v>1996</v>
      </c>
      <c r="J141" s="10">
        <v>1149.558</v>
      </c>
      <c r="K141" s="4" t="str">
        <f t="shared" si="14"/>
        <v>09-03-2025</v>
      </c>
      <c r="L141" s="4" t="str">
        <f>TEXT(Sales_Fact!$B141,"mmm")</f>
        <v>Mar</v>
      </c>
      <c r="M141" s="4">
        <f t="shared" si="15"/>
        <v>2</v>
      </c>
      <c r="N141" s="10">
        <f t="shared" si="16"/>
        <v>700.95</v>
      </c>
      <c r="O141" s="10">
        <f t="shared" si="17"/>
        <v>1149.5580000000002</v>
      </c>
      <c r="P141" s="10">
        <f t="shared" si="18"/>
        <v>1401.9</v>
      </c>
      <c r="Q141" s="3">
        <f t="shared" si="19"/>
        <v>0.17999999999999988</v>
      </c>
      <c r="R141" s="4" t="str">
        <f>IF(Sales_Fact!$O141&gt;1000,"High","Low")</f>
        <v>High</v>
      </c>
      <c r="S141" s="4" t="str">
        <f>VLOOKUP(C141,Customer_Dim!$A:$N,9,FALSE())</f>
        <v>Lisa Chandler</v>
      </c>
      <c r="T141" s="4" t="str">
        <f>VLOOKUP(D141,Product_Dim!$A:$M,3,FALSE())</f>
        <v>Electronics</v>
      </c>
      <c r="U141" s="11" t="str">
        <f>VLOOKUP(D141,Product_Dim!$A:$M,2,FALSE())</f>
        <v>Smart Home WiFi Camera</v>
      </c>
      <c r="V141" s="11" t="str">
        <f>VLOOKUP(E141,Store_Dim!$A:$E,3,FALSE())</f>
        <v>East</v>
      </c>
      <c r="W141" s="11" t="str">
        <f>VLOOKUP(C141,Customer_Dim!$A:$N,13,FALSE())</f>
        <v>Platinum</v>
      </c>
      <c r="X141" s="11" t="str">
        <f t="shared" si="20"/>
        <v>Low</v>
      </c>
    </row>
    <row r="142" spans="1:24" ht="15.75" customHeight="1">
      <c r="A142" s="4" t="s">
        <v>2138</v>
      </c>
      <c r="B142" s="9">
        <v>45910</v>
      </c>
      <c r="C142" s="4" t="s">
        <v>502</v>
      </c>
      <c r="D142" s="4" t="s">
        <v>1648</v>
      </c>
      <c r="E142" s="4" t="s">
        <v>1957</v>
      </c>
      <c r="F142" s="4">
        <v>2</v>
      </c>
      <c r="G142" s="4">
        <v>456.38</v>
      </c>
      <c r="H142" s="4">
        <v>0.12</v>
      </c>
      <c r="I142" s="4" t="s">
        <v>1996</v>
      </c>
      <c r="J142" s="10">
        <v>803.22879999999998</v>
      </c>
      <c r="K142" s="4" t="str">
        <f t="shared" si="14"/>
        <v>10-09-2025</v>
      </c>
      <c r="L142" s="4" t="str">
        <f>TEXT(Sales_Fact!$B142,"mmm")</f>
        <v>Sep</v>
      </c>
      <c r="M142" s="4">
        <f t="shared" si="15"/>
        <v>2</v>
      </c>
      <c r="N142" s="10">
        <f t="shared" si="16"/>
        <v>456.38</v>
      </c>
      <c r="O142" s="10">
        <f t="shared" si="17"/>
        <v>803.22879999999998</v>
      </c>
      <c r="P142" s="10">
        <f t="shared" si="18"/>
        <v>912.76</v>
      </c>
      <c r="Q142" s="3">
        <f t="shared" si="19"/>
        <v>0.12000000000000001</v>
      </c>
      <c r="R142" s="4" t="str">
        <f>IF(Sales_Fact!$O142&gt;1000,"High","Low")</f>
        <v>Low</v>
      </c>
      <c r="S142" s="4" t="str">
        <f>VLOOKUP(C142,Customer_Dim!$A:$N,9,FALSE())</f>
        <v>Cristian Wright</v>
      </c>
      <c r="T142" s="4" t="str">
        <f>VLOOKUP(D142,Product_Dim!$A:$M,3,FALSE())</f>
        <v>Sports</v>
      </c>
      <c r="U142" s="11" t="str">
        <f>VLOOKUP(D142,Product_Dim!$A:$M,2,FALSE())</f>
        <v>Soccer Training Cone Set</v>
      </c>
      <c r="V142" s="11" t="str">
        <f>VLOOKUP(E142,Store_Dim!$A:$E,3,FALSE())</f>
        <v>South</v>
      </c>
      <c r="W142" s="11" t="str">
        <f>VLOOKUP(C142,Customer_Dim!$A:$N,13,FALSE())</f>
        <v>Bronze</v>
      </c>
      <c r="X142" s="11" t="str">
        <f t="shared" si="20"/>
        <v>Low</v>
      </c>
    </row>
    <row r="143" spans="1:24" ht="15.75" customHeight="1">
      <c r="A143" s="4" t="s">
        <v>2139</v>
      </c>
      <c r="B143" s="9">
        <v>45447</v>
      </c>
      <c r="C143" s="4" t="s">
        <v>1159</v>
      </c>
      <c r="D143" s="4" t="s">
        <v>1834</v>
      </c>
      <c r="E143" s="4" t="s">
        <v>1957</v>
      </c>
      <c r="F143" s="4">
        <v>3</v>
      </c>
      <c r="G143" s="4">
        <v>291.05</v>
      </c>
      <c r="H143" s="4">
        <v>0.3</v>
      </c>
      <c r="I143" s="4" t="s">
        <v>1996</v>
      </c>
      <c r="J143" s="10">
        <v>611.20500000000004</v>
      </c>
      <c r="K143" s="4" t="str">
        <f t="shared" si="14"/>
        <v>04-06-2024</v>
      </c>
      <c r="L143" s="4" t="str">
        <f>TEXT(Sales_Fact!$B143,"mmm")</f>
        <v>Jun</v>
      </c>
      <c r="M143" s="4">
        <f t="shared" si="15"/>
        <v>3</v>
      </c>
      <c r="N143" s="10">
        <f t="shared" si="16"/>
        <v>291.05</v>
      </c>
      <c r="O143" s="10">
        <f t="shared" si="17"/>
        <v>611.20500000000004</v>
      </c>
      <c r="P143" s="10">
        <f t="shared" si="18"/>
        <v>873.15000000000009</v>
      </c>
      <c r="Q143" s="3">
        <f t="shared" si="19"/>
        <v>0.30000000000000004</v>
      </c>
      <c r="R143" s="4" t="str">
        <f>IF(Sales_Fact!$O143&gt;1000,"High","Low")</f>
        <v>Low</v>
      </c>
      <c r="S143" s="4" t="str">
        <f>VLOOKUP(C143,Customer_Dim!$A:$N,9,FALSE())</f>
        <v>Natalie Johnson</v>
      </c>
      <c r="T143" s="4" t="str">
        <f>VLOOKUP(D143,Product_Dim!$A:$M,3,FALSE())</f>
        <v>Electronics</v>
      </c>
      <c r="U143" s="11" t="str">
        <f>VLOOKUP(D143,Product_Dim!$A:$M,2,FALSE())</f>
        <v>Wireless Mouse</v>
      </c>
      <c r="V143" s="11" t="str">
        <f>VLOOKUP(E143,Store_Dim!$A:$E,3,FALSE())</f>
        <v>South</v>
      </c>
      <c r="W143" s="11" t="str">
        <f>VLOOKUP(C143,Customer_Dim!$A:$N,13,FALSE())</f>
        <v>Platinum</v>
      </c>
      <c r="X143" s="11" t="str">
        <f t="shared" si="20"/>
        <v>Low</v>
      </c>
    </row>
    <row r="144" spans="1:24" ht="15.75" customHeight="1">
      <c r="A144" s="4" t="s">
        <v>2140</v>
      </c>
      <c r="B144" s="9">
        <v>45307</v>
      </c>
      <c r="C144" s="4" t="s">
        <v>777</v>
      </c>
      <c r="D144" s="4" t="s">
        <v>1891</v>
      </c>
      <c r="E144" s="4" t="s">
        <v>1959</v>
      </c>
      <c r="F144" s="4">
        <v>2</v>
      </c>
      <c r="G144" s="4">
        <v>463.52</v>
      </c>
      <c r="H144" s="4">
        <v>0.27</v>
      </c>
      <c r="I144" s="4" t="s">
        <v>1998</v>
      </c>
      <c r="J144" s="10">
        <v>676.73919999999998</v>
      </c>
      <c r="K144" s="4" t="str">
        <f t="shared" si="14"/>
        <v>16-01-2024</v>
      </c>
      <c r="L144" s="4" t="str">
        <f>TEXT(Sales_Fact!$B144,"mmm")</f>
        <v>Jan</v>
      </c>
      <c r="M144" s="4">
        <f t="shared" si="15"/>
        <v>2</v>
      </c>
      <c r="N144" s="10">
        <f t="shared" si="16"/>
        <v>463.52</v>
      </c>
      <c r="O144" s="10">
        <f t="shared" si="17"/>
        <v>676.73919999999998</v>
      </c>
      <c r="P144" s="10">
        <f t="shared" si="18"/>
        <v>927.04</v>
      </c>
      <c r="Q144" s="3">
        <f t="shared" si="19"/>
        <v>0.27</v>
      </c>
      <c r="R144" s="4" t="str">
        <f>IF(Sales_Fact!$O144&gt;1000,"High","Low")</f>
        <v>Low</v>
      </c>
      <c r="S144" s="4" t="str">
        <f>VLOOKUP(C144,Customer_Dim!$A:$N,9,FALSE())</f>
        <v>Michelle Gonzalez</v>
      </c>
      <c r="T144" s="4" t="str">
        <f>VLOOKUP(D144,Product_Dim!$A:$M,3,FALSE())</f>
        <v>Sports</v>
      </c>
      <c r="U144" s="11" t="str">
        <f>VLOOKUP(D144,Product_Dim!$A:$M,2,FALSE())</f>
        <v>Sports Stopwatch Basic</v>
      </c>
      <c r="V144" s="11" t="str">
        <f>VLOOKUP(E144,Store_Dim!$A:$E,3,FALSE())</f>
        <v>North</v>
      </c>
      <c r="W144" s="11" t="str">
        <f>VLOOKUP(C144,Customer_Dim!$A:$N,13,FALSE())</f>
        <v>Silver</v>
      </c>
      <c r="X144" s="11" t="str">
        <f t="shared" si="20"/>
        <v>Low</v>
      </c>
    </row>
    <row r="145" spans="1:24" ht="15.75" customHeight="1">
      <c r="A145" s="4" t="s">
        <v>2141</v>
      </c>
      <c r="B145" s="9">
        <v>45653</v>
      </c>
      <c r="C145" s="4" t="s">
        <v>1213</v>
      </c>
      <c r="D145" s="4" t="s">
        <v>1578</v>
      </c>
      <c r="E145" s="4" t="s">
        <v>1965</v>
      </c>
      <c r="F145" s="4">
        <v>3</v>
      </c>
      <c r="G145" s="4">
        <v>241.64</v>
      </c>
      <c r="H145" s="4">
        <v>0.28999999999999998</v>
      </c>
      <c r="I145" s="4" t="s">
        <v>1998</v>
      </c>
      <c r="J145" s="10">
        <v>514.69320000000005</v>
      </c>
      <c r="K145" s="4" t="str">
        <f t="shared" si="14"/>
        <v>27-12-2024</v>
      </c>
      <c r="L145" s="4" t="str">
        <f>TEXT(Sales_Fact!$B145,"mmm")</f>
        <v>Dec</v>
      </c>
      <c r="M145" s="4">
        <f t="shared" si="15"/>
        <v>3</v>
      </c>
      <c r="N145" s="10">
        <f t="shared" si="16"/>
        <v>241.64</v>
      </c>
      <c r="O145" s="10">
        <f t="shared" si="17"/>
        <v>514.69319999999993</v>
      </c>
      <c r="P145" s="10">
        <f t="shared" si="18"/>
        <v>724.92</v>
      </c>
      <c r="Q145" s="3">
        <f t="shared" si="19"/>
        <v>0.29000000000000004</v>
      </c>
      <c r="R145" s="4" t="str">
        <f>IF(Sales_Fact!$O145&gt;1000,"High","Low")</f>
        <v>Low</v>
      </c>
      <c r="S145" s="4" t="str">
        <f>VLOOKUP(C145,Customer_Dim!$A:$N,9,FALSE())</f>
        <v>Tanya Lopez</v>
      </c>
      <c r="T145" s="4" t="str">
        <f>VLOOKUP(D145,Product_Dim!$A:$M,3,FALSE())</f>
        <v>Electronics</v>
      </c>
      <c r="U145" s="11" t="str">
        <f>VLOOKUP(D145,Product_Dim!$A:$M,2,FALSE())</f>
        <v>Brother Laser Printer</v>
      </c>
      <c r="V145" s="11" t="str">
        <f>VLOOKUP(E145,Store_Dim!$A:$E,3,FALSE())</f>
        <v>North</v>
      </c>
      <c r="W145" s="11" t="str">
        <f>VLOOKUP(C145,Customer_Dim!$A:$N,13,FALSE())</f>
        <v>Gold</v>
      </c>
      <c r="X145" s="11" t="str">
        <f t="shared" si="20"/>
        <v>Low</v>
      </c>
    </row>
    <row r="146" spans="1:24" ht="15.75" customHeight="1">
      <c r="A146" s="4" t="s">
        <v>2142</v>
      </c>
      <c r="B146" s="9">
        <v>45817</v>
      </c>
      <c r="C146" s="4" t="s">
        <v>1516</v>
      </c>
      <c r="D146" s="4" t="s">
        <v>1690</v>
      </c>
      <c r="E146" s="4" t="s">
        <v>1947</v>
      </c>
      <c r="F146" s="4">
        <v>2</v>
      </c>
      <c r="G146" s="4">
        <v>47.86</v>
      </c>
      <c r="H146" s="4">
        <v>0.03</v>
      </c>
      <c r="I146" s="4" t="s">
        <v>1998</v>
      </c>
      <c r="J146" s="10">
        <v>92.848399999999998</v>
      </c>
      <c r="K146" s="4" t="str">
        <f t="shared" si="14"/>
        <v>09-06-2025</v>
      </c>
      <c r="L146" s="4" t="str">
        <f>TEXT(Sales_Fact!$B146,"mmm")</f>
        <v>Jun</v>
      </c>
      <c r="M146" s="4">
        <f t="shared" si="15"/>
        <v>2</v>
      </c>
      <c r="N146" s="10">
        <f t="shared" si="16"/>
        <v>47.86</v>
      </c>
      <c r="O146" s="10">
        <f t="shared" si="17"/>
        <v>92.848399999999998</v>
      </c>
      <c r="P146" s="10">
        <f t="shared" si="18"/>
        <v>95.72</v>
      </c>
      <c r="Q146" s="3">
        <f t="shared" si="19"/>
        <v>3.0000000000000009E-2</v>
      </c>
      <c r="R146" s="4" t="str">
        <f>IF(Sales_Fact!$O146&gt;1000,"High","Low")</f>
        <v>Low</v>
      </c>
      <c r="S146" s="4" t="str">
        <f>VLOOKUP(C146,Customer_Dim!$A:$N,9,FALSE())</f>
        <v>Sarah Smith</v>
      </c>
      <c r="T146" s="4" t="str">
        <f>VLOOKUP(D146,Product_Dim!$A:$M,3,FALSE())</f>
        <v>Home</v>
      </c>
      <c r="U146" s="11" t="str">
        <f>VLOOKUP(D146,Product_Dim!$A:$M,2,FALSE())</f>
        <v>Stainless Steel Cutlery Set</v>
      </c>
      <c r="V146" s="11" t="str">
        <f>VLOOKUP(E146,Store_Dim!$A:$E,3,FALSE())</f>
        <v>East</v>
      </c>
      <c r="W146" s="11" t="str">
        <f>VLOOKUP(C146,Customer_Dim!$A:$N,13,FALSE())</f>
        <v>Gold</v>
      </c>
      <c r="X146" s="11" t="str">
        <f t="shared" si="20"/>
        <v>Low</v>
      </c>
    </row>
    <row r="147" spans="1:24" ht="15.75" customHeight="1">
      <c r="A147" s="4" t="s">
        <v>2143</v>
      </c>
      <c r="B147" s="9">
        <v>45509</v>
      </c>
      <c r="C147" s="4" t="s">
        <v>1108</v>
      </c>
      <c r="D147" s="4" t="s">
        <v>1882</v>
      </c>
      <c r="E147" s="4" t="s">
        <v>1924</v>
      </c>
      <c r="F147" s="4">
        <v>1</v>
      </c>
      <c r="G147" s="4">
        <v>805.07</v>
      </c>
      <c r="H147" s="4">
        <v>0.06</v>
      </c>
      <c r="I147" s="4" t="s">
        <v>2004</v>
      </c>
      <c r="J147" s="10">
        <v>756.76580000000001</v>
      </c>
      <c r="K147" s="4" t="str">
        <f t="shared" si="14"/>
        <v>05-08-2024</v>
      </c>
      <c r="L147" s="4" t="str">
        <f>TEXT(Sales_Fact!$B147,"mmm")</f>
        <v>Aug</v>
      </c>
      <c r="M147" s="4">
        <f t="shared" si="15"/>
        <v>1</v>
      </c>
      <c r="N147" s="10">
        <f t="shared" si="16"/>
        <v>805.07</v>
      </c>
      <c r="O147" s="10">
        <f t="shared" si="17"/>
        <v>756.76580000000001</v>
      </c>
      <c r="P147" s="10">
        <f t="shared" si="18"/>
        <v>805.07</v>
      </c>
      <c r="Q147" s="3">
        <f t="shared" si="19"/>
        <v>6.0000000000000039E-2</v>
      </c>
      <c r="R147" s="4" t="str">
        <f>IF(Sales_Fact!$O147&gt;1000,"High","Low")</f>
        <v>Low</v>
      </c>
      <c r="S147" s="4" t="str">
        <f>VLOOKUP(C147,Customer_Dim!$A:$N,9,FALSE())</f>
        <v>Evelyn Brown</v>
      </c>
      <c r="T147" s="4" t="str">
        <f>VLOOKUP(D147,Product_Dim!$A:$M,3,FALSE())</f>
        <v>Home</v>
      </c>
      <c r="U147" s="11" t="str">
        <f>VLOOKUP(D147,Product_Dim!$A:$M,2,FALSE())</f>
        <v>Microwave Oven</v>
      </c>
      <c r="V147" s="11" t="str">
        <f>VLOOKUP(E147,Store_Dim!$A:$E,3,FALSE())</f>
        <v>North</v>
      </c>
      <c r="W147" s="11" t="str">
        <f>VLOOKUP(C147,Customer_Dim!$A:$N,13,FALSE())</f>
        <v>Gold</v>
      </c>
      <c r="X147" s="11" t="str">
        <f t="shared" si="20"/>
        <v>Low</v>
      </c>
    </row>
    <row r="148" spans="1:24" ht="15.75" customHeight="1">
      <c r="A148" s="4" t="s">
        <v>2144</v>
      </c>
      <c r="B148" s="9">
        <v>45753</v>
      </c>
      <c r="C148" s="4" t="s">
        <v>1195</v>
      </c>
      <c r="D148" s="4" t="s">
        <v>1703</v>
      </c>
      <c r="E148" s="4" t="s">
        <v>1915</v>
      </c>
      <c r="F148" s="4">
        <v>3</v>
      </c>
      <c r="G148" s="4">
        <v>848.48</v>
      </c>
      <c r="H148" s="4">
        <v>0</v>
      </c>
      <c r="I148" s="4" t="s">
        <v>2004</v>
      </c>
      <c r="J148" s="10">
        <v>2545.44</v>
      </c>
      <c r="K148" s="4" t="str">
        <f t="shared" si="14"/>
        <v>06-04-2025</v>
      </c>
      <c r="L148" s="4" t="str">
        <f>TEXT(Sales_Fact!$B148,"mmm")</f>
        <v>Apr</v>
      </c>
      <c r="M148" s="4">
        <f t="shared" si="15"/>
        <v>3</v>
      </c>
      <c r="N148" s="10">
        <f t="shared" si="16"/>
        <v>848.48</v>
      </c>
      <c r="O148" s="10">
        <f t="shared" si="17"/>
        <v>2545.44</v>
      </c>
      <c r="P148" s="10">
        <f t="shared" si="18"/>
        <v>2545.44</v>
      </c>
      <c r="Q148" s="3">
        <f t="shared" si="19"/>
        <v>0</v>
      </c>
      <c r="R148" s="4" t="str">
        <f>IF(Sales_Fact!$O148&gt;1000,"High","Low")</f>
        <v>High</v>
      </c>
      <c r="S148" s="4" t="str">
        <f>VLOOKUP(C148,Customer_Dim!$A:$N,9,FALSE())</f>
        <v>James Orozco</v>
      </c>
      <c r="T148" s="4" t="str">
        <f>VLOOKUP(D148,Product_Dim!$A:$M,3,FALSE())</f>
        <v>Electronics</v>
      </c>
      <c r="U148" s="11" t="str">
        <f>VLOOKUP(D148,Product_Dim!$A:$M,2,FALSE())</f>
        <v>Gaming Mechanical Keyboard</v>
      </c>
      <c r="V148" s="11" t="str">
        <f>VLOOKUP(E148,Store_Dim!$A:$E,3,FALSE())</f>
        <v>North</v>
      </c>
      <c r="W148" s="11" t="str">
        <f>VLOOKUP(C148,Customer_Dim!$A:$N,13,FALSE())</f>
        <v>Gold</v>
      </c>
      <c r="X148" s="11" t="str">
        <f t="shared" si="20"/>
        <v>Low</v>
      </c>
    </row>
    <row r="149" spans="1:24" ht="15.75" customHeight="1">
      <c r="A149" s="4" t="s">
        <v>2145</v>
      </c>
      <c r="B149" s="9">
        <v>45413</v>
      </c>
      <c r="C149" s="4" t="s">
        <v>1469</v>
      </c>
      <c r="D149" s="4" t="s">
        <v>1681</v>
      </c>
      <c r="E149" s="4" t="s">
        <v>1947</v>
      </c>
      <c r="F149" s="4">
        <v>1</v>
      </c>
      <c r="G149" s="4">
        <v>281.97000000000003</v>
      </c>
      <c r="H149" s="4">
        <v>0.2</v>
      </c>
      <c r="I149" s="4" t="s">
        <v>1998</v>
      </c>
      <c r="J149" s="10">
        <v>225.57599999999999</v>
      </c>
      <c r="K149" s="4" t="str">
        <f t="shared" si="14"/>
        <v>01-05-2024</v>
      </c>
      <c r="L149" s="4" t="str">
        <f>TEXT(Sales_Fact!$B149,"mmm")</f>
        <v>May</v>
      </c>
      <c r="M149" s="4">
        <f t="shared" si="15"/>
        <v>1</v>
      </c>
      <c r="N149" s="10">
        <f t="shared" si="16"/>
        <v>281.97000000000003</v>
      </c>
      <c r="O149" s="10">
        <f t="shared" si="17"/>
        <v>225.57600000000002</v>
      </c>
      <c r="P149" s="10">
        <f t="shared" si="18"/>
        <v>281.97000000000003</v>
      </c>
      <c r="Q149" s="3">
        <f t="shared" si="19"/>
        <v>0.2</v>
      </c>
      <c r="R149" s="4" t="str">
        <f>IF(Sales_Fact!$O149&gt;1000,"High","Low")</f>
        <v>Low</v>
      </c>
      <c r="S149" s="4" t="str">
        <f>VLOOKUP(C149,Customer_Dim!$A:$N,9,FALSE())</f>
        <v>Michael Foley</v>
      </c>
      <c r="T149" s="4" t="str">
        <f>VLOOKUP(D149,Product_Dim!$A:$M,3,FALSE())</f>
        <v>Home</v>
      </c>
      <c r="U149" s="11" t="str">
        <f>VLOOKUP(D149,Product_Dim!$A:$M,2,FALSE())</f>
        <v>Decorative Floor Vase</v>
      </c>
      <c r="V149" s="11" t="str">
        <f>VLOOKUP(E149,Store_Dim!$A:$E,3,FALSE())</f>
        <v>East</v>
      </c>
      <c r="W149" s="11" t="str">
        <f>VLOOKUP(C149,Customer_Dim!$A:$N,13,FALSE())</f>
        <v>Gold</v>
      </c>
      <c r="X149" s="11" t="str">
        <f t="shared" si="20"/>
        <v>Low</v>
      </c>
    </row>
    <row r="150" spans="1:24" ht="15.75" customHeight="1">
      <c r="A150" s="4" t="s">
        <v>2146</v>
      </c>
      <c r="B150" s="9">
        <v>45512</v>
      </c>
      <c r="C150" s="4" t="s">
        <v>810</v>
      </c>
      <c r="D150" s="4" t="s">
        <v>1764</v>
      </c>
      <c r="E150" s="4" t="s">
        <v>1940</v>
      </c>
      <c r="F150" s="4">
        <v>2</v>
      </c>
      <c r="G150" s="4">
        <v>568.95000000000005</v>
      </c>
      <c r="H150" s="4">
        <v>0.22</v>
      </c>
      <c r="I150" s="4" t="s">
        <v>1996</v>
      </c>
      <c r="J150" s="10">
        <v>887.56200000000001</v>
      </c>
      <c r="K150" s="4" t="str">
        <f t="shared" si="14"/>
        <v>08-08-2024</v>
      </c>
      <c r="L150" s="4" t="str">
        <f>TEXT(Sales_Fact!$B150,"mmm")</f>
        <v>Aug</v>
      </c>
      <c r="M150" s="4">
        <f t="shared" si="15"/>
        <v>2</v>
      </c>
      <c r="N150" s="10">
        <f t="shared" si="16"/>
        <v>568.95000000000005</v>
      </c>
      <c r="O150" s="10">
        <f t="shared" si="17"/>
        <v>887.56200000000013</v>
      </c>
      <c r="P150" s="10">
        <f t="shared" si="18"/>
        <v>1137.9000000000001</v>
      </c>
      <c r="Q150" s="3">
        <f t="shared" si="19"/>
        <v>0.21999999999999995</v>
      </c>
      <c r="R150" s="4" t="str">
        <f>IF(Sales_Fact!$O150&gt;1000,"High","Low")</f>
        <v>Low</v>
      </c>
      <c r="S150" s="4" t="str">
        <f>VLOOKUP(C150,Customer_Dim!$A:$N,9,FALSE())</f>
        <v>Nancy Page</v>
      </c>
      <c r="T150" s="4" t="str">
        <f>VLOOKUP(D150,Product_Dim!$A:$M,3,FALSE())</f>
        <v>Clothing</v>
      </c>
      <c r="U150" s="11" t="str">
        <f>VLOOKUP(D150,Product_Dim!$A:$M,2,FALSE())</f>
        <v>Men's Track Pants</v>
      </c>
      <c r="V150" s="11" t="str">
        <f>VLOOKUP(E150,Store_Dim!$A:$E,3,FALSE())</f>
        <v>West</v>
      </c>
      <c r="W150" s="11" t="str">
        <f>VLOOKUP(C150,Customer_Dim!$A:$N,13,FALSE())</f>
        <v>Bronze</v>
      </c>
      <c r="X150" s="11" t="str">
        <f t="shared" si="20"/>
        <v>Low</v>
      </c>
    </row>
    <row r="151" spans="1:24" ht="15.75" customHeight="1">
      <c r="A151" s="4" t="s">
        <v>2147</v>
      </c>
      <c r="B151" s="9">
        <v>45764</v>
      </c>
      <c r="C151" s="4" t="s">
        <v>565</v>
      </c>
      <c r="D151" s="4" t="s">
        <v>1764</v>
      </c>
      <c r="E151" s="4" t="s">
        <v>1950</v>
      </c>
      <c r="F151" s="4">
        <v>3</v>
      </c>
      <c r="G151" s="4">
        <v>269.83999999999997</v>
      </c>
      <c r="H151" s="4">
        <v>0.05</v>
      </c>
      <c r="I151" s="4" t="s">
        <v>1998</v>
      </c>
      <c r="J151" s="10">
        <v>769.04399999999998</v>
      </c>
      <c r="K151" s="4" t="str">
        <f t="shared" si="14"/>
        <v>17-04-2025</v>
      </c>
      <c r="L151" s="4" t="str">
        <f>TEXT(Sales_Fact!$B151,"mmm")</f>
        <v>Apr</v>
      </c>
      <c r="M151" s="4">
        <f t="shared" si="15"/>
        <v>3</v>
      </c>
      <c r="N151" s="10">
        <f t="shared" si="16"/>
        <v>269.83999999999997</v>
      </c>
      <c r="O151" s="10">
        <f t="shared" si="17"/>
        <v>769.04399999999998</v>
      </c>
      <c r="P151" s="10">
        <f t="shared" si="18"/>
        <v>809.52</v>
      </c>
      <c r="Q151" s="3">
        <f t="shared" si="19"/>
        <v>0.05</v>
      </c>
      <c r="R151" s="4" t="str">
        <f>IF(Sales_Fact!$O151&gt;1000,"High","Low")</f>
        <v>Low</v>
      </c>
      <c r="S151" s="4" t="str">
        <f>VLOOKUP(C151,Customer_Dim!$A:$N,9,FALSE())</f>
        <v>Mariah Brown</v>
      </c>
      <c r="T151" s="4" t="str">
        <f>VLOOKUP(D151,Product_Dim!$A:$M,3,FALSE())</f>
        <v>Clothing</v>
      </c>
      <c r="U151" s="11" t="str">
        <f>VLOOKUP(D151,Product_Dim!$A:$M,2,FALSE())</f>
        <v>Men's Track Pants</v>
      </c>
      <c r="V151" s="11" t="str">
        <f>VLOOKUP(E151,Store_Dim!$A:$E,3,FALSE())</f>
        <v>South</v>
      </c>
      <c r="W151" s="11" t="str">
        <f>VLOOKUP(C151,Customer_Dim!$A:$N,13,FALSE())</f>
        <v>Silver</v>
      </c>
      <c r="X151" s="11" t="str">
        <f t="shared" si="20"/>
        <v>Low</v>
      </c>
    </row>
    <row r="152" spans="1:24" ht="15.75" customHeight="1">
      <c r="A152" s="4" t="s">
        <v>2148</v>
      </c>
      <c r="B152" s="9">
        <v>45746</v>
      </c>
      <c r="C152" s="4" t="s">
        <v>1003</v>
      </c>
      <c r="D152" s="4" t="s">
        <v>1791</v>
      </c>
      <c r="E152" s="4" t="s">
        <v>1955</v>
      </c>
      <c r="F152" s="4">
        <v>4</v>
      </c>
      <c r="G152" s="4">
        <v>267.36</v>
      </c>
      <c r="H152" s="4">
        <v>0.27</v>
      </c>
      <c r="I152" s="4" t="s">
        <v>1998</v>
      </c>
      <c r="J152" s="10">
        <v>780.69119999999998</v>
      </c>
      <c r="K152" s="4" t="str">
        <f t="shared" si="14"/>
        <v>30-03-2025</v>
      </c>
      <c r="L152" s="4" t="str">
        <f>TEXT(Sales_Fact!$B152,"mmm")</f>
        <v>Mar</v>
      </c>
      <c r="M152" s="4">
        <f t="shared" si="15"/>
        <v>4</v>
      </c>
      <c r="N152" s="10">
        <f t="shared" si="16"/>
        <v>267.36</v>
      </c>
      <c r="O152" s="10">
        <f t="shared" si="17"/>
        <v>780.69119999999998</v>
      </c>
      <c r="P152" s="10">
        <f t="shared" si="18"/>
        <v>1069.44</v>
      </c>
      <c r="Q152" s="3">
        <f t="shared" si="19"/>
        <v>0.27000000000000007</v>
      </c>
      <c r="R152" s="4" t="str">
        <f>IF(Sales_Fact!$O152&gt;1000,"High","Low")</f>
        <v>Low</v>
      </c>
      <c r="S152" s="4" t="str">
        <f>VLOOKUP(C152,Customer_Dim!$A:$N,9,FALSE())</f>
        <v>Stacy Collins</v>
      </c>
      <c r="T152" s="4" t="str">
        <f>VLOOKUP(D152,Product_Dim!$A:$M,3,FALSE())</f>
        <v>Electronics</v>
      </c>
      <c r="U152" s="11" t="str">
        <f>VLOOKUP(D152,Product_Dim!$A:$M,2,FALSE())</f>
        <v>Laptop Cooling Pad</v>
      </c>
      <c r="V152" s="11" t="str">
        <f>VLOOKUP(E152,Store_Dim!$A:$E,3,FALSE())</f>
        <v>East</v>
      </c>
      <c r="W152" s="11" t="str">
        <f>VLOOKUP(C152,Customer_Dim!$A:$N,13,FALSE())</f>
        <v>Bronze</v>
      </c>
      <c r="X152" s="11" t="str">
        <f t="shared" si="20"/>
        <v>High</v>
      </c>
    </row>
    <row r="153" spans="1:24" ht="15.75" customHeight="1">
      <c r="A153" s="4" t="s">
        <v>2149</v>
      </c>
      <c r="B153" s="9">
        <v>45647</v>
      </c>
      <c r="C153" s="4" t="s">
        <v>420</v>
      </c>
      <c r="D153" s="4" t="s">
        <v>1712</v>
      </c>
      <c r="E153" s="4" t="s">
        <v>1915</v>
      </c>
      <c r="F153" s="4">
        <v>1</v>
      </c>
      <c r="G153" s="4">
        <v>438.41</v>
      </c>
      <c r="H153" s="4">
        <v>0.09</v>
      </c>
      <c r="I153" s="4" t="s">
        <v>1996</v>
      </c>
      <c r="J153" s="10">
        <v>398.95310000000001</v>
      </c>
      <c r="K153" s="4" t="str">
        <f t="shared" si="14"/>
        <v>21-12-2024</v>
      </c>
      <c r="L153" s="4" t="str">
        <f>TEXT(Sales_Fact!$B153,"mmm")</f>
        <v>Dec</v>
      </c>
      <c r="M153" s="4">
        <f t="shared" si="15"/>
        <v>1</v>
      </c>
      <c r="N153" s="10">
        <f t="shared" si="16"/>
        <v>438.41</v>
      </c>
      <c r="O153" s="10">
        <f t="shared" si="17"/>
        <v>398.95310000000006</v>
      </c>
      <c r="P153" s="10">
        <f t="shared" si="18"/>
        <v>438.41</v>
      </c>
      <c r="Q153" s="3">
        <f t="shared" si="19"/>
        <v>8.9999999999999913E-2</v>
      </c>
      <c r="R153" s="4" t="str">
        <f>IF(Sales_Fact!$O153&gt;1000,"High","Low")</f>
        <v>Low</v>
      </c>
      <c r="S153" s="4" t="str">
        <f>VLOOKUP(C153,Customer_Dim!$A:$N,9,FALSE())</f>
        <v>Ryan Hernandez</v>
      </c>
      <c r="T153" s="4" t="str">
        <f>VLOOKUP(D153,Product_Dim!$A:$M,3,FALSE())</f>
        <v>Clothing</v>
      </c>
      <c r="U153" s="11" t="str">
        <f>VLOOKUP(D153,Product_Dim!$A:$M,2,FALSE())</f>
        <v>Men's Casual Sneakers</v>
      </c>
      <c r="V153" s="11" t="str">
        <f>VLOOKUP(E153,Store_Dim!$A:$E,3,FALSE())</f>
        <v>North</v>
      </c>
      <c r="W153" s="11" t="str">
        <f>VLOOKUP(C153,Customer_Dim!$A:$N,13,FALSE())</f>
        <v>Bronze</v>
      </c>
      <c r="X153" s="11" t="str">
        <f t="shared" si="20"/>
        <v>Low</v>
      </c>
    </row>
    <row r="154" spans="1:24" ht="15.75" customHeight="1">
      <c r="A154" s="4" t="s">
        <v>2150</v>
      </c>
      <c r="B154" s="9">
        <v>45443</v>
      </c>
      <c r="C154" s="4" t="s">
        <v>571</v>
      </c>
      <c r="D154" s="4" t="s">
        <v>1758</v>
      </c>
      <c r="E154" s="4" t="s">
        <v>1968</v>
      </c>
      <c r="F154" s="4">
        <v>2</v>
      </c>
      <c r="G154" s="4">
        <v>86.72</v>
      </c>
      <c r="H154" s="4">
        <v>0.28000000000000003</v>
      </c>
      <c r="I154" s="4" t="s">
        <v>2004</v>
      </c>
      <c r="J154" s="10">
        <v>124.8768</v>
      </c>
      <c r="K154" s="4" t="str">
        <f t="shared" si="14"/>
        <v>31-05-2024</v>
      </c>
      <c r="L154" s="4" t="str">
        <f>TEXT(Sales_Fact!$B154,"mmm")</f>
        <v>May</v>
      </c>
      <c r="M154" s="4">
        <f t="shared" si="15"/>
        <v>2</v>
      </c>
      <c r="N154" s="10">
        <f t="shared" si="16"/>
        <v>86.72</v>
      </c>
      <c r="O154" s="10">
        <f t="shared" si="17"/>
        <v>124.87679999999999</v>
      </c>
      <c r="P154" s="10">
        <f t="shared" si="18"/>
        <v>173.44</v>
      </c>
      <c r="Q154" s="3">
        <f t="shared" si="19"/>
        <v>0.28000000000000008</v>
      </c>
      <c r="R154" s="4" t="str">
        <f>IF(Sales_Fact!$O154&gt;1000,"High","Low")</f>
        <v>Low</v>
      </c>
      <c r="S154" s="4" t="str">
        <f>VLOOKUP(C154,Customer_Dim!$A:$N,9,FALSE())</f>
        <v>Daniel Rivas</v>
      </c>
      <c r="T154" s="4" t="str">
        <f>VLOOKUP(D154,Product_Dim!$A:$M,3,FALSE())</f>
        <v>Electronics</v>
      </c>
      <c r="U154" s="11" t="str">
        <f>VLOOKUP(D154,Product_Dim!$A:$M,2,FALSE())</f>
        <v>HDMI Cable – 2m</v>
      </c>
      <c r="V154" s="11" t="str">
        <f>VLOOKUP(E154,Store_Dim!$A:$E,3,FALSE())</f>
        <v>East</v>
      </c>
      <c r="W154" s="11" t="str">
        <f>VLOOKUP(C154,Customer_Dim!$A:$N,13,FALSE())</f>
        <v>Silver</v>
      </c>
      <c r="X154" s="11" t="str">
        <f t="shared" si="20"/>
        <v>Low</v>
      </c>
    </row>
    <row r="155" spans="1:24" ht="15.75" customHeight="1">
      <c r="A155" s="4" t="s">
        <v>2151</v>
      </c>
      <c r="B155" s="9">
        <v>45722</v>
      </c>
      <c r="C155" s="4" t="s">
        <v>1348</v>
      </c>
      <c r="D155" s="4" t="s">
        <v>1873</v>
      </c>
      <c r="E155" s="4" t="s">
        <v>1934</v>
      </c>
      <c r="F155" s="4">
        <v>4</v>
      </c>
      <c r="G155" s="4">
        <v>630.21</v>
      </c>
      <c r="H155" s="4">
        <v>0.14000000000000001</v>
      </c>
      <c r="I155" s="4" t="s">
        <v>2004</v>
      </c>
      <c r="J155" s="10">
        <v>2167.9223999999999</v>
      </c>
      <c r="K155" s="4" t="str">
        <f t="shared" si="14"/>
        <v>06-03-2025</v>
      </c>
      <c r="L155" s="4" t="str">
        <f>TEXT(Sales_Fact!$B155,"mmm")</f>
        <v>Mar</v>
      </c>
      <c r="M155" s="4">
        <f t="shared" si="15"/>
        <v>4</v>
      </c>
      <c r="N155" s="10">
        <f t="shared" si="16"/>
        <v>630.21</v>
      </c>
      <c r="O155" s="10">
        <f t="shared" si="17"/>
        <v>2167.9223999999999</v>
      </c>
      <c r="P155" s="10">
        <f t="shared" si="18"/>
        <v>2520.84</v>
      </c>
      <c r="Q155" s="3">
        <f t="shared" si="19"/>
        <v>0.14000000000000007</v>
      </c>
      <c r="R155" s="4" t="str">
        <f>IF(Sales_Fact!$O155&gt;1000,"High","Low")</f>
        <v>High</v>
      </c>
      <c r="S155" s="4" t="str">
        <f>VLOOKUP(C155,Customer_Dim!$A:$N,9,FALSE())</f>
        <v>Bryce Hawkins</v>
      </c>
      <c r="T155" s="4" t="str">
        <f>VLOOKUP(D155,Product_Dim!$A:$M,3,FALSE())</f>
        <v>Beauty</v>
      </c>
      <c r="U155" s="11" t="str">
        <f>VLOOKUP(D155,Product_Dim!$A:$M,2,FALSE())</f>
        <v>Face Foundation Kit</v>
      </c>
      <c r="V155" s="11" t="str">
        <f>VLOOKUP(E155,Store_Dim!$A:$E,3,FALSE())</f>
        <v>East</v>
      </c>
      <c r="W155" s="11" t="str">
        <f>VLOOKUP(C155,Customer_Dim!$A:$N,13,FALSE())</f>
        <v>Bronze</v>
      </c>
      <c r="X155" s="11" t="str">
        <f t="shared" si="20"/>
        <v>High</v>
      </c>
    </row>
    <row r="156" spans="1:24" ht="15.75" customHeight="1">
      <c r="A156" s="4" t="s">
        <v>2152</v>
      </c>
      <c r="B156" s="9">
        <v>45575</v>
      </c>
      <c r="C156" s="4" t="s">
        <v>1153</v>
      </c>
      <c r="D156" s="4" t="s">
        <v>1782</v>
      </c>
      <c r="E156" s="4" t="s">
        <v>1934</v>
      </c>
      <c r="F156" s="4">
        <v>3</v>
      </c>
      <c r="G156" s="4">
        <v>180.84</v>
      </c>
      <c r="H156" s="4">
        <v>0.03</v>
      </c>
      <c r="I156" s="4" t="s">
        <v>1998</v>
      </c>
      <c r="J156" s="10">
        <v>526.24440000000004</v>
      </c>
      <c r="K156" s="4" t="str">
        <f t="shared" si="14"/>
        <v>10-10-2024</v>
      </c>
      <c r="L156" s="4" t="str">
        <f>TEXT(Sales_Fact!$B156,"mmm")</f>
        <v>Oct</v>
      </c>
      <c r="M156" s="4">
        <f t="shared" si="15"/>
        <v>3</v>
      </c>
      <c r="N156" s="10">
        <f t="shared" si="16"/>
        <v>180.84</v>
      </c>
      <c r="O156" s="10">
        <f t="shared" si="17"/>
        <v>526.24439999999993</v>
      </c>
      <c r="P156" s="10">
        <f t="shared" si="18"/>
        <v>542.52</v>
      </c>
      <c r="Q156" s="3">
        <f t="shared" si="19"/>
        <v>3.00000000000001E-2</v>
      </c>
      <c r="R156" s="4" t="str">
        <f>IF(Sales_Fact!$O156&gt;1000,"High","Low")</f>
        <v>Low</v>
      </c>
      <c r="S156" s="4" t="str">
        <f>VLOOKUP(C156,Customer_Dim!$A:$N,9,FALSE())</f>
        <v>Melanie Lam</v>
      </c>
      <c r="T156" s="4" t="str">
        <f>VLOOKUP(D156,Product_Dim!$A:$M,3,FALSE())</f>
        <v>Beauty</v>
      </c>
      <c r="U156" s="11" t="str">
        <f>VLOOKUP(D156,Product_Dim!$A:$M,2,FALSE())</f>
        <v>Men's Hair Styling Gel</v>
      </c>
      <c r="V156" s="11" t="str">
        <f>VLOOKUP(E156,Store_Dim!$A:$E,3,FALSE())</f>
        <v>East</v>
      </c>
      <c r="W156" s="11" t="str">
        <f>VLOOKUP(C156,Customer_Dim!$A:$N,13,FALSE())</f>
        <v>Silver</v>
      </c>
      <c r="X156" s="11" t="str">
        <f t="shared" si="20"/>
        <v>Low</v>
      </c>
    </row>
    <row r="157" spans="1:24" ht="15.75" customHeight="1">
      <c r="A157" s="4" t="s">
        <v>2153</v>
      </c>
      <c r="B157" s="9">
        <v>45441</v>
      </c>
      <c r="C157" s="4" t="s">
        <v>46</v>
      </c>
      <c r="D157" s="4" t="s">
        <v>1797</v>
      </c>
      <c r="E157" s="4" t="s">
        <v>1962</v>
      </c>
      <c r="F157" s="4">
        <v>1</v>
      </c>
      <c r="G157" s="4">
        <v>453.41</v>
      </c>
      <c r="H157" s="4">
        <v>0.04</v>
      </c>
      <c r="I157" s="4" t="s">
        <v>2004</v>
      </c>
      <c r="J157" s="10">
        <v>435.27359999999999</v>
      </c>
      <c r="K157" s="4" t="str">
        <f t="shared" si="14"/>
        <v>29-05-2024</v>
      </c>
      <c r="L157" s="4" t="str">
        <f>TEXT(Sales_Fact!$B157,"mmm")</f>
        <v>May</v>
      </c>
      <c r="M157" s="4">
        <f t="shared" si="15"/>
        <v>1</v>
      </c>
      <c r="N157" s="10">
        <f t="shared" si="16"/>
        <v>453.41</v>
      </c>
      <c r="O157" s="10">
        <f t="shared" si="17"/>
        <v>435.27359999999999</v>
      </c>
      <c r="P157" s="10">
        <f t="shared" si="18"/>
        <v>453.41</v>
      </c>
      <c r="Q157" s="3">
        <f t="shared" si="19"/>
        <v>4.0000000000000077E-2</v>
      </c>
      <c r="R157" s="4" t="str">
        <f>IF(Sales_Fact!$O157&gt;1000,"High","Low")</f>
        <v>Low</v>
      </c>
      <c r="S157" s="4" t="str">
        <f>VLOOKUP(C157,Customer_Dim!$A:$N,9,FALSE())</f>
        <v>Caroline Collins</v>
      </c>
      <c r="T157" s="4" t="str">
        <f>VLOOKUP(D157,Product_Dim!$A:$M,3,FALSE())</f>
        <v>Beauty</v>
      </c>
      <c r="U157" s="11" t="str">
        <f>VLOOKUP(D157,Product_Dim!$A:$M,2,FALSE())</f>
        <v>Matte Lipstick Set</v>
      </c>
      <c r="V157" s="11" t="str">
        <f>VLOOKUP(E157,Store_Dim!$A:$E,3,FALSE())</f>
        <v>West</v>
      </c>
      <c r="W157" s="11" t="str">
        <f>VLOOKUP(C157,Customer_Dim!$A:$N,13,FALSE())</f>
        <v>Silver</v>
      </c>
      <c r="X157" s="11" t="str">
        <f t="shared" si="20"/>
        <v>Low</v>
      </c>
    </row>
    <row r="158" spans="1:24" ht="15.75" customHeight="1">
      <c r="A158" s="4" t="s">
        <v>2154</v>
      </c>
      <c r="B158" s="9">
        <v>45940</v>
      </c>
      <c r="C158" s="4" t="s">
        <v>124</v>
      </c>
      <c r="D158" s="4" t="s">
        <v>1758</v>
      </c>
      <c r="E158" s="4" t="s">
        <v>1934</v>
      </c>
      <c r="F158" s="4">
        <v>1</v>
      </c>
      <c r="G158" s="4">
        <v>629.09</v>
      </c>
      <c r="H158" s="4">
        <v>0.02</v>
      </c>
      <c r="I158" s="4" t="s">
        <v>1996</v>
      </c>
      <c r="J158" s="10">
        <v>616.50819999999999</v>
      </c>
      <c r="K158" s="4" t="str">
        <f t="shared" si="14"/>
        <v>10-10-2025</v>
      </c>
      <c r="L158" s="4" t="str">
        <f>TEXT(Sales_Fact!$B158,"mmm")</f>
        <v>Oct</v>
      </c>
      <c r="M158" s="4">
        <f t="shared" si="15"/>
        <v>1</v>
      </c>
      <c r="N158" s="10">
        <f t="shared" si="16"/>
        <v>629.09</v>
      </c>
      <c r="O158" s="10">
        <f t="shared" si="17"/>
        <v>616.50819999999999</v>
      </c>
      <c r="P158" s="10">
        <f t="shared" si="18"/>
        <v>629.09</v>
      </c>
      <c r="Q158" s="3">
        <f t="shared" si="19"/>
        <v>2.000000000000007E-2</v>
      </c>
      <c r="R158" s="4" t="str">
        <f>IF(Sales_Fact!$O158&gt;1000,"High","Low")</f>
        <v>Low</v>
      </c>
      <c r="S158" s="4" t="str">
        <f>VLOOKUP(C158,Customer_Dim!$A:$N,9,FALSE())</f>
        <v>Heather Collins</v>
      </c>
      <c r="T158" s="4" t="str">
        <f>VLOOKUP(D158,Product_Dim!$A:$M,3,FALSE())</f>
        <v>Electronics</v>
      </c>
      <c r="U158" s="11" t="str">
        <f>VLOOKUP(D158,Product_Dim!$A:$M,2,FALSE())</f>
        <v>HDMI Cable – 2m</v>
      </c>
      <c r="V158" s="11" t="str">
        <f>VLOOKUP(E158,Store_Dim!$A:$E,3,FALSE())</f>
        <v>East</v>
      </c>
      <c r="W158" s="11" t="str">
        <f>VLOOKUP(C158,Customer_Dim!$A:$N,13,FALSE())</f>
        <v>Platinum</v>
      </c>
      <c r="X158" s="11" t="str">
        <f t="shared" si="20"/>
        <v>Low</v>
      </c>
    </row>
    <row r="159" spans="1:24" ht="15.75" customHeight="1">
      <c r="A159" s="4" t="s">
        <v>2155</v>
      </c>
      <c r="B159" s="9">
        <v>45518</v>
      </c>
      <c r="C159" s="4" t="s">
        <v>117</v>
      </c>
      <c r="D159" s="4" t="s">
        <v>1837</v>
      </c>
      <c r="E159" s="4" t="s">
        <v>1919</v>
      </c>
      <c r="F159" s="4">
        <v>2</v>
      </c>
      <c r="G159" s="4">
        <v>257.45</v>
      </c>
      <c r="H159" s="4">
        <v>0</v>
      </c>
      <c r="I159" s="4" t="s">
        <v>2004</v>
      </c>
      <c r="J159" s="10">
        <v>514.9</v>
      </c>
      <c r="K159" s="4" t="str">
        <f t="shared" si="14"/>
        <v>14-08-2024</v>
      </c>
      <c r="L159" s="4" t="str">
        <f>TEXT(Sales_Fact!$B159,"mmm")</f>
        <v>Aug</v>
      </c>
      <c r="M159" s="4">
        <f t="shared" si="15"/>
        <v>2</v>
      </c>
      <c r="N159" s="10">
        <f t="shared" si="16"/>
        <v>257.45</v>
      </c>
      <c r="O159" s="10">
        <f t="shared" si="17"/>
        <v>514.9</v>
      </c>
      <c r="P159" s="10">
        <f t="shared" si="18"/>
        <v>514.9</v>
      </c>
      <c r="Q159" s="3">
        <f t="shared" si="19"/>
        <v>0</v>
      </c>
      <c r="R159" s="4" t="str">
        <f>IF(Sales_Fact!$O159&gt;1000,"High","Low")</f>
        <v>Low</v>
      </c>
      <c r="S159" s="4" t="str">
        <f>VLOOKUP(C159,Customer_Dim!$A:$N,9,FALSE())</f>
        <v>Paul Fox</v>
      </c>
      <c r="T159" s="4" t="str">
        <f>VLOOKUP(D159,Product_Dim!$A:$M,3,FALSE())</f>
        <v>Electronics</v>
      </c>
      <c r="U159" s="11" t="str">
        <f>VLOOKUP(D159,Product_Dim!$A:$M,2,FALSE())</f>
        <v>WiFi Mesh Router</v>
      </c>
      <c r="V159" s="11" t="str">
        <f>VLOOKUP(E159,Store_Dim!$A:$E,3,FALSE())</f>
        <v>South</v>
      </c>
      <c r="W159" s="11" t="str">
        <f>VLOOKUP(C159,Customer_Dim!$A:$N,13,FALSE())</f>
        <v>Silver</v>
      </c>
      <c r="X159" s="11" t="str">
        <f t="shared" si="20"/>
        <v>Low</v>
      </c>
    </row>
    <row r="160" spans="1:24" ht="15.75" customHeight="1">
      <c r="A160" s="4" t="s">
        <v>2156</v>
      </c>
      <c r="B160" s="9">
        <v>45482</v>
      </c>
      <c r="C160" s="4" t="s">
        <v>535</v>
      </c>
      <c r="D160" s="4" t="s">
        <v>1879</v>
      </c>
      <c r="E160" s="4" t="s">
        <v>1927</v>
      </c>
      <c r="F160" s="4">
        <v>2</v>
      </c>
      <c r="G160" s="4">
        <v>731.01</v>
      </c>
      <c r="H160" s="4">
        <v>0.05</v>
      </c>
      <c r="I160" s="4" t="s">
        <v>1998</v>
      </c>
      <c r="J160" s="10">
        <v>1388.9190000000001</v>
      </c>
      <c r="K160" s="4" t="str">
        <f t="shared" si="14"/>
        <v>09-07-2024</v>
      </c>
      <c r="L160" s="4" t="str">
        <f>TEXT(Sales_Fact!$B160,"mmm")</f>
        <v>Jul</v>
      </c>
      <c r="M160" s="4">
        <f t="shared" si="15"/>
        <v>2</v>
      </c>
      <c r="N160" s="10">
        <f t="shared" si="16"/>
        <v>731.01</v>
      </c>
      <c r="O160" s="10">
        <f t="shared" si="17"/>
        <v>1388.9189999999999</v>
      </c>
      <c r="P160" s="10">
        <f t="shared" si="18"/>
        <v>1462.02</v>
      </c>
      <c r="Q160" s="3">
        <f t="shared" si="19"/>
        <v>5.0000000000000079E-2</v>
      </c>
      <c r="R160" s="4" t="str">
        <f>IF(Sales_Fact!$O160&gt;1000,"High","Low")</f>
        <v>High</v>
      </c>
      <c r="S160" s="4" t="str">
        <f>VLOOKUP(C160,Customer_Dim!$A:$N,9,FALSE())</f>
        <v>Patrick Roberts</v>
      </c>
      <c r="T160" s="4" t="str">
        <f>VLOOKUP(D160,Product_Dim!$A:$M,3,FALSE())</f>
        <v>Clothing</v>
      </c>
      <c r="U160" s="11" t="str">
        <f>VLOOKUP(D160,Product_Dim!$A:$M,2,FALSE())</f>
        <v>Women's High Heels</v>
      </c>
      <c r="V160" s="11" t="str">
        <f>VLOOKUP(E160,Store_Dim!$A:$E,3,FALSE())</f>
        <v>South</v>
      </c>
      <c r="W160" s="11" t="str">
        <f>VLOOKUP(C160,Customer_Dim!$A:$N,13,FALSE())</f>
        <v>Platinum</v>
      </c>
      <c r="X160" s="11" t="str">
        <f t="shared" si="20"/>
        <v>Low</v>
      </c>
    </row>
    <row r="161" spans="1:24" ht="15.75" customHeight="1">
      <c r="A161" s="4" t="s">
        <v>2157</v>
      </c>
      <c r="B161" s="9">
        <v>45861</v>
      </c>
      <c r="C161" s="4" t="s">
        <v>617</v>
      </c>
      <c r="D161" s="4" t="s">
        <v>1703</v>
      </c>
      <c r="E161" s="4" t="s">
        <v>1959</v>
      </c>
      <c r="F161" s="4">
        <v>2</v>
      </c>
      <c r="G161" s="4">
        <v>696.61</v>
      </c>
      <c r="H161" s="4">
        <v>0.17</v>
      </c>
      <c r="I161" s="4" t="s">
        <v>1998</v>
      </c>
      <c r="J161" s="10">
        <v>1156.3725999999999</v>
      </c>
      <c r="K161" s="4" t="str">
        <f t="shared" si="14"/>
        <v>23-07-2025</v>
      </c>
      <c r="L161" s="4" t="str">
        <f>TEXT(Sales_Fact!$B161,"mmm")</f>
        <v>Jul</v>
      </c>
      <c r="M161" s="4">
        <f t="shared" si="15"/>
        <v>2</v>
      </c>
      <c r="N161" s="10">
        <f t="shared" si="16"/>
        <v>696.61</v>
      </c>
      <c r="O161" s="10">
        <f t="shared" si="17"/>
        <v>1156.3725999999999</v>
      </c>
      <c r="P161" s="10">
        <f t="shared" si="18"/>
        <v>1393.22</v>
      </c>
      <c r="Q161" s="3">
        <f t="shared" si="19"/>
        <v>0.17000000000000007</v>
      </c>
      <c r="R161" s="4" t="str">
        <f>IF(Sales_Fact!$O161&gt;1000,"High","Low")</f>
        <v>High</v>
      </c>
      <c r="S161" s="4" t="str">
        <f>VLOOKUP(C161,Customer_Dim!$A:$N,9,FALSE())</f>
        <v>Nicholas Bradshaw</v>
      </c>
      <c r="T161" s="4" t="str">
        <f>VLOOKUP(D161,Product_Dim!$A:$M,3,FALSE())</f>
        <v>Electronics</v>
      </c>
      <c r="U161" s="11" t="str">
        <f>VLOOKUP(D161,Product_Dim!$A:$M,2,FALSE())</f>
        <v>Gaming Mechanical Keyboard</v>
      </c>
      <c r="V161" s="11" t="str">
        <f>VLOOKUP(E161,Store_Dim!$A:$E,3,FALSE())</f>
        <v>North</v>
      </c>
      <c r="W161" s="11" t="str">
        <f>VLOOKUP(C161,Customer_Dim!$A:$N,13,FALSE())</f>
        <v>Silver</v>
      </c>
      <c r="X161" s="11" t="str">
        <f t="shared" si="20"/>
        <v>Low</v>
      </c>
    </row>
    <row r="162" spans="1:24" ht="15.75" customHeight="1">
      <c r="A162" s="4" t="s">
        <v>2158</v>
      </c>
      <c r="B162" s="9">
        <v>45416</v>
      </c>
      <c r="C162" s="4" t="s">
        <v>1195</v>
      </c>
      <c r="D162" s="4" t="s">
        <v>1741</v>
      </c>
      <c r="E162" s="4" t="s">
        <v>1937</v>
      </c>
      <c r="F162" s="4">
        <v>2</v>
      </c>
      <c r="G162" s="4">
        <v>143.79</v>
      </c>
      <c r="H162" s="4">
        <v>0.1</v>
      </c>
      <c r="I162" s="4" t="s">
        <v>1998</v>
      </c>
      <c r="J162" s="10">
        <v>258.822</v>
      </c>
      <c r="K162" s="4" t="str">
        <f t="shared" si="14"/>
        <v>04-05-2024</v>
      </c>
      <c r="L162" s="4" t="str">
        <f>TEXT(Sales_Fact!$B162,"mmm")</f>
        <v>May</v>
      </c>
      <c r="M162" s="4">
        <f t="shared" si="15"/>
        <v>2</v>
      </c>
      <c r="N162" s="10">
        <f t="shared" si="16"/>
        <v>143.79</v>
      </c>
      <c r="O162" s="10">
        <f t="shared" si="17"/>
        <v>258.822</v>
      </c>
      <c r="P162" s="10">
        <f t="shared" si="18"/>
        <v>287.58</v>
      </c>
      <c r="Q162" s="3">
        <f t="shared" si="19"/>
        <v>9.9999999999999936E-2</v>
      </c>
      <c r="R162" s="4" t="str">
        <f>IF(Sales_Fact!$O162&gt;1000,"High","Low")</f>
        <v>Low</v>
      </c>
      <c r="S162" s="4" t="str">
        <f>VLOOKUP(C162,Customer_Dim!$A:$N,9,FALSE())</f>
        <v>James Orozco</v>
      </c>
      <c r="T162" s="4" t="str">
        <f>VLOOKUP(D162,Product_Dim!$A:$M,3,FALSE())</f>
        <v>Clothing</v>
      </c>
      <c r="U162" s="11" t="str">
        <f>VLOOKUP(D162,Product_Dim!$A:$M,2,FALSE())</f>
        <v>Men's Winter Jacket</v>
      </c>
      <c r="V162" s="11" t="str">
        <f>VLOOKUP(E162,Store_Dim!$A:$E,3,FALSE())</f>
        <v>South</v>
      </c>
      <c r="W162" s="11" t="str">
        <f>VLOOKUP(C162,Customer_Dim!$A:$N,13,FALSE())</f>
        <v>Gold</v>
      </c>
      <c r="X162" s="11" t="str">
        <f t="shared" si="20"/>
        <v>Low</v>
      </c>
    </row>
    <row r="163" spans="1:24" ht="15.75" customHeight="1">
      <c r="A163" s="4" t="s">
        <v>2159</v>
      </c>
      <c r="B163" s="9">
        <v>45608</v>
      </c>
      <c r="C163" s="4" t="s">
        <v>965</v>
      </c>
      <c r="D163" s="4" t="s">
        <v>1855</v>
      </c>
      <c r="E163" s="4" t="s">
        <v>1915</v>
      </c>
      <c r="F163" s="4">
        <v>3</v>
      </c>
      <c r="G163" s="4">
        <v>460.93</v>
      </c>
      <c r="H163" s="4">
        <v>0.19</v>
      </c>
      <c r="I163" s="4" t="s">
        <v>2004</v>
      </c>
      <c r="J163" s="10">
        <v>1120.0599</v>
      </c>
      <c r="K163" s="4" t="str">
        <f t="shared" si="14"/>
        <v>12-11-2024</v>
      </c>
      <c r="L163" s="4" t="str">
        <f>TEXT(Sales_Fact!$B163,"mmm")</f>
        <v>Nov</v>
      </c>
      <c r="M163" s="4">
        <f t="shared" si="15"/>
        <v>3</v>
      </c>
      <c r="N163" s="10">
        <f t="shared" si="16"/>
        <v>460.93</v>
      </c>
      <c r="O163" s="10">
        <f t="shared" si="17"/>
        <v>1120.0599</v>
      </c>
      <c r="P163" s="10">
        <f t="shared" si="18"/>
        <v>1382.79</v>
      </c>
      <c r="Q163" s="3">
        <f t="shared" si="19"/>
        <v>0.19</v>
      </c>
      <c r="R163" s="4" t="str">
        <f>IF(Sales_Fact!$O163&gt;1000,"High","Low")</f>
        <v>High</v>
      </c>
      <c r="S163" s="4" t="str">
        <f>VLOOKUP(C163,Customer_Dim!$A:$N,9,FALSE())</f>
        <v>Jared Moran</v>
      </c>
      <c r="T163" s="4" t="str">
        <f>VLOOKUP(D163,Product_Dim!$A:$M,3,FALSE())</f>
        <v>Beauty</v>
      </c>
      <c r="U163" s="11" t="str">
        <f>VLOOKUP(D163,Product_Dim!$A:$M,2,FALSE())</f>
        <v>Hydrating Face Cleanser</v>
      </c>
      <c r="V163" s="11" t="str">
        <f>VLOOKUP(E163,Store_Dim!$A:$E,3,FALSE())</f>
        <v>North</v>
      </c>
      <c r="W163" s="11" t="str">
        <f>VLOOKUP(C163,Customer_Dim!$A:$N,13,FALSE())</f>
        <v>Bronze</v>
      </c>
      <c r="X163" s="11" t="str">
        <f t="shared" si="20"/>
        <v>Low</v>
      </c>
    </row>
    <row r="164" spans="1:24" ht="15.75" customHeight="1">
      <c r="A164" s="4" t="s">
        <v>2160</v>
      </c>
      <c r="B164" s="9">
        <v>45301</v>
      </c>
      <c r="C164" s="4" t="s">
        <v>1562</v>
      </c>
      <c r="D164" s="4" t="s">
        <v>1684</v>
      </c>
      <c r="E164" s="4" t="s">
        <v>1944</v>
      </c>
      <c r="F164" s="4">
        <v>2</v>
      </c>
      <c r="G164" s="4">
        <v>67.55</v>
      </c>
      <c r="H164" s="4">
        <v>0.03</v>
      </c>
      <c r="I164" s="4" t="s">
        <v>1996</v>
      </c>
      <c r="J164" s="10">
        <v>131.047</v>
      </c>
      <c r="K164" s="4" t="str">
        <f t="shared" si="14"/>
        <v>10-01-2024</v>
      </c>
      <c r="L164" s="4" t="str">
        <f>TEXT(Sales_Fact!$B164,"mmm")</f>
        <v>Jan</v>
      </c>
      <c r="M164" s="4">
        <f t="shared" si="15"/>
        <v>2</v>
      </c>
      <c r="N164" s="10">
        <f t="shared" si="16"/>
        <v>67.55</v>
      </c>
      <c r="O164" s="10">
        <f t="shared" si="17"/>
        <v>131.047</v>
      </c>
      <c r="P164" s="10">
        <f t="shared" si="18"/>
        <v>135.1</v>
      </c>
      <c r="Q164" s="3">
        <f t="shared" si="19"/>
        <v>2.9999999999999982E-2</v>
      </c>
      <c r="R164" s="4" t="str">
        <f>IF(Sales_Fact!$O164&gt;1000,"High","Low")</f>
        <v>Low</v>
      </c>
      <c r="S164" s="4" t="str">
        <f>VLOOKUP(C164,Customer_Dim!$A:$N,9,FALSE())</f>
        <v>Philip Pennington</v>
      </c>
      <c r="T164" s="4" t="str">
        <f>VLOOKUP(D164,Product_Dim!$A:$M,3,FALSE())</f>
        <v>Sports</v>
      </c>
      <c r="U164" s="11" t="str">
        <f>VLOOKUP(D164,Product_Dim!$A:$M,2,FALSE())</f>
        <v>Sports Stopwatch Timer</v>
      </c>
      <c r="V164" s="11" t="str">
        <f>VLOOKUP(E164,Store_Dim!$A:$E,3,FALSE())</f>
        <v>South</v>
      </c>
      <c r="W164" s="11" t="str">
        <f>VLOOKUP(C164,Customer_Dim!$A:$N,13,FALSE())</f>
        <v>Platinum</v>
      </c>
      <c r="X164" s="11" t="str">
        <f t="shared" si="20"/>
        <v>Low</v>
      </c>
    </row>
    <row r="165" spans="1:24" ht="15.75" customHeight="1">
      <c r="A165" s="4" t="s">
        <v>2161</v>
      </c>
      <c r="B165" s="9">
        <v>45433</v>
      </c>
      <c r="C165" s="4" t="s">
        <v>709</v>
      </c>
      <c r="D165" s="4" t="s">
        <v>1751</v>
      </c>
      <c r="E165" s="4" t="s">
        <v>1915</v>
      </c>
      <c r="F165" s="4">
        <v>3</v>
      </c>
      <c r="G165" s="4">
        <v>803.31</v>
      </c>
      <c r="H165" s="4">
        <v>0.1</v>
      </c>
      <c r="I165" s="4" t="s">
        <v>1998</v>
      </c>
      <c r="J165" s="10">
        <v>2168.9369999999999</v>
      </c>
      <c r="K165" s="4" t="str">
        <f t="shared" si="14"/>
        <v>21-05-2024</v>
      </c>
      <c r="L165" s="4" t="str">
        <f>TEXT(Sales_Fact!$B165,"mmm")</f>
        <v>May</v>
      </c>
      <c r="M165" s="4">
        <f t="shared" si="15"/>
        <v>3</v>
      </c>
      <c r="N165" s="10">
        <f t="shared" si="16"/>
        <v>803.31</v>
      </c>
      <c r="O165" s="10">
        <f t="shared" si="17"/>
        <v>2168.9369999999999</v>
      </c>
      <c r="P165" s="10">
        <f t="shared" si="18"/>
        <v>2409.9299999999998</v>
      </c>
      <c r="Q165" s="3">
        <f t="shared" si="19"/>
        <v>9.9999999999999978E-2</v>
      </c>
      <c r="R165" s="4" t="str">
        <f>IF(Sales_Fact!$O165&gt;1000,"High","Low")</f>
        <v>High</v>
      </c>
      <c r="S165" s="4" t="str">
        <f>VLOOKUP(C165,Customer_Dim!$A:$N,9,FALSE())</f>
        <v>Antonio Jones</v>
      </c>
      <c r="T165" s="4" t="str">
        <f>VLOOKUP(D165,Product_Dim!$A:$M,3,FALSE())</f>
        <v>Beauty</v>
      </c>
      <c r="U165" s="11" t="str">
        <f>VLOOKUP(D165,Product_Dim!$A:$M,2,FALSE())</f>
        <v>Men's Roll-On Perfume</v>
      </c>
      <c r="V165" s="11" t="str">
        <f>VLOOKUP(E165,Store_Dim!$A:$E,3,FALSE())</f>
        <v>North</v>
      </c>
      <c r="W165" s="11" t="str">
        <f>VLOOKUP(C165,Customer_Dim!$A:$N,13,FALSE())</f>
        <v>Silver</v>
      </c>
      <c r="X165" s="11" t="str">
        <f t="shared" si="20"/>
        <v>Low</v>
      </c>
    </row>
    <row r="166" spans="1:24" ht="15.75" customHeight="1">
      <c r="A166" s="4" t="s">
        <v>2162</v>
      </c>
      <c r="B166" s="9">
        <v>45821</v>
      </c>
      <c r="C166" s="4" t="s">
        <v>1369</v>
      </c>
      <c r="D166" s="4" t="s">
        <v>1644</v>
      </c>
      <c r="E166" s="4" t="s">
        <v>1955</v>
      </c>
      <c r="F166" s="4">
        <v>4</v>
      </c>
      <c r="G166" s="4">
        <v>254.71</v>
      </c>
      <c r="H166" s="4">
        <v>0.2</v>
      </c>
      <c r="I166" s="4" t="s">
        <v>2004</v>
      </c>
      <c r="J166" s="10">
        <v>815.072</v>
      </c>
      <c r="K166" s="4" t="str">
        <f t="shared" si="14"/>
        <v>13-06-2025</v>
      </c>
      <c r="L166" s="4" t="str">
        <f>TEXT(Sales_Fact!$B166,"mmm")</f>
        <v>Jun</v>
      </c>
      <c r="M166" s="4">
        <f t="shared" si="15"/>
        <v>4</v>
      </c>
      <c r="N166" s="10">
        <f t="shared" si="16"/>
        <v>254.71</v>
      </c>
      <c r="O166" s="10">
        <f t="shared" si="17"/>
        <v>815.07200000000012</v>
      </c>
      <c r="P166" s="10">
        <f t="shared" si="18"/>
        <v>1018.84</v>
      </c>
      <c r="Q166" s="3">
        <f t="shared" si="19"/>
        <v>0.1999999999999999</v>
      </c>
      <c r="R166" s="4" t="str">
        <f>IF(Sales_Fact!$O166&gt;1000,"High","Low")</f>
        <v>Low</v>
      </c>
      <c r="S166" s="4" t="str">
        <f>VLOOKUP(C166,Customer_Dim!$A:$N,9,FALSE())</f>
        <v>Summer Weiss</v>
      </c>
      <c r="T166" s="4" t="str">
        <f>VLOOKUP(D166,Product_Dim!$A:$M,3,FALSE())</f>
        <v>Beauty</v>
      </c>
      <c r="U166" s="11" t="str">
        <f>VLOOKUP(D166,Product_Dim!$A:$M,2,FALSE())</f>
        <v>Beard Grooming Kit</v>
      </c>
      <c r="V166" s="11" t="str">
        <f>VLOOKUP(E166,Store_Dim!$A:$E,3,FALSE())</f>
        <v>East</v>
      </c>
      <c r="W166" s="11" t="str">
        <f>VLOOKUP(C166,Customer_Dim!$A:$N,13,FALSE())</f>
        <v>Bronze</v>
      </c>
      <c r="X166" s="11" t="str">
        <f t="shared" si="20"/>
        <v>High</v>
      </c>
    </row>
    <row r="167" spans="1:24" ht="15.75" customHeight="1">
      <c r="A167" s="4" t="s">
        <v>2163</v>
      </c>
      <c r="B167" s="9">
        <v>45508</v>
      </c>
      <c r="C167" s="4" t="s">
        <v>216</v>
      </c>
      <c r="D167" s="4" t="s">
        <v>1755</v>
      </c>
      <c r="E167" s="4" t="s">
        <v>1927</v>
      </c>
      <c r="F167" s="4">
        <v>4</v>
      </c>
      <c r="G167" s="4">
        <v>594.89</v>
      </c>
      <c r="H167" s="4">
        <v>0.3</v>
      </c>
      <c r="I167" s="4" t="s">
        <v>1998</v>
      </c>
      <c r="J167" s="10">
        <v>1665.692</v>
      </c>
      <c r="K167" s="4" t="str">
        <f t="shared" si="14"/>
        <v>04-08-2024</v>
      </c>
      <c r="L167" s="4" t="str">
        <f>TEXT(Sales_Fact!$B167,"mmm")</f>
        <v>Aug</v>
      </c>
      <c r="M167" s="4">
        <f t="shared" si="15"/>
        <v>4</v>
      </c>
      <c r="N167" s="10">
        <f t="shared" si="16"/>
        <v>594.89</v>
      </c>
      <c r="O167" s="10">
        <f t="shared" si="17"/>
        <v>1665.6919999999998</v>
      </c>
      <c r="P167" s="10">
        <f t="shared" si="18"/>
        <v>2379.56</v>
      </c>
      <c r="Q167" s="3">
        <f t="shared" si="19"/>
        <v>0.3000000000000001</v>
      </c>
      <c r="R167" s="4" t="str">
        <f>IF(Sales_Fact!$O167&gt;1000,"High","Low")</f>
        <v>High</v>
      </c>
      <c r="S167" s="4" t="str">
        <f>VLOOKUP(C167,Customer_Dim!$A:$N,9,FALSE())</f>
        <v>Sarah Rodgers</v>
      </c>
      <c r="T167" s="4" t="str">
        <f>VLOOKUP(D167,Product_Dim!$A:$M,3,FALSE())</f>
        <v>Sports</v>
      </c>
      <c r="U167" s="11" t="str">
        <f>VLOOKUP(D167,Product_Dim!$A:$M,2,FALSE())</f>
        <v>Boxing Hand Wraps</v>
      </c>
      <c r="V167" s="11" t="str">
        <f>VLOOKUP(E167,Store_Dim!$A:$E,3,FALSE())</f>
        <v>South</v>
      </c>
      <c r="W167" s="11" t="str">
        <f>VLOOKUP(C167,Customer_Dim!$A:$N,13,FALSE())</f>
        <v>Gold</v>
      </c>
      <c r="X167" s="11" t="str">
        <f t="shared" si="20"/>
        <v>High</v>
      </c>
    </row>
    <row r="168" spans="1:24" ht="15.75" customHeight="1">
      <c r="A168" s="4" t="s">
        <v>2164</v>
      </c>
      <c r="B168" s="9">
        <v>45854</v>
      </c>
      <c r="C168" s="4" t="s">
        <v>736</v>
      </c>
      <c r="D168" s="4" t="s">
        <v>1879</v>
      </c>
      <c r="E168" s="4" t="s">
        <v>1910</v>
      </c>
      <c r="F168" s="4">
        <v>2</v>
      </c>
      <c r="G168" s="4">
        <v>844.31</v>
      </c>
      <c r="H168" s="4">
        <v>7.0000000000000007E-2</v>
      </c>
      <c r="I168" s="4" t="s">
        <v>1998</v>
      </c>
      <c r="J168" s="10">
        <v>1570.4166</v>
      </c>
      <c r="K168" s="4" t="str">
        <f t="shared" si="14"/>
        <v>16-07-2025</v>
      </c>
      <c r="L168" s="4" t="str">
        <f>TEXT(Sales_Fact!$B168,"mmm")</f>
        <v>Jul</v>
      </c>
      <c r="M168" s="4">
        <f t="shared" si="15"/>
        <v>2</v>
      </c>
      <c r="N168" s="10">
        <f t="shared" si="16"/>
        <v>844.31</v>
      </c>
      <c r="O168" s="10">
        <f t="shared" si="17"/>
        <v>1570.4165999999998</v>
      </c>
      <c r="P168" s="10">
        <f t="shared" si="18"/>
        <v>1688.62</v>
      </c>
      <c r="Q168" s="3">
        <f t="shared" si="19"/>
        <v>7.0000000000000062E-2</v>
      </c>
      <c r="R168" s="4" t="str">
        <f>IF(Sales_Fact!$O168&gt;1000,"High","Low")</f>
        <v>High</v>
      </c>
      <c r="S168" s="4" t="str">
        <f>VLOOKUP(C168,Customer_Dim!$A:$N,9,FALSE())</f>
        <v>Jordan Wells</v>
      </c>
      <c r="T168" s="4" t="str">
        <f>VLOOKUP(D168,Product_Dim!$A:$M,3,FALSE())</f>
        <v>Clothing</v>
      </c>
      <c r="U168" s="11" t="str">
        <f>VLOOKUP(D168,Product_Dim!$A:$M,2,FALSE())</f>
        <v>Women's High Heels</v>
      </c>
      <c r="V168" s="11" t="str">
        <f>VLOOKUP(E168,Store_Dim!$A:$E,3,FALSE())</f>
        <v>East</v>
      </c>
      <c r="W168" s="11" t="str">
        <f>VLOOKUP(C168,Customer_Dim!$A:$N,13,FALSE())</f>
        <v>Gold</v>
      </c>
      <c r="X168" s="11" t="str">
        <f t="shared" si="20"/>
        <v>Low</v>
      </c>
    </row>
    <row r="169" spans="1:24" ht="15.75" customHeight="1">
      <c r="A169" s="4" t="s">
        <v>2165</v>
      </c>
      <c r="B169" s="9">
        <v>45569</v>
      </c>
      <c r="C169" s="4" t="s">
        <v>482</v>
      </c>
      <c r="D169" s="4" t="s">
        <v>1640</v>
      </c>
      <c r="E169" s="4" t="s">
        <v>1934</v>
      </c>
      <c r="F169" s="4">
        <v>4</v>
      </c>
      <c r="G169" s="4">
        <v>101.33</v>
      </c>
      <c r="H169" s="4">
        <v>0</v>
      </c>
      <c r="I169" s="4" t="s">
        <v>1996</v>
      </c>
      <c r="J169" s="10">
        <v>405.32</v>
      </c>
      <c r="K169" s="4" t="str">
        <f t="shared" si="14"/>
        <v>04-10-2024</v>
      </c>
      <c r="L169" s="4" t="str">
        <f>TEXT(Sales_Fact!$B169,"mmm")</f>
        <v>Oct</v>
      </c>
      <c r="M169" s="4">
        <f t="shared" si="15"/>
        <v>4</v>
      </c>
      <c r="N169" s="10">
        <f t="shared" si="16"/>
        <v>101.33</v>
      </c>
      <c r="O169" s="10">
        <f t="shared" si="17"/>
        <v>405.32</v>
      </c>
      <c r="P169" s="10">
        <f t="shared" si="18"/>
        <v>405.32</v>
      </c>
      <c r="Q169" s="3">
        <f t="shared" si="19"/>
        <v>0</v>
      </c>
      <c r="R169" s="4" t="str">
        <f>IF(Sales_Fact!$O169&gt;1000,"High","Low")</f>
        <v>Low</v>
      </c>
      <c r="S169" s="4" t="str">
        <f>VLOOKUP(C169,Customer_Dim!$A:$N,9,FALSE())</f>
        <v>Morgan Bowen</v>
      </c>
      <c r="T169" s="4" t="str">
        <f>VLOOKUP(D169,Product_Dim!$A:$M,3,FALSE())</f>
        <v>Electronics</v>
      </c>
      <c r="U169" s="11" t="str">
        <f>VLOOKUP(D169,Product_Dim!$A:$M,2,FALSE())</f>
        <v>4K Home Projector</v>
      </c>
      <c r="V169" s="11" t="str">
        <f>VLOOKUP(E169,Store_Dim!$A:$E,3,FALSE())</f>
        <v>East</v>
      </c>
      <c r="W169" s="11" t="str">
        <f>VLOOKUP(C169,Customer_Dim!$A:$N,13,FALSE())</f>
        <v>Gold</v>
      </c>
      <c r="X169" s="11" t="str">
        <f t="shared" si="20"/>
        <v>High</v>
      </c>
    </row>
    <row r="170" spans="1:24" ht="15.75" customHeight="1">
      <c r="A170" s="4" t="s">
        <v>2166</v>
      </c>
      <c r="B170" s="9">
        <v>45824</v>
      </c>
      <c r="C170" s="4" t="s">
        <v>473</v>
      </c>
      <c r="D170" s="4" t="s">
        <v>1678</v>
      </c>
      <c r="E170" s="4" t="s">
        <v>1940</v>
      </c>
      <c r="F170" s="4">
        <v>3</v>
      </c>
      <c r="G170" s="4">
        <v>922.56</v>
      </c>
      <c r="H170" s="4">
        <v>0.18</v>
      </c>
      <c r="I170" s="4" t="s">
        <v>1998</v>
      </c>
      <c r="J170" s="10">
        <v>2269.4976000000001</v>
      </c>
      <c r="K170" s="4" t="str">
        <f t="shared" si="14"/>
        <v>16-06-2025</v>
      </c>
      <c r="L170" s="4" t="str">
        <f>TEXT(Sales_Fact!$B170,"mmm")</f>
        <v>Jun</v>
      </c>
      <c r="M170" s="4">
        <f t="shared" si="15"/>
        <v>3</v>
      </c>
      <c r="N170" s="10">
        <f t="shared" si="16"/>
        <v>922.56</v>
      </c>
      <c r="O170" s="10">
        <f t="shared" si="17"/>
        <v>2269.4976000000001</v>
      </c>
      <c r="P170" s="10">
        <f t="shared" si="18"/>
        <v>2767.68</v>
      </c>
      <c r="Q170" s="3">
        <f t="shared" si="19"/>
        <v>0.17999999999999991</v>
      </c>
      <c r="R170" s="4" t="str">
        <f>IF(Sales_Fact!$O170&gt;1000,"High","Low")</f>
        <v>High</v>
      </c>
      <c r="S170" s="4" t="str">
        <f>VLOOKUP(C170,Customer_Dim!$A:$N,9,FALSE())</f>
        <v>Joseph Richards</v>
      </c>
      <c r="T170" s="4" t="str">
        <f>VLOOKUP(D170,Product_Dim!$A:$M,3,FALSE())</f>
        <v>Electronics</v>
      </c>
      <c r="U170" s="11" t="str">
        <f>VLOOKUP(D170,Product_Dim!$A:$M,2,FALSE())</f>
        <v>Wireless Bluetooth Speaker</v>
      </c>
      <c r="V170" s="11" t="str">
        <f>VLOOKUP(E170,Store_Dim!$A:$E,3,FALSE())</f>
        <v>West</v>
      </c>
      <c r="W170" s="11" t="str">
        <f>VLOOKUP(C170,Customer_Dim!$A:$N,13,FALSE())</f>
        <v>Bronze</v>
      </c>
      <c r="X170" s="11" t="str">
        <f t="shared" si="20"/>
        <v>Low</v>
      </c>
    </row>
    <row r="171" spans="1:24" ht="15.75" customHeight="1">
      <c r="A171" s="4" t="s">
        <v>2167</v>
      </c>
      <c r="B171" s="9">
        <v>45925</v>
      </c>
      <c r="C171" s="4" t="s">
        <v>849</v>
      </c>
      <c r="D171" s="4" t="s">
        <v>1861</v>
      </c>
      <c r="E171" s="4" t="s">
        <v>1937</v>
      </c>
      <c r="F171" s="4">
        <v>4</v>
      </c>
      <c r="G171" s="4">
        <v>930.85</v>
      </c>
      <c r="H171" s="4">
        <v>0.13</v>
      </c>
      <c r="I171" s="4" t="s">
        <v>1998</v>
      </c>
      <c r="J171" s="10">
        <v>3239.3580000000002</v>
      </c>
      <c r="K171" s="4" t="str">
        <f t="shared" si="14"/>
        <v>25-09-2025</v>
      </c>
      <c r="L171" s="4" t="str">
        <f>TEXT(Sales_Fact!$B171,"mmm")</f>
        <v>Sep</v>
      </c>
      <c r="M171" s="4">
        <f t="shared" si="15"/>
        <v>4</v>
      </c>
      <c r="N171" s="10">
        <f t="shared" si="16"/>
        <v>930.85</v>
      </c>
      <c r="O171" s="10">
        <f t="shared" si="17"/>
        <v>3239.3580000000002</v>
      </c>
      <c r="P171" s="10">
        <f t="shared" si="18"/>
        <v>3723.4</v>
      </c>
      <c r="Q171" s="3">
        <f t="shared" si="19"/>
        <v>0.12999999999999998</v>
      </c>
      <c r="R171" s="4" t="str">
        <f>IF(Sales_Fact!$O171&gt;1000,"High","Low")</f>
        <v>High</v>
      </c>
      <c r="S171" s="4" t="str">
        <f>VLOOKUP(C171,Customer_Dim!$A:$N,9,FALSE())</f>
        <v>Christopher David</v>
      </c>
      <c r="T171" s="4" t="str">
        <f>VLOOKUP(D171,Product_Dim!$A:$M,3,FALSE())</f>
        <v>Clothing</v>
      </c>
      <c r="U171" s="11" t="str">
        <f>VLOOKUP(D171,Product_Dim!$A:$M,2,FALSE())</f>
        <v>Women's Beanie Hat</v>
      </c>
      <c r="V171" s="11" t="str">
        <f>VLOOKUP(E171,Store_Dim!$A:$E,3,FALSE())</f>
        <v>South</v>
      </c>
      <c r="W171" s="11" t="str">
        <f>VLOOKUP(C171,Customer_Dim!$A:$N,13,FALSE())</f>
        <v>Silver</v>
      </c>
      <c r="X171" s="11" t="str">
        <f t="shared" si="20"/>
        <v>High</v>
      </c>
    </row>
    <row r="172" spans="1:24" ht="15.75" customHeight="1">
      <c r="A172" s="4" t="s">
        <v>2168</v>
      </c>
      <c r="B172" s="9">
        <v>45352</v>
      </c>
      <c r="C172" s="4" t="s">
        <v>1369</v>
      </c>
      <c r="D172" s="4" t="s">
        <v>1716</v>
      </c>
      <c r="E172" s="4" t="s">
        <v>1957</v>
      </c>
      <c r="F172" s="4">
        <v>4</v>
      </c>
      <c r="G172" s="4">
        <v>867.19</v>
      </c>
      <c r="H172" s="4">
        <v>7.0000000000000007E-2</v>
      </c>
      <c r="I172" s="4" t="s">
        <v>2004</v>
      </c>
      <c r="J172" s="10">
        <v>3225.9468000000002</v>
      </c>
      <c r="K172" s="4" t="str">
        <f t="shared" si="14"/>
        <v>01-03-2024</v>
      </c>
      <c r="L172" s="4" t="str">
        <f>TEXT(Sales_Fact!$B172,"mmm")</f>
        <v>Mar</v>
      </c>
      <c r="M172" s="4">
        <f t="shared" si="15"/>
        <v>4</v>
      </c>
      <c r="N172" s="10">
        <f t="shared" si="16"/>
        <v>867.19</v>
      </c>
      <c r="O172" s="10">
        <f t="shared" si="17"/>
        <v>3225.9468000000002</v>
      </c>
      <c r="P172" s="10">
        <f t="shared" si="18"/>
        <v>3468.76</v>
      </c>
      <c r="Q172" s="3">
        <f t="shared" si="19"/>
        <v>7.0000000000000007E-2</v>
      </c>
      <c r="R172" s="4" t="str">
        <f>IF(Sales_Fact!$O172&gt;1000,"High","Low")</f>
        <v>High</v>
      </c>
      <c r="S172" s="4" t="str">
        <f>VLOOKUP(C172,Customer_Dim!$A:$N,9,FALSE())</f>
        <v>Summer Weiss</v>
      </c>
      <c r="T172" s="4" t="str">
        <f>VLOOKUP(D172,Product_Dim!$A:$M,3,FALSE())</f>
        <v>Sports</v>
      </c>
      <c r="U172" s="11" t="str">
        <f>VLOOKUP(D172,Product_Dim!$A:$M,2,FALSE())</f>
        <v>Sports Water Hydration Pack</v>
      </c>
      <c r="V172" s="11" t="str">
        <f>VLOOKUP(E172,Store_Dim!$A:$E,3,FALSE())</f>
        <v>South</v>
      </c>
      <c r="W172" s="11" t="str">
        <f>VLOOKUP(C172,Customer_Dim!$A:$N,13,FALSE())</f>
        <v>Bronze</v>
      </c>
      <c r="X172" s="11" t="str">
        <f t="shared" si="20"/>
        <v>High</v>
      </c>
    </row>
    <row r="173" spans="1:24" ht="15.75" customHeight="1">
      <c r="A173" s="4" t="s">
        <v>2169</v>
      </c>
      <c r="B173" s="9">
        <v>45454</v>
      </c>
      <c r="C173" s="4" t="s">
        <v>55</v>
      </c>
      <c r="D173" s="4" t="s">
        <v>1855</v>
      </c>
      <c r="E173" s="4" t="s">
        <v>1965</v>
      </c>
      <c r="F173" s="4">
        <v>3</v>
      </c>
      <c r="G173" s="4">
        <v>816.87</v>
      </c>
      <c r="H173" s="4">
        <v>0.14000000000000001</v>
      </c>
      <c r="I173" s="4" t="s">
        <v>1998</v>
      </c>
      <c r="J173" s="10">
        <v>2107.5246000000002</v>
      </c>
      <c r="K173" s="4" t="str">
        <f t="shared" si="14"/>
        <v>11-06-2024</v>
      </c>
      <c r="L173" s="4" t="str">
        <f>TEXT(Sales_Fact!$B173,"mmm")</f>
        <v>Jun</v>
      </c>
      <c r="M173" s="4">
        <f t="shared" si="15"/>
        <v>3</v>
      </c>
      <c r="N173" s="10">
        <f t="shared" si="16"/>
        <v>816.87</v>
      </c>
      <c r="O173" s="10">
        <f t="shared" si="17"/>
        <v>2107.5246000000002</v>
      </c>
      <c r="P173" s="10">
        <f t="shared" si="18"/>
        <v>2450.61</v>
      </c>
      <c r="Q173" s="3">
        <f t="shared" si="19"/>
        <v>0.13999999999999996</v>
      </c>
      <c r="R173" s="4" t="str">
        <f>IF(Sales_Fact!$O173&gt;1000,"High","Low")</f>
        <v>High</v>
      </c>
      <c r="S173" s="4" t="str">
        <f>VLOOKUP(C173,Customer_Dim!$A:$N,9,FALSE())</f>
        <v>Amber Jackson</v>
      </c>
      <c r="T173" s="4" t="str">
        <f>VLOOKUP(D173,Product_Dim!$A:$M,3,FALSE())</f>
        <v>Beauty</v>
      </c>
      <c r="U173" s="11" t="str">
        <f>VLOOKUP(D173,Product_Dim!$A:$M,2,FALSE())</f>
        <v>Hydrating Face Cleanser</v>
      </c>
      <c r="V173" s="11" t="str">
        <f>VLOOKUP(E173,Store_Dim!$A:$E,3,FALSE())</f>
        <v>North</v>
      </c>
      <c r="W173" s="11" t="str">
        <f>VLOOKUP(C173,Customer_Dim!$A:$N,13,FALSE())</f>
        <v>Platinum</v>
      </c>
      <c r="X173" s="11" t="str">
        <f t="shared" si="20"/>
        <v>Low</v>
      </c>
    </row>
    <row r="174" spans="1:24" ht="15.75" customHeight="1">
      <c r="A174" s="4" t="s">
        <v>2170</v>
      </c>
      <c r="B174" s="9">
        <v>45924</v>
      </c>
      <c r="C174" s="4" t="s">
        <v>1507</v>
      </c>
      <c r="D174" s="4" t="s">
        <v>1800</v>
      </c>
      <c r="E174" s="4" t="s">
        <v>1924</v>
      </c>
      <c r="F174" s="4">
        <v>3</v>
      </c>
      <c r="G174" s="4">
        <v>258.06</v>
      </c>
      <c r="H174" s="4">
        <v>0</v>
      </c>
      <c r="I174" s="4" t="s">
        <v>1998</v>
      </c>
      <c r="J174" s="10">
        <v>774.18</v>
      </c>
      <c r="K174" s="4" t="str">
        <f t="shared" si="14"/>
        <v>24-09-2025</v>
      </c>
      <c r="L174" s="4" t="str">
        <f>TEXT(Sales_Fact!$B174,"mmm")</f>
        <v>Sep</v>
      </c>
      <c r="M174" s="4">
        <f t="shared" si="15"/>
        <v>3</v>
      </c>
      <c r="N174" s="10">
        <f t="shared" si="16"/>
        <v>258.06</v>
      </c>
      <c r="O174" s="10">
        <f t="shared" si="17"/>
        <v>774.18000000000006</v>
      </c>
      <c r="P174" s="10">
        <f t="shared" si="18"/>
        <v>774.18000000000006</v>
      </c>
      <c r="Q174" s="3">
        <f t="shared" si="19"/>
        <v>0</v>
      </c>
      <c r="R174" s="4" t="str">
        <f>IF(Sales_Fact!$O174&gt;1000,"High","Low")</f>
        <v>Low</v>
      </c>
      <c r="S174" s="4" t="str">
        <f>VLOOKUP(C174,Customer_Dim!$A:$N,9,FALSE())</f>
        <v>Jordan Medina</v>
      </c>
      <c r="T174" s="4" t="str">
        <f>VLOOKUP(D174,Product_Dim!$A:$M,3,FALSE())</f>
        <v>Sports</v>
      </c>
      <c r="U174" s="11" t="str">
        <f>VLOOKUP(D174,Product_Dim!$A:$M,2,FALSE())</f>
        <v>Adjustable Dumbbells 20kg</v>
      </c>
      <c r="V174" s="11" t="str">
        <f>VLOOKUP(E174,Store_Dim!$A:$E,3,FALSE())</f>
        <v>North</v>
      </c>
      <c r="W174" s="11" t="str">
        <f>VLOOKUP(C174,Customer_Dim!$A:$N,13,FALSE())</f>
        <v>Bronze</v>
      </c>
      <c r="X174" s="11" t="str">
        <f t="shared" si="20"/>
        <v>Low</v>
      </c>
    </row>
    <row r="175" spans="1:24" ht="15.75" customHeight="1">
      <c r="A175" s="4" t="s">
        <v>2171</v>
      </c>
      <c r="B175" s="9">
        <v>45694</v>
      </c>
      <c r="C175" s="4" t="s">
        <v>1012</v>
      </c>
      <c r="D175" s="4" t="s">
        <v>1716</v>
      </c>
      <c r="E175" s="4" t="s">
        <v>1957</v>
      </c>
      <c r="F175" s="4">
        <v>2</v>
      </c>
      <c r="G175" s="4">
        <v>574.58000000000004</v>
      </c>
      <c r="H175" s="4">
        <v>0.06</v>
      </c>
      <c r="I175" s="4" t="s">
        <v>1996</v>
      </c>
      <c r="J175" s="10">
        <v>1080.2103999999999</v>
      </c>
      <c r="K175" s="4" t="str">
        <f t="shared" si="14"/>
        <v>06-02-2025</v>
      </c>
      <c r="L175" s="4" t="str">
        <f>TEXT(Sales_Fact!$B175,"mmm")</f>
        <v>Feb</v>
      </c>
      <c r="M175" s="4">
        <f t="shared" si="15"/>
        <v>2</v>
      </c>
      <c r="N175" s="10">
        <f t="shared" si="16"/>
        <v>574.58000000000004</v>
      </c>
      <c r="O175" s="10">
        <f t="shared" si="17"/>
        <v>1080.2103999999999</v>
      </c>
      <c r="P175" s="10">
        <f t="shared" si="18"/>
        <v>1149.1600000000001</v>
      </c>
      <c r="Q175" s="3">
        <f t="shared" si="19"/>
        <v>6.0000000000000123E-2</v>
      </c>
      <c r="R175" s="4" t="str">
        <f>IF(Sales_Fact!$O175&gt;1000,"High","Low")</f>
        <v>High</v>
      </c>
      <c r="S175" s="4" t="str">
        <f>VLOOKUP(C175,Customer_Dim!$A:$N,9,FALSE())</f>
        <v>Jason Mullins</v>
      </c>
      <c r="T175" s="4" t="str">
        <f>VLOOKUP(D175,Product_Dim!$A:$M,3,FALSE())</f>
        <v>Sports</v>
      </c>
      <c r="U175" s="11" t="str">
        <f>VLOOKUP(D175,Product_Dim!$A:$M,2,FALSE())</f>
        <v>Sports Water Hydration Pack</v>
      </c>
      <c r="V175" s="11" t="str">
        <f>VLOOKUP(E175,Store_Dim!$A:$E,3,FALSE())</f>
        <v>South</v>
      </c>
      <c r="W175" s="11" t="str">
        <f>VLOOKUP(C175,Customer_Dim!$A:$N,13,FALSE())</f>
        <v>Silver</v>
      </c>
      <c r="X175" s="11" t="str">
        <f t="shared" si="20"/>
        <v>Low</v>
      </c>
    </row>
    <row r="176" spans="1:24" ht="15.75" customHeight="1">
      <c r="A176" s="4" t="s">
        <v>2172</v>
      </c>
      <c r="B176" s="9">
        <v>45587</v>
      </c>
      <c r="C176" s="4" t="s">
        <v>117</v>
      </c>
      <c r="D176" s="4" t="s">
        <v>1855</v>
      </c>
      <c r="E176" s="4" t="s">
        <v>1934</v>
      </c>
      <c r="F176" s="4">
        <v>2</v>
      </c>
      <c r="G176" s="4">
        <v>472.18</v>
      </c>
      <c r="H176" s="4">
        <v>0.27</v>
      </c>
      <c r="I176" s="4" t="s">
        <v>1998</v>
      </c>
      <c r="J176" s="10">
        <v>689.38279999999997</v>
      </c>
      <c r="K176" s="4" t="str">
        <f t="shared" si="14"/>
        <v>22-10-2024</v>
      </c>
      <c r="L176" s="4" t="str">
        <f>TEXT(Sales_Fact!$B176,"mmm")</f>
        <v>Oct</v>
      </c>
      <c r="M176" s="4">
        <f t="shared" si="15"/>
        <v>2</v>
      </c>
      <c r="N176" s="10">
        <f t="shared" si="16"/>
        <v>472.18</v>
      </c>
      <c r="O176" s="10">
        <f t="shared" si="17"/>
        <v>689.38279999999997</v>
      </c>
      <c r="P176" s="10">
        <f t="shared" si="18"/>
        <v>944.36</v>
      </c>
      <c r="Q176" s="3">
        <f t="shared" si="19"/>
        <v>0.27</v>
      </c>
      <c r="R176" s="4" t="str">
        <f>IF(Sales_Fact!$O176&gt;1000,"High","Low")</f>
        <v>Low</v>
      </c>
      <c r="S176" s="4" t="str">
        <f>VLOOKUP(C176,Customer_Dim!$A:$N,9,FALSE())</f>
        <v>Paul Fox</v>
      </c>
      <c r="T176" s="4" t="str">
        <f>VLOOKUP(D176,Product_Dim!$A:$M,3,FALSE())</f>
        <v>Beauty</v>
      </c>
      <c r="U176" s="11" t="str">
        <f>VLOOKUP(D176,Product_Dim!$A:$M,2,FALSE())</f>
        <v>Hydrating Face Cleanser</v>
      </c>
      <c r="V176" s="11" t="str">
        <f>VLOOKUP(E176,Store_Dim!$A:$E,3,FALSE())</f>
        <v>East</v>
      </c>
      <c r="W176" s="11" t="str">
        <f>VLOOKUP(C176,Customer_Dim!$A:$N,13,FALSE())</f>
        <v>Silver</v>
      </c>
      <c r="X176" s="11" t="str">
        <f t="shared" si="20"/>
        <v>Low</v>
      </c>
    </row>
    <row r="177" spans="1:24" ht="15.75" customHeight="1">
      <c r="A177" s="4" t="s">
        <v>2173</v>
      </c>
      <c r="B177" s="9">
        <v>45556</v>
      </c>
      <c r="C177" s="4" t="s">
        <v>1096</v>
      </c>
      <c r="D177" s="4" t="s">
        <v>1726</v>
      </c>
      <c r="E177" s="4" t="s">
        <v>1931</v>
      </c>
      <c r="F177" s="4">
        <v>2</v>
      </c>
      <c r="G177" s="4">
        <v>20.47</v>
      </c>
      <c r="H177" s="4">
        <v>0.12</v>
      </c>
      <c r="I177" s="4" t="s">
        <v>2004</v>
      </c>
      <c r="J177" s="10">
        <v>36.027200000000001</v>
      </c>
      <c r="K177" s="4" t="str">
        <f t="shared" si="14"/>
        <v>21-09-2024</v>
      </c>
      <c r="L177" s="4" t="str">
        <f>TEXT(Sales_Fact!$B177,"mmm")</f>
        <v>Sep</v>
      </c>
      <c r="M177" s="4">
        <f t="shared" si="15"/>
        <v>2</v>
      </c>
      <c r="N177" s="10">
        <f t="shared" si="16"/>
        <v>20.47</v>
      </c>
      <c r="O177" s="10">
        <f t="shared" si="17"/>
        <v>36.027200000000001</v>
      </c>
      <c r="P177" s="10">
        <f t="shared" si="18"/>
        <v>40.94</v>
      </c>
      <c r="Q177" s="3">
        <f t="shared" si="19"/>
        <v>0.11999999999999994</v>
      </c>
      <c r="R177" s="4" t="str">
        <f>IF(Sales_Fact!$O177&gt;1000,"High","Low")</f>
        <v>Low</v>
      </c>
      <c r="S177" s="4" t="str">
        <f>VLOOKUP(C177,Customer_Dim!$A:$N,9,FALSE())</f>
        <v>Eric Davis</v>
      </c>
      <c r="T177" s="4" t="str">
        <f>VLOOKUP(D177,Product_Dim!$A:$M,3,FALSE())</f>
        <v>Sports</v>
      </c>
      <c r="U177" s="11" t="str">
        <f>VLOOKUP(D177,Product_Dim!$A:$M,2,FALSE())</f>
        <v>Yoga Exercise Mat</v>
      </c>
      <c r="V177" s="11" t="str">
        <f>VLOOKUP(E177,Store_Dim!$A:$E,3,FALSE())</f>
        <v>North</v>
      </c>
      <c r="W177" s="11" t="str">
        <f>VLOOKUP(C177,Customer_Dim!$A:$N,13,FALSE())</f>
        <v>Bronze</v>
      </c>
      <c r="X177" s="11" t="str">
        <f t="shared" si="20"/>
        <v>Low</v>
      </c>
    </row>
    <row r="178" spans="1:24" ht="15.75" customHeight="1">
      <c r="A178" s="4" t="s">
        <v>2174</v>
      </c>
      <c r="B178" s="9">
        <v>45923</v>
      </c>
      <c r="C178" s="4" t="s">
        <v>121</v>
      </c>
      <c r="D178" s="4" t="s">
        <v>1665</v>
      </c>
      <c r="E178" s="4" t="s">
        <v>1937</v>
      </c>
      <c r="F178" s="4">
        <v>3</v>
      </c>
      <c r="G178" s="4">
        <v>235.41</v>
      </c>
      <c r="H178" s="4">
        <v>0.15</v>
      </c>
      <c r="I178" s="4" t="s">
        <v>1998</v>
      </c>
      <c r="J178" s="10">
        <v>600.29549999999995</v>
      </c>
      <c r="K178" s="4" t="str">
        <f t="shared" si="14"/>
        <v>23-09-2025</v>
      </c>
      <c r="L178" s="4" t="str">
        <f>TEXT(Sales_Fact!$B178,"mmm")</f>
        <v>Sep</v>
      </c>
      <c r="M178" s="4">
        <f t="shared" si="15"/>
        <v>3</v>
      </c>
      <c r="N178" s="10">
        <f t="shared" si="16"/>
        <v>235.41</v>
      </c>
      <c r="O178" s="10">
        <f t="shared" si="17"/>
        <v>600.29549999999995</v>
      </c>
      <c r="P178" s="10">
        <f t="shared" si="18"/>
        <v>706.23</v>
      </c>
      <c r="Q178" s="3">
        <f t="shared" si="19"/>
        <v>0.15000000000000011</v>
      </c>
      <c r="R178" s="4" t="str">
        <f>IF(Sales_Fact!$O178&gt;1000,"High","Low")</f>
        <v>Low</v>
      </c>
      <c r="S178" s="4" t="str">
        <f>VLOOKUP(C178,Customer_Dim!$A:$N,9,FALSE())</f>
        <v>Jonathan Steele</v>
      </c>
      <c r="T178" s="4" t="str">
        <f>VLOOKUP(D178,Product_Dim!$A:$M,3,FALSE())</f>
        <v>Sports</v>
      </c>
      <c r="U178" s="11" t="str">
        <f>VLOOKUP(D178,Product_Dim!$A:$M,2,FALSE())</f>
        <v>Carbon Fiber Tennis Racket</v>
      </c>
      <c r="V178" s="11" t="str">
        <f>VLOOKUP(E178,Store_Dim!$A:$E,3,FALSE())</f>
        <v>South</v>
      </c>
      <c r="W178" s="11" t="str">
        <f>VLOOKUP(C178,Customer_Dim!$A:$N,13,FALSE())</f>
        <v>Silver</v>
      </c>
      <c r="X178" s="11" t="str">
        <f t="shared" si="20"/>
        <v>Low</v>
      </c>
    </row>
    <row r="179" spans="1:24" ht="15.75" customHeight="1">
      <c r="A179" s="4" t="s">
        <v>2175</v>
      </c>
      <c r="B179" s="9">
        <v>45811</v>
      </c>
      <c r="C179" s="4" t="s">
        <v>768</v>
      </c>
      <c r="D179" s="4" t="s">
        <v>1840</v>
      </c>
      <c r="E179" s="4" t="s">
        <v>1937</v>
      </c>
      <c r="F179" s="4">
        <v>3</v>
      </c>
      <c r="G179" s="4">
        <v>744.9</v>
      </c>
      <c r="H179" s="4">
        <v>0.27</v>
      </c>
      <c r="I179" s="4" t="s">
        <v>1998</v>
      </c>
      <c r="J179" s="10">
        <v>1631.3309999999999</v>
      </c>
      <c r="K179" s="4" t="str">
        <f t="shared" si="14"/>
        <v>03-06-2025</v>
      </c>
      <c r="L179" s="4" t="str">
        <f>TEXT(Sales_Fact!$B179,"mmm")</f>
        <v>Jun</v>
      </c>
      <c r="M179" s="4">
        <f t="shared" si="15"/>
        <v>3</v>
      </c>
      <c r="N179" s="10">
        <f t="shared" si="16"/>
        <v>744.9</v>
      </c>
      <c r="O179" s="10">
        <f t="shared" si="17"/>
        <v>1631.3309999999999</v>
      </c>
      <c r="P179" s="10">
        <f t="shared" si="18"/>
        <v>2234.6999999999998</v>
      </c>
      <c r="Q179" s="3">
        <f t="shared" si="19"/>
        <v>0.26999999999999996</v>
      </c>
      <c r="R179" s="4" t="str">
        <f>IF(Sales_Fact!$O179&gt;1000,"High","Low")</f>
        <v>High</v>
      </c>
      <c r="S179" s="4" t="str">
        <f>VLOOKUP(C179,Customer_Dim!$A:$N,9,FALSE())</f>
        <v>Timothy Sanders</v>
      </c>
      <c r="T179" s="4" t="str">
        <f>VLOOKUP(D179,Product_Dim!$A:$M,3,FALSE())</f>
        <v>Home</v>
      </c>
      <c r="U179" s="11" t="str">
        <f>VLOOKUP(D179,Product_Dim!$A:$M,2,FALSE())</f>
        <v>Essential Oil Diffuser</v>
      </c>
      <c r="V179" s="11" t="str">
        <f>VLOOKUP(E179,Store_Dim!$A:$E,3,FALSE())</f>
        <v>South</v>
      </c>
      <c r="W179" s="11" t="str">
        <f>VLOOKUP(C179,Customer_Dim!$A:$N,13,FALSE())</f>
        <v>Bronze</v>
      </c>
      <c r="X179" s="11" t="str">
        <f t="shared" si="20"/>
        <v>Low</v>
      </c>
    </row>
    <row r="180" spans="1:24" ht="15.75" customHeight="1">
      <c r="A180" s="4" t="s">
        <v>2176</v>
      </c>
      <c r="B180" s="9">
        <v>45559</v>
      </c>
      <c r="C180" s="4" t="s">
        <v>202</v>
      </c>
      <c r="D180" s="4" t="s">
        <v>1651</v>
      </c>
      <c r="E180" s="4" t="s">
        <v>1924</v>
      </c>
      <c r="F180" s="4">
        <v>2</v>
      </c>
      <c r="G180" s="4">
        <v>382.2</v>
      </c>
      <c r="H180" s="4">
        <v>0.15</v>
      </c>
      <c r="I180" s="4" t="s">
        <v>1996</v>
      </c>
      <c r="J180" s="10">
        <v>649.74</v>
      </c>
      <c r="K180" s="4" t="str">
        <f t="shared" si="14"/>
        <v>24-09-2024</v>
      </c>
      <c r="L180" s="4" t="str">
        <f>TEXT(Sales_Fact!$B180,"mmm")</f>
        <v>Sep</v>
      </c>
      <c r="M180" s="4">
        <f t="shared" si="15"/>
        <v>2</v>
      </c>
      <c r="N180" s="10">
        <f t="shared" si="16"/>
        <v>382.2</v>
      </c>
      <c r="O180" s="10">
        <f t="shared" si="17"/>
        <v>649.74</v>
      </c>
      <c r="P180" s="10">
        <f t="shared" si="18"/>
        <v>764.4</v>
      </c>
      <c r="Q180" s="3">
        <f t="shared" si="19"/>
        <v>0.14999999999999997</v>
      </c>
      <c r="R180" s="4" t="str">
        <f>IF(Sales_Fact!$O180&gt;1000,"High","Low")</f>
        <v>Low</v>
      </c>
      <c r="S180" s="4" t="str">
        <f>VLOOKUP(C180,Customer_Dim!$A:$N,9,FALSE())</f>
        <v>Gina Knight</v>
      </c>
      <c r="T180" s="4" t="str">
        <f>VLOOKUP(D180,Product_Dim!$A:$M,3,FALSE())</f>
        <v>Clothing</v>
      </c>
      <c r="U180" s="11" t="str">
        <f>VLOOKUP(D180,Product_Dim!$A:$M,2,FALSE())</f>
        <v>Women's Denim Jeans</v>
      </c>
      <c r="V180" s="11" t="str">
        <f>VLOOKUP(E180,Store_Dim!$A:$E,3,FALSE())</f>
        <v>North</v>
      </c>
      <c r="W180" s="11" t="str">
        <f>VLOOKUP(C180,Customer_Dim!$A:$N,13,FALSE())</f>
        <v>Silver</v>
      </c>
      <c r="X180" s="11" t="str">
        <f t="shared" si="20"/>
        <v>Low</v>
      </c>
    </row>
    <row r="181" spans="1:24" ht="15.75" customHeight="1">
      <c r="A181" s="4" t="s">
        <v>2177</v>
      </c>
      <c r="B181" s="9">
        <v>45881</v>
      </c>
      <c r="C181" s="4" t="s">
        <v>1114</v>
      </c>
      <c r="D181" s="4" t="s">
        <v>1876</v>
      </c>
      <c r="E181" s="4" t="s">
        <v>1962</v>
      </c>
      <c r="F181" s="4">
        <v>1</v>
      </c>
      <c r="G181" s="4">
        <v>269.25</v>
      </c>
      <c r="H181" s="4">
        <v>0.14000000000000001</v>
      </c>
      <c r="I181" s="4" t="s">
        <v>1998</v>
      </c>
      <c r="J181" s="10">
        <v>231.55500000000001</v>
      </c>
      <c r="K181" s="4" t="str">
        <f t="shared" si="14"/>
        <v>12-08-2025</v>
      </c>
      <c r="L181" s="4" t="str">
        <f>TEXT(Sales_Fact!$B181,"mmm")</f>
        <v>Aug</v>
      </c>
      <c r="M181" s="4">
        <f t="shared" si="15"/>
        <v>1</v>
      </c>
      <c r="N181" s="10">
        <f t="shared" si="16"/>
        <v>269.25</v>
      </c>
      <c r="O181" s="10">
        <f t="shared" si="17"/>
        <v>231.55500000000001</v>
      </c>
      <c r="P181" s="10">
        <f t="shared" si="18"/>
        <v>269.25</v>
      </c>
      <c r="Q181" s="3">
        <f t="shared" si="19"/>
        <v>0.13999999999999999</v>
      </c>
      <c r="R181" s="4" t="str">
        <f>IF(Sales_Fact!$O181&gt;1000,"High","Low")</f>
        <v>Low</v>
      </c>
      <c r="S181" s="4" t="str">
        <f>VLOOKUP(C181,Customer_Dim!$A:$N,9,FALSE())</f>
        <v>John Jordan</v>
      </c>
      <c r="T181" s="4" t="str">
        <f>VLOOKUP(D181,Product_Dim!$A:$M,3,FALSE())</f>
        <v>Electronics</v>
      </c>
      <c r="U181" s="11" t="str">
        <f>VLOOKUP(D181,Product_Dim!$A:$M,2,FALSE())</f>
        <v>Gaming Mouse Pad XL</v>
      </c>
      <c r="V181" s="11" t="str">
        <f>VLOOKUP(E181,Store_Dim!$A:$E,3,FALSE())</f>
        <v>West</v>
      </c>
      <c r="W181" s="11" t="str">
        <f>VLOOKUP(C181,Customer_Dim!$A:$N,13,FALSE())</f>
        <v>Platinum</v>
      </c>
      <c r="X181" s="11" t="str">
        <f t="shared" si="20"/>
        <v>Low</v>
      </c>
    </row>
    <row r="182" spans="1:24" ht="15.75" customHeight="1">
      <c r="A182" s="4" t="s">
        <v>2178</v>
      </c>
      <c r="B182" s="9">
        <v>45420</v>
      </c>
      <c r="C182" s="4" t="s">
        <v>1330</v>
      </c>
      <c r="D182" s="4" t="s">
        <v>1592</v>
      </c>
      <c r="E182" s="4" t="s">
        <v>1940</v>
      </c>
      <c r="F182" s="4">
        <v>4</v>
      </c>
      <c r="G182" s="4">
        <v>770.77</v>
      </c>
      <c r="H182" s="4">
        <v>0.22</v>
      </c>
      <c r="I182" s="4" t="s">
        <v>1996</v>
      </c>
      <c r="J182" s="10">
        <v>2404.8024</v>
      </c>
      <c r="K182" s="4" t="str">
        <f t="shared" si="14"/>
        <v>08-05-2024</v>
      </c>
      <c r="L182" s="4" t="str">
        <f>TEXT(Sales_Fact!$B182,"mmm")</f>
        <v>May</v>
      </c>
      <c r="M182" s="4">
        <f t="shared" si="15"/>
        <v>4</v>
      </c>
      <c r="N182" s="10">
        <f t="shared" si="16"/>
        <v>770.77</v>
      </c>
      <c r="O182" s="10">
        <f t="shared" si="17"/>
        <v>2404.8024</v>
      </c>
      <c r="P182" s="10">
        <f t="shared" si="18"/>
        <v>3083.08</v>
      </c>
      <c r="Q182" s="3">
        <f t="shared" si="19"/>
        <v>0.21999999999999997</v>
      </c>
      <c r="R182" s="4" t="str">
        <f>IF(Sales_Fact!$O182&gt;1000,"High","Low")</f>
        <v>High</v>
      </c>
      <c r="S182" s="4" t="str">
        <f>VLOOKUP(C182,Customer_Dim!$A:$N,9,FALSE())</f>
        <v>Monica Miller</v>
      </c>
      <c r="T182" s="4" t="str">
        <f>VLOOKUP(D182,Product_Dim!$A:$M,3,FALSE())</f>
        <v>Clothing</v>
      </c>
      <c r="U182" s="11" t="str">
        <f>VLOOKUP(D182,Product_Dim!$A:$M,2,FALSE())</f>
        <v>Men's Running Jacket</v>
      </c>
      <c r="V182" s="11" t="str">
        <f>VLOOKUP(E182,Store_Dim!$A:$E,3,FALSE())</f>
        <v>West</v>
      </c>
      <c r="W182" s="11" t="str">
        <f>VLOOKUP(C182,Customer_Dim!$A:$N,13,FALSE())</f>
        <v>Gold</v>
      </c>
      <c r="X182" s="11" t="str">
        <f t="shared" si="20"/>
        <v>High</v>
      </c>
    </row>
    <row r="183" spans="1:24" ht="15.75" customHeight="1">
      <c r="A183" s="4" t="s">
        <v>2179</v>
      </c>
      <c r="B183" s="9">
        <v>45367</v>
      </c>
      <c r="C183" s="4" t="s">
        <v>1171</v>
      </c>
      <c r="D183" s="4" t="s">
        <v>1690</v>
      </c>
      <c r="E183" s="4" t="s">
        <v>1950</v>
      </c>
      <c r="F183" s="4">
        <v>2</v>
      </c>
      <c r="G183" s="4">
        <v>723.75</v>
      </c>
      <c r="H183" s="4">
        <v>0.03</v>
      </c>
      <c r="I183" s="4" t="s">
        <v>1998</v>
      </c>
      <c r="J183" s="10">
        <v>1404.075</v>
      </c>
      <c r="K183" s="4" t="str">
        <f t="shared" si="14"/>
        <v>16-03-2024</v>
      </c>
      <c r="L183" s="4" t="str">
        <f>TEXT(Sales_Fact!$B183,"mmm")</f>
        <v>Mar</v>
      </c>
      <c r="M183" s="4">
        <f t="shared" si="15"/>
        <v>2</v>
      </c>
      <c r="N183" s="10">
        <f t="shared" si="16"/>
        <v>723.75</v>
      </c>
      <c r="O183" s="10">
        <f t="shared" si="17"/>
        <v>1404.075</v>
      </c>
      <c r="P183" s="10">
        <f t="shared" si="18"/>
        <v>1447.5</v>
      </c>
      <c r="Q183" s="3">
        <f t="shared" si="19"/>
        <v>2.9999999999999968E-2</v>
      </c>
      <c r="R183" s="4" t="str">
        <f>IF(Sales_Fact!$O183&gt;1000,"High","Low")</f>
        <v>High</v>
      </c>
      <c r="S183" s="4" t="str">
        <f>VLOOKUP(C183,Customer_Dim!$A:$N,9,FALSE())</f>
        <v>Brandon Mcbride</v>
      </c>
      <c r="T183" s="4" t="str">
        <f>VLOOKUP(D183,Product_Dim!$A:$M,3,FALSE())</f>
        <v>Home</v>
      </c>
      <c r="U183" s="11" t="str">
        <f>VLOOKUP(D183,Product_Dim!$A:$M,2,FALSE())</f>
        <v>Stainless Steel Cutlery Set</v>
      </c>
      <c r="V183" s="11" t="str">
        <f>VLOOKUP(E183,Store_Dim!$A:$E,3,FALSE())</f>
        <v>South</v>
      </c>
      <c r="W183" s="11" t="str">
        <f>VLOOKUP(C183,Customer_Dim!$A:$N,13,FALSE())</f>
        <v>Platinum</v>
      </c>
      <c r="X183" s="11" t="str">
        <f t="shared" si="20"/>
        <v>Low</v>
      </c>
    </row>
    <row r="184" spans="1:24" ht="15.75" customHeight="1">
      <c r="A184" s="4" t="s">
        <v>2180</v>
      </c>
      <c r="B184" s="9">
        <v>45832</v>
      </c>
      <c r="C184" s="4" t="s">
        <v>921</v>
      </c>
      <c r="D184" s="4" t="s">
        <v>1654</v>
      </c>
      <c r="E184" s="4" t="s">
        <v>1971</v>
      </c>
      <c r="F184" s="4">
        <v>4</v>
      </c>
      <c r="G184" s="4">
        <v>58.92</v>
      </c>
      <c r="H184" s="4">
        <v>0.18</v>
      </c>
      <c r="I184" s="4" t="s">
        <v>1996</v>
      </c>
      <c r="J184" s="10">
        <v>193.2576</v>
      </c>
      <c r="K184" s="4" t="str">
        <f t="shared" si="14"/>
        <v>24-06-2025</v>
      </c>
      <c r="L184" s="4" t="str">
        <f>TEXT(Sales_Fact!$B184,"mmm")</f>
        <v>Jun</v>
      </c>
      <c r="M184" s="4">
        <f t="shared" si="15"/>
        <v>4</v>
      </c>
      <c r="N184" s="10">
        <f t="shared" si="16"/>
        <v>58.92</v>
      </c>
      <c r="O184" s="10">
        <f t="shared" si="17"/>
        <v>193.25760000000002</v>
      </c>
      <c r="P184" s="10">
        <f t="shared" si="18"/>
        <v>235.68</v>
      </c>
      <c r="Q184" s="3">
        <f t="shared" si="19"/>
        <v>0.17999999999999991</v>
      </c>
      <c r="R184" s="4" t="str">
        <f>IF(Sales_Fact!$O184&gt;1000,"High","Low")</f>
        <v>Low</v>
      </c>
      <c r="S184" s="4" t="str">
        <f>VLOOKUP(C184,Customer_Dim!$A:$N,9,FALSE())</f>
        <v>Brittany Watson</v>
      </c>
      <c r="T184" s="4" t="str">
        <f>VLOOKUP(D184,Product_Dim!$A:$M,3,FALSE())</f>
        <v>Sports</v>
      </c>
      <c r="U184" s="11" t="str">
        <f>VLOOKUP(D184,Product_Dim!$A:$M,2,FALSE())</f>
        <v>Knee Support Brace</v>
      </c>
      <c r="V184" s="11" t="str">
        <f>VLOOKUP(E184,Store_Dim!$A:$E,3,FALSE())</f>
        <v>East</v>
      </c>
      <c r="W184" s="11" t="str">
        <f>VLOOKUP(C184,Customer_Dim!$A:$N,13,FALSE())</f>
        <v>Platinum</v>
      </c>
      <c r="X184" s="11" t="str">
        <f t="shared" si="20"/>
        <v>High</v>
      </c>
    </row>
    <row r="185" spans="1:24" ht="15.75" customHeight="1">
      <c r="A185" s="4" t="s">
        <v>2181</v>
      </c>
      <c r="B185" s="9">
        <v>45438</v>
      </c>
      <c r="C185" s="4" t="s">
        <v>644</v>
      </c>
      <c r="D185" s="4" t="s">
        <v>1819</v>
      </c>
      <c r="E185" s="4" t="s">
        <v>1947</v>
      </c>
      <c r="F185" s="4">
        <v>2</v>
      </c>
      <c r="G185" s="4">
        <v>913.08</v>
      </c>
      <c r="H185" s="4">
        <v>0.26</v>
      </c>
      <c r="I185" s="4" t="s">
        <v>1996</v>
      </c>
      <c r="J185" s="10">
        <v>1351.3584000000001</v>
      </c>
      <c r="K185" s="4" t="str">
        <f t="shared" si="14"/>
        <v>26-05-2024</v>
      </c>
      <c r="L185" s="4" t="str">
        <f>TEXT(Sales_Fact!$B185,"mmm")</f>
        <v>May</v>
      </c>
      <c r="M185" s="4">
        <f t="shared" si="15"/>
        <v>2</v>
      </c>
      <c r="N185" s="10">
        <f t="shared" si="16"/>
        <v>913.08</v>
      </c>
      <c r="O185" s="10">
        <f t="shared" si="17"/>
        <v>1351.3584000000001</v>
      </c>
      <c r="P185" s="10">
        <f t="shared" si="18"/>
        <v>1826.16</v>
      </c>
      <c r="Q185" s="3">
        <f t="shared" si="19"/>
        <v>0.26</v>
      </c>
      <c r="R185" s="4" t="str">
        <f>IF(Sales_Fact!$O185&gt;1000,"High","Low")</f>
        <v>High</v>
      </c>
      <c r="S185" s="4" t="str">
        <f>VLOOKUP(C185,Customer_Dim!$A:$N,9,FALSE())</f>
        <v>Kimberly Brooks</v>
      </c>
      <c r="T185" s="4" t="str">
        <f>VLOOKUP(D185,Product_Dim!$A:$M,3,FALSE())</f>
        <v>Beauty</v>
      </c>
      <c r="U185" s="11" t="str">
        <f>VLOOKUP(D185,Product_Dim!$A:$M,2,FALSE())</f>
        <v>Hair Repair Oil Treatment</v>
      </c>
      <c r="V185" s="11" t="str">
        <f>VLOOKUP(E185,Store_Dim!$A:$E,3,FALSE())</f>
        <v>East</v>
      </c>
      <c r="W185" s="11" t="str">
        <f>VLOOKUP(C185,Customer_Dim!$A:$N,13,FALSE())</f>
        <v>Silver</v>
      </c>
      <c r="X185" s="11" t="str">
        <f t="shared" si="20"/>
        <v>Low</v>
      </c>
    </row>
    <row r="186" spans="1:24" ht="15.75" customHeight="1">
      <c r="A186" s="4" t="s">
        <v>2182</v>
      </c>
      <c r="B186" s="9">
        <v>45691</v>
      </c>
      <c r="C186" s="4" t="s">
        <v>804</v>
      </c>
      <c r="D186" s="4" t="s">
        <v>1849</v>
      </c>
      <c r="E186" s="4" t="s">
        <v>1915</v>
      </c>
      <c r="F186" s="4">
        <v>1</v>
      </c>
      <c r="G186" s="4">
        <v>791.83</v>
      </c>
      <c r="H186" s="4">
        <v>0.28000000000000003</v>
      </c>
      <c r="I186" s="4" t="s">
        <v>1998</v>
      </c>
      <c r="J186" s="10">
        <v>570.11760000000004</v>
      </c>
      <c r="K186" s="4" t="str">
        <f t="shared" si="14"/>
        <v>03-02-2025</v>
      </c>
      <c r="L186" s="4" t="str">
        <f>TEXT(Sales_Fact!$B186,"mmm")</f>
        <v>Feb</v>
      </c>
      <c r="M186" s="4">
        <f t="shared" si="15"/>
        <v>1</v>
      </c>
      <c r="N186" s="10">
        <f t="shared" si="16"/>
        <v>791.83</v>
      </c>
      <c r="O186" s="10">
        <f t="shared" si="17"/>
        <v>570.11760000000004</v>
      </c>
      <c r="P186" s="10">
        <f t="shared" si="18"/>
        <v>791.83</v>
      </c>
      <c r="Q186" s="3">
        <f t="shared" si="19"/>
        <v>0.27999999999999997</v>
      </c>
      <c r="R186" s="4" t="str">
        <f>IF(Sales_Fact!$O186&gt;1000,"High","Low")</f>
        <v>Low</v>
      </c>
      <c r="S186" s="4" t="str">
        <f>VLOOKUP(C186,Customer_Dim!$A:$N,9,FALSE())</f>
        <v>William Jackson</v>
      </c>
      <c r="T186" s="4" t="str">
        <f>VLOOKUP(D186,Product_Dim!$A:$M,3,FALSE())</f>
        <v>Sports</v>
      </c>
      <c r="U186" s="11" t="str">
        <f>VLOOKUP(D186,Product_Dim!$A:$M,2,FALSE())</f>
        <v>Badminton Racket Set</v>
      </c>
      <c r="V186" s="11" t="str">
        <f>VLOOKUP(E186,Store_Dim!$A:$E,3,FALSE())</f>
        <v>North</v>
      </c>
      <c r="W186" s="11" t="str">
        <f>VLOOKUP(C186,Customer_Dim!$A:$N,13,FALSE())</f>
        <v>Silver</v>
      </c>
      <c r="X186" s="11" t="str">
        <f t="shared" si="20"/>
        <v>Low</v>
      </c>
    </row>
    <row r="187" spans="1:24" ht="15.75" customHeight="1">
      <c r="A187" s="4" t="s">
        <v>2183</v>
      </c>
      <c r="B187" s="9">
        <v>45506</v>
      </c>
      <c r="C187" s="4" t="s">
        <v>1481</v>
      </c>
      <c r="D187" s="4" t="s">
        <v>1592</v>
      </c>
      <c r="E187" s="4" t="s">
        <v>1959</v>
      </c>
      <c r="F187" s="4">
        <v>1</v>
      </c>
      <c r="G187" s="4">
        <v>74.290000000000006</v>
      </c>
      <c r="H187" s="4">
        <v>0.3</v>
      </c>
      <c r="I187" s="4" t="s">
        <v>2004</v>
      </c>
      <c r="J187" s="10">
        <v>52.003</v>
      </c>
      <c r="K187" s="4" t="str">
        <f t="shared" si="14"/>
        <v>02-08-2024</v>
      </c>
      <c r="L187" s="4" t="str">
        <f>TEXT(Sales_Fact!$B187,"mmm")</f>
        <v>Aug</v>
      </c>
      <c r="M187" s="4">
        <f t="shared" si="15"/>
        <v>1</v>
      </c>
      <c r="N187" s="10">
        <f t="shared" si="16"/>
        <v>74.290000000000006</v>
      </c>
      <c r="O187" s="10">
        <f t="shared" si="17"/>
        <v>52.003</v>
      </c>
      <c r="P187" s="10">
        <f t="shared" si="18"/>
        <v>74.290000000000006</v>
      </c>
      <c r="Q187" s="3">
        <f t="shared" si="19"/>
        <v>0.30000000000000004</v>
      </c>
      <c r="R187" s="4" t="str">
        <f>IF(Sales_Fact!$O187&gt;1000,"High","Low")</f>
        <v>Low</v>
      </c>
      <c r="S187" s="4" t="str">
        <f>VLOOKUP(C187,Customer_Dim!$A:$N,9,FALSE())</f>
        <v>Debra Mccullough</v>
      </c>
      <c r="T187" s="4" t="str">
        <f>VLOOKUP(D187,Product_Dim!$A:$M,3,FALSE())</f>
        <v>Clothing</v>
      </c>
      <c r="U187" s="11" t="str">
        <f>VLOOKUP(D187,Product_Dim!$A:$M,2,FALSE())</f>
        <v>Men's Running Jacket</v>
      </c>
      <c r="V187" s="11" t="str">
        <f>VLOOKUP(E187,Store_Dim!$A:$E,3,FALSE())</f>
        <v>North</v>
      </c>
      <c r="W187" s="11" t="str">
        <f>VLOOKUP(C187,Customer_Dim!$A:$N,13,FALSE())</f>
        <v>Platinum</v>
      </c>
      <c r="X187" s="11" t="str">
        <f t="shared" si="20"/>
        <v>Low</v>
      </c>
    </row>
    <row r="188" spans="1:24" ht="15.75" customHeight="1">
      <c r="A188" s="4" t="s">
        <v>2184</v>
      </c>
      <c r="B188" s="9">
        <v>45251</v>
      </c>
      <c r="C188" s="4" t="s">
        <v>807</v>
      </c>
      <c r="D188" s="4" t="s">
        <v>1706</v>
      </c>
      <c r="E188" s="4" t="s">
        <v>1910</v>
      </c>
      <c r="F188" s="4">
        <v>2</v>
      </c>
      <c r="G188" s="4">
        <v>961.68</v>
      </c>
      <c r="H188" s="4">
        <v>0.27</v>
      </c>
      <c r="I188" s="4" t="s">
        <v>1998</v>
      </c>
      <c r="J188" s="10">
        <v>1404.0527999999999</v>
      </c>
      <c r="K188" s="4" t="str">
        <f t="shared" si="14"/>
        <v>21-11-2023</v>
      </c>
      <c r="L188" s="4" t="str">
        <f>TEXT(Sales_Fact!$B188,"mmm")</f>
        <v>Nov</v>
      </c>
      <c r="M188" s="4">
        <f t="shared" si="15"/>
        <v>2</v>
      </c>
      <c r="N188" s="10">
        <f t="shared" si="16"/>
        <v>961.68</v>
      </c>
      <c r="O188" s="10">
        <f t="shared" si="17"/>
        <v>1404.0527999999999</v>
      </c>
      <c r="P188" s="10">
        <f t="shared" si="18"/>
        <v>1923.36</v>
      </c>
      <c r="Q188" s="3">
        <f t="shared" si="19"/>
        <v>0.27</v>
      </c>
      <c r="R188" s="4" t="str">
        <f>IF(Sales_Fact!$O188&gt;1000,"High","Low")</f>
        <v>High</v>
      </c>
      <c r="S188" s="4" t="str">
        <f>VLOOKUP(C188,Customer_Dim!$A:$N,9,FALSE())</f>
        <v>Brian Hammond</v>
      </c>
      <c r="T188" s="4" t="str">
        <f>VLOOKUP(D188,Product_Dim!$A:$M,3,FALSE())</f>
        <v>Home</v>
      </c>
      <c r="U188" s="11" t="str">
        <f>VLOOKUP(D188,Product_Dim!$A:$M,2,FALSE())</f>
        <v>Bedroom Table Lamp</v>
      </c>
      <c r="V188" s="11" t="str">
        <f>VLOOKUP(E188,Store_Dim!$A:$E,3,FALSE())</f>
        <v>East</v>
      </c>
      <c r="W188" s="11" t="str">
        <f>VLOOKUP(C188,Customer_Dim!$A:$N,13,FALSE())</f>
        <v>Gold</v>
      </c>
      <c r="X188" s="11" t="str">
        <f t="shared" si="20"/>
        <v>Low</v>
      </c>
    </row>
    <row r="189" spans="1:24" ht="15.75" customHeight="1">
      <c r="A189" s="4" t="s">
        <v>2185</v>
      </c>
      <c r="B189" s="9">
        <v>45722</v>
      </c>
      <c r="C189" s="4" t="s">
        <v>1547</v>
      </c>
      <c r="D189" s="4" t="s">
        <v>1654</v>
      </c>
      <c r="E189" s="4" t="s">
        <v>1957</v>
      </c>
      <c r="F189" s="4">
        <v>1</v>
      </c>
      <c r="G189" s="4">
        <v>90.72</v>
      </c>
      <c r="H189" s="4">
        <v>0.1</v>
      </c>
      <c r="I189" s="4" t="s">
        <v>1998</v>
      </c>
      <c r="J189" s="10">
        <v>81.647999999999996</v>
      </c>
      <c r="K189" s="4" t="str">
        <f t="shared" si="14"/>
        <v>06-03-2025</v>
      </c>
      <c r="L189" s="4" t="str">
        <f>TEXT(Sales_Fact!$B189,"mmm")</f>
        <v>Mar</v>
      </c>
      <c r="M189" s="4">
        <f t="shared" si="15"/>
        <v>1</v>
      </c>
      <c r="N189" s="10">
        <f t="shared" si="16"/>
        <v>90.72</v>
      </c>
      <c r="O189" s="10">
        <f t="shared" si="17"/>
        <v>81.647999999999996</v>
      </c>
      <c r="P189" s="10">
        <f t="shared" si="18"/>
        <v>90.72</v>
      </c>
      <c r="Q189" s="3">
        <f t="shared" si="19"/>
        <v>0.10000000000000003</v>
      </c>
      <c r="R189" s="4" t="str">
        <f>IF(Sales_Fact!$O189&gt;1000,"High","Low")</f>
        <v>Low</v>
      </c>
      <c r="S189" s="4" t="str">
        <f>VLOOKUP(C189,Customer_Dim!$A:$N,9,FALSE())</f>
        <v>Justin Lopez</v>
      </c>
      <c r="T189" s="4" t="str">
        <f>VLOOKUP(D189,Product_Dim!$A:$M,3,FALSE())</f>
        <v>Sports</v>
      </c>
      <c r="U189" s="11" t="str">
        <f>VLOOKUP(D189,Product_Dim!$A:$M,2,FALSE())</f>
        <v>Knee Support Brace</v>
      </c>
      <c r="V189" s="11" t="str">
        <f>VLOOKUP(E189,Store_Dim!$A:$E,3,FALSE())</f>
        <v>South</v>
      </c>
      <c r="W189" s="11" t="str">
        <f>VLOOKUP(C189,Customer_Dim!$A:$N,13,FALSE())</f>
        <v>Gold</v>
      </c>
      <c r="X189" s="11" t="str">
        <f t="shared" si="20"/>
        <v>Low</v>
      </c>
    </row>
    <row r="190" spans="1:24" ht="15.75" customHeight="1">
      <c r="A190" s="4" t="s">
        <v>2186</v>
      </c>
      <c r="B190" s="9">
        <v>45689</v>
      </c>
      <c r="C190" s="4" t="s">
        <v>245</v>
      </c>
      <c r="D190" s="4" t="s">
        <v>1779</v>
      </c>
      <c r="E190" s="4" t="s">
        <v>1937</v>
      </c>
      <c r="F190" s="4">
        <v>1</v>
      </c>
      <c r="G190" s="4">
        <v>458.69</v>
      </c>
      <c r="H190" s="4">
        <v>0.16</v>
      </c>
      <c r="I190" s="4" t="s">
        <v>1998</v>
      </c>
      <c r="J190" s="10">
        <v>385.2996</v>
      </c>
      <c r="K190" s="4" t="str">
        <f t="shared" si="14"/>
        <v>01-02-2025</v>
      </c>
      <c r="L190" s="4" t="str">
        <f>TEXT(Sales_Fact!$B190,"mmm")</f>
        <v>Feb</v>
      </c>
      <c r="M190" s="4">
        <f t="shared" si="15"/>
        <v>1</v>
      </c>
      <c r="N190" s="10">
        <f t="shared" si="16"/>
        <v>458.69</v>
      </c>
      <c r="O190" s="10">
        <f t="shared" si="17"/>
        <v>385.2996</v>
      </c>
      <c r="P190" s="10">
        <f t="shared" si="18"/>
        <v>458.69</v>
      </c>
      <c r="Q190" s="3">
        <f t="shared" si="19"/>
        <v>0.16</v>
      </c>
      <c r="R190" s="4" t="str">
        <f>IF(Sales_Fact!$O190&gt;1000,"High","Low")</f>
        <v>Low</v>
      </c>
      <c r="S190" s="4" t="str">
        <f>VLOOKUP(C190,Customer_Dim!$A:$N,9,FALSE())</f>
        <v>Dr. David Smith</v>
      </c>
      <c r="T190" s="4" t="str">
        <f>VLOOKUP(D190,Product_Dim!$A:$M,3,FALSE())</f>
        <v>Clothing</v>
      </c>
      <c r="U190" s="11" t="str">
        <f>VLOOKUP(D190,Product_Dim!$A:$M,2,FALSE())</f>
        <v>Womens Cotton Scarf</v>
      </c>
      <c r="V190" s="11" t="str">
        <f>VLOOKUP(E190,Store_Dim!$A:$E,3,FALSE())</f>
        <v>South</v>
      </c>
      <c r="W190" s="11" t="str">
        <f>VLOOKUP(C190,Customer_Dim!$A:$N,13,FALSE())</f>
        <v>Silver</v>
      </c>
      <c r="X190" s="11" t="str">
        <f t="shared" si="20"/>
        <v>Low</v>
      </c>
    </row>
    <row r="191" spans="1:24" ht="15.75" customHeight="1">
      <c r="A191" s="4" t="s">
        <v>2187</v>
      </c>
      <c r="B191" s="9">
        <v>45346</v>
      </c>
      <c r="C191" s="4" t="s">
        <v>771</v>
      </c>
      <c r="D191" s="4" t="s">
        <v>1703</v>
      </c>
      <c r="E191" s="4" t="s">
        <v>1937</v>
      </c>
      <c r="F191" s="4">
        <v>1</v>
      </c>
      <c r="G191" s="4">
        <v>168.29</v>
      </c>
      <c r="H191" s="4">
        <v>0.05</v>
      </c>
      <c r="I191" s="4" t="s">
        <v>1998</v>
      </c>
      <c r="J191" s="10">
        <v>159.87549999999999</v>
      </c>
      <c r="K191" s="4" t="str">
        <f t="shared" si="14"/>
        <v>24-02-2024</v>
      </c>
      <c r="L191" s="4" t="str">
        <f>TEXT(Sales_Fact!$B191,"mmm")</f>
        <v>Feb</v>
      </c>
      <c r="M191" s="4">
        <f t="shared" si="15"/>
        <v>1</v>
      </c>
      <c r="N191" s="10">
        <f t="shared" si="16"/>
        <v>168.29</v>
      </c>
      <c r="O191" s="10">
        <f t="shared" si="17"/>
        <v>159.87549999999999</v>
      </c>
      <c r="P191" s="10">
        <f t="shared" si="18"/>
        <v>168.29</v>
      </c>
      <c r="Q191" s="3">
        <f t="shared" si="19"/>
        <v>5.0000000000000024E-2</v>
      </c>
      <c r="R191" s="4" t="str">
        <f>IF(Sales_Fact!$O191&gt;1000,"High","Low")</f>
        <v>Low</v>
      </c>
      <c r="S191" s="4" t="str">
        <f>VLOOKUP(C191,Customer_Dim!$A:$N,9,FALSE())</f>
        <v>Timothy Juarez</v>
      </c>
      <c r="T191" s="4" t="str">
        <f>VLOOKUP(D191,Product_Dim!$A:$M,3,FALSE())</f>
        <v>Electronics</v>
      </c>
      <c r="U191" s="11" t="str">
        <f>VLOOKUP(D191,Product_Dim!$A:$M,2,FALSE())</f>
        <v>Gaming Mechanical Keyboard</v>
      </c>
      <c r="V191" s="11" t="str">
        <f>VLOOKUP(E191,Store_Dim!$A:$E,3,FALSE())</f>
        <v>South</v>
      </c>
      <c r="W191" s="11" t="str">
        <f>VLOOKUP(C191,Customer_Dim!$A:$N,13,FALSE())</f>
        <v>Bronze</v>
      </c>
      <c r="X191" s="11" t="str">
        <f t="shared" si="20"/>
        <v>Low</v>
      </c>
    </row>
    <row r="192" spans="1:24" ht="15.75" customHeight="1">
      <c r="A192" s="4" t="s">
        <v>2188</v>
      </c>
      <c r="B192" s="9">
        <v>45549</v>
      </c>
      <c r="C192" s="4" t="s">
        <v>712</v>
      </c>
      <c r="D192" s="4" t="s">
        <v>1648</v>
      </c>
      <c r="E192" s="4" t="s">
        <v>1965</v>
      </c>
      <c r="F192" s="4">
        <v>1</v>
      </c>
      <c r="G192" s="4">
        <v>391.77</v>
      </c>
      <c r="H192" s="4">
        <v>0.1</v>
      </c>
      <c r="I192" s="4" t="s">
        <v>1998</v>
      </c>
      <c r="J192" s="10">
        <v>352.59300000000002</v>
      </c>
      <c r="K192" s="4" t="str">
        <f t="shared" si="14"/>
        <v>14-09-2024</v>
      </c>
      <c r="L192" s="4" t="str">
        <f>TEXT(Sales_Fact!$B192,"mmm")</f>
        <v>Sep</v>
      </c>
      <c r="M192" s="4">
        <f t="shared" si="15"/>
        <v>1</v>
      </c>
      <c r="N192" s="10">
        <f t="shared" si="16"/>
        <v>391.77</v>
      </c>
      <c r="O192" s="10">
        <f t="shared" si="17"/>
        <v>352.59300000000002</v>
      </c>
      <c r="P192" s="10">
        <f t="shared" si="18"/>
        <v>391.77</v>
      </c>
      <c r="Q192" s="3">
        <f t="shared" si="19"/>
        <v>9.9999999999999908E-2</v>
      </c>
      <c r="R192" s="4" t="str">
        <f>IF(Sales_Fact!$O192&gt;1000,"High","Low")</f>
        <v>Low</v>
      </c>
      <c r="S192" s="4" t="str">
        <f>VLOOKUP(C192,Customer_Dim!$A:$N,9,FALSE())</f>
        <v>Rodney Huffman</v>
      </c>
      <c r="T192" s="4" t="str">
        <f>VLOOKUP(D192,Product_Dim!$A:$M,3,FALSE())</f>
        <v>Sports</v>
      </c>
      <c r="U192" s="11" t="str">
        <f>VLOOKUP(D192,Product_Dim!$A:$M,2,FALSE())</f>
        <v>Soccer Training Cone Set</v>
      </c>
      <c r="V192" s="11" t="str">
        <f>VLOOKUP(E192,Store_Dim!$A:$E,3,FALSE())</f>
        <v>North</v>
      </c>
      <c r="W192" s="11" t="str">
        <f>VLOOKUP(C192,Customer_Dim!$A:$N,13,FALSE())</f>
        <v>Silver</v>
      </c>
      <c r="X192" s="11" t="str">
        <f t="shared" si="20"/>
        <v>Low</v>
      </c>
    </row>
    <row r="193" spans="1:24" ht="15.75" customHeight="1">
      <c r="A193" s="4" t="s">
        <v>2189</v>
      </c>
      <c r="B193" s="9">
        <v>45554</v>
      </c>
      <c r="C193" s="4" t="s">
        <v>268</v>
      </c>
      <c r="D193" s="4" t="s">
        <v>1741</v>
      </c>
      <c r="E193" s="4" t="s">
        <v>1927</v>
      </c>
      <c r="F193" s="4">
        <v>3</v>
      </c>
      <c r="G193" s="4">
        <v>479.63</v>
      </c>
      <c r="H193" s="4">
        <v>0.3</v>
      </c>
      <c r="I193" s="4" t="s">
        <v>1998</v>
      </c>
      <c r="J193" s="10">
        <v>1007.223</v>
      </c>
      <c r="K193" s="4" t="str">
        <f t="shared" si="14"/>
        <v>19-09-2024</v>
      </c>
      <c r="L193" s="4" t="str">
        <f>TEXT(Sales_Fact!$B193,"mmm")</f>
        <v>Sep</v>
      </c>
      <c r="M193" s="4">
        <f t="shared" si="15"/>
        <v>3</v>
      </c>
      <c r="N193" s="10">
        <f t="shared" si="16"/>
        <v>479.63</v>
      </c>
      <c r="O193" s="10">
        <f t="shared" si="17"/>
        <v>1007.2229999999998</v>
      </c>
      <c r="P193" s="10">
        <f t="shared" si="18"/>
        <v>1438.8899999999999</v>
      </c>
      <c r="Q193" s="3">
        <f t="shared" si="19"/>
        <v>0.30000000000000004</v>
      </c>
      <c r="R193" s="4" t="str">
        <f>IF(Sales_Fact!$O193&gt;1000,"High","Low")</f>
        <v>High</v>
      </c>
      <c r="S193" s="4" t="str">
        <f>VLOOKUP(C193,Customer_Dim!$A:$N,9,FALSE())</f>
        <v>Amber Mcclain</v>
      </c>
      <c r="T193" s="4" t="str">
        <f>VLOOKUP(D193,Product_Dim!$A:$M,3,FALSE())</f>
        <v>Clothing</v>
      </c>
      <c r="U193" s="11" t="str">
        <f>VLOOKUP(D193,Product_Dim!$A:$M,2,FALSE())</f>
        <v>Men's Winter Jacket</v>
      </c>
      <c r="V193" s="11" t="str">
        <f>VLOOKUP(E193,Store_Dim!$A:$E,3,FALSE())</f>
        <v>South</v>
      </c>
      <c r="W193" s="11" t="str">
        <f>VLOOKUP(C193,Customer_Dim!$A:$N,13,FALSE())</f>
        <v>Silver</v>
      </c>
      <c r="X193" s="11" t="str">
        <f t="shared" si="20"/>
        <v>Low</v>
      </c>
    </row>
    <row r="194" spans="1:24" ht="15.75" customHeight="1">
      <c r="A194" s="4" t="s">
        <v>2190</v>
      </c>
      <c r="B194" s="9">
        <v>45900</v>
      </c>
      <c r="C194" s="4" t="s">
        <v>1105</v>
      </c>
      <c r="D194" s="4" t="s">
        <v>1629</v>
      </c>
      <c r="E194" s="4" t="s">
        <v>1957</v>
      </c>
      <c r="F194" s="4">
        <v>1</v>
      </c>
      <c r="G194" s="4">
        <v>424.83</v>
      </c>
      <c r="H194" s="4">
        <v>0.05</v>
      </c>
      <c r="I194" s="4" t="s">
        <v>2004</v>
      </c>
      <c r="J194" s="10">
        <v>403.58850000000001</v>
      </c>
      <c r="K194" s="4" t="str">
        <f t="shared" ref="K194:K257" si="21">TEXT(B194,"dd-mm-yyyy")</f>
        <v>31-08-2025</v>
      </c>
      <c r="L194" s="4" t="str">
        <f>TEXT(Sales_Fact!$B194,"mmm")</f>
        <v>Aug</v>
      </c>
      <c r="M194" s="4">
        <f t="shared" ref="M194:M257" si="22">IF(ISBLANK(F194),1,F194)</f>
        <v>1</v>
      </c>
      <c r="N194" s="10">
        <f t="shared" ref="N194:N257" si="23">ROUNDUP(IF(ISBLANK(G194),AVERAGE(C:C,G194,G:G),G194),2)</f>
        <v>424.83</v>
      </c>
      <c r="O194" s="10">
        <f t="shared" ref="O194:O257" si="24">M194*N194*(1-H194)</f>
        <v>403.58849999999995</v>
      </c>
      <c r="P194" s="10">
        <f t="shared" ref="P194:P257" si="25">M194*N194</f>
        <v>424.83</v>
      </c>
      <c r="Q194" s="3">
        <f t="shared" ref="Q194:Q257" si="26">(P194-O194)/P194</f>
        <v>5.0000000000000072E-2</v>
      </c>
      <c r="R194" s="4" t="str">
        <f>IF(Sales_Fact!$O194&gt;1000,"High","Low")</f>
        <v>Low</v>
      </c>
      <c r="S194" s="4" t="str">
        <f>VLOOKUP(C194,Customer_Dim!$A:$N,9,FALSE())</f>
        <v>Ryan Moore</v>
      </c>
      <c r="T194" s="4" t="str">
        <f>VLOOKUP(D194,Product_Dim!$A:$M,3,FALSE())</f>
        <v>Beauty</v>
      </c>
      <c r="U194" s="11" t="str">
        <f>VLOOKUP(D194,Product_Dim!$A:$M,2,FALSE())</f>
        <v>Hair Strengthening Shampoo</v>
      </c>
      <c r="V194" s="11" t="str">
        <f>VLOOKUP(E194,Store_Dim!$A:$E,3,FALSE())</f>
        <v>South</v>
      </c>
      <c r="W194" s="11" t="str">
        <f>VLOOKUP(C194,Customer_Dim!$A:$N,13,FALSE())</f>
        <v>Bronze</v>
      </c>
      <c r="X194" s="11" t="str">
        <f t="shared" ref="X194:X257" si="27">IF(F194&gt;3,"High","Low")</f>
        <v>Low</v>
      </c>
    </row>
    <row r="195" spans="1:24" ht="15.75" customHeight="1">
      <c r="A195" s="4" t="s">
        <v>2191</v>
      </c>
      <c r="B195" s="9">
        <v>45308</v>
      </c>
      <c r="C195" s="4" t="s">
        <v>223</v>
      </c>
      <c r="D195" s="4" t="s">
        <v>1626</v>
      </c>
      <c r="E195" s="4" t="s">
        <v>1924</v>
      </c>
      <c r="F195" s="4">
        <v>1</v>
      </c>
      <c r="G195" s="4">
        <v>499.46</v>
      </c>
      <c r="H195" s="4">
        <v>0.1</v>
      </c>
      <c r="I195" s="4" t="s">
        <v>1996</v>
      </c>
      <c r="J195" s="10">
        <v>449.51400000000001</v>
      </c>
      <c r="K195" s="4" t="str">
        <f t="shared" si="21"/>
        <v>17-01-2024</v>
      </c>
      <c r="L195" s="4" t="str">
        <f>TEXT(Sales_Fact!$B195,"mmm")</f>
        <v>Jan</v>
      </c>
      <c r="M195" s="4">
        <f t="shared" si="22"/>
        <v>1</v>
      </c>
      <c r="N195" s="10">
        <f t="shared" si="23"/>
        <v>499.46</v>
      </c>
      <c r="O195" s="10">
        <f t="shared" si="24"/>
        <v>449.51400000000001</v>
      </c>
      <c r="P195" s="10">
        <f t="shared" si="25"/>
        <v>499.46</v>
      </c>
      <c r="Q195" s="3">
        <f t="shared" si="26"/>
        <v>9.9999999999999936E-2</v>
      </c>
      <c r="R195" s="4" t="str">
        <f>IF(Sales_Fact!$O195&gt;1000,"High","Low")</f>
        <v>Low</v>
      </c>
      <c r="S195" s="4" t="str">
        <f>VLOOKUP(C195,Customer_Dim!$A:$N,9,FALSE())</f>
        <v>Sharon Brown</v>
      </c>
      <c r="T195" s="4" t="str">
        <f>VLOOKUP(D195,Product_Dim!$A:$M,3,FALSE())</f>
        <v>Electronics</v>
      </c>
      <c r="U195" s="11" t="str">
        <f>VLOOKUP(D195,Product_Dim!$A:$M,2,FALSE())</f>
        <v>HD Smart TV Stick</v>
      </c>
      <c r="V195" s="11" t="str">
        <f>VLOOKUP(E195,Store_Dim!$A:$E,3,FALSE())</f>
        <v>North</v>
      </c>
      <c r="W195" s="11" t="str">
        <f>VLOOKUP(C195,Customer_Dim!$A:$N,13,FALSE())</f>
        <v>Gold</v>
      </c>
      <c r="X195" s="11" t="str">
        <f t="shared" si="27"/>
        <v>Low</v>
      </c>
    </row>
    <row r="196" spans="1:24" ht="15.75" customHeight="1">
      <c r="A196" s="4" t="s">
        <v>2192</v>
      </c>
      <c r="B196" s="9">
        <v>45336</v>
      </c>
      <c r="C196" s="4" t="s">
        <v>105</v>
      </c>
      <c r="D196" s="4" t="s">
        <v>1903</v>
      </c>
      <c r="E196" s="4" t="s">
        <v>1915</v>
      </c>
      <c r="F196" s="4">
        <v>2</v>
      </c>
      <c r="G196" s="4">
        <v>698.34</v>
      </c>
      <c r="H196" s="4">
        <v>0.15</v>
      </c>
      <c r="I196" s="4" t="s">
        <v>1998</v>
      </c>
      <c r="J196" s="10">
        <v>1187.1780000000001</v>
      </c>
      <c r="K196" s="4" t="str">
        <f t="shared" si="21"/>
        <v>14-02-2024</v>
      </c>
      <c r="L196" s="4" t="str">
        <f>TEXT(Sales_Fact!$B196,"mmm")</f>
        <v>Feb</v>
      </c>
      <c r="M196" s="4">
        <f t="shared" si="22"/>
        <v>2</v>
      </c>
      <c r="N196" s="10">
        <f t="shared" si="23"/>
        <v>698.34</v>
      </c>
      <c r="O196" s="10">
        <f t="shared" si="24"/>
        <v>1187.1780000000001</v>
      </c>
      <c r="P196" s="10">
        <f t="shared" si="25"/>
        <v>1396.68</v>
      </c>
      <c r="Q196" s="3">
        <f t="shared" si="26"/>
        <v>0.14999999999999997</v>
      </c>
      <c r="R196" s="4" t="str">
        <f>IF(Sales_Fact!$O196&gt;1000,"High","Low")</f>
        <v>High</v>
      </c>
      <c r="S196" s="4" t="str">
        <f>VLOOKUP(C196,Customer_Dim!$A:$N,9,FALSE())</f>
        <v>Michael Torres</v>
      </c>
      <c r="T196" s="4" t="str">
        <f>VLOOKUP(D196,Product_Dim!$A:$M,3,FALSE())</f>
        <v>Home</v>
      </c>
      <c r="U196" s="11" t="str">
        <f>VLOOKUP(D196,Product_Dim!$A:$M,2,FALSE())</f>
        <v>Stainless Steel Cookware Set</v>
      </c>
      <c r="V196" s="11" t="str">
        <f>VLOOKUP(E196,Store_Dim!$A:$E,3,FALSE())</f>
        <v>North</v>
      </c>
      <c r="W196" s="11" t="str">
        <f>VLOOKUP(C196,Customer_Dim!$A:$N,13,FALSE())</f>
        <v>Platinum</v>
      </c>
      <c r="X196" s="11" t="str">
        <f t="shared" si="27"/>
        <v>Low</v>
      </c>
    </row>
    <row r="197" spans="1:24" ht="15.75" customHeight="1">
      <c r="A197" s="4" t="s">
        <v>2193</v>
      </c>
      <c r="B197" s="9">
        <v>45213</v>
      </c>
      <c r="C197" s="4" t="s">
        <v>927</v>
      </c>
      <c r="D197" s="4" t="s">
        <v>1773</v>
      </c>
      <c r="E197" s="4" t="s">
        <v>1962</v>
      </c>
      <c r="F197" s="4">
        <v>2</v>
      </c>
      <c r="G197" s="4">
        <v>805.08</v>
      </c>
      <c r="H197" s="4">
        <v>0.27</v>
      </c>
      <c r="I197" s="4" t="s">
        <v>1998</v>
      </c>
      <c r="J197" s="10">
        <v>1175.4168</v>
      </c>
      <c r="K197" s="4" t="str">
        <f t="shared" si="21"/>
        <v>14-10-2023</v>
      </c>
      <c r="L197" s="4" t="str">
        <f>TEXT(Sales_Fact!$B197,"mmm")</f>
        <v>Oct</v>
      </c>
      <c r="M197" s="4">
        <f t="shared" si="22"/>
        <v>2</v>
      </c>
      <c r="N197" s="10">
        <f t="shared" si="23"/>
        <v>805.08</v>
      </c>
      <c r="O197" s="10">
        <f t="shared" si="24"/>
        <v>1175.4168</v>
      </c>
      <c r="P197" s="10">
        <f t="shared" si="25"/>
        <v>1610.16</v>
      </c>
      <c r="Q197" s="3">
        <f t="shared" si="26"/>
        <v>0.27000000000000007</v>
      </c>
      <c r="R197" s="4" t="str">
        <f>IF(Sales_Fact!$O197&gt;1000,"High","Low")</f>
        <v>High</v>
      </c>
      <c r="S197" s="4" t="str">
        <f>VLOOKUP(C197,Customer_Dim!$A:$N,9,FALSE())</f>
        <v>Bryan Garcia</v>
      </c>
      <c r="T197" s="4" t="str">
        <f>VLOOKUP(D197,Product_Dim!$A:$M,3,FALSE())</f>
        <v>Home</v>
      </c>
      <c r="U197" s="11" t="str">
        <f>VLOOKUP(D197,Product_Dim!$A:$M,2,FALSE())</f>
        <v>Premium Blanket Throw</v>
      </c>
      <c r="V197" s="11" t="str">
        <f>VLOOKUP(E197,Store_Dim!$A:$E,3,FALSE())</f>
        <v>West</v>
      </c>
      <c r="W197" s="11" t="str">
        <f>VLOOKUP(C197,Customer_Dim!$A:$N,13,FALSE())</f>
        <v>Silver</v>
      </c>
      <c r="X197" s="11" t="str">
        <f t="shared" si="27"/>
        <v>Low</v>
      </c>
    </row>
    <row r="198" spans="1:24" ht="15.75" customHeight="1">
      <c r="A198" s="4" t="s">
        <v>2194</v>
      </c>
      <c r="B198" s="9">
        <v>45742</v>
      </c>
      <c r="C198" s="4" t="s">
        <v>1466</v>
      </c>
      <c r="D198" s="4" t="s">
        <v>1834</v>
      </c>
      <c r="E198" s="4" t="s">
        <v>1919</v>
      </c>
      <c r="F198" s="4">
        <v>4</v>
      </c>
      <c r="G198" s="4">
        <v>934.79</v>
      </c>
      <c r="H198" s="4">
        <v>0.08</v>
      </c>
      <c r="I198" s="4" t="s">
        <v>1998</v>
      </c>
      <c r="J198" s="10">
        <v>3440.0272</v>
      </c>
      <c r="K198" s="4" t="str">
        <f t="shared" si="21"/>
        <v>26-03-2025</v>
      </c>
      <c r="L198" s="4" t="str">
        <f>TEXT(Sales_Fact!$B198,"mmm")</f>
        <v>Mar</v>
      </c>
      <c r="M198" s="4">
        <f t="shared" si="22"/>
        <v>4</v>
      </c>
      <c r="N198" s="10">
        <f t="shared" si="23"/>
        <v>934.79</v>
      </c>
      <c r="O198" s="10">
        <f t="shared" si="24"/>
        <v>3440.0272</v>
      </c>
      <c r="P198" s="10">
        <f t="shared" si="25"/>
        <v>3739.16</v>
      </c>
      <c r="Q198" s="3">
        <f t="shared" si="26"/>
        <v>7.999999999999996E-2</v>
      </c>
      <c r="R198" s="4" t="str">
        <f>IF(Sales_Fact!$O198&gt;1000,"High","Low")</f>
        <v>High</v>
      </c>
      <c r="S198" s="4" t="str">
        <f>VLOOKUP(C198,Customer_Dim!$A:$N,9,FALSE())</f>
        <v>Cynthia Parrish</v>
      </c>
      <c r="T198" s="4" t="str">
        <f>VLOOKUP(D198,Product_Dim!$A:$M,3,FALSE())</f>
        <v>Electronics</v>
      </c>
      <c r="U198" s="11" t="str">
        <f>VLOOKUP(D198,Product_Dim!$A:$M,2,FALSE())</f>
        <v>Wireless Mouse</v>
      </c>
      <c r="V198" s="11" t="str">
        <f>VLOOKUP(E198,Store_Dim!$A:$E,3,FALSE())</f>
        <v>South</v>
      </c>
      <c r="W198" s="11" t="str">
        <f>VLOOKUP(C198,Customer_Dim!$A:$N,13,FALSE())</f>
        <v>Silver</v>
      </c>
      <c r="X198" s="11" t="str">
        <f t="shared" si="27"/>
        <v>High</v>
      </c>
    </row>
    <row r="199" spans="1:24" ht="15.75" customHeight="1">
      <c r="A199" s="4" t="s">
        <v>2195</v>
      </c>
      <c r="B199" s="9">
        <v>45932</v>
      </c>
      <c r="C199" s="4" t="s">
        <v>105</v>
      </c>
      <c r="D199" s="4" t="s">
        <v>1785</v>
      </c>
      <c r="E199" s="4" t="s">
        <v>1915</v>
      </c>
      <c r="F199" s="4">
        <v>2</v>
      </c>
      <c r="G199" s="4">
        <v>424.54</v>
      </c>
      <c r="H199" s="4">
        <v>0.24</v>
      </c>
      <c r="I199" s="4" t="s">
        <v>1998</v>
      </c>
      <c r="J199" s="10">
        <v>645.30079999999998</v>
      </c>
      <c r="K199" s="4" t="str">
        <f t="shared" si="21"/>
        <v>02-10-2025</v>
      </c>
      <c r="L199" s="4" t="str">
        <f>TEXT(Sales_Fact!$B199,"mmm")</f>
        <v>Oct</v>
      </c>
      <c r="M199" s="4">
        <f t="shared" si="22"/>
        <v>2</v>
      </c>
      <c r="N199" s="10">
        <f t="shared" si="23"/>
        <v>424.54</v>
      </c>
      <c r="O199" s="10">
        <f t="shared" si="24"/>
        <v>645.30080000000009</v>
      </c>
      <c r="P199" s="10">
        <f t="shared" si="25"/>
        <v>849.08</v>
      </c>
      <c r="Q199" s="3">
        <f t="shared" si="26"/>
        <v>0.23999999999999994</v>
      </c>
      <c r="R199" s="4" t="str">
        <f>IF(Sales_Fact!$O199&gt;1000,"High","Low")</f>
        <v>Low</v>
      </c>
      <c r="S199" s="4" t="str">
        <f>VLOOKUP(C199,Customer_Dim!$A:$N,9,FALSE())</f>
        <v>Michael Torres</v>
      </c>
      <c r="T199" s="4" t="str">
        <f>VLOOKUP(D199,Product_Dim!$A:$M,3,FALSE())</f>
        <v>Beauty</v>
      </c>
      <c r="U199" s="11" t="str">
        <f>VLOOKUP(D199,Product_Dim!$A:$M,2,FALSE())</f>
        <v>Luxury Perfume Spray</v>
      </c>
      <c r="V199" s="11" t="str">
        <f>VLOOKUP(E199,Store_Dim!$A:$E,3,FALSE())</f>
        <v>North</v>
      </c>
      <c r="W199" s="11" t="str">
        <f>VLOOKUP(C199,Customer_Dim!$A:$N,13,FALSE())</f>
        <v>Platinum</v>
      </c>
      <c r="X199" s="11" t="str">
        <f t="shared" si="27"/>
        <v>Low</v>
      </c>
    </row>
    <row r="200" spans="1:24" ht="15.75" customHeight="1">
      <c r="A200" s="4" t="s">
        <v>2196</v>
      </c>
      <c r="B200" s="9">
        <v>45462</v>
      </c>
      <c r="C200" s="4" t="s">
        <v>1057</v>
      </c>
      <c r="D200" s="4" t="s">
        <v>1858</v>
      </c>
      <c r="E200" s="4" t="s">
        <v>1965</v>
      </c>
      <c r="F200" s="4">
        <v>1</v>
      </c>
      <c r="G200" s="4">
        <v>235.44</v>
      </c>
      <c r="H200" s="4">
        <v>0.19</v>
      </c>
      <c r="I200" s="4" t="s">
        <v>2004</v>
      </c>
      <c r="J200" s="10">
        <v>190.7064</v>
      </c>
      <c r="K200" s="4" t="str">
        <f t="shared" si="21"/>
        <v>19-06-2024</v>
      </c>
      <c r="L200" s="4" t="str">
        <f>TEXT(Sales_Fact!$B200,"mmm")</f>
        <v>Jun</v>
      </c>
      <c r="M200" s="4">
        <f t="shared" si="22"/>
        <v>1</v>
      </c>
      <c r="N200" s="10">
        <f t="shared" si="23"/>
        <v>235.44</v>
      </c>
      <c r="O200" s="10">
        <f t="shared" si="24"/>
        <v>190.7064</v>
      </c>
      <c r="P200" s="10">
        <f t="shared" si="25"/>
        <v>235.44</v>
      </c>
      <c r="Q200" s="3">
        <f t="shared" si="26"/>
        <v>0.18999999999999997</v>
      </c>
      <c r="R200" s="4" t="str">
        <f>IF(Sales_Fact!$O200&gt;1000,"High","Low")</f>
        <v>Low</v>
      </c>
      <c r="S200" s="4" t="str">
        <f>VLOOKUP(C200,Customer_Dim!$A:$N,9,FALSE())</f>
        <v>Reginald Willis</v>
      </c>
      <c r="T200" s="4" t="str">
        <f>VLOOKUP(D200,Product_Dim!$A:$M,3,FALSE())</f>
        <v>Home</v>
      </c>
      <c r="U200" s="11" t="str">
        <f>VLOOKUP(D200,Product_Dim!$A:$M,2,FALSE())</f>
        <v>Wooden Bookshelf</v>
      </c>
      <c r="V200" s="11" t="str">
        <f>VLOOKUP(E200,Store_Dim!$A:$E,3,FALSE())</f>
        <v>North</v>
      </c>
      <c r="W200" s="11" t="str">
        <f>VLOOKUP(C200,Customer_Dim!$A:$N,13,FALSE())</f>
        <v>Bronze</v>
      </c>
      <c r="X200" s="11" t="str">
        <f t="shared" si="27"/>
        <v>Low</v>
      </c>
    </row>
    <row r="201" spans="1:24" ht="15.75" customHeight="1">
      <c r="A201" s="4" t="s">
        <v>2197</v>
      </c>
      <c r="B201" s="9">
        <v>45568</v>
      </c>
      <c r="C201" s="4" t="s">
        <v>891</v>
      </c>
      <c r="D201" s="4" t="s">
        <v>1751</v>
      </c>
      <c r="E201" s="4" t="s">
        <v>1955</v>
      </c>
      <c r="F201" s="4">
        <v>2</v>
      </c>
      <c r="G201" s="4">
        <v>620.71</v>
      </c>
      <c r="H201" s="4">
        <v>0.27</v>
      </c>
      <c r="I201" s="4" t="s">
        <v>1996</v>
      </c>
      <c r="J201" s="10">
        <v>906.23659999999995</v>
      </c>
      <c r="K201" s="4" t="str">
        <f t="shared" si="21"/>
        <v>03-10-2024</v>
      </c>
      <c r="L201" s="4" t="str">
        <f>TEXT(Sales_Fact!$B201,"mmm")</f>
        <v>Oct</v>
      </c>
      <c r="M201" s="4">
        <f t="shared" si="22"/>
        <v>2</v>
      </c>
      <c r="N201" s="10">
        <f t="shared" si="23"/>
        <v>620.71</v>
      </c>
      <c r="O201" s="10">
        <f t="shared" si="24"/>
        <v>906.23660000000007</v>
      </c>
      <c r="P201" s="10">
        <f t="shared" si="25"/>
        <v>1241.42</v>
      </c>
      <c r="Q201" s="3">
        <f t="shared" si="26"/>
        <v>0.26999999999999996</v>
      </c>
      <c r="R201" s="4" t="str">
        <f>IF(Sales_Fact!$O201&gt;1000,"High","Low")</f>
        <v>Low</v>
      </c>
      <c r="S201" s="4" t="str">
        <f>VLOOKUP(C201,Customer_Dim!$A:$N,9,FALSE())</f>
        <v>Daisy Johnson Dds</v>
      </c>
      <c r="T201" s="4" t="str">
        <f>VLOOKUP(D201,Product_Dim!$A:$M,3,FALSE())</f>
        <v>Beauty</v>
      </c>
      <c r="U201" s="11" t="str">
        <f>VLOOKUP(D201,Product_Dim!$A:$M,2,FALSE())</f>
        <v>Men's Roll-On Perfume</v>
      </c>
      <c r="V201" s="11" t="str">
        <f>VLOOKUP(E201,Store_Dim!$A:$E,3,FALSE())</f>
        <v>East</v>
      </c>
      <c r="W201" s="11" t="str">
        <f>VLOOKUP(C201,Customer_Dim!$A:$N,13,FALSE())</f>
        <v>Platinum</v>
      </c>
      <c r="X201" s="11" t="str">
        <f t="shared" si="27"/>
        <v>Low</v>
      </c>
    </row>
    <row r="202" spans="1:24" ht="15.75" customHeight="1">
      <c r="A202" s="4" t="s">
        <v>2198</v>
      </c>
      <c r="B202" s="9">
        <v>45397</v>
      </c>
      <c r="C202" s="4" t="s">
        <v>423</v>
      </c>
      <c r="D202" s="4" t="s">
        <v>1644</v>
      </c>
      <c r="E202" s="4" t="s">
        <v>1950</v>
      </c>
      <c r="F202" s="4">
        <v>2</v>
      </c>
      <c r="G202" s="4">
        <v>851.77</v>
      </c>
      <c r="H202" s="4">
        <v>0.13</v>
      </c>
      <c r="I202" s="4" t="s">
        <v>1998</v>
      </c>
      <c r="J202" s="10">
        <v>1482.0798</v>
      </c>
      <c r="K202" s="4" t="str">
        <f t="shared" si="21"/>
        <v>15-04-2024</v>
      </c>
      <c r="L202" s="4" t="str">
        <f>TEXT(Sales_Fact!$B202,"mmm")</f>
        <v>Apr</v>
      </c>
      <c r="M202" s="4">
        <f t="shared" si="22"/>
        <v>2</v>
      </c>
      <c r="N202" s="10">
        <f t="shared" si="23"/>
        <v>851.77</v>
      </c>
      <c r="O202" s="10">
        <f t="shared" si="24"/>
        <v>1482.0798</v>
      </c>
      <c r="P202" s="10">
        <f t="shared" si="25"/>
        <v>1703.54</v>
      </c>
      <c r="Q202" s="3">
        <f t="shared" si="26"/>
        <v>0.13</v>
      </c>
      <c r="R202" s="4" t="str">
        <f>IF(Sales_Fact!$O202&gt;1000,"High","Low")</f>
        <v>High</v>
      </c>
      <c r="S202" s="4" t="str">
        <f>VLOOKUP(C202,Customer_Dim!$A:$N,9,FALSE())</f>
        <v>Tyler Conrad</v>
      </c>
      <c r="T202" s="4" t="str">
        <f>VLOOKUP(D202,Product_Dim!$A:$M,3,FALSE())</f>
        <v>Beauty</v>
      </c>
      <c r="U202" s="11" t="str">
        <f>VLOOKUP(D202,Product_Dim!$A:$M,2,FALSE())</f>
        <v>Beard Grooming Kit</v>
      </c>
      <c r="V202" s="11" t="str">
        <f>VLOOKUP(E202,Store_Dim!$A:$E,3,FALSE())</f>
        <v>South</v>
      </c>
      <c r="W202" s="11" t="str">
        <f>VLOOKUP(C202,Customer_Dim!$A:$N,13,FALSE())</f>
        <v>Platinum</v>
      </c>
      <c r="X202" s="11" t="str">
        <f t="shared" si="27"/>
        <v>Low</v>
      </c>
    </row>
    <row r="203" spans="1:24" ht="15.75" customHeight="1">
      <c r="A203" s="4" t="s">
        <v>2199</v>
      </c>
      <c r="B203" s="9">
        <v>45569</v>
      </c>
      <c r="C203" s="4" t="s">
        <v>583</v>
      </c>
      <c r="D203" s="4" t="s">
        <v>1738</v>
      </c>
      <c r="E203" s="4" t="s">
        <v>1915</v>
      </c>
      <c r="F203" s="4">
        <v>3</v>
      </c>
      <c r="G203" s="4">
        <v>876.01</v>
      </c>
      <c r="H203" s="4">
        <v>0.2</v>
      </c>
      <c r="I203" s="4" t="s">
        <v>1996</v>
      </c>
      <c r="J203" s="10">
        <v>2102.424</v>
      </c>
      <c r="K203" s="4" t="str">
        <f t="shared" si="21"/>
        <v>04-10-2024</v>
      </c>
      <c r="L203" s="4" t="str">
        <f>TEXT(Sales_Fact!$B203,"mmm")</f>
        <v>Oct</v>
      </c>
      <c r="M203" s="4">
        <f t="shared" si="22"/>
        <v>3</v>
      </c>
      <c r="N203" s="10">
        <f t="shared" si="23"/>
        <v>876.01</v>
      </c>
      <c r="O203" s="10">
        <f t="shared" si="24"/>
        <v>2102.424</v>
      </c>
      <c r="P203" s="10">
        <f t="shared" si="25"/>
        <v>2628.0299999999997</v>
      </c>
      <c r="Q203" s="3">
        <f t="shared" si="26"/>
        <v>0.19999999999999993</v>
      </c>
      <c r="R203" s="4" t="str">
        <f>IF(Sales_Fact!$O203&gt;1000,"High","Low")</f>
        <v>High</v>
      </c>
      <c r="S203" s="4" t="str">
        <f>VLOOKUP(C203,Customer_Dim!$A:$N,9,FALSE())</f>
        <v>Daniel Contreras</v>
      </c>
      <c r="T203" s="4" t="str">
        <f>VLOOKUP(D203,Product_Dim!$A:$M,3,FALSE())</f>
        <v>Sports</v>
      </c>
      <c r="U203" s="11" t="str">
        <f>VLOOKUP(D203,Product_Dim!$A:$M,2,FALSE())</f>
        <v>High-Grip Football</v>
      </c>
      <c r="V203" s="11" t="str">
        <f>VLOOKUP(E203,Store_Dim!$A:$E,3,FALSE())</f>
        <v>North</v>
      </c>
      <c r="W203" s="11" t="str">
        <f>VLOOKUP(C203,Customer_Dim!$A:$N,13,FALSE())</f>
        <v>Platinum</v>
      </c>
      <c r="X203" s="11" t="str">
        <f t="shared" si="27"/>
        <v>Low</v>
      </c>
    </row>
    <row r="204" spans="1:24" ht="15.75" customHeight="1">
      <c r="A204" s="4" t="s">
        <v>2200</v>
      </c>
      <c r="B204" s="9">
        <v>45405</v>
      </c>
      <c r="C204" s="4" t="s">
        <v>393</v>
      </c>
      <c r="D204" s="4" t="s">
        <v>1719</v>
      </c>
      <c r="E204" s="4" t="s">
        <v>1950</v>
      </c>
      <c r="F204" s="4">
        <v>1</v>
      </c>
      <c r="G204" s="4">
        <v>165</v>
      </c>
      <c r="H204" s="4">
        <v>0.3</v>
      </c>
      <c r="I204" s="4" t="s">
        <v>2004</v>
      </c>
      <c r="J204" s="10">
        <v>115.5</v>
      </c>
      <c r="K204" s="4" t="str">
        <f t="shared" si="21"/>
        <v>23-04-2024</v>
      </c>
      <c r="L204" s="4" t="str">
        <f>TEXT(Sales_Fact!$B204,"mmm")</f>
        <v>Apr</v>
      </c>
      <c r="M204" s="4">
        <f t="shared" si="22"/>
        <v>1</v>
      </c>
      <c r="N204" s="10">
        <f t="shared" si="23"/>
        <v>165</v>
      </c>
      <c r="O204" s="10">
        <f t="shared" si="24"/>
        <v>115.49999999999999</v>
      </c>
      <c r="P204" s="10">
        <f t="shared" si="25"/>
        <v>165</v>
      </c>
      <c r="Q204" s="3">
        <f t="shared" si="26"/>
        <v>0.3000000000000001</v>
      </c>
      <c r="R204" s="4" t="str">
        <f>IF(Sales_Fact!$O204&gt;1000,"High","Low")</f>
        <v>Low</v>
      </c>
      <c r="S204" s="4" t="str">
        <f>VLOOKUP(C204,Customer_Dim!$A:$N,9,FALSE())</f>
        <v>Lance Baker</v>
      </c>
      <c r="T204" s="4" t="str">
        <f>VLOOKUP(D204,Product_Dim!$A:$M,3,FALSE())</f>
        <v>Electronics</v>
      </c>
      <c r="U204" s="11" t="str">
        <f>VLOOKUP(D204,Product_Dim!$A:$M,2,FALSE())</f>
        <v>Portable Power Bank</v>
      </c>
      <c r="V204" s="11" t="str">
        <f>VLOOKUP(E204,Store_Dim!$A:$E,3,FALSE())</f>
        <v>South</v>
      </c>
      <c r="W204" s="11" t="str">
        <f>VLOOKUP(C204,Customer_Dim!$A:$N,13,FALSE())</f>
        <v>Gold</v>
      </c>
      <c r="X204" s="11" t="str">
        <f t="shared" si="27"/>
        <v>Low</v>
      </c>
    </row>
    <row r="205" spans="1:24" ht="15.75" customHeight="1">
      <c r="A205" s="4" t="s">
        <v>2201</v>
      </c>
      <c r="B205" s="9">
        <v>45353</v>
      </c>
      <c r="C205" s="4" t="s">
        <v>906</v>
      </c>
      <c r="D205" s="4" t="s">
        <v>1681</v>
      </c>
      <c r="E205" s="4" t="s">
        <v>1944</v>
      </c>
      <c r="F205" s="4">
        <v>2</v>
      </c>
      <c r="G205" s="4">
        <v>717.21</v>
      </c>
      <c r="H205" s="4">
        <v>0.15</v>
      </c>
      <c r="I205" s="4" t="s">
        <v>2004</v>
      </c>
      <c r="J205" s="10">
        <v>1219.2570000000001</v>
      </c>
      <c r="K205" s="4" t="str">
        <f t="shared" si="21"/>
        <v>02-03-2024</v>
      </c>
      <c r="L205" s="4" t="str">
        <f>TEXT(Sales_Fact!$B205,"mmm")</f>
        <v>Mar</v>
      </c>
      <c r="M205" s="4">
        <f t="shared" si="22"/>
        <v>2</v>
      </c>
      <c r="N205" s="10">
        <f t="shared" si="23"/>
        <v>717.21</v>
      </c>
      <c r="O205" s="10">
        <f t="shared" si="24"/>
        <v>1219.2570000000001</v>
      </c>
      <c r="P205" s="10">
        <f t="shared" si="25"/>
        <v>1434.42</v>
      </c>
      <c r="Q205" s="3">
        <f t="shared" si="26"/>
        <v>0.15</v>
      </c>
      <c r="R205" s="4" t="str">
        <f>IF(Sales_Fact!$O205&gt;1000,"High","Low")</f>
        <v>High</v>
      </c>
      <c r="S205" s="4" t="str">
        <f>VLOOKUP(C205,Customer_Dim!$A:$N,9,FALSE())</f>
        <v>Arthur Warren</v>
      </c>
      <c r="T205" s="4" t="str">
        <f>VLOOKUP(D205,Product_Dim!$A:$M,3,FALSE())</f>
        <v>Home</v>
      </c>
      <c r="U205" s="11" t="str">
        <f>VLOOKUP(D205,Product_Dim!$A:$M,2,FALSE())</f>
        <v>Decorative Floor Vase</v>
      </c>
      <c r="V205" s="11" t="str">
        <f>VLOOKUP(E205,Store_Dim!$A:$E,3,FALSE())</f>
        <v>South</v>
      </c>
      <c r="W205" s="11" t="str">
        <f>VLOOKUP(C205,Customer_Dim!$A:$N,13,FALSE())</f>
        <v>Gold</v>
      </c>
      <c r="X205" s="11" t="str">
        <f t="shared" si="27"/>
        <v>Low</v>
      </c>
    </row>
    <row r="206" spans="1:24" ht="15.75" customHeight="1">
      <c r="A206" s="4" t="s">
        <v>2202</v>
      </c>
      <c r="B206" s="9">
        <v>45343</v>
      </c>
      <c r="C206" s="4" t="s">
        <v>232</v>
      </c>
      <c r="D206" s="4" t="s">
        <v>1726</v>
      </c>
      <c r="E206" s="4" t="s">
        <v>1940</v>
      </c>
      <c r="F206" s="4">
        <v>2</v>
      </c>
      <c r="G206" s="4">
        <v>871.43</v>
      </c>
      <c r="H206" s="4">
        <v>0.05</v>
      </c>
      <c r="I206" s="4" t="s">
        <v>1996</v>
      </c>
      <c r="J206" s="10">
        <v>1655.7170000000001</v>
      </c>
      <c r="K206" s="4" t="str">
        <f t="shared" si="21"/>
        <v>21-02-2024</v>
      </c>
      <c r="L206" s="4" t="str">
        <f>TEXT(Sales_Fact!$B206,"mmm")</f>
        <v>Feb</v>
      </c>
      <c r="M206" s="4">
        <f t="shared" si="22"/>
        <v>2</v>
      </c>
      <c r="N206" s="10">
        <f t="shared" si="23"/>
        <v>871.43</v>
      </c>
      <c r="O206" s="10">
        <f t="shared" si="24"/>
        <v>1655.7169999999999</v>
      </c>
      <c r="P206" s="10">
        <f t="shared" si="25"/>
        <v>1742.86</v>
      </c>
      <c r="Q206" s="3">
        <f t="shared" si="26"/>
        <v>5.0000000000000017E-2</v>
      </c>
      <c r="R206" s="4" t="str">
        <f>IF(Sales_Fact!$O206&gt;1000,"High","Low")</f>
        <v>High</v>
      </c>
      <c r="S206" s="4" t="str">
        <f>VLOOKUP(C206,Customer_Dim!$A:$N,9,FALSE())</f>
        <v>Christopher Sutton</v>
      </c>
      <c r="T206" s="4" t="str">
        <f>VLOOKUP(D206,Product_Dim!$A:$M,3,FALSE())</f>
        <v>Sports</v>
      </c>
      <c r="U206" s="11" t="str">
        <f>VLOOKUP(D206,Product_Dim!$A:$M,2,FALSE())</f>
        <v>Yoga Exercise Mat</v>
      </c>
      <c r="V206" s="11" t="str">
        <f>VLOOKUP(E206,Store_Dim!$A:$E,3,FALSE())</f>
        <v>West</v>
      </c>
      <c r="W206" s="11" t="str">
        <f>VLOOKUP(C206,Customer_Dim!$A:$N,13,FALSE())</f>
        <v>Gold</v>
      </c>
      <c r="X206" s="11" t="str">
        <f t="shared" si="27"/>
        <v>Low</v>
      </c>
    </row>
    <row r="207" spans="1:24" ht="15.75" customHeight="1">
      <c r="A207" s="4" t="s">
        <v>2203</v>
      </c>
      <c r="B207" s="9">
        <v>45321</v>
      </c>
      <c r="C207" s="4" t="s">
        <v>1429</v>
      </c>
      <c r="D207" s="4" t="s">
        <v>1709</v>
      </c>
      <c r="E207" s="4" t="s">
        <v>1937</v>
      </c>
      <c r="F207" s="4">
        <v>1</v>
      </c>
      <c r="G207" s="4">
        <v>514.65</v>
      </c>
      <c r="H207" s="4">
        <v>0.18</v>
      </c>
      <c r="I207" s="4" t="s">
        <v>1996</v>
      </c>
      <c r="J207" s="10">
        <v>422.01299999999998</v>
      </c>
      <c r="K207" s="4" t="str">
        <f t="shared" si="21"/>
        <v>30-01-2024</v>
      </c>
      <c r="L207" s="4" t="str">
        <f>TEXT(Sales_Fact!$B207,"mmm")</f>
        <v>Jan</v>
      </c>
      <c r="M207" s="4">
        <f t="shared" si="22"/>
        <v>1</v>
      </c>
      <c r="N207" s="10">
        <f t="shared" si="23"/>
        <v>514.65</v>
      </c>
      <c r="O207" s="10">
        <f t="shared" si="24"/>
        <v>422.01300000000003</v>
      </c>
      <c r="P207" s="10">
        <f t="shared" si="25"/>
        <v>514.65</v>
      </c>
      <c r="Q207" s="3">
        <f t="shared" si="26"/>
        <v>0.17999999999999991</v>
      </c>
      <c r="R207" s="4" t="str">
        <f>IF(Sales_Fact!$O207&gt;1000,"High","Low")</f>
        <v>Low</v>
      </c>
      <c r="S207" s="4" t="str">
        <f>VLOOKUP(C207,Customer_Dim!$A:$N,9,FALSE())</f>
        <v>April Phillips</v>
      </c>
      <c r="T207" s="4" t="str">
        <f>VLOOKUP(D207,Product_Dim!$A:$M,3,FALSE())</f>
        <v>Clothing</v>
      </c>
      <c r="U207" s="11" t="str">
        <f>VLOOKUP(D207,Product_Dim!$A:$M,2,FALSE())</f>
        <v>Women's Summer Dress</v>
      </c>
      <c r="V207" s="11" t="str">
        <f>VLOOKUP(E207,Store_Dim!$A:$E,3,FALSE())</f>
        <v>South</v>
      </c>
      <c r="W207" s="11" t="str">
        <f>VLOOKUP(C207,Customer_Dim!$A:$N,13,FALSE())</f>
        <v>Platinum</v>
      </c>
      <c r="X207" s="11" t="str">
        <f t="shared" si="27"/>
        <v>Low</v>
      </c>
    </row>
    <row r="208" spans="1:24" ht="15.75" customHeight="1">
      <c r="A208" s="4" t="s">
        <v>2204</v>
      </c>
      <c r="B208" s="9">
        <v>45650</v>
      </c>
      <c r="C208" s="4" t="s">
        <v>1446</v>
      </c>
      <c r="D208" s="4" t="s">
        <v>1791</v>
      </c>
      <c r="E208" s="4" t="s">
        <v>1962</v>
      </c>
      <c r="F208" s="4">
        <v>3</v>
      </c>
      <c r="G208" s="4">
        <v>198.76</v>
      </c>
      <c r="H208" s="4">
        <v>0.28000000000000003</v>
      </c>
      <c r="I208" s="4" t="s">
        <v>2004</v>
      </c>
      <c r="J208" s="10">
        <v>429.32159999999999</v>
      </c>
      <c r="K208" s="4" t="str">
        <f t="shared" si="21"/>
        <v>24-12-2024</v>
      </c>
      <c r="L208" s="4" t="str">
        <f>TEXT(Sales_Fact!$B208,"mmm")</f>
        <v>Dec</v>
      </c>
      <c r="M208" s="4">
        <f t="shared" si="22"/>
        <v>3</v>
      </c>
      <c r="N208" s="10">
        <f t="shared" si="23"/>
        <v>198.76</v>
      </c>
      <c r="O208" s="10">
        <f t="shared" si="24"/>
        <v>429.32159999999999</v>
      </c>
      <c r="P208" s="10">
        <f t="shared" si="25"/>
        <v>596.28</v>
      </c>
      <c r="Q208" s="3">
        <f t="shared" si="26"/>
        <v>0.27999999999999997</v>
      </c>
      <c r="R208" s="4" t="str">
        <f>IF(Sales_Fact!$O208&gt;1000,"High","Low")</f>
        <v>Low</v>
      </c>
      <c r="S208" s="4" t="str">
        <f>VLOOKUP(C208,Customer_Dim!$A:$N,9,FALSE())</f>
        <v>John Perez</v>
      </c>
      <c r="T208" s="4" t="str">
        <f>VLOOKUP(D208,Product_Dim!$A:$M,3,FALSE())</f>
        <v>Electronics</v>
      </c>
      <c r="U208" s="11" t="str">
        <f>VLOOKUP(D208,Product_Dim!$A:$M,2,FALSE())</f>
        <v>Laptop Cooling Pad</v>
      </c>
      <c r="V208" s="11" t="str">
        <f>VLOOKUP(E208,Store_Dim!$A:$E,3,FALSE())</f>
        <v>West</v>
      </c>
      <c r="W208" s="11" t="str">
        <f>VLOOKUP(C208,Customer_Dim!$A:$N,13,FALSE())</f>
        <v>Gold</v>
      </c>
      <c r="X208" s="11" t="str">
        <f t="shared" si="27"/>
        <v>Low</v>
      </c>
    </row>
    <row r="209" spans="1:24" ht="15.75" customHeight="1">
      <c r="A209" s="4" t="s">
        <v>2205</v>
      </c>
      <c r="B209" s="9">
        <v>45811</v>
      </c>
      <c r="C209" s="4" t="s">
        <v>755</v>
      </c>
      <c r="D209" s="4" t="s">
        <v>1794</v>
      </c>
      <c r="E209" s="4" t="s">
        <v>1924</v>
      </c>
      <c r="F209" s="4">
        <v>2</v>
      </c>
      <c r="G209" s="4">
        <v>975.72</v>
      </c>
      <c r="H209" s="4">
        <v>0.16</v>
      </c>
      <c r="I209" s="4" t="s">
        <v>2004</v>
      </c>
      <c r="J209" s="10">
        <v>1639.2095999999999</v>
      </c>
      <c r="K209" s="4" t="str">
        <f t="shared" si="21"/>
        <v>03-06-2025</v>
      </c>
      <c r="L209" s="4" t="str">
        <f>TEXT(Sales_Fact!$B209,"mmm")</f>
        <v>Jun</v>
      </c>
      <c r="M209" s="4">
        <f t="shared" si="22"/>
        <v>2</v>
      </c>
      <c r="N209" s="10">
        <f t="shared" si="23"/>
        <v>975.72</v>
      </c>
      <c r="O209" s="10">
        <f t="shared" si="24"/>
        <v>1639.2095999999999</v>
      </c>
      <c r="P209" s="10">
        <f t="shared" si="25"/>
        <v>1951.44</v>
      </c>
      <c r="Q209" s="3">
        <f t="shared" si="26"/>
        <v>0.16000000000000006</v>
      </c>
      <c r="R209" s="4" t="str">
        <f>IF(Sales_Fact!$O209&gt;1000,"High","Low")</f>
        <v>High</v>
      </c>
      <c r="S209" s="4" t="str">
        <f>VLOOKUP(C209,Customer_Dim!$A:$N,9,FALSE())</f>
        <v>Elizabeth Stanley</v>
      </c>
      <c r="T209" s="4" t="str">
        <f>VLOOKUP(D209,Product_Dim!$A:$M,3,FALSE())</f>
        <v>Beauty</v>
      </c>
      <c r="U209" s="11" t="str">
        <f>VLOOKUP(D209,Product_Dim!$A:$M,2,FALSE())</f>
        <v>Organic Sunscreen Lotion</v>
      </c>
      <c r="V209" s="11" t="str">
        <f>VLOOKUP(E209,Store_Dim!$A:$E,3,FALSE())</f>
        <v>North</v>
      </c>
      <c r="W209" s="11" t="str">
        <f>VLOOKUP(C209,Customer_Dim!$A:$N,13,FALSE())</f>
        <v>Platinum</v>
      </c>
      <c r="X209" s="11" t="str">
        <f t="shared" si="27"/>
        <v>Low</v>
      </c>
    </row>
    <row r="210" spans="1:24" ht="15.75" customHeight="1">
      <c r="A210" s="4" t="s">
        <v>2206</v>
      </c>
      <c r="B210" s="9">
        <v>45505</v>
      </c>
      <c r="C210" s="4" t="s">
        <v>1333</v>
      </c>
      <c r="D210" s="4" t="s">
        <v>1640</v>
      </c>
      <c r="E210" s="4" t="s">
        <v>1915</v>
      </c>
      <c r="F210" s="4">
        <v>1</v>
      </c>
      <c r="G210" s="4">
        <v>86.03</v>
      </c>
      <c r="H210" s="4">
        <v>0.01</v>
      </c>
      <c r="I210" s="4" t="s">
        <v>1996</v>
      </c>
      <c r="J210" s="10">
        <v>85.169700000000006</v>
      </c>
      <c r="K210" s="4" t="str">
        <f t="shared" si="21"/>
        <v>01-08-2024</v>
      </c>
      <c r="L210" s="4" t="str">
        <f>TEXT(Sales_Fact!$B210,"mmm")</f>
        <v>Aug</v>
      </c>
      <c r="M210" s="4">
        <f t="shared" si="22"/>
        <v>1</v>
      </c>
      <c r="N210" s="10">
        <f t="shared" si="23"/>
        <v>86.03</v>
      </c>
      <c r="O210" s="10">
        <f t="shared" si="24"/>
        <v>85.169700000000006</v>
      </c>
      <c r="P210" s="10">
        <f t="shared" si="25"/>
        <v>86.03</v>
      </c>
      <c r="Q210" s="3">
        <f t="shared" si="26"/>
        <v>9.9999999999999447E-3</v>
      </c>
      <c r="R210" s="4" t="str">
        <f>IF(Sales_Fact!$O210&gt;1000,"High","Low")</f>
        <v>Low</v>
      </c>
      <c r="S210" s="4" t="str">
        <f>VLOOKUP(C210,Customer_Dim!$A:$N,9,FALSE())</f>
        <v>Dr. Tamara White Md</v>
      </c>
      <c r="T210" s="4" t="str">
        <f>VLOOKUP(D210,Product_Dim!$A:$M,3,FALSE())</f>
        <v>Electronics</v>
      </c>
      <c r="U210" s="11" t="str">
        <f>VLOOKUP(D210,Product_Dim!$A:$M,2,FALSE())</f>
        <v>4K Home Projector</v>
      </c>
      <c r="V210" s="11" t="str">
        <f>VLOOKUP(E210,Store_Dim!$A:$E,3,FALSE())</f>
        <v>North</v>
      </c>
      <c r="W210" s="11" t="str">
        <f>VLOOKUP(C210,Customer_Dim!$A:$N,13,FALSE())</f>
        <v>Bronze</v>
      </c>
      <c r="X210" s="11" t="str">
        <f t="shared" si="27"/>
        <v>Low</v>
      </c>
    </row>
    <row r="211" spans="1:24" ht="15.75" customHeight="1">
      <c r="A211" s="4" t="s">
        <v>2207</v>
      </c>
      <c r="B211" s="9">
        <v>45897</v>
      </c>
      <c r="C211" s="4" t="s">
        <v>335</v>
      </c>
      <c r="D211" s="4" t="s">
        <v>1767</v>
      </c>
      <c r="E211" s="4" t="s">
        <v>1952</v>
      </c>
      <c r="F211" s="4">
        <v>4</v>
      </c>
      <c r="G211" s="4">
        <v>705.12</v>
      </c>
      <c r="H211" s="4">
        <v>0.15</v>
      </c>
      <c r="I211" s="4" t="s">
        <v>1998</v>
      </c>
      <c r="J211" s="10">
        <v>2397.4079999999999</v>
      </c>
      <c r="K211" s="4" t="str">
        <f t="shared" si="21"/>
        <v>28-08-2025</v>
      </c>
      <c r="L211" s="4" t="str">
        <f>TEXT(Sales_Fact!$B211,"mmm")</f>
        <v>Aug</v>
      </c>
      <c r="M211" s="4">
        <f t="shared" si="22"/>
        <v>4</v>
      </c>
      <c r="N211" s="10">
        <f t="shared" si="23"/>
        <v>705.12</v>
      </c>
      <c r="O211" s="10">
        <f t="shared" si="24"/>
        <v>2397.4079999999999</v>
      </c>
      <c r="P211" s="10">
        <f t="shared" si="25"/>
        <v>2820.48</v>
      </c>
      <c r="Q211" s="3">
        <f t="shared" si="26"/>
        <v>0.15000000000000005</v>
      </c>
      <c r="R211" s="4" t="str">
        <f>IF(Sales_Fact!$O211&gt;1000,"High","Low")</f>
        <v>High</v>
      </c>
      <c r="S211" s="4" t="str">
        <f>VLOOKUP(C211,Customer_Dim!$A:$N,9,FALSE())</f>
        <v>Melissa Duffy Md</v>
      </c>
      <c r="T211" s="4" t="str">
        <f>VLOOKUP(D211,Product_Dim!$A:$M,3,FALSE())</f>
        <v>Sports</v>
      </c>
      <c r="U211" s="11" t="str">
        <f>VLOOKUP(D211,Product_Dim!$A:$M,2,FALSE())</f>
        <v>Sports Stopwatch Pro</v>
      </c>
      <c r="V211" s="11" t="str">
        <f>VLOOKUP(E211,Store_Dim!$A:$E,3,FALSE())</f>
        <v>North</v>
      </c>
      <c r="W211" s="11" t="str">
        <f>VLOOKUP(C211,Customer_Dim!$A:$N,13,FALSE())</f>
        <v>Bronze</v>
      </c>
      <c r="X211" s="11" t="str">
        <f t="shared" si="27"/>
        <v>High</v>
      </c>
    </row>
    <row r="212" spans="1:24" ht="15.75" customHeight="1">
      <c r="A212" s="4" t="s">
        <v>2208</v>
      </c>
      <c r="B212" s="9">
        <v>45602</v>
      </c>
      <c r="C212" s="4" t="s">
        <v>1189</v>
      </c>
      <c r="D212" s="4" t="s">
        <v>1651</v>
      </c>
      <c r="E212" s="4" t="s">
        <v>1952</v>
      </c>
      <c r="F212" s="4">
        <v>3</v>
      </c>
      <c r="G212" s="4">
        <v>99.77</v>
      </c>
      <c r="H212" s="4">
        <v>0.01</v>
      </c>
      <c r="I212" s="4" t="s">
        <v>1998</v>
      </c>
      <c r="J212" s="10">
        <v>296.31689999999998</v>
      </c>
      <c r="K212" s="4" t="str">
        <f t="shared" si="21"/>
        <v>06-11-2024</v>
      </c>
      <c r="L212" s="4" t="str">
        <f>TEXT(Sales_Fact!$B212,"mmm")</f>
        <v>Nov</v>
      </c>
      <c r="M212" s="4">
        <f t="shared" si="22"/>
        <v>3</v>
      </c>
      <c r="N212" s="10">
        <f t="shared" si="23"/>
        <v>99.77</v>
      </c>
      <c r="O212" s="10">
        <f t="shared" si="24"/>
        <v>296.31689999999998</v>
      </c>
      <c r="P212" s="10">
        <f t="shared" si="25"/>
        <v>299.31</v>
      </c>
      <c r="Q212" s="3">
        <f t="shared" si="26"/>
        <v>1.0000000000000089E-2</v>
      </c>
      <c r="R212" s="4" t="str">
        <f>IF(Sales_Fact!$O212&gt;1000,"High","Low")</f>
        <v>Low</v>
      </c>
      <c r="S212" s="4" t="str">
        <f>VLOOKUP(C212,Customer_Dim!$A:$N,9,FALSE())</f>
        <v>Michael Garner</v>
      </c>
      <c r="T212" s="4" t="str">
        <f>VLOOKUP(D212,Product_Dim!$A:$M,3,FALSE())</f>
        <v>Clothing</v>
      </c>
      <c r="U212" s="11" t="str">
        <f>VLOOKUP(D212,Product_Dim!$A:$M,2,FALSE())</f>
        <v>Women's Denim Jeans</v>
      </c>
      <c r="V212" s="11" t="str">
        <f>VLOOKUP(E212,Store_Dim!$A:$E,3,FALSE())</f>
        <v>North</v>
      </c>
      <c r="W212" s="11" t="str">
        <f>VLOOKUP(C212,Customer_Dim!$A:$N,13,FALSE())</f>
        <v>Platinum</v>
      </c>
      <c r="X212" s="11" t="str">
        <f t="shared" si="27"/>
        <v>Low</v>
      </c>
    </row>
    <row r="213" spans="1:24" ht="15.75" customHeight="1">
      <c r="A213" s="4" t="s">
        <v>2209</v>
      </c>
      <c r="B213" s="9">
        <v>45530</v>
      </c>
      <c r="C213" s="4" t="s">
        <v>706</v>
      </c>
      <c r="D213" s="4" t="s">
        <v>1703</v>
      </c>
      <c r="E213" s="4" t="s">
        <v>1944</v>
      </c>
      <c r="F213" s="4">
        <v>2</v>
      </c>
      <c r="G213" s="4">
        <v>166.26</v>
      </c>
      <c r="H213" s="4">
        <v>0.14000000000000001</v>
      </c>
      <c r="I213" s="4" t="s">
        <v>1998</v>
      </c>
      <c r="J213" s="10">
        <v>285.96719999999999</v>
      </c>
      <c r="K213" s="4" t="str">
        <f t="shared" si="21"/>
        <v>26-08-2024</v>
      </c>
      <c r="L213" s="4" t="str">
        <f>TEXT(Sales_Fact!$B213,"mmm")</f>
        <v>Aug</v>
      </c>
      <c r="M213" s="4">
        <f t="shared" si="22"/>
        <v>2</v>
      </c>
      <c r="N213" s="10">
        <f t="shared" si="23"/>
        <v>166.26</v>
      </c>
      <c r="O213" s="10">
        <f t="shared" si="24"/>
        <v>285.96719999999999</v>
      </c>
      <c r="P213" s="10">
        <f t="shared" si="25"/>
        <v>332.52</v>
      </c>
      <c r="Q213" s="3">
        <f t="shared" si="26"/>
        <v>0.13999999999999999</v>
      </c>
      <c r="R213" s="4" t="str">
        <f>IF(Sales_Fact!$O213&gt;1000,"High","Low")</f>
        <v>Low</v>
      </c>
      <c r="S213" s="4" t="str">
        <f>VLOOKUP(C213,Customer_Dim!$A:$N,9,FALSE())</f>
        <v>Joan Johnson</v>
      </c>
      <c r="T213" s="4" t="str">
        <f>VLOOKUP(D213,Product_Dim!$A:$M,3,FALSE())</f>
        <v>Electronics</v>
      </c>
      <c r="U213" s="11" t="str">
        <f>VLOOKUP(D213,Product_Dim!$A:$M,2,FALSE())</f>
        <v>Gaming Mechanical Keyboard</v>
      </c>
      <c r="V213" s="11" t="str">
        <f>VLOOKUP(E213,Store_Dim!$A:$E,3,FALSE())</f>
        <v>South</v>
      </c>
      <c r="W213" s="11" t="str">
        <f>VLOOKUP(C213,Customer_Dim!$A:$N,13,FALSE())</f>
        <v>Platinum</v>
      </c>
      <c r="X213" s="11" t="str">
        <f t="shared" si="27"/>
        <v>Low</v>
      </c>
    </row>
    <row r="214" spans="1:24" ht="15.75" customHeight="1">
      <c r="A214" s="4" t="s">
        <v>2210</v>
      </c>
      <c r="B214" s="9">
        <v>45729</v>
      </c>
      <c r="C214" s="4" t="s">
        <v>1446</v>
      </c>
      <c r="D214" s="4" t="s">
        <v>1678</v>
      </c>
      <c r="E214" s="4" t="s">
        <v>1931</v>
      </c>
      <c r="F214" s="4">
        <v>1</v>
      </c>
      <c r="G214" s="4">
        <v>429.25</v>
      </c>
      <c r="H214" s="4">
        <v>0.28999999999999998</v>
      </c>
      <c r="I214" s="4" t="s">
        <v>1996</v>
      </c>
      <c r="J214" s="10">
        <v>304.76749999999998</v>
      </c>
      <c r="K214" s="4" t="str">
        <f t="shared" si="21"/>
        <v>13-03-2025</v>
      </c>
      <c r="L214" s="4" t="str">
        <f>TEXT(Sales_Fact!$B214,"mmm")</f>
        <v>Mar</v>
      </c>
      <c r="M214" s="4">
        <f t="shared" si="22"/>
        <v>1</v>
      </c>
      <c r="N214" s="10">
        <f t="shared" si="23"/>
        <v>429.25</v>
      </c>
      <c r="O214" s="10">
        <f t="shared" si="24"/>
        <v>304.76749999999998</v>
      </c>
      <c r="P214" s="10">
        <f t="shared" si="25"/>
        <v>429.25</v>
      </c>
      <c r="Q214" s="3">
        <f t="shared" si="26"/>
        <v>0.29000000000000004</v>
      </c>
      <c r="R214" s="4" t="str">
        <f>IF(Sales_Fact!$O214&gt;1000,"High","Low")</f>
        <v>Low</v>
      </c>
      <c r="S214" s="4" t="str">
        <f>VLOOKUP(C214,Customer_Dim!$A:$N,9,FALSE())</f>
        <v>John Perez</v>
      </c>
      <c r="T214" s="4" t="str">
        <f>VLOOKUP(D214,Product_Dim!$A:$M,3,FALSE())</f>
        <v>Electronics</v>
      </c>
      <c r="U214" s="11" t="str">
        <f>VLOOKUP(D214,Product_Dim!$A:$M,2,FALSE())</f>
        <v>Wireless Bluetooth Speaker</v>
      </c>
      <c r="V214" s="11" t="str">
        <f>VLOOKUP(E214,Store_Dim!$A:$E,3,FALSE())</f>
        <v>North</v>
      </c>
      <c r="W214" s="11" t="str">
        <f>VLOOKUP(C214,Customer_Dim!$A:$N,13,FALSE())</f>
        <v>Gold</v>
      </c>
      <c r="X214" s="11" t="str">
        <f t="shared" si="27"/>
        <v>Low</v>
      </c>
    </row>
    <row r="215" spans="1:24" ht="15.75" customHeight="1">
      <c r="A215" s="4" t="s">
        <v>2211</v>
      </c>
      <c r="B215" s="9">
        <v>45503</v>
      </c>
      <c r="C215" s="4" t="s">
        <v>553</v>
      </c>
      <c r="D215" s="4" t="s">
        <v>1654</v>
      </c>
      <c r="E215" s="4" t="s">
        <v>1940</v>
      </c>
      <c r="F215" s="4">
        <v>2</v>
      </c>
      <c r="G215" s="4">
        <v>151.51</v>
      </c>
      <c r="H215" s="4">
        <v>0.28999999999999998</v>
      </c>
      <c r="I215" s="4" t="s">
        <v>2004</v>
      </c>
      <c r="J215" s="10">
        <v>215.14420000000001</v>
      </c>
      <c r="K215" s="4" t="str">
        <f t="shared" si="21"/>
        <v>30-07-2024</v>
      </c>
      <c r="L215" s="4" t="str">
        <f>TEXT(Sales_Fact!$B215,"mmm")</f>
        <v>Jul</v>
      </c>
      <c r="M215" s="4">
        <f t="shared" si="22"/>
        <v>2</v>
      </c>
      <c r="N215" s="10">
        <f t="shared" si="23"/>
        <v>151.51</v>
      </c>
      <c r="O215" s="10">
        <f t="shared" si="24"/>
        <v>215.14419999999998</v>
      </c>
      <c r="P215" s="10">
        <f t="shared" si="25"/>
        <v>303.02</v>
      </c>
      <c r="Q215" s="3">
        <f t="shared" si="26"/>
        <v>0.29000000000000004</v>
      </c>
      <c r="R215" s="4" t="str">
        <f>IF(Sales_Fact!$O215&gt;1000,"High","Low")</f>
        <v>Low</v>
      </c>
      <c r="S215" s="4" t="str">
        <f>VLOOKUP(C215,Customer_Dim!$A:$N,9,FALSE())</f>
        <v>Sean Powell</v>
      </c>
      <c r="T215" s="4" t="str">
        <f>VLOOKUP(D215,Product_Dim!$A:$M,3,FALSE())</f>
        <v>Sports</v>
      </c>
      <c r="U215" s="11" t="str">
        <f>VLOOKUP(D215,Product_Dim!$A:$M,2,FALSE())</f>
        <v>Knee Support Brace</v>
      </c>
      <c r="V215" s="11" t="str">
        <f>VLOOKUP(E215,Store_Dim!$A:$E,3,FALSE())</f>
        <v>West</v>
      </c>
      <c r="W215" s="11" t="str">
        <f>VLOOKUP(C215,Customer_Dim!$A:$N,13,FALSE())</f>
        <v>Bronze</v>
      </c>
      <c r="X215" s="11" t="str">
        <f t="shared" si="27"/>
        <v>Low</v>
      </c>
    </row>
    <row r="216" spans="1:24" ht="15.75" customHeight="1">
      <c r="A216" s="4" t="s">
        <v>2212</v>
      </c>
      <c r="B216" s="9">
        <v>45468</v>
      </c>
      <c r="C216" s="4" t="s">
        <v>1400</v>
      </c>
      <c r="D216" s="4" t="s">
        <v>1578</v>
      </c>
      <c r="E216" s="4" t="s">
        <v>1944</v>
      </c>
      <c r="F216" s="4">
        <v>2</v>
      </c>
      <c r="G216" s="4">
        <v>540.48</v>
      </c>
      <c r="H216" s="4">
        <v>0.28999999999999998</v>
      </c>
      <c r="I216" s="4" t="s">
        <v>1996</v>
      </c>
      <c r="J216" s="10">
        <v>767.48159999999996</v>
      </c>
      <c r="K216" s="4" t="str">
        <f t="shared" si="21"/>
        <v>25-06-2024</v>
      </c>
      <c r="L216" s="4" t="str">
        <f>TEXT(Sales_Fact!$B216,"mmm")</f>
        <v>Jun</v>
      </c>
      <c r="M216" s="4">
        <f t="shared" si="22"/>
        <v>2</v>
      </c>
      <c r="N216" s="10">
        <f t="shared" si="23"/>
        <v>540.48</v>
      </c>
      <c r="O216" s="10">
        <f t="shared" si="24"/>
        <v>767.48159999999996</v>
      </c>
      <c r="P216" s="10">
        <f t="shared" si="25"/>
        <v>1080.96</v>
      </c>
      <c r="Q216" s="3">
        <f t="shared" si="26"/>
        <v>0.29000000000000004</v>
      </c>
      <c r="R216" s="4" t="str">
        <f>IF(Sales_Fact!$O216&gt;1000,"High","Low")</f>
        <v>Low</v>
      </c>
      <c r="S216" s="4" t="str">
        <f>VLOOKUP(C216,Customer_Dim!$A:$N,9,FALSE())</f>
        <v>Adam Castro</v>
      </c>
      <c r="T216" s="4" t="str">
        <f>VLOOKUP(D216,Product_Dim!$A:$M,3,FALSE())</f>
        <v>Electronics</v>
      </c>
      <c r="U216" s="11" t="str">
        <f>VLOOKUP(D216,Product_Dim!$A:$M,2,FALSE())</f>
        <v>Brother Laser Printer</v>
      </c>
      <c r="V216" s="11" t="str">
        <f>VLOOKUP(E216,Store_Dim!$A:$E,3,FALSE())</f>
        <v>South</v>
      </c>
      <c r="W216" s="11" t="str">
        <f>VLOOKUP(C216,Customer_Dim!$A:$N,13,FALSE())</f>
        <v>Silver</v>
      </c>
      <c r="X216" s="11" t="str">
        <f t="shared" si="27"/>
        <v>Low</v>
      </c>
    </row>
    <row r="217" spans="1:24" ht="15.75" customHeight="1">
      <c r="A217" s="4" t="s">
        <v>2213</v>
      </c>
      <c r="B217" s="9">
        <v>45936</v>
      </c>
      <c r="C217" s="4" t="s">
        <v>885</v>
      </c>
      <c r="D217" s="4" t="s">
        <v>1782</v>
      </c>
      <c r="E217" s="4" t="s">
        <v>1957</v>
      </c>
      <c r="F217" s="4">
        <v>2</v>
      </c>
      <c r="G217" s="4">
        <v>579.52</v>
      </c>
      <c r="H217" s="4">
        <v>0.01</v>
      </c>
      <c r="I217" s="4" t="s">
        <v>1998</v>
      </c>
      <c r="J217" s="10">
        <v>1147.4495999999999</v>
      </c>
      <c r="K217" s="4" t="str">
        <f t="shared" si="21"/>
        <v>06-10-2025</v>
      </c>
      <c r="L217" s="4" t="str">
        <f>TEXT(Sales_Fact!$B217,"mmm")</f>
        <v>Oct</v>
      </c>
      <c r="M217" s="4">
        <f t="shared" si="22"/>
        <v>2</v>
      </c>
      <c r="N217" s="10">
        <f t="shared" si="23"/>
        <v>579.52</v>
      </c>
      <c r="O217" s="10">
        <f t="shared" si="24"/>
        <v>1147.4495999999999</v>
      </c>
      <c r="P217" s="10">
        <f t="shared" si="25"/>
        <v>1159.04</v>
      </c>
      <c r="Q217" s="3">
        <f t="shared" si="26"/>
        <v>1.0000000000000038E-2</v>
      </c>
      <c r="R217" s="4" t="str">
        <f>IF(Sales_Fact!$O217&gt;1000,"High","Low")</f>
        <v>High</v>
      </c>
      <c r="S217" s="4" t="str">
        <f>VLOOKUP(C217,Customer_Dim!$A:$N,9,FALSE())</f>
        <v>Tyrone Olson</v>
      </c>
      <c r="T217" s="4" t="str">
        <f>VLOOKUP(D217,Product_Dim!$A:$M,3,FALSE())</f>
        <v>Beauty</v>
      </c>
      <c r="U217" s="11" t="str">
        <f>VLOOKUP(D217,Product_Dim!$A:$M,2,FALSE())</f>
        <v>Men's Hair Styling Gel</v>
      </c>
      <c r="V217" s="11" t="str">
        <f>VLOOKUP(E217,Store_Dim!$A:$E,3,FALSE())</f>
        <v>South</v>
      </c>
      <c r="W217" s="11" t="str">
        <f>VLOOKUP(C217,Customer_Dim!$A:$N,13,FALSE())</f>
        <v>Silver</v>
      </c>
      <c r="X217" s="11" t="str">
        <f t="shared" si="27"/>
        <v>Low</v>
      </c>
    </row>
    <row r="218" spans="1:24" ht="15.75" customHeight="1">
      <c r="A218" s="4" t="s">
        <v>2214</v>
      </c>
      <c r="B218" s="9">
        <v>45622</v>
      </c>
      <c r="C218" s="4" t="s">
        <v>131</v>
      </c>
      <c r="D218" s="4" t="s">
        <v>1813</v>
      </c>
      <c r="E218" s="4" t="s">
        <v>1965</v>
      </c>
      <c r="F218" s="4">
        <v>4</v>
      </c>
      <c r="G218" s="4">
        <v>477.52</v>
      </c>
      <c r="H218" s="4">
        <v>7.0000000000000007E-2</v>
      </c>
      <c r="I218" s="4" t="s">
        <v>1998</v>
      </c>
      <c r="J218" s="10">
        <v>1776.3743999999999</v>
      </c>
      <c r="K218" s="4" t="str">
        <f t="shared" si="21"/>
        <v>26-11-2024</v>
      </c>
      <c r="L218" s="4" t="str">
        <f>TEXT(Sales_Fact!$B218,"mmm")</f>
        <v>Nov</v>
      </c>
      <c r="M218" s="4">
        <f t="shared" si="22"/>
        <v>4</v>
      </c>
      <c r="N218" s="10">
        <f t="shared" si="23"/>
        <v>477.52</v>
      </c>
      <c r="O218" s="10">
        <f t="shared" si="24"/>
        <v>1776.3743999999999</v>
      </c>
      <c r="P218" s="10">
        <f t="shared" si="25"/>
        <v>1910.08</v>
      </c>
      <c r="Q218" s="3">
        <f t="shared" si="26"/>
        <v>7.0000000000000007E-2</v>
      </c>
      <c r="R218" s="4" t="str">
        <f>IF(Sales_Fact!$O218&gt;1000,"High","Low")</f>
        <v>High</v>
      </c>
      <c r="S218" s="4" t="str">
        <f>VLOOKUP(C218,Customer_Dim!$A:$N,9,FALSE())</f>
        <v>Amber Carlson</v>
      </c>
      <c r="T218" s="4" t="str">
        <f>VLOOKUP(D218,Product_Dim!$A:$M,3,FALSE())</f>
        <v>Clothing</v>
      </c>
      <c r="U218" s="11" t="str">
        <f>VLOOKUP(D218,Product_Dim!$A:$M,2,FALSE())</f>
        <v>Men's Sports Shorts</v>
      </c>
      <c r="V218" s="11" t="str">
        <f>VLOOKUP(E218,Store_Dim!$A:$E,3,FALSE())</f>
        <v>North</v>
      </c>
      <c r="W218" s="11" t="str">
        <f>VLOOKUP(C218,Customer_Dim!$A:$N,13,FALSE())</f>
        <v>Gold</v>
      </c>
      <c r="X218" s="11" t="str">
        <f t="shared" si="27"/>
        <v>High</v>
      </c>
    </row>
    <row r="219" spans="1:24" ht="15.75" customHeight="1">
      <c r="A219" s="4" t="s">
        <v>2215</v>
      </c>
      <c r="B219" s="9">
        <v>45705</v>
      </c>
      <c r="C219" s="4" t="s">
        <v>855</v>
      </c>
      <c r="D219" s="4" t="s">
        <v>1879</v>
      </c>
      <c r="E219" s="4" t="s">
        <v>1934</v>
      </c>
      <c r="F219" s="4">
        <v>3</v>
      </c>
      <c r="G219" s="4">
        <v>242.58</v>
      </c>
      <c r="H219" s="4">
        <v>0.25</v>
      </c>
      <c r="I219" s="4" t="s">
        <v>1996</v>
      </c>
      <c r="J219" s="10">
        <v>545.80499999999995</v>
      </c>
      <c r="K219" s="4" t="str">
        <f t="shared" si="21"/>
        <v>17-02-2025</v>
      </c>
      <c r="L219" s="4" t="str">
        <f>TEXT(Sales_Fact!$B219,"mmm")</f>
        <v>Feb</v>
      </c>
      <c r="M219" s="4">
        <f t="shared" si="22"/>
        <v>3</v>
      </c>
      <c r="N219" s="10">
        <f t="shared" si="23"/>
        <v>242.58</v>
      </c>
      <c r="O219" s="10">
        <f t="shared" si="24"/>
        <v>545.80500000000006</v>
      </c>
      <c r="P219" s="10">
        <f t="shared" si="25"/>
        <v>727.74</v>
      </c>
      <c r="Q219" s="3">
        <f t="shared" si="26"/>
        <v>0.24999999999999992</v>
      </c>
      <c r="R219" s="4" t="str">
        <f>IF(Sales_Fact!$O219&gt;1000,"High","Low")</f>
        <v>Low</v>
      </c>
      <c r="S219" s="4" t="str">
        <f>VLOOKUP(C219,Customer_Dim!$A:$N,9,FALSE())</f>
        <v>Beth Allen</v>
      </c>
      <c r="T219" s="4" t="str">
        <f>VLOOKUP(D219,Product_Dim!$A:$M,3,FALSE())</f>
        <v>Clothing</v>
      </c>
      <c r="U219" s="11" t="str">
        <f>VLOOKUP(D219,Product_Dim!$A:$M,2,FALSE())</f>
        <v>Women's High Heels</v>
      </c>
      <c r="V219" s="11" t="str">
        <f>VLOOKUP(E219,Store_Dim!$A:$E,3,FALSE())</f>
        <v>East</v>
      </c>
      <c r="W219" s="11" t="str">
        <f>VLOOKUP(C219,Customer_Dim!$A:$N,13,FALSE())</f>
        <v>Silver</v>
      </c>
      <c r="X219" s="11" t="str">
        <f t="shared" si="27"/>
        <v>Low</v>
      </c>
    </row>
    <row r="220" spans="1:24" ht="15.75" customHeight="1">
      <c r="A220" s="4" t="s">
        <v>2216</v>
      </c>
      <c r="B220" s="9">
        <v>45250</v>
      </c>
      <c r="C220" s="4" t="s">
        <v>1177</v>
      </c>
      <c r="D220" s="4" t="s">
        <v>1678</v>
      </c>
      <c r="E220" s="4" t="s">
        <v>1965</v>
      </c>
      <c r="F220" s="4">
        <v>2</v>
      </c>
      <c r="G220" s="4">
        <v>519.29999999999995</v>
      </c>
      <c r="H220" s="4">
        <v>0.09</v>
      </c>
      <c r="I220" s="4" t="s">
        <v>1998</v>
      </c>
      <c r="J220" s="10">
        <v>945.12599999999998</v>
      </c>
      <c r="K220" s="4" t="str">
        <f t="shared" si="21"/>
        <v>20-11-2023</v>
      </c>
      <c r="L220" s="4" t="str">
        <f>TEXT(Sales_Fact!$B220,"mmm")</f>
        <v>Nov</v>
      </c>
      <c r="M220" s="4">
        <f t="shared" si="22"/>
        <v>2</v>
      </c>
      <c r="N220" s="10">
        <f t="shared" si="23"/>
        <v>519.29999999999995</v>
      </c>
      <c r="O220" s="10">
        <f t="shared" si="24"/>
        <v>945.12599999999998</v>
      </c>
      <c r="P220" s="10">
        <f t="shared" si="25"/>
        <v>1038.5999999999999</v>
      </c>
      <c r="Q220" s="3">
        <f t="shared" si="26"/>
        <v>8.9999999999999941E-2</v>
      </c>
      <c r="R220" s="4" t="str">
        <f>IF(Sales_Fact!$O220&gt;1000,"High","Low")</f>
        <v>Low</v>
      </c>
      <c r="S220" s="4" t="str">
        <f>VLOOKUP(C220,Customer_Dim!$A:$N,9,FALSE())</f>
        <v>Melinda Johnson</v>
      </c>
      <c r="T220" s="4" t="str">
        <f>VLOOKUP(D220,Product_Dim!$A:$M,3,FALSE())</f>
        <v>Electronics</v>
      </c>
      <c r="U220" s="11" t="str">
        <f>VLOOKUP(D220,Product_Dim!$A:$M,2,FALSE())</f>
        <v>Wireless Bluetooth Speaker</v>
      </c>
      <c r="V220" s="11" t="str">
        <f>VLOOKUP(E220,Store_Dim!$A:$E,3,FALSE())</f>
        <v>North</v>
      </c>
      <c r="W220" s="11" t="str">
        <f>VLOOKUP(C220,Customer_Dim!$A:$N,13,FALSE())</f>
        <v>Bronze</v>
      </c>
      <c r="X220" s="11" t="str">
        <f t="shared" si="27"/>
        <v>Low</v>
      </c>
    </row>
    <row r="221" spans="1:24" ht="15.75" customHeight="1">
      <c r="A221" s="4" t="s">
        <v>2217</v>
      </c>
      <c r="B221" s="9">
        <v>45684</v>
      </c>
      <c r="C221" s="4" t="s">
        <v>1539</v>
      </c>
      <c r="D221" s="4" t="s">
        <v>1888</v>
      </c>
      <c r="E221" s="4" t="s">
        <v>1950</v>
      </c>
      <c r="F221" s="4">
        <v>3</v>
      </c>
      <c r="G221" s="4">
        <v>845.67</v>
      </c>
      <c r="H221" s="4">
        <v>0.12</v>
      </c>
      <c r="I221" s="4" t="s">
        <v>2004</v>
      </c>
      <c r="J221" s="10">
        <v>2232.5688</v>
      </c>
      <c r="K221" s="4" t="str">
        <f t="shared" si="21"/>
        <v>27-01-2025</v>
      </c>
      <c r="L221" s="4" t="str">
        <f>TEXT(Sales_Fact!$B221,"mmm")</f>
        <v>Jan</v>
      </c>
      <c r="M221" s="4">
        <f t="shared" si="22"/>
        <v>3</v>
      </c>
      <c r="N221" s="10">
        <f t="shared" si="23"/>
        <v>845.67</v>
      </c>
      <c r="O221" s="10">
        <f t="shared" si="24"/>
        <v>2232.5688</v>
      </c>
      <c r="P221" s="10">
        <f t="shared" si="25"/>
        <v>2537.0099999999998</v>
      </c>
      <c r="Q221" s="3">
        <f t="shared" si="26"/>
        <v>0.11999999999999991</v>
      </c>
      <c r="R221" s="4" t="str">
        <f>IF(Sales_Fact!$O221&gt;1000,"High","Low")</f>
        <v>High</v>
      </c>
      <c r="S221" s="4" t="str">
        <f>VLOOKUP(C221,Customer_Dim!$A:$N,9,FALSE())</f>
        <v>Kaitlin Brown</v>
      </c>
      <c r="T221" s="4" t="str">
        <f>VLOOKUP(D221,Product_Dim!$A:$M,3,FALSE())</f>
        <v>Beauty</v>
      </c>
      <c r="U221" s="11" t="str">
        <f>VLOOKUP(D221,Product_Dim!$A:$M,2,FALSE())</f>
        <v>Vitamin E Body Lotion</v>
      </c>
      <c r="V221" s="11" t="str">
        <f>VLOOKUP(E221,Store_Dim!$A:$E,3,FALSE())</f>
        <v>South</v>
      </c>
      <c r="W221" s="11" t="str">
        <f>VLOOKUP(C221,Customer_Dim!$A:$N,13,FALSE())</f>
        <v>Gold</v>
      </c>
      <c r="X221" s="11" t="str">
        <f t="shared" si="27"/>
        <v>Low</v>
      </c>
    </row>
    <row r="222" spans="1:24" ht="15.75" customHeight="1">
      <c r="A222" s="4" t="s">
        <v>2218</v>
      </c>
      <c r="B222" s="9">
        <v>45395</v>
      </c>
      <c r="C222" s="4" t="s">
        <v>991</v>
      </c>
      <c r="D222" s="4" t="s">
        <v>1770</v>
      </c>
      <c r="E222" s="4" t="s">
        <v>1962</v>
      </c>
      <c r="F222" s="4">
        <v>4</v>
      </c>
      <c r="G222" s="4">
        <v>750.26</v>
      </c>
      <c r="H222" s="4">
        <v>0.01</v>
      </c>
      <c r="I222" s="4" t="s">
        <v>1998</v>
      </c>
      <c r="J222" s="10">
        <v>2971.0295999999998</v>
      </c>
      <c r="K222" s="4" t="str">
        <f t="shared" si="21"/>
        <v>13-04-2024</v>
      </c>
      <c r="L222" s="4" t="str">
        <f>TEXT(Sales_Fact!$B222,"mmm")</f>
        <v>Apr</v>
      </c>
      <c r="M222" s="4">
        <f t="shared" si="22"/>
        <v>4</v>
      </c>
      <c r="N222" s="10">
        <f t="shared" si="23"/>
        <v>750.26</v>
      </c>
      <c r="O222" s="10">
        <f t="shared" si="24"/>
        <v>2971.0295999999998</v>
      </c>
      <c r="P222" s="10">
        <f t="shared" si="25"/>
        <v>3001.04</v>
      </c>
      <c r="Q222" s="3">
        <f t="shared" si="26"/>
        <v>1.000000000000004E-2</v>
      </c>
      <c r="R222" s="4" t="str">
        <f>IF(Sales_Fact!$O222&gt;1000,"High","Low")</f>
        <v>High</v>
      </c>
      <c r="S222" s="4" t="str">
        <f>VLOOKUP(C222,Customer_Dim!$A:$N,9,FALSE())</f>
        <v>Roberta Green</v>
      </c>
      <c r="T222" s="4" t="str">
        <f>VLOOKUP(D222,Product_Dim!$A:$M,3,FALSE())</f>
        <v>Home</v>
      </c>
      <c r="U222" s="11" t="str">
        <f>VLOOKUP(D222,Product_Dim!$A:$M,2,FALSE())</f>
        <v>Ceramic Plant Pot</v>
      </c>
      <c r="V222" s="11" t="str">
        <f>VLOOKUP(E222,Store_Dim!$A:$E,3,FALSE())</f>
        <v>West</v>
      </c>
      <c r="W222" s="11" t="str">
        <f>VLOOKUP(C222,Customer_Dim!$A:$N,13,FALSE())</f>
        <v>Platinum</v>
      </c>
      <c r="X222" s="11" t="str">
        <f t="shared" si="27"/>
        <v>High</v>
      </c>
    </row>
    <row r="223" spans="1:24" ht="15.75" customHeight="1">
      <c r="A223" s="4" t="s">
        <v>2219</v>
      </c>
      <c r="B223" s="9">
        <v>45382</v>
      </c>
      <c r="C223" s="4" t="s">
        <v>1072</v>
      </c>
      <c r="D223" s="4" t="s">
        <v>1882</v>
      </c>
      <c r="E223" s="4" t="s">
        <v>1952</v>
      </c>
      <c r="F223" s="4">
        <v>4</v>
      </c>
      <c r="G223" s="4">
        <v>294.38</v>
      </c>
      <c r="H223" s="4">
        <v>0.2</v>
      </c>
      <c r="I223" s="4" t="s">
        <v>1996</v>
      </c>
      <c r="J223" s="10">
        <v>942.01599999999996</v>
      </c>
      <c r="K223" s="4" t="str">
        <f t="shared" si="21"/>
        <v>31-03-2024</v>
      </c>
      <c r="L223" s="4" t="str">
        <f>TEXT(Sales_Fact!$B223,"mmm")</f>
        <v>Mar</v>
      </c>
      <c r="M223" s="4">
        <f t="shared" si="22"/>
        <v>4</v>
      </c>
      <c r="N223" s="10">
        <f t="shared" si="23"/>
        <v>294.38</v>
      </c>
      <c r="O223" s="10">
        <f t="shared" si="24"/>
        <v>942.01600000000008</v>
      </c>
      <c r="P223" s="10">
        <f t="shared" si="25"/>
        <v>1177.52</v>
      </c>
      <c r="Q223" s="3">
        <f t="shared" si="26"/>
        <v>0.19999999999999993</v>
      </c>
      <c r="R223" s="4" t="str">
        <f>IF(Sales_Fact!$O223&gt;1000,"High","Low")</f>
        <v>Low</v>
      </c>
      <c r="S223" s="4" t="str">
        <f>VLOOKUP(C223,Customer_Dim!$A:$N,9,FALSE())</f>
        <v>Dr. Lindsay Hanna</v>
      </c>
      <c r="T223" s="4" t="str">
        <f>VLOOKUP(D223,Product_Dim!$A:$M,3,FALSE())</f>
        <v>Home</v>
      </c>
      <c r="U223" s="11" t="str">
        <f>VLOOKUP(D223,Product_Dim!$A:$M,2,FALSE())</f>
        <v>Microwave Oven</v>
      </c>
      <c r="V223" s="11" t="str">
        <f>VLOOKUP(E223,Store_Dim!$A:$E,3,FALSE())</f>
        <v>North</v>
      </c>
      <c r="W223" s="11" t="str">
        <f>VLOOKUP(C223,Customer_Dim!$A:$N,13,FALSE())</f>
        <v>Bronze</v>
      </c>
      <c r="X223" s="11" t="str">
        <f t="shared" si="27"/>
        <v>High</v>
      </c>
    </row>
    <row r="224" spans="1:24" ht="15.75" customHeight="1">
      <c r="A224" s="4" t="s">
        <v>2220</v>
      </c>
      <c r="B224" s="9">
        <v>45919</v>
      </c>
      <c r="C224" s="4" t="s">
        <v>368</v>
      </c>
      <c r="D224" s="4" t="s">
        <v>1894</v>
      </c>
      <c r="E224" s="4" t="s">
        <v>1919</v>
      </c>
      <c r="F224" s="4">
        <v>3</v>
      </c>
      <c r="G224" s="4">
        <v>583.52</v>
      </c>
      <c r="H224" s="4">
        <v>7.0000000000000007E-2</v>
      </c>
      <c r="I224" s="4" t="s">
        <v>1998</v>
      </c>
      <c r="J224" s="10">
        <v>1628.0208</v>
      </c>
      <c r="K224" s="4" t="str">
        <f t="shared" si="21"/>
        <v>19-09-2025</v>
      </c>
      <c r="L224" s="4" t="str">
        <f>TEXT(Sales_Fact!$B224,"mmm")</f>
        <v>Sep</v>
      </c>
      <c r="M224" s="4">
        <f t="shared" si="22"/>
        <v>3</v>
      </c>
      <c r="N224" s="10">
        <f t="shared" si="23"/>
        <v>583.52</v>
      </c>
      <c r="O224" s="10">
        <f t="shared" si="24"/>
        <v>1628.0207999999998</v>
      </c>
      <c r="P224" s="10">
        <f t="shared" si="25"/>
        <v>1750.56</v>
      </c>
      <c r="Q224" s="3">
        <f t="shared" si="26"/>
        <v>7.000000000000009E-2</v>
      </c>
      <c r="R224" s="4" t="str">
        <f>IF(Sales_Fact!$O224&gt;1000,"High","Low")</f>
        <v>High</v>
      </c>
      <c r="S224" s="4" t="str">
        <f>VLOOKUP(C224,Customer_Dim!$A:$N,9,FALSE())</f>
        <v>David Cobb</v>
      </c>
      <c r="T224" s="4" t="str">
        <f>VLOOKUP(D224,Product_Dim!$A:$M,3,FALSE())</f>
        <v>Clothing</v>
      </c>
      <c r="U224" s="11" t="str">
        <f>VLOOKUP(D224,Product_Dim!$A:$M,2,FALSE())</f>
        <v>Women's Formal Blazer</v>
      </c>
      <c r="V224" s="11" t="str">
        <f>VLOOKUP(E224,Store_Dim!$A:$E,3,FALSE())</f>
        <v>South</v>
      </c>
      <c r="W224" s="11" t="str">
        <f>VLOOKUP(C224,Customer_Dim!$A:$N,13,FALSE())</f>
        <v>Silver</v>
      </c>
      <c r="X224" s="11" t="str">
        <f t="shared" si="27"/>
        <v>Low</v>
      </c>
    </row>
    <row r="225" spans="1:24" ht="15.75" customHeight="1">
      <c r="A225" s="4" t="s">
        <v>2221</v>
      </c>
      <c r="B225" s="9">
        <v>45453</v>
      </c>
      <c r="C225" s="4" t="s">
        <v>1478</v>
      </c>
      <c r="D225" s="4" t="s">
        <v>1873</v>
      </c>
      <c r="E225" s="4" t="s">
        <v>1962</v>
      </c>
      <c r="F225" s="4">
        <v>2</v>
      </c>
      <c r="G225" s="4">
        <v>635.22</v>
      </c>
      <c r="H225" s="4">
        <v>0.3</v>
      </c>
      <c r="I225" s="4" t="s">
        <v>2004</v>
      </c>
      <c r="J225" s="10">
        <v>889.30799999999999</v>
      </c>
      <c r="K225" s="4" t="str">
        <f t="shared" si="21"/>
        <v>10-06-2024</v>
      </c>
      <c r="L225" s="4" t="str">
        <f>TEXT(Sales_Fact!$B225,"mmm")</f>
        <v>Jun</v>
      </c>
      <c r="M225" s="4">
        <f t="shared" si="22"/>
        <v>2</v>
      </c>
      <c r="N225" s="10">
        <f t="shared" si="23"/>
        <v>635.22</v>
      </c>
      <c r="O225" s="10">
        <f t="shared" si="24"/>
        <v>889.30799999999999</v>
      </c>
      <c r="P225" s="10">
        <f t="shared" si="25"/>
        <v>1270.44</v>
      </c>
      <c r="Q225" s="3">
        <f t="shared" si="26"/>
        <v>0.30000000000000004</v>
      </c>
      <c r="R225" s="4" t="str">
        <f>IF(Sales_Fact!$O225&gt;1000,"High","Low")</f>
        <v>Low</v>
      </c>
      <c r="S225" s="4" t="str">
        <f>VLOOKUP(C225,Customer_Dim!$A:$N,9,FALSE())</f>
        <v>Manuel Fisher</v>
      </c>
      <c r="T225" s="4" t="str">
        <f>VLOOKUP(D225,Product_Dim!$A:$M,3,FALSE())</f>
        <v>Beauty</v>
      </c>
      <c r="U225" s="11" t="str">
        <f>VLOOKUP(D225,Product_Dim!$A:$M,2,FALSE())</f>
        <v>Face Foundation Kit</v>
      </c>
      <c r="V225" s="11" t="str">
        <f>VLOOKUP(E225,Store_Dim!$A:$E,3,FALSE())</f>
        <v>West</v>
      </c>
      <c r="W225" s="11" t="str">
        <f>VLOOKUP(C225,Customer_Dim!$A:$N,13,FALSE())</f>
        <v>Gold</v>
      </c>
      <c r="X225" s="11" t="str">
        <f t="shared" si="27"/>
        <v>Low</v>
      </c>
    </row>
    <row r="226" spans="1:24" ht="15.75" customHeight="1">
      <c r="A226" s="4" t="s">
        <v>2222</v>
      </c>
      <c r="B226" s="9">
        <v>45528</v>
      </c>
      <c r="C226" s="4" t="s">
        <v>789</v>
      </c>
      <c r="D226" s="4" t="s">
        <v>1870</v>
      </c>
      <c r="E226" s="4" t="s">
        <v>1927</v>
      </c>
      <c r="F226" s="4">
        <v>4</v>
      </c>
      <c r="G226" s="4">
        <v>644.58000000000004</v>
      </c>
      <c r="H226" s="4">
        <v>0.01</v>
      </c>
      <c r="I226" s="4" t="s">
        <v>1996</v>
      </c>
      <c r="J226" s="10">
        <v>2552.5367999999999</v>
      </c>
      <c r="K226" s="4" t="str">
        <f t="shared" si="21"/>
        <v>24-08-2024</v>
      </c>
      <c r="L226" s="4" t="str">
        <f>TEXT(Sales_Fact!$B226,"mmm")</f>
        <v>Aug</v>
      </c>
      <c r="M226" s="4">
        <f t="shared" si="22"/>
        <v>4</v>
      </c>
      <c r="N226" s="10">
        <f t="shared" si="23"/>
        <v>644.58000000000004</v>
      </c>
      <c r="O226" s="10">
        <f t="shared" si="24"/>
        <v>2552.5368000000003</v>
      </c>
      <c r="P226" s="10">
        <f t="shared" si="25"/>
        <v>2578.3200000000002</v>
      </c>
      <c r="Q226" s="3">
        <f t="shared" si="26"/>
        <v>9.9999999999999412E-3</v>
      </c>
      <c r="R226" s="4" t="str">
        <f>IF(Sales_Fact!$O226&gt;1000,"High","Low")</f>
        <v>High</v>
      </c>
      <c r="S226" s="4" t="str">
        <f>VLOOKUP(C226,Customer_Dim!$A:$N,9,FALSE())</f>
        <v>Wesley Short</v>
      </c>
      <c r="T226" s="4" t="str">
        <f>VLOOKUP(D226,Product_Dim!$A:$M,3,FALSE())</f>
        <v>Sports</v>
      </c>
      <c r="U226" s="11" t="str">
        <f>VLOOKUP(D226,Product_Dim!$A:$M,2,FALSE())</f>
        <v>Sports Wrist Sweatbands</v>
      </c>
      <c r="V226" s="11" t="str">
        <f>VLOOKUP(E226,Store_Dim!$A:$E,3,FALSE())</f>
        <v>South</v>
      </c>
      <c r="W226" s="11" t="str">
        <f>VLOOKUP(C226,Customer_Dim!$A:$N,13,FALSE())</f>
        <v>Gold</v>
      </c>
      <c r="X226" s="11" t="str">
        <f t="shared" si="27"/>
        <v>High</v>
      </c>
    </row>
    <row r="227" spans="1:24" ht="15.75" customHeight="1">
      <c r="A227" s="4" t="s">
        <v>2223</v>
      </c>
      <c r="B227" s="9">
        <v>45274</v>
      </c>
      <c r="C227" s="4" t="s">
        <v>771</v>
      </c>
      <c r="D227" s="4" t="s">
        <v>1693</v>
      </c>
      <c r="E227" s="4" t="s">
        <v>1965</v>
      </c>
      <c r="F227" s="4">
        <v>2</v>
      </c>
      <c r="G227" s="4">
        <v>872.93</v>
      </c>
      <c r="H227" s="4">
        <v>0.28999999999999998</v>
      </c>
      <c r="I227" s="4" t="s">
        <v>2004</v>
      </c>
      <c r="J227" s="10">
        <v>1239.5606</v>
      </c>
      <c r="K227" s="4" t="str">
        <f t="shared" si="21"/>
        <v>14-12-2023</v>
      </c>
      <c r="L227" s="4" t="str">
        <f>TEXT(Sales_Fact!$B227,"mmm")</f>
        <v>Dec</v>
      </c>
      <c r="M227" s="4">
        <f t="shared" si="22"/>
        <v>2</v>
      </c>
      <c r="N227" s="10">
        <f t="shared" si="23"/>
        <v>872.93</v>
      </c>
      <c r="O227" s="10">
        <f t="shared" si="24"/>
        <v>1239.5605999999998</v>
      </c>
      <c r="P227" s="10">
        <f t="shared" si="25"/>
        <v>1745.86</v>
      </c>
      <c r="Q227" s="3">
        <f t="shared" si="26"/>
        <v>0.29000000000000009</v>
      </c>
      <c r="R227" s="4" t="str">
        <f>IF(Sales_Fact!$O227&gt;1000,"High","Low")</f>
        <v>High</v>
      </c>
      <c r="S227" s="4" t="str">
        <f>VLOOKUP(C227,Customer_Dim!$A:$N,9,FALSE())</f>
        <v>Timothy Juarez</v>
      </c>
      <c r="T227" s="4" t="str">
        <f>VLOOKUP(D227,Product_Dim!$A:$M,3,FALSE())</f>
        <v>Sports</v>
      </c>
      <c r="U227" s="11" t="str">
        <f>VLOOKUP(D227,Product_Dim!$A:$M,2,FALSE())</f>
        <v>Basketball</v>
      </c>
      <c r="V227" s="11" t="str">
        <f>VLOOKUP(E227,Store_Dim!$A:$E,3,FALSE())</f>
        <v>North</v>
      </c>
      <c r="W227" s="11" t="str">
        <f>VLOOKUP(C227,Customer_Dim!$A:$N,13,FALSE())</f>
        <v>Bronze</v>
      </c>
      <c r="X227" s="11" t="str">
        <f t="shared" si="27"/>
        <v>Low</v>
      </c>
    </row>
    <row r="228" spans="1:24" ht="15.75" customHeight="1">
      <c r="A228" s="4" t="s">
        <v>2224</v>
      </c>
      <c r="B228" s="9">
        <v>45313</v>
      </c>
      <c r="C228" s="4" t="s">
        <v>1357</v>
      </c>
      <c r="D228" s="4" t="s">
        <v>1803</v>
      </c>
      <c r="E228" s="4" t="s">
        <v>1919</v>
      </c>
      <c r="F228" s="4">
        <v>1</v>
      </c>
      <c r="G228" s="4">
        <v>743.55</v>
      </c>
      <c r="H228" s="4">
        <v>0.11</v>
      </c>
      <c r="I228" s="4" t="s">
        <v>2004</v>
      </c>
      <c r="J228" s="10">
        <v>661.7595</v>
      </c>
      <c r="K228" s="4" t="str">
        <f t="shared" si="21"/>
        <v>22-01-2024</v>
      </c>
      <c r="L228" s="4" t="str">
        <f>TEXT(Sales_Fact!$B228,"mmm")</f>
        <v>Jan</v>
      </c>
      <c r="M228" s="4">
        <f t="shared" si="22"/>
        <v>1</v>
      </c>
      <c r="N228" s="10">
        <f t="shared" si="23"/>
        <v>743.55</v>
      </c>
      <c r="O228" s="10">
        <f t="shared" si="24"/>
        <v>661.7595</v>
      </c>
      <c r="P228" s="10">
        <f t="shared" si="25"/>
        <v>743.55</v>
      </c>
      <c r="Q228" s="3">
        <f t="shared" si="26"/>
        <v>0.10999999999999995</v>
      </c>
      <c r="R228" s="4" t="str">
        <f>IF(Sales_Fact!$O228&gt;1000,"High","Low")</f>
        <v>Low</v>
      </c>
      <c r="S228" s="4" t="str">
        <f>VLOOKUP(C228,Customer_Dim!$A:$N,9,FALSE())</f>
        <v>Samuel Mullins</v>
      </c>
      <c r="T228" s="4" t="str">
        <f>VLOOKUP(D228,Product_Dim!$A:$M,3,FALSE())</f>
        <v>Beauty</v>
      </c>
      <c r="U228" s="11" t="str">
        <f>VLOOKUP(D228,Product_Dim!$A:$M,2,FALSE())</f>
        <v>Women's Hair Dryer Brush</v>
      </c>
      <c r="V228" s="11" t="str">
        <f>VLOOKUP(E228,Store_Dim!$A:$E,3,FALSE())</f>
        <v>South</v>
      </c>
      <c r="W228" s="11" t="str">
        <f>VLOOKUP(C228,Customer_Dim!$A:$N,13,FALSE())</f>
        <v>Bronze</v>
      </c>
      <c r="X228" s="11" t="str">
        <f t="shared" si="27"/>
        <v>Low</v>
      </c>
    </row>
    <row r="229" spans="1:24" ht="15.75" customHeight="1">
      <c r="A229" s="4" t="s">
        <v>2225</v>
      </c>
      <c r="B229" s="9">
        <v>45377</v>
      </c>
      <c r="C229" s="4" t="s">
        <v>381</v>
      </c>
      <c r="D229" s="4" t="s">
        <v>1735</v>
      </c>
      <c r="E229" s="4" t="s">
        <v>1924</v>
      </c>
      <c r="F229" s="4">
        <v>4</v>
      </c>
      <c r="G229" s="4">
        <v>530.45000000000005</v>
      </c>
      <c r="H229" s="4">
        <v>0.13</v>
      </c>
      <c r="I229" s="4" t="s">
        <v>1996</v>
      </c>
      <c r="J229" s="10">
        <v>1845.9659999999999</v>
      </c>
      <c r="K229" s="4" t="str">
        <f t="shared" si="21"/>
        <v>26-03-2024</v>
      </c>
      <c r="L229" s="4" t="str">
        <f>TEXT(Sales_Fact!$B229,"mmm")</f>
        <v>Mar</v>
      </c>
      <c r="M229" s="4">
        <f t="shared" si="22"/>
        <v>4</v>
      </c>
      <c r="N229" s="10">
        <f t="shared" si="23"/>
        <v>530.45000000000005</v>
      </c>
      <c r="O229" s="10">
        <f t="shared" si="24"/>
        <v>1845.9660000000001</v>
      </c>
      <c r="P229" s="10">
        <f t="shared" si="25"/>
        <v>2121.8000000000002</v>
      </c>
      <c r="Q229" s="3">
        <f t="shared" si="26"/>
        <v>0.13</v>
      </c>
      <c r="R229" s="4" t="str">
        <f>IF(Sales_Fact!$O229&gt;1000,"High","Low")</f>
        <v>High</v>
      </c>
      <c r="S229" s="4" t="str">
        <f>VLOOKUP(C229,Customer_Dim!$A:$N,9,FALSE())</f>
        <v>Colleen Maynard</v>
      </c>
      <c r="T229" s="4" t="str">
        <f>VLOOKUP(D229,Product_Dim!$A:$M,3,FALSE())</f>
        <v>Sports</v>
      </c>
      <c r="U229" s="11" t="str">
        <f>VLOOKUP(D229,Product_Dim!$A:$M,2,FALSE())</f>
        <v>Adjustable Jump Rope</v>
      </c>
      <c r="V229" s="11" t="str">
        <f>VLOOKUP(E229,Store_Dim!$A:$E,3,FALSE())</f>
        <v>North</v>
      </c>
      <c r="W229" s="11" t="str">
        <f>VLOOKUP(C229,Customer_Dim!$A:$N,13,FALSE())</f>
        <v>Gold</v>
      </c>
      <c r="X229" s="11" t="str">
        <f t="shared" si="27"/>
        <v>High</v>
      </c>
    </row>
    <row r="230" spans="1:24" ht="15.75" customHeight="1">
      <c r="A230" s="4" t="s">
        <v>2226</v>
      </c>
      <c r="B230" s="9">
        <v>45371</v>
      </c>
      <c r="C230" s="4" t="s">
        <v>870</v>
      </c>
      <c r="D230" s="4" t="s">
        <v>1803</v>
      </c>
      <c r="E230" s="4" t="s">
        <v>1944</v>
      </c>
      <c r="F230" s="4">
        <v>2</v>
      </c>
      <c r="G230" s="4">
        <v>972.4</v>
      </c>
      <c r="H230" s="4">
        <v>0.06</v>
      </c>
      <c r="I230" s="4" t="s">
        <v>2004</v>
      </c>
      <c r="J230" s="10">
        <v>1828.1120000000001</v>
      </c>
      <c r="K230" s="4" t="str">
        <f t="shared" si="21"/>
        <v>20-03-2024</v>
      </c>
      <c r="L230" s="4" t="str">
        <f>TEXT(Sales_Fact!$B230,"mmm")</f>
        <v>Mar</v>
      </c>
      <c r="M230" s="4">
        <f t="shared" si="22"/>
        <v>2</v>
      </c>
      <c r="N230" s="10">
        <f t="shared" si="23"/>
        <v>972.4</v>
      </c>
      <c r="O230" s="10">
        <f t="shared" si="24"/>
        <v>1828.1119999999999</v>
      </c>
      <c r="P230" s="10">
        <f t="shared" si="25"/>
        <v>1944.8</v>
      </c>
      <c r="Q230" s="3">
        <f t="shared" si="26"/>
        <v>6.0000000000000053E-2</v>
      </c>
      <c r="R230" s="4" t="str">
        <f>IF(Sales_Fact!$O230&gt;1000,"High","Low")</f>
        <v>High</v>
      </c>
      <c r="S230" s="4" t="str">
        <f>VLOOKUP(C230,Customer_Dim!$A:$N,9,FALSE())</f>
        <v>Matthew Payne</v>
      </c>
      <c r="T230" s="4" t="str">
        <f>VLOOKUP(D230,Product_Dim!$A:$M,3,FALSE())</f>
        <v>Beauty</v>
      </c>
      <c r="U230" s="11" t="str">
        <f>VLOOKUP(D230,Product_Dim!$A:$M,2,FALSE())</f>
        <v>Women's Hair Dryer Brush</v>
      </c>
      <c r="V230" s="11" t="str">
        <f>VLOOKUP(E230,Store_Dim!$A:$E,3,FALSE())</f>
        <v>South</v>
      </c>
      <c r="W230" s="11" t="str">
        <f>VLOOKUP(C230,Customer_Dim!$A:$N,13,FALSE())</f>
        <v>Gold</v>
      </c>
      <c r="X230" s="11" t="str">
        <f t="shared" si="27"/>
        <v>Low</v>
      </c>
    </row>
    <row r="231" spans="1:24" ht="15.75" customHeight="1">
      <c r="A231" s="4" t="s">
        <v>2227</v>
      </c>
      <c r="B231" s="9">
        <v>45797</v>
      </c>
      <c r="C231" s="4" t="s">
        <v>1210</v>
      </c>
      <c r="D231" s="4" t="s">
        <v>1640</v>
      </c>
      <c r="E231" s="4" t="s">
        <v>1968</v>
      </c>
      <c r="F231" s="4">
        <v>3</v>
      </c>
      <c r="G231" s="4">
        <v>197.93</v>
      </c>
      <c r="H231" s="4">
        <v>0</v>
      </c>
      <c r="I231" s="4" t="s">
        <v>2004</v>
      </c>
      <c r="J231" s="10">
        <v>593.79</v>
      </c>
      <c r="K231" s="4" t="str">
        <f t="shared" si="21"/>
        <v>20-05-2025</v>
      </c>
      <c r="L231" s="4" t="str">
        <f>TEXT(Sales_Fact!$B231,"mmm")</f>
        <v>May</v>
      </c>
      <c r="M231" s="4">
        <f t="shared" si="22"/>
        <v>3</v>
      </c>
      <c r="N231" s="10">
        <f t="shared" si="23"/>
        <v>197.93</v>
      </c>
      <c r="O231" s="10">
        <f t="shared" si="24"/>
        <v>593.79</v>
      </c>
      <c r="P231" s="10">
        <f t="shared" si="25"/>
        <v>593.79</v>
      </c>
      <c r="Q231" s="3">
        <f t="shared" si="26"/>
        <v>0</v>
      </c>
      <c r="R231" s="4" t="str">
        <f>IF(Sales_Fact!$O231&gt;1000,"High","Low")</f>
        <v>Low</v>
      </c>
      <c r="S231" s="4" t="str">
        <f>VLOOKUP(C231,Customer_Dim!$A:$N,9,FALSE())</f>
        <v>Frank Stewart</v>
      </c>
      <c r="T231" s="4" t="str">
        <f>VLOOKUP(D231,Product_Dim!$A:$M,3,FALSE())</f>
        <v>Electronics</v>
      </c>
      <c r="U231" s="11" t="str">
        <f>VLOOKUP(D231,Product_Dim!$A:$M,2,FALSE())</f>
        <v>4K Home Projector</v>
      </c>
      <c r="V231" s="11" t="str">
        <f>VLOOKUP(E231,Store_Dim!$A:$E,3,FALSE())</f>
        <v>East</v>
      </c>
      <c r="W231" s="11" t="str">
        <f>VLOOKUP(C231,Customer_Dim!$A:$N,13,FALSE())</f>
        <v>Bronze</v>
      </c>
      <c r="X231" s="11" t="str">
        <f t="shared" si="27"/>
        <v>Low</v>
      </c>
    </row>
    <row r="232" spans="1:24" ht="15.75" customHeight="1">
      <c r="A232" s="4" t="s">
        <v>2228</v>
      </c>
      <c r="B232" s="9">
        <v>45575</v>
      </c>
      <c r="C232" s="4" t="s">
        <v>1102</v>
      </c>
      <c r="D232" s="4" t="s">
        <v>1867</v>
      </c>
      <c r="E232" s="4" t="s">
        <v>1950</v>
      </c>
      <c r="F232" s="4">
        <v>4</v>
      </c>
      <c r="G232" s="4">
        <v>565.51</v>
      </c>
      <c r="H232" s="4">
        <v>0.16</v>
      </c>
      <c r="I232" s="4" t="s">
        <v>1998</v>
      </c>
      <c r="J232" s="10">
        <v>1900.1135999999999</v>
      </c>
      <c r="K232" s="4" t="str">
        <f t="shared" si="21"/>
        <v>10-10-2024</v>
      </c>
      <c r="L232" s="4" t="str">
        <f>TEXT(Sales_Fact!$B232,"mmm")</f>
        <v>Oct</v>
      </c>
      <c r="M232" s="4">
        <f t="shared" si="22"/>
        <v>4</v>
      </c>
      <c r="N232" s="10">
        <f t="shared" si="23"/>
        <v>565.51</v>
      </c>
      <c r="O232" s="10">
        <f t="shared" si="24"/>
        <v>1900.1135999999999</v>
      </c>
      <c r="P232" s="10">
        <f t="shared" si="25"/>
        <v>2262.04</v>
      </c>
      <c r="Q232" s="3">
        <f t="shared" si="26"/>
        <v>0.16000000000000003</v>
      </c>
      <c r="R232" s="4" t="str">
        <f>IF(Sales_Fact!$O232&gt;1000,"High","Low")</f>
        <v>High</v>
      </c>
      <c r="S232" s="4" t="str">
        <f>VLOOKUP(C232,Customer_Dim!$A:$N,9,FALSE())</f>
        <v>Michelle Cunningham</v>
      </c>
      <c r="T232" s="4" t="str">
        <f>VLOOKUP(D232,Product_Dim!$A:$M,3,FALSE())</f>
        <v>Home</v>
      </c>
      <c r="U232" s="11" t="str">
        <f>VLOOKUP(D232,Product_Dim!$A:$M,2,FALSE())</f>
        <v>LED Bedside Lamp</v>
      </c>
      <c r="V232" s="11" t="str">
        <f>VLOOKUP(E232,Store_Dim!$A:$E,3,FALSE())</f>
        <v>South</v>
      </c>
      <c r="W232" s="11" t="str">
        <f>VLOOKUP(C232,Customer_Dim!$A:$N,13,FALSE())</f>
        <v>Bronze</v>
      </c>
      <c r="X232" s="11" t="str">
        <f t="shared" si="27"/>
        <v>High</v>
      </c>
    </row>
    <row r="233" spans="1:24" ht="15.75" customHeight="1">
      <c r="A233" s="4" t="s">
        <v>2229</v>
      </c>
      <c r="B233" s="9">
        <v>45566</v>
      </c>
      <c r="C233" s="4" t="s">
        <v>1275</v>
      </c>
      <c r="D233" s="4" t="s">
        <v>1719</v>
      </c>
      <c r="E233" s="4" t="s">
        <v>1927</v>
      </c>
      <c r="F233" s="4">
        <v>4</v>
      </c>
      <c r="G233" s="4">
        <v>983.38</v>
      </c>
      <c r="H233" s="4">
        <v>0.25</v>
      </c>
      <c r="I233" s="4" t="s">
        <v>2004</v>
      </c>
      <c r="J233" s="10">
        <v>2950.14</v>
      </c>
      <c r="K233" s="4" t="str">
        <f t="shared" si="21"/>
        <v>01-10-2024</v>
      </c>
      <c r="L233" s="4" t="str">
        <f>TEXT(Sales_Fact!$B233,"mmm")</f>
        <v>Oct</v>
      </c>
      <c r="M233" s="4">
        <f t="shared" si="22"/>
        <v>4</v>
      </c>
      <c r="N233" s="10">
        <f t="shared" si="23"/>
        <v>983.38</v>
      </c>
      <c r="O233" s="10">
        <f t="shared" si="24"/>
        <v>2950.14</v>
      </c>
      <c r="P233" s="10">
        <f t="shared" si="25"/>
        <v>3933.52</v>
      </c>
      <c r="Q233" s="3">
        <f t="shared" si="26"/>
        <v>0.25000000000000006</v>
      </c>
      <c r="R233" s="4" t="str">
        <f>IF(Sales_Fact!$O233&gt;1000,"High","Low")</f>
        <v>High</v>
      </c>
      <c r="S233" s="4" t="str">
        <f>VLOOKUP(C233,Customer_Dim!$A:$N,9,FALSE())</f>
        <v>Mark Rogers</v>
      </c>
      <c r="T233" s="4" t="str">
        <f>VLOOKUP(D233,Product_Dim!$A:$M,3,FALSE())</f>
        <v>Electronics</v>
      </c>
      <c r="U233" s="11" t="str">
        <f>VLOOKUP(D233,Product_Dim!$A:$M,2,FALSE())</f>
        <v>Portable Power Bank</v>
      </c>
      <c r="V233" s="11" t="str">
        <f>VLOOKUP(E233,Store_Dim!$A:$E,3,FALSE())</f>
        <v>South</v>
      </c>
      <c r="W233" s="11" t="str">
        <f>VLOOKUP(C233,Customer_Dim!$A:$N,13,FALSE())</f>
        <v>Platinum</v>
      </c>
      <c r="X233" s="11" t="str">
        <f t="shared" si="27"/>
        <v>High</v>
      </c>
    </row>
    <row r="234" spans="1:24" ht="15.75" customHeight="1">
      <c r="A234" s="4" t="s">
        <v>2230</v>
      </c>
      <c r="B234" s="9">
        <v>45252</v>
      </c>
      <c r="C234" s="4" t="s">
        <v>780</v>
      </c>
      <c r="D234" s="4" t="s">
        <v>1903</v>
      </c>
      <c r="E234" s="4" t="s">
        <v>1944</v>
      </c>
      <c r="F234" s="4">
        <v>1</v>
      </c>
      <c r="G234" s="4">
        <v>955.06</v>
      </c>
      <c r="H234" s="4">
        <v>0.14000000000000001</v>
      </c>
      <c r="I234" s="4" t="s">
        <v>1996</v>
      </c>
      <c r="J234" s="10">
        <v>821.35159999999996</v>
      </c>
      <c r="K234" s="4" t="str">
        <f t="shared" si="21"/>
        <v>22-11-2023</v>
      </c>
      <c r="L234" s="4" t="str">
        <f>TEXT(Sales_Fact!$B234,"mmm")</f>
        <v>Nov</v>
      </c>
      <c r="M234" s="4">
        <f t="shared" si="22"/>
        <v>1</v>
      </c>
      <c r="N234" s="10">
        <f t="shared" si="23"/>
        <v>955.06</v>
      </c>
      <c r="O234" s="10">
        <f t="shared" si="24"/>
        <v>821.35159999999996</v>
      </c>
      <c r="P234" s="10">
        <f t="shared" si="25"/>
        <v>955.06</v>
      </c>
      <c r="Q234" s="3">
        <f t="shared" si="26"/>
        <v>0.13999999999999999</v>
      </c>
      <c r="R234" s="4" t="str">
        <f>IF(Sales_Fact!$O234&gt;1000,"High","Low")</f>
        <v>Low</v>
      </c>
      <c r="S234" s="4" t="str">
        <f>VLOOKUP(C234,Customer_Dim!$A:$N,9,FALSE())</f>
        <v>Nathaniel Hill</v>
      </c>
      <c r="T234" s="4" t="str">
        <f>VLOOKUP(D234,Product_Dim!$A:$M,3,FALSE())</f>
        <v>Home</v>
      </c>
      <c r="U234" s="11" t="str">
        <f>VLOOKUP(D234,Product_Dim!$A:$M,2,FALSE())</f>
        <v>Stainless Steel Cookware Set</v>
      </c>
      <c r="V234" s="11" t="str">
        <f>VLOOKUP(E234,Store_Dim!$A:$E,3,FALSE())</f>
        <v>South</v>
      </c>
      <c r="W234" s="11" t="str">
        <f>VLOOKUP(C234,Customer_Dim!$A:$N,13,FALSE())</f>
        <v>Gold</v>
      </c>
      <c r="X234" s="11" t="str">
        <f t="shared" si="27"/>
        <v>Low</v>
      </c>
    </row>
    <row r="235" spans="1:24" ht="15.75" customHeight="1">
      <c r="A235" s="4" t="s">
        <v>2231</v>
      </c>
      <c r="B235" s="9">
        <v>45693</v>
      </c>
      <c r="C235" s="4" t="s">
        <v>1132</v>
      </c>
      <c r="D235" s="4" t="s">
        <v>1782</v>
      </c>
      <c r="E235" s="4" t="s">
        <v>1959</v>
      </c>
      <c r="F235" s="4">
        <v>3</v>
      </c>
      <c r="G235" s="4">
        <v>597.46</v>
      </c>
      <c r="H235" s="4">
        <v>0.02</v>
      </c>
      <c r="I235" s="4" t="s">
        <v>1998</v>
      </c>
      <c r="J235" s="10">
        <v>1756.5324000000001</v>
      </c>
      <c r="K235" s="4" t="str">
        <f t="shared" si="21"/>
        <v>05-02-2025</v>
      </c>
      <c r="L235" s="4" t="str">
        <f>TEXT(Sales_Fact!$B235,"mmm")</f>
        <v>Feb</v>
      </c>
      <c r="M235" s="4">
        <f t="shared" si="22"/>
        <v>3</v>
      </c>
      <c r="N235" s="10">
        <f t="shared" si="23"/>
        <v>597.46</v>
      </c>
      <c r="O235" s="10">
        <f t="shared" si="24"/>
        <v>1756.5324000000001</v>
      </c>
      <c r="P235" s="10">
        <f t="shared" si="25"/>
        <v>1792.38</v>
      </c>
      <c r="Q235" s="3">
        <f t="shared" si="26"/>
        <v>2.0000000000000032E-2</v>
      </c>
      <c r="R235" s="4" t="str">
        <f>IF(Sales_Fact!$O235&gt;1000,"High","Low")</f>
        <v>High</v>
      </c>
      <c r="S235" s="4" t="str">
        <f>VLOOKUP(C235,Customer_Dim!$A:$N,9,FALSE())</f>
        <v>Michael Greene</v>
      </c>
      <c r="T235" s="4" t="str">
        <f>VLOOKUP(D235,Product_Dim!$A:$M,3,FALSE())</f>
        <v>Beauty</v>
      </c>
      <c r="U235" s="11" t="str">
        <f>VLOOKUP(D235,Product_Dim!$A:$M,2,FALSE())</f>
        <v>Men's Hair Styling Gel</v>
      </c>
      <c r="V235" s="11" t="str">
        <f>VLOOKUP(E235,Store_Dim!$A:$E,3,FALSE())</f>
        <v>North</v>
      </c>
      <c r="W235" s="11" t="str">
        <f>VLOOKUP(C235,Customer_Dim!$A:$N,13,FALSE())</f>
        <v>Silver</v>
      </c>
      <c r="X235" s="11" t="str">
        <f t="shared" si="27"/>
        <v>Low</v>
      </c>
    </row>
    <row r="236" spans="1:24" ht="15.75" customHeight="1">
      <c r="A236" s="4" t="s">
        <v>2232</v>
      </c>
      <c r="B236" s="9">
        <v>45446</v>
      </c>
      <c r="C236" s="4" t="s">
        <v>1027</v>
      </c>
      <c r="D236" s="4" t="s">
        <v>1613</v>
      </c>
      <c r="E236" s="4" t="s">
        <v>1962</v>
      </c>
      <c r="F236" s="4">
        <v>3</v>
      </c>
      <c r="G236" s="4">
        <v>581.09</v>
      </c>
      <c r="H236" s="4">
        <v>0.1</v>
      </c>
      <c r="I236" s="4" t="s">
        <v>2004</v>
      </c>
      <c r="J236" s="10">
        <v>1568.943</v>
      </c>
      <c r="K236" s="4" t="str">
        <f t="shared" si="21"/>
        <v>03-06-2024</v>
      </c>
      <c r="L236" s="4" t="str">
        <f>TEXT(Sales_Fact!$B236,"mmm")</f>
        <v>Jun</v>
      </c>
      <c r="M236" s="4">
        <f t="shared" si="22"/>
        <v>3</v>
      </c>
      <c r="N236" s="10">
        <f t="shared" si="23"/>
        <v>581.09</v>
      </c>
      <c r="O236" s="10">
        <f t="shared" si="24"/>
        <v>1568.943</v>
      </c>
      <c r="P236" s="10">
        <f t="shared" si="25"/>
        <v>1743.27</v>
      </c>
      <c r="Q236" s="3">
        <f t="shared" si="26"/>
        <v>0.1</v>
      </c>
      <c r="R236" s="4" t="str">
        <f>IF(Sales_Fact!$O236&gt;1000,"High","Low")</f>
        <v>High</v>
      </c>
      <c r="S236" s="4" t="str">
        <f>VLOOKUP(C236,Customer_Dim!$A:$N,9,FALSE())</f>
        <v>Tiffany Williams</v>
      </c>
      <c r="T236" s="4" t="str">
        <f>VLOOKUP(D236,Product_Dim!$A:$M,3,FALSE())</f>
        <v>Electronics</v>
      </c>
      <c r="U236" s="11" t="str">
        <f>VLOOKUP(D236,Product_Dim!$A:$M,2,FALSE())</f>
        <v>Wireless Bluetooth Earbuds</v>
      </c>
      <c r="V236" s="11" t="str">
        <f>VLOOKUP(E236,Store_Dim!$A:$E,3,FALSE())</f>
        <v>West</v>
      </c>
      <c r="W236" s="11" t="str">
        <f>VLOOKUP(C236,Customer_Dim!$A:$N,13,FALSE())</f>
        <v>Gold</v>
      </c>
      <c r="X236" s="11" t="str">
        <f t="shared" si="27"/>
        <v>Low</v>
      </c>
    </row>
    <row r="237" spans="1:24" ht="15.75" customHeight="1">
      <c r="A237" s="4" t="s">
        <v>2233</v>
      </c>
      <c r="B237" s="9">
        <v>45862</v>
      </c>
      <c r="C237" s="4" t="s">
        <v>226</v>
      </c>
      <c r="D237" s="4" t="s">
        <v>1690</v>
      </c>
      <c r="E237" s="4" t="s">
        <v>1927</v>
      </c>
      <c r="F237" s="4">
        <v>4</v>
      </c>
      <c r="G237" s="4">
        <v>153.94999999999999</v>
      </c>
      <c r="H237" s="4">
        <v>0.11</v>
      </c>
      <c r="I237" s="4" t="s">
        <v>1998</v>
      </c>
      <c r="J237" s="10">
        <v>548.06200000000001</v>
      </c>
      <c r="K237" s="4" t="str">
        <f t="shared" si="21"/>
        <v>24-07-2025</v>
      </c>
      <c r="L237" s="4" t="str">
        <f>TEXT(Sales_Fact!$B237,"mmm")</f>
        <v>Jul</v>
      </c>
      <c r="M237" s="4">
        <f t="shared" si="22"/>
        <v>4</v>
      </c>
      <c r="N237" s="10">
        <f t="shared" si="23"/>
        <v>153.94999999999999</v>
      </c>
      <c r="O237" s="10">
        <f t="shared" si="24"/>
        <v>548.06200000000001</v>
      </c>
      <c r="P237" s="10">
        <f t="shared" si="25"/>
        <v>615.79999999999995</v>
      </c>
      <c r="Q237" s="3">
        <f t="shared" si="26"/>
        <v>0.10999999999999992</v>
      </c>
      <c r="R237" s="4" t="str">
        <f>IF(Sales_Fact!$O237&gt;1000,"High","Low")</f>
        <v>Low</v>
      </c>
      <c r="S237" s="4" t="str">
        <f>VLOOKUP(C237,Customer_Dim!$A:$N,9,FALSE())</f>
        <v>Katherine Dorsey</v>
      </c>
      <c r="T237" s="4" t="str">
        <f>VLOOKUP(D237,Product_Dim!$A:$M,3,FALSE())</f>
        <v>Home</v>
      </c>
      <c r="U237" s="11" t="str">
        <f>VLOOKUP(D237,Product_Dim!$A:$M,2,FALSE())</f>
        <v>Stainless Steel Cutlery Set</v>
      </c>
      <c r="V237" s="11" t="str">
        <f>VLOOKUP(E237,Store_Dim!$A:$E,3,FALSE())</f>
        <v>South</v>
      </c>
      <c r="W237" s="11" t="str">
        <f>VLOOKUP(C237,Customer_Dim!$A:$N,13,FALSE())</f>
        <v>Platinum</v>
      </c>
      <c r="X237" s="11" t="str">
        <f t="shared" si="27"/>
        <v>High</v>
      </c>
    </row>
    <row r="238" spans="1:24" ht="15.75" customHeight="1">
      <c r="A238" s="4" t="s">
        <v>2234</v>
      </c>
      <c r="B238" s="9">
        <v>45558</v>
      </c>
      <c r="C238" s="4" t="s">
        <v>870</v>
      </c>
      <c r="D238" s="4" t="s">
        <v>1665</v>
      </c>
      <c r="E238" s="4" t="s">
        <v>1947</v>
      </c>
      <c r="F238" s="4">
        <v>3</v>
      </c>
      <c r="G238" s="4">
        <v>432.4</v>
      </c>
      <c r="H238" s="4">
        <v>0.04</v>
      </c>
      <c r="I238" s="4" t="s">
        <v>1996</v>
      </c>
      <c r="J238" s="10">
        <v>1245.3119999999999</v>
      </c>
      <c r="K238" s="4" t="str">
        <f t="shared" si="21"/>
        <v>23-09-2024</v>
      </c>
      <c r="L238" s="4" t="str">
        <f>TEXT(Sales_Fact!$B238,"mmm")</f>
        <v>Sep</v>
      </c>
      <c r="M238" s="4">
        <f t="shared" si="22"/>
        <v>3</v>
      </c>
      <c r="N238" s="10">
        <f t="shared" si="23"/>
        <v>432.4</v>
      </c>
      <c r="O238" s="10">
        <f t="shared" si="24"/>
        <v>1245.3119999999997</v>
      </c>
      <c r="P238" s="10">
        <f t="shared" si="25"/>
        <v>1297.1999999999998</v>
      </c>
      <c r="Q238" s="3">
        <f t="shared" si="26"/>
        <v>4.0000000000000119E-2</v>
      </c>
      <c r="R238" s="4" t="str">
        <f>IF(Sales_Fact!$O238&gt;1000,"High","Low")</f>
        <v>High</v>
      </c>
      <c r="S238" s="4" t="str">
        <f>VLOOKUP(C238,Customer_Dim!$A:$N,9,FALSE())</f>
        <v>Matthew Payne</v>
      </c>
      <c r="T238" s="4" t="str">
        <f>VLOOKUP(D238,Product_Dim!$A:$M,3,FALSE())</f>
        <v>Sports</v>
      </c>
      <c r="U238" s="11" t="str">
        <f>VLOOKUP(D238,Product_Dim!$A:$M,2,FALSE())</f>
        <v>Carbon Fiber Tennis Racket</v>
      </c>
      <c r="V238" s="11" t="str">
        <f>VLOOKUP(E238,Store_Dim!$A:$E,3,FALSE())</f>
        <v>East</v>
      </c>
      <c r="W238" s="11" t="str">
        <f>VLOOKUP(C238,Customer_Dim!$A:$N,13,FALSE())</f>
        <v>Gold</v>
      </c>
      <c r="X238" s="11" t="str">
        <f t="shared" si="27"/>
        <v>Low</v>
      </c>
    </row>
    <row r="239" spans="1:24" ht="15.75" customHeight="1">
      <c r="A239" s="4" t="s">
        <v>2235</v>
      </c>
      <c r="B239" s="9">
        <v>45530</v>
      </c>
      <c r="C239" s="4" t="s">
        <v>316</v>
      </c>
      <c r="D239" s="4" t="s">
        <v>1709</v>
      </c>
      <c r="E239" s="4" t="s">
        <v>1940</v>
      </c>
      <c r="F239" s="4">
        <v>4</v>
      </c>
      <c r="G239" s="4">
        <v>271.04000000000002</v>
      </c>
      <c r="H239" s="4">
        <v>0.12</v>
      </c>
      <c r="I239" s="4" t="s">
        <v>2004</v>
      </c>
      <c r="J239" s="10">
        <v>954.06079999999997</v>
      </c>
      <c r="K239" s="4" t="str">
        <f t="shared" si="21"/>
        <v>26-08-2024</v>
      </c>
      <c r="L239" s="4" t="str">
        <f>TEXT(Sales_Fact!$B239,"mmm")</f>
        <v>Aug</v>
      </c>
      <c r="M239" s="4">
        <f t="shared" si="22"/>
        <v>4</v>
      </c>
      <c r="N239" s="10">
        <f t="shared" si="23"/>
        <v>271.04000000000002</v>
      </c>
      <c r="O239" s="10">
        <f t="shared" si="24"/>
        <v>954.06080000000009</v>
      </c>
      <c r="P239" s="10">
        <f t="shared" si="25"/>
        <v>1084.1600000000001</v>
      </c>
      <c r="Q239" s="3">
        <f t="shared" si="26"/>
        <v>0.11999999999999998</v>
      </c>
      <c r="R239" s="4" t="str">
        <f>IF(Sales_Fact!$O239&gt;1000,"High","Low")</f>
        <v>Low</v>
      </c>
      <c r="S239" s="4" t="str">
        <f>VLOOKUP(C239,Customer_Dim!$A:$N,9,FALSE())</f>
        <v>Krystal Ford</v>
      </c>
      <c r="T239" s="4" t="str">
        <f>VLOOKUP(D239,Product_Dim!$A:$M,3,FALSE())</f>
        <v>Clothing</v>
      </c>
      <c r="U239" s="11" t="str">
        <f>VLOOKUP(D239,Product_Dim!$A:$M,2,FALSE())</f>
        <v>Women's Summer Dress</v>
      </c>
      <c r="V239" s="11" t="str">
        <f>VLOOKUP(E239,Store_Dim!$A:$E,3,FALSE())</f>
        <v>West</v>
      </c>
      <c r="W239" s="11" t="str">
        <f>VLOOKUP(C239,Customer_Dim!$A:$N,13,FALSE())</f>
        <v>Platinum</v>
      </c>
      <c r="X239" s="11" t="str">
        <f t="shared" si="27"/>
        <v>High</v>
      </c>
    </row>
    <row r="240" spans="1:24" ht="15.75" customHeight="1">
      <c r="A240" s="4" t="s">
        <v>2236</v>
      </c>
      <c r="B240" s="9">
        <v>45558</v>
      </c>
      <c r="C240" s="4" t="s">
        <v>91</v>
      </c>
      <c r="D240" s="4" t="s">
        <v>1706</v>
      </c>
      <c r="E240" s="4" t="s">
        <v>1934</v>
      </c>
      <c r="F240" s="4">
        <v>4</v>
      </c>
      <c r="G240" s="4">
        <v>328.27</v>
      </c>
      <c r="H240" s="4">
        <v>0.09</v>
      </c>
      <c r="I240" s="4" t="s">
        <v>1998</v>
      </c>
      <c r="J240" s="10">
        <v>1194.9028000000001</v>
      </c>
      <c r="K240" s="4" t="str">
        <f t="shared" si="21"/>
        <v>23-09-2024</v>
      </c>
      <c r="L240" s="4" t="str">
        <f>TEXT(Sales_Fact!$B240,"mmm")</f>
        <v>Sep</v>
      </c>
      <c r="M240" s="4">
        <f t="shared" si="22"/>
        <v>4</v>
      </c>
      <c r="N240" s="10">
        <f t="shared" si="23"/>
        <v>328.27</v>
      </c>
      <c r="O240" s="10">
        <f t="shared" si="24"/>
        <v>1194.9028000000001</v>
      </c>
      <c r="P240" s="10">
        <f t="shared" si="25"/>
        <v>1313.08</v>
      </c>
      <c r="Q240" s="3">
        <f t="shared" si="26"/>
        <v>8.99999999999999E-2</v>
      </c>
      <c r="R240" s="4" t="str">
        <f>IF(Sales_Fact!$O240&gt;1000,"High","Low")</f>
        <v>High</v>
      </c>
      <c r="S240" s="4" t="str">
        <f>VLOOKUP(C240,Customer_Dim!$A:$N,9,FALSE())</f>
        <v>Laura Alvarez</v>
      </c>
      <c r="T240" s="4" t="str">
        <f>VLOOKUP(D240,Product_Dim!$A:$M,3,FALSE())</f>
        <v>Home</v>
      </c>
      <c r="U240" s="11" t="str">
        <f>VLOOKUP(D240,Product_Dim!$A:$M,2,FALSE())</f>
        <v>Bedroom Table Lamp</v>
      </c>
      <c r="V240" s="11" t="str">
        <f>VLOOKUP(E240,Store_Dim!$A:$E,3,FALSE())</f>
        <v>East</v>
      </c>
      <c r="W240" s="11" t="str">
        <f>VLOOKUP(C240,Customer_Dim!$A:$N,13,FALSE())</f>
        <v>Platinum</v>
      </c>
      <c r="X240" s="11" t="str">
        <f t="shared" si="27"/>
        <v>High</v>
      </c>
    </row>
    <row r="241" spans="1:24" ht="15.75" customHeight="1">
      <c r="A241" s="4" t="s">
        <v>2237</v>
      </c>
      <c r="B241" s="9">
        <v>45472</v>
      </c>
      <c r="C241" s="4" t="s">
        <v>1547</v>
      </c>
      <c r="D241" s="4" t="s">
        <v>1648</v>
      </c>
      <c r="E241" s="4" t="s">
        <v>1957</v>
      </c>
      <c r="F241" s="4">
        <v>4</v>
      </c>
      <c r="G241" s="4">
        <v>884.71</v>
      </c>
      <c r="H241" s="4">
        <v>0.09</v>
      </c>
      <c r="I241" s="4" t="s">
        <v>1998</v>
      </c>
      <c r="J241" s="10">
        <v>3220.3444</v>
      </c>
      <c r="K241" s="4" t="str">
        <f t="shared" si="21"/>
        <v>29-06-2024</v>
      </c>
      <c r="L241" s="4" t="str">
        <f>TEXT(Sales_Fact!$B241,"mmm")</f>
        <v>Jun</v>
      </c>
      <c r="M241" s="4">
        <f t="shared" si="22"/>
        <v>4</v>
      </c>
      <c r="N241" s="10">
        <f t="shared" si="23"/>
        <v>884.71</v>
      </c>
      <c r="O241" s="10">
        <f t="shared" si="24"/>
        <v>3220.3444000000004</v>
      </c>
      <c r="P241" s="10">
        <f t="shared" si="25"/>
        <v>3538.84</v>
      </c>
      <c r="Q241" s="3">
        <f t="shared" si="26"/>
        <v>8.9999999999999927E-2</v>
      </c>
      <c r="R241" s="4" t="str">
        <f>IF(Sales_Fact!$O241&gt;1000,"High","Low")</f>
        <v>High</v>
      </c>
      <c r="S241" s="4" t="str">
        <f>VLOOKUP(C241,Customer_Dim!$A:$N,9,FALSE())</f>
        <v>Justin Lopez</v>
      </c>
      <c r="T241" s="4" t="str">
        <f>VLOOKUP(D241,Product_Dim!$A:$M,3,FALSE())</f>
        <v>Sports</v>
      </c>
      <c r="U241" s="11" t="str">
        <f>VLOOKUP(D241,Product_Dim!$A:$M,2,FALSE())</f>
        <v>Soccer Training Cone Set</v>
      </c>
      <c r="V241" s="11" t="str">
        <f>VLOOKUP(E241,Store_Dim!$A:$E,3,FALSE())</f>
        <v>South</v>
      </c>
      <c r="W241" s="11" t="str">
        <f>VLOOKUP(C241,Customer_Dim!$A:$N,13,FALSE())</f>
        <v>Gold</v>
      </c>
      <c r="X241" s="11" t="str">
        <f t="shared" si="27"/>
        <v>High</v>
      </c>
    </row>
    <row r="242" spans="1:24" ht="15.75" customHeight="1">
      <c r="A242" s="4" t="s">
        <v>2238</v>
      </c>
      <c r="B242" s="9">
        <v>45809</v>
      </c>
      <c r="C242" s="4" t="s">
        <v>825</v>
      </c>
      <c r="D242" s="4" t="s">
        <v>1822</v>
      </c>
      <c r="E242" s="4" t="s">
        <v>1927</v>
      </c>
      <c r="F242" s="4">
        <v>1</v>
      </c>
      <c r="G242" s="4">
        <v>41.39</v>
      </c>
      <c r="H242" s="4">
        <v>0.01</v>
      </c>
      <c r="I242" s="4" t="s">
        <v>1996</v>
      </c>
      <c r="J242" s="10">
        <v>40.976100000000002</v>
      </c>
      <c r="K242" s="4" t="str">
        <f t="shared" si="21"/>
        <v>01-06-2025</v>
      </c>
      <c r="L242" s="4" t="str">
        <f>TEXT(Sales_Fact!$B242,"mmm")</f>
        <v>Jun</v>
      </c>
      <c r="M242" s="4">
        <f t="shared" si="22"/>
        <v>1</v>
      </c>
      <c r="N242" s="10">
        <f t="shared" si="23"/>
        <v>41.39</v>
      </c>
      <c r="O242" s="10">
        <f t="shared" si="24"/>
        <v>40.976100000000002</v>
      </c>
      <c r="P242" s="10">
        <f t="shared" si="25"/>
        <v>41.39</v>
      </c>
      <c r="Q242" s="3">
        <f t="shared" si="26"/>
        <v>9.9999999999999551E-3</v>
      </c>
      <c r="R242" s="4" t="str">
        <f>IF(Sales_Fact!$O242&gt;1000,"High","Low")</f>
        <v>Low</v>
      </c>
      <c r="S242" s="4" t="str">
        <f>VLOOKUP(C242,Customer_Dim!$A:$N,9,FALSE())</f>
        <v>Lauren George</v>
      </c>
      <c r="T242" s="4" t="str">
        <f>VLOOKUP(D242,Product_Dim!$A:$M,3,FALSE())</f>
        <v>Sports</v>
      </c>
      <c r="U242" s="11" t="str">
        <f>VLOOKUP(D242,Product_Dim!$A:$M,2,FALSE())</f>
        <v>Professional Jump Rope</v>
      </c>
      <c r="V242" s="11" t="str">
        <f>VLOOKUP(E242,Store_Dim!$A:$E,3,FALSE())</f>
        <v>South</v>
      </c>
      <c r="W242" s="11" t="str">
        <f>VLOOKUP(C242,Customer_Dim!$A:$N,13,FALSE())</f>
        <v>Gold</v>
      </c>
      <c r="X242" s="11" t="str">
        <f t="shared" si="27"/>
        <v>Low</v>
      </c>
    </row>
    <row r="243" spans="1:24" ht="15.75" customHeight="1">
      <c r="A243" s="4" t="s">
        <v>2239</v>
      </c>
      <c r="B243" s="9">
        <v>45783</v>
      </c>
      <c r="C243" s="4" t="s">
        <v>574</v>
      </c>
      <c r="D243" s="4" t="s">
        <v>1776</v>
      </c>
      <c r="E243" s="4" t="s">
        <v>1944</v>
      </c>
      <c r="F243" s="4">
        <v>4</v>
      </c>
      <c r="G243" s="4">
        <v>64.06</v>
      </c>
      <c r="H243" s="4">
        <v>0.26</v>
      </c>
      <c r="I243" s="4" t="s">
        <v>1996</v>
      </c>
      <c r="J243" s="10">
        <v>189.61760000000001</v>
      </c>
      <c r="K243" s="4" t="str">
        <f t="shared" si="21"/>
        <v>06-05-2025</v>
      </c>
      <c r="L243" s="4" t="str">
        <f>TEXT(Sales_Fact!$B243,"mmm")</f>
        <v>May</v>
      </c>
      <c r="M243" s="4">
        <f t="shared" si="22"/>
        <v>4</v>
      </c>
      <c r="N243" s="10">
        <f t="shared" si="23"/>
        <v>64.06</v>
      </c>
      <c r="O243" s="10">
        <f t="shared" si="24"/>
        <v>189.61760000000001</v>
      </c>
      <c r="P243" s="10">
        <f t="shared" si="25"/>
        <v>256.24</v>
      </c>
      <c r="Q243" s="3">
        <f t="shared" si="26"/>
        <v>0.26</v>
      </c>
      <c r="R243" s="4" t="str">
        <f>IF(Sales_Fact!$O243&gt;1000,"High","Low")</f>
        <v>Low</v>
      </c>
      <c r="S243" s="4" t="str">
        <f>VLOOKUP(C243,Customer_Dim!$A:$N,9,FALSE())</f>
        <v>Jason Wheeler</v>
      </c>
      <c r="T243" s="4" t="str">
        <f>VLOOKUP(D243,Product_Dim!$A:$M,3,FALSE())</f>
        <v>Sports</v>
      </c>
      <c r="U243" s="11" t="str">
        <f>VLOOKUP(D243,Product_Dim!$A:$M,2,FALSE())</f>
        <v>Foam Roller</v>
      </c>
      <c r="V243" s="11" t="str">
        <f>VLOOKUP(E243,Store_Dim!$A:$E,3,FALSE())</f>
        <v>South</v>
      </c>
      <c r="W243" s="11" t="str">
        <f>VLOOKUP(C243,Customer_Dim!$A:$N,13,FALSE())</f>
        <v>Platinum</v>
      </c>
      <c r="X243" s="11" t="str">
        <f t="shared" si="27"/>
        <v>High</v>
      </c>
    </row>
    <row r="244" spans="1:24" ht="15.75" customHeight="1">
      <c r="A244" s="4" t="s">
        <v>2240</v>
      </c>
      <c r="B244" s="9">
        <v>45849</v>
      </c>
      <c r="C244" s="4" t="s">
        <v>1114</v>
      </c>
      <c r="D244" s="4" t="s">
        <v>1741</v>
      </c>
      <c r="E244" s="4" t="s">
        <v>1944</v>
      </c>
      <c r="F244" s="4">
        <v>2</v>
      </c>
      <c r="G244" s="4">
        <v>152.25</v>
      </c>
      <c r="H244" s="4">
        <v>0.13</v>
      </c>
      <c r="I244" s="4" t="s">
        <v>1996</v>
      </c>
      <c r="J244" s="10">
        <v>264.91500000000002</v>
      </c>
      <c r="K244" s="4" t="str">
        <f t="shared" si="21"/>
        <v>11-07-2025</v>
      </c>
      <c r="L244" s="4" t="str">
        <f>TEXT(Sales_Fact!$B244,"mmm")</f>
        <v>Jul</v>
      </c>
      <c r="M244" s="4">
        <f t="shared" si="22"/>
        <v>2</v>
      </c>
      <c r="N244" s="10">
        <f t="shared" si="23"/>
        <v>152.25</v>
      </c>
      <c r="O244" s="10">
        <f t="shared" si="24"/>
        <v>264.91500000000002</v>
      </c>
      <c r="P244" s="10">
        <f t="shared" si="25"/>
        <v>304.5</v>
      </c>
      <c r="Q244" s="3">
        <f t="shared" si="26"/>
        <v>0.12999999999999992</v>
      </c>
      <c r="R244" s="4" t="str">
        <f>IF(Sales_Fact!$O244&gt;1000,"High","Low")</f>
        <v>Low</v>
      </c>
      <c r="S244" s="4" t="str">
        <f>VLOOKUP(C244,Customer_Dim!$A:$N,9,FALSE())</f>
        <v>John Jordan</v>
      </c>
      <c r="T244" s="4" t="str">
        <f>VLOOKUP(D244,Product_Dim!$A:$M,3,FALSE())</f>
        <v>Clothing</v>
      </c>
      <c r="U244" s="11" t="str">
        <f>VLOOKUP(D244,Product_Dim!$A:$M,2,FALSE())</f>
        <v>Men's Winter Jacket</v>
      </c>
      <c r="V244" s="11" t="str">
        <f>VLOOKUP(E244,Store_Dim!$A:$E,3,FALSE())</f>
        <v>South</v>
      </c>
      <c r="W244" s="11" t="str">
        <f>VLOOKUP(C244,Customer_Dim!$A:$N,13,FALSE())</f>
        <v>Platinum</v>
      </c>
      <c r="X244" s="11" t="str">
        <f t="shared" si="27"/>
        <v>Low</v>
      </c>
    </row>
    <row r="245" spans="1:24" ht="15.75" customHeight="1">
      <c r="A245" s="4" t="s">
        <v>2241</v>
      </c>
      <c r="B245" s="9">
        <v>45281</v>
      </c>
      <c r="C245" s="4" t="s">
        <v>377</v>
      </c>
      <c r="D245" s="4" t="s">
        <v>1633</v>
      </c>
      <c r="E245" s="4" t="s">
        <v>1971</v>
      </c>
      <c r="F245" s="4">
        <v>2</v>
      </c>
      <c r="G245" s="4">
        <v>889.04</v>
      </c>
      <c r="H245" s="4">
        <v>0.23</v>
      </c>
      <c r="I245" s="4" t="s">
        <v>1996</v>
      </c>
      <c r="J245" s="10">
        <v>1369.1215999999999</v>
      </c>
      <c r="K245" s="4" t="str">
        <f t="shared" si="21"/>
        <v>21-12-2023</v>
      </c>
      <c r="L245" s="4" t="str">
        <f>TEXT(Sales_Fact!$B245,"mmm")</f>
        <v>Dec</v>
      </c>
      <c r="M245" s="4">
        <f t="shared" si="22"/>
        <v>2</v>
      </c>
      <c r="N245" s="10">
        <f t="shared" si="23"/>
        <v>889.04</v>
      </c>
      <c r="O245" s="10">
        <f t="shared" si="24"/>
        <v>1369.1215999999999</v>
      </c>
      <c r="P245" s="10">
        <f t="shared" si="25"/>
        <v>1778.08</v>
      </c>
      <c r="Q245" s="3">
        <f t="shared" si="26"/>
        <v>0.23</v>
      </c>
      <c r="R245" s="4" t="str">
        <f>IF(Sales_Fact!$O245&gt;1000,"High","Low")</f>
        <v>High</v>
      </c>
      <c r="S245" s="4" t="str">
        <f>VLOOKUP(C245,Customer_Dim!$A:$N,9,FALSE())</f>
        <v>Diane Watson</v>
      </c>
      <c r="T245" s="4" t="str">
        <f>VLOOKUP(D245,Product_Dim!$A:$M,3,FALSE())</f>
        <v>Electronics</v>
      </c>
      <c r="U245" s="11" t="str">
        <f>VLOOKUP(D245,Product_Dim!$A:$M,2,FALSE())</f>
        <v>USB-C Fast Charger</v>
      </c>
      <c r="V245" s="11" t="str">
        <f>VLOOKUP(E245,Store_Dim!$A:$E,3,FALSE())</f>
        <v>East</v>
      </c>
      <c r="W245" s="11" t="str">
        <f>VLOOKUP(C245,Customer_Dim!$A:$N,13,FALSE())</f>
        <v>Platinum</v>
      </c>
      <c r="X245" s="11" t="str">
        <f t="shared" si="27"/>
        <v>Low</v>
      </c>
    </row>
    <row r="246" spans="1:24" ht="15.75" customHeight="1">
      <c r="A246" s="4" t="s">
        <v>2242</v>
      </c>
      <c r="B246" s="9">
        <v>45322</v>
      </c>
      <c r="C246" s="4" t="s">
        <v>562</v>
      </c>
      <c r="D246" s="4" t="s">
        <v>1712</v>
      </c>
      <c r="E246" s="4" t="s">
        <v>1947</v>
      </c>
      <c r="F246" s="4">
        <v>3</v>
      </c>
      <c r="G246" s="4">
        <v>145.25</v>
      </c>
      <c r="H246" s="4">
        <v>0.24</v>
      </c>
      <c r="I246" s="4" t="s">
        <v>1998</v>
      </c>
      <c r="J246" s="10">
        <v>331.17</v>
      </c>
      <c r="K246" s="4" t="str">
        <f t="shared" si="21"/>
        <v>31-01-2024</v>
      </c>
      <c r="L246" s="4" t="str">
        <f>TEXT(Sales_Fact!$B246,"mmm")</f>
        <v>Jan</v>
      </c>
      <c r="M246" s="4">
        <f t="shared" si="22"/>
        <v>3</v>
      </c>
      <c r="N246" s="10">
        <f t="shared" si="23"/>
        <v>145.25</v>
      </c>
      <c r="O246" s="10">
        <f t="shared" si="24"/>
        <v>331.17</v>
      </c>
      <c r="P246" s="10">
        <f t="shared" si="25"/>
        <v>435.75</v>
      </c>
      <c r="Q246" s="3">
        <f t="shared" si="26"/>
        <v>0.23999999999999996</v>
      </c>
      <c r="R246" s="4" t="str">
        <f>IF(Sales_Fact!$O246&gt;1000,"High","Low")</f>
        <v>Low</v>
      </c>
      <c r="S246" s="4" t="str">
        <f>VLOOKUP(C246,Customer_Dim!$A:$N,9,FALSE())</f>
        <v>Cynthia Morris</v>
      </c>
      <c r="T246" s="4" t="str">
        <f>VLOOKUP(D246,Product_Dim!$A:$M,3,FALSE())</f>
        <v>Clothing</v>
      </c>
      <c r="U246" s="11" t="str">
        <f>VLOOKUP(D246,Product_Dim!$A:$M,2,FALSE())</f>
        <v>Men's Casual Sneakers</v>
      </c>
      <c r="V246" s="11" t="str">
        <f>VLOOKUP(E246,Store_Dim!$A:$E,3,FALSE())</f>
        <v>East</v>
      </c>
      <c r="W246" s="11" t="str">
        <f>VLOOKUP(C246,Customer_Dim!$A:$N,13,FALSE())</f>
        <v>Silver</v>
      </c>
      <c r="X246" s="11" t="str">
        <f t="shared" si="27"/>
        <v>Low</v>
      </c>
    </row>
    <row r="247" spans="1:24" ht="15.75" customHeight="1">
      <c r="A247" s="4" t="s">
        <v>2243</v>
      </c>
      <c r="B247" s="9">
        <v>45560</v>
      </c>
      <c r="C247" s="4" t="s">
        <v>232</v>
      </c>
      <c r="D247" s="4" t="s">
        <v>1870</v>
      </c>
      <c r="E247" s="4" t="s">
        <v>1919</v>
      </c>
      <c r="F247" s="4">
        <v>2</v>
      </c>
      <c r="G247" s="4">
        <v>898.45</v>
      </c>
      <c r="H247" s="4">
        <v>0.28999999999999998</v>
      </c>
      <c r="I247" s="4" t="s">
        <v>2004</v>
      </c>
      <c r="J247" s="10">
        <v>1275.799</v>
      </c>
      <c r="K247" s="4" t="str">
        <f t="shared" si="21"/>
        <v>25-09-2024</v>
      </c>
      <c r="L247" s="4" t="str">
        <f>TEXT(Sales_Fact!$B247,"mmm")</f>
        <v>Sep</v>
      </c>
      <c r="M247" s="4">
        <f t="shared" si="22"/>
        <v>2</v>
      </c>
      <c r="N247" s="10">
        <f t="shared" si="23"/>
        <v>898.45</v>
      </c>
      <c r="O247" s="10">
        <f t="shared" si="24"/>
        <v>1275.799</v>
      </c>
      <c r="P247" s="10">
        <f t="shared" si="25"/>
        <v>1796.9</v>
      </c>
      <c r="Q247" s="3">
        <f t="shared" si="26"/>
        <v>0.29000000000000004</v>
      </c>
      <c r="R247" s="4" t="str">
        <f>IF(Sales_Fact!$O247&gt;1000,"High","Low")</f>
        <v>High</v>
      </c>
      <c r="S247" s="4" t="str">
        <f>VLOOKUP(C247,Customer_Dim!$A:$N,9,FALSE())</f>
        <v>Christopher Sutton</v>
      </c>
      <c r="T247" s="4" t="str">
        <f>VLOOKUP(D247,Product_Dim!$A:$M,3,FALSE())</f>
        <v>Sports</v>
      </c>
      <c r="U247" s="11" t="str">
        <f>VLOOKUP(D247,Product_Dim!$A:$M,2,FALSE())</f>
        <v>Sports Wrist Sweatbands</v>
      </c>
      <c r="V247" s="11" t="str">
        <f>VLOOKUP(E247,Store_Dim!$A:$E,3,FALSE())</f>
        <v>South</v>
      </c>
      <c r="W247" s="11" t="str">
        <f>VLOOKUP(C247,Customer_Dim!$A:$N,13,FALSE())</f>
        <v>Gold</v>
      </c>
      <c r="X247" s="11" t="str">
        <f t="shared" si="27"/>
        <v>Low</v>
      </c>
    </row>
    <row r="248" spans="1:24" ht="15.75" customHeight="1">
      <c r="A248" s="4" t="s">
        <v>2244</v>
      </c>
      <c r="B248" s="9">
        <v>45905</v>
      </c>
      <c r="C248" s="4" t="s">
        <v>145</v>
      </c>
      <c r="D248" s="4" t="s">
        <v>1706</v>
      </c>
      <c r="E248" s="4" t="s">
        <v>1959</v>
      </c>
      <c r="F248" s="4">
        <v>4</v>
      </c>
      <c r="G248" s="4">
        <v>642.04999999999995</v>
      </c>
      <c r="H248" s="4">
        <v>0.25</v>
      </c>
      <c r="I248" s="4" t="s">
        <v>1996</v>
      </c>
      <c r="J248" s="10">
        <v>1926.15</v>
      </c>
      <c r="K248" s="4" t="str">
        <f t="shared" si="21"/>
        <v>05-09-2025</v>
      </c>
      <c r="L248" s="4" t="str">
        <f>TEXT(Sales_Fact!$B248,"mmm")</f>
        <v>Sep</v>
      </c>
      <c r="M248" s="4">
        <f t="shared" si="22"/>
        <v>4</v>
      </c>
      <c r="N248" s="10">
        <f t="shared" si="23"/>
        <v>642.04999999999995</v>
      </c>
      <c r="O248" s="10">
        <f t="shared" si="24"/>
        <v>1926.1499999999999</v>
      </c>
      <c r="P248" s="10">
        <f t="shared" si="25"/>
        <v>2568.1999999999998</v>
      </c>
      <c r="Q248" s="3">
        <f t="shared" si="26"/>
        <v>0.25</v>
      </c>
      <c r="R248" s="4" t="str">
        <f>IF(Sales_Fact!$O248&gt;1000,"High","Low")</f>
        <v>High</v>
      </c>
      <c r="S248" s="4" t="str">
        <f>VLOOKUP(C248,Customer_Dim!$A:$N,9,FALSE())</f>
        <v>Jessica Acevedo</v>
      </c>
      <c r="T248" s="4" t="str">
        <f>VLOOKUP(D248,Product_Dim!$A:$M,3,FALSE())</f>
        <v>Home</v>
      </c>
      <c r="U248" s="11" t="str">
        <f>VLOOKUP(D248,Product_Dim!$A:$M,2,FALSE())</f>
        <v>Bedroom Table Lamp</v>
      </c>
      <c r="V248" s="11" t="str">
        <f>VLOOKUP(E248,Store_Dim!$A:$E,3,FALSE())</f>
        <v>North</v>
      </c>
      <c r="W248" s="11" t="str">
        <f>VLOOKUP(C248,Customer_Dim!$A:$N,13,FALSE())</f>
        <v>Bronze</v>
      </c>
      <c r="X248" s="11" t="str">
        <f t="shared" si="27"/>
        <v>High</v>
      </c>
    </row>
    <row r="249" spans="1:24" ht="15.75" customHeight="1">
      <c r="A249" s="4" t="s">
        <v>2245</v>
      </c>
      <c r="B249" s="9">
        <v>45886</v>
      </c>
      <c r="C249" s="4" t="s">
        <v>1090</v>
      </c>
      <c r="D249" s="4" t="s">
        <v>1755</v>
      </c>
      <c r="E249" s="4" t="s">
        <v>1937</v>
      </c>
      <c r="F249" s="4">
        <v>2</v>
      </c>
      <c r="G249" s="4">
        <v>197.76</v>
      </c>
      <c r="H249" s="4">
        <v>0.04</v>
      </c>
      <c r="I249" s="4" t="s">
        <v>1996</v>
      </c>
      <c r="J249" s="10">
        <v>379.69920000000002</v>
      </c>
      <c r="K249" s="4" t="str">
        <f t="shared" si="21"/>
        <v>17-08-2025</v>
      </c>
      <c r="L249" s="4" t="str">
        <f>TEXT(Sales_Fact!$B249,"mmm")</f>
        <v>Aug</v>
      </c>
      <c r="M249" s="4">
        <f t="shared" si="22"/>
        <v>2</v>
      </c>
      <c r="N249" s="10">
        <f t="shared" si="23"/>
        <v>197.76</v>
      </c>
      <c r="O249" s="10">
        <f t="shared" si="24"/>
        <v>379.69919999999996</v>
      </c>
      <c r="P249" s="10">
        <f t="shared" si="25"/>
        <v>395.52</v>
      </c>
      <c r="Q249" s="3">
        <f t="shared" si="26"/>
        <v>4.0000000000000049E-2</v>
      </c>
      <c r="R249" s="4" t="str">
        <f>IF(Sales_Fact!$O249&gt;1000,"High","Low")</f>
        <v>Low</v>
      </c>
      <c r="S249" s="4" t="str">
        <f>VLOOKUP(C249,Customer_Dim!$A:$N,9,FALSE())</f>
        <v>Jasmine Snyder</v>
      </c>
      <c r="T249" s="4" t="str">
        <f>VLOOKUP(D249,Product_Dim!$A:$M,3,FALSE())</f>
        <v>Sports</v>
      </c>
      <c r="U249" s="11" t="str">
        <f>VLOOKUP(D249,Product_Dim!$A:$M,2,FALSE())</f>
        <v>Boxing Hand Wraps</v>
      </c>
      <c r="V249" s="11" t="str">
        <f>VLOOKUP(E249,Store_Dim!$A:$E,3,FALSE())</f>
        <v>South</v>
      </c>
      <c r="W249" s="11" t="str">
        <f>VLOOKUP(C249,Customer_Dim!$A:$N,13,FALSE())</f>
        <v>Silver</v>
      </c>
      <c r="X249" s="11" t="str">
        <f t="shared" si="27"/>
        <v>Low</v>
      </c>
    </row>
    <row r="250" spans="1:24" ht="15.75" customHeight="1">
      <c r="A250" s="4" t="s">
        <v>2246</v>
      </c>
      <c r="B250" s="9">
        <v>45531</v>
      </c>
      <c r="C250" s="4" t="s">
        <v>1015</v>
      </c>
      <c r="D250" s="4" t="s">
        <v>1858</v>
      </c>
      <c r="E250" s="4" t="s">
        <v>1937</v>
      </c>
      <c r="F250" s="4">
        <v>4</v>
      </c>
      <c r="G250" s="4">
        <v>450.83</v>
      </c>
      <c r="H250" s="4">
        <v>0.24</v>
      </c>
      <c r="I250" s="4" t="s">
        <v>1996</v>
      </c>
      <c r="J250" s="10">
        <v>1370.5232000000001</v>
      </c>
      <c r="K250" s="4" t="str">
        <f t="shared" si="21"/>
        <v>27-08-2024</v>
      </c>
      <c r="L250" s="4" t="str">
        <f>TEXT(Sales_Fact!$B250,"mmm")</f>
        <v>Aug</v>
      </c>
      <c r="M250" s="4">
        <f t="shared" si="22"/>
        <v>4</v>
      </c>
      <c r="N250" s="10">
        <f t="shared" si="23"/>
        <v>450.83</v>
      </c>
      <c r="O250" s="10">
        <f t="shared" si="24"/>
        <v>1370.5231999999999</v>
      </c>
      <c r="P250" s="10">
        <f t="shared" si="25"/>
        <v>1803.32</v>
      </c>
      <c r="Q250" s="3">
        <f t="shared" si="26"/>
        <v>0.24000000000000005</v>
      </c>
      <c r="R250" s="4" t="str">
        <f>IF(Sales_Fact!$O250&gt;1000,"High","Low")</f>
        <v>High</v>
      </c>
      <c r="S250" s="4" t="str">
        <f>VLOOKUP(C250,Customer_Dim!$A:$N,9,FALSE())</f>
        <v>Elizabeth Jones</v>
      </c>
      <c r="T250" s="4" t="str">
        <f>VLOOKUP(D250,Product_Dim!$A:$M,3,FALSE())</f>
        <v>Home</v>
      </c>
      <c r="U250" s="11" t="str">
        <f>VLOOKUP(D250,Product_Dim!$A:$M,2,FALSE())</f>
        <v>Wooden Bookshelf</v>
      </c>
      <c r="V250" s="11" t="str">
        <f>VLOOKUP(E250,Store_Dim!$A:$E,3,FALSE())</f>
        <v>South</v>
      </c>
      <c r="W250" s="11" t="str">
        <f>VLOOKUP(C250,Customer_Dim!$A:$N,13,FALSE())</f>
        <v>Platinum</v>
      </c>
      <c r="X250" s="11" t="str">
        <f t="shared" si="27"/>
        <v>High</v>
      </c>
    </row>
    <row r="251" spans="1:24" ht="15.75" customHeight="1">
      <c r="A251" s="4" t="s">
        <v>2247</v>
      </c>
      <c r="B251" s="9">
        <v>45216</v>
      </c>
      <c r="C251" s="4" t="s">
        <v>72</v>
      </c>
      <c r="D251" s="4" t="s">
        <v>1761</v>
      </c>
      <c r="E251" s="4" t="s">
        <v>1971</v>
      </c>
      <c r="F251" s="4">
        <v>2</v>
      </c>
      <c r="G251" s="4">
        <v>441.03</v>
      </c>
      <c r="H251" s="4">
        <v>0.23</v>
      </c>
      <c r="I251" s="4" t="s">
        <v>2004</v>
      </c>
      <c r="J251" s="10">
        <v>679.18619999999999</v>
      </c>
      <c r="K251" s="4" t="str">
        <f t="shared" si="21"/>
        <v>17-10-2023</v>
      </c>
      <c r="L251" s="4" t="str">
        <f>TEXT(Sales_Fact!$B251,"mmm")</f>
        <v>Oct</v>
      </c>
      <c r="M251" s="4">
        <f t="shared" si="22"/>
        <v>2</v>
      </c>
      <c r="N251" s="10">
        <f t="shared" si="23"/>
        <v>441.03</v>
      </c>
      <c r="O251" s="10">
        <f t="shared" si="24"/>
        <v>679.18619999999999</v>
      </c>
      <c r="P251" s="10">
        <f t="shared" si="25"/>
        <v>882.06</v>
      </c>
      <c r="Q251" s="3">
        <f t="shared" si="26"/>
        <v>0.22999999999999998</v>
      </c>
      <c r="R251" s="4" t="str">
        <f>IF(Sales_Fact!$O251&gt;1000,"High","Low")</f>
        <v>Low</v>
      </c>
      <c r="S251" s="4" t="str">
        <f>VLOOKUP(C251,Customer_Dim!$A:$N,9,FALSE())</f>
        <v>Dominic Page</v>
      </c>
      <c r="T251" s="4" t="str">
        <f>VLOOKUP(D251,Product_Dim!$A:$M,3,FALSE())</f>
        <v>Sports</v>
      </c>
      <c r="U251" s="11" t="str">
        <f>VLOOKUP(D251,Product_Dim!$A:$M,2,FALSE())</f>
        <v>Rugby Ball</v>
      </c>
      <c r="V251" s="11" t="str">
        <f>VLOOKUP(E251,Store_Dim!$A:$E,3,FALSE())</f>
        <v>East</v>
      </c>
      <c r="W251" s="11" t="str">
        <f>VLOOKUP(C251,Customer_Dim!$A:$N,13,FALSE())</f>
        <v>Bronze</v>
      </c>
      <c r="X251" s="11" t="str">
        <f t="shared" si="27"/>
        <v>Low</v>
      </c>
    </row>
    <row r="252" spans="1:24" ht="15.75" customHeight="1">
      <c r="A252" s="4" t="s">
        <v>2248</v>
      </c>
      <c r="B252" s="9">
        <v>45384</v>
      </c>
      <c r="C252" s="4" t="s">
        <v>319</v>
      </c>
      <c r="D252" s="4" t="s">
        <v>1675</v>
      </c>
      <c r="E252" s="4" t="s">
        <v>1919</v>
      </c>
      <c r="F252" s="4">
        <v>3</v>
      </c>
      <c r="G252" s="4">
        <v>377.69</v>
      </c>
      <c r="H252" s="4">
        <v>7.0000000000000007E-2</v>
      </c>
      <c r="I252" s="4" t="s">
        <v>1998</v>
      </c>
      <c r="J252" s="10">
        <v>1053.7551000000001</v>
      </c>
      <c r="K252" s="4" t="str">
        <f t="shared" si="21"/>
        <v>02-04-2024</v>
      </c>
      <c r="L252" s="4" t="str">
        <f>TEXT(Sales_Fact!$B252,"mmm")</f>
        <v>Apr</v>
      </c>
      <c r="M252" s="4">
        <f t="shared" si="22"/>
        <v>3</v>
      </c>
      <c r="N252" s="10">
        <f t="shared" si="23"/>
        <v>377.69</v>
      </c>
      <c r="O252" s="10">
        <f t="shared" si="24"/>
        <v>1053.7550999999999</v>
      </c>
      <c r="P252" s="10">
        <f t="shared" si="25"/>
        <v>1133.07</v>
      </c>
      <c r="Q252" s="3">
        <f t="shared" si="26"/>
        <v>7.0000000000000076E-2</v>
      </c>
      <c r="R252" s="4" t="str">
        <f>IF(Sales_Fact!$O252&gt;1000,"High","Low")</f>
        <v>High</v>
      </c>
      <c r="S252" s="4" t="str">
        <f>VLOOKUP(C252,Customer_Dim!$A:$N,9,FALSE())</f>
        <v>George Rosario</v>
      </c>
      <c r="T252" s="4" t="str">
        <f>VLOOKUP(D252,Product_Dim!$A:$M,3,FALSE())</f>
        <v>Clothing</v>
      </c>
      <c r="U252" s="11" t="str">
        <f>VLOOKUP(D252,Product_Dim!$A:$M,2,FALSE())</f>
        <v>Women's Scarf Set</v>
      </c>
      <c r="V252" s="11" t="str">
        <f>VLOOKUP(E252,Store_Dim!$A:$E,3,FALSE())</f>
        <v>South</v>
      </c>
      <c r="W252" s="11" t="str">
        <f>VLOOKUP(C252,Customer_Dim!$A:$N,13,FALSE())</f>
        <v>Bronze</v>
      </c>
      <c r="X252" s="11" t="str">
        <f t="shared" si="27"/>
        <v>Low</v>
      </c>
    </row>
    <row r="253" spans="1:24" ht="15.75" customHeight="1">
      <c r="A253" s="4" t="s">
        <v>2249</v>
      </c>
      <c r="B253" s="9">
        <v>45416</v>
      </c>
      <c r="C253" s="4" t="s">
        <v>559</v>
      </c>
      <c r="D253" s="4" t="s">
        <v>1622</v>
      </c>
      <c r="E253" s="4" t="s">
        <v>1937</v>
      </c>
      <c r="F253" s="4">
        <v>1</v>
      </c>
      <c r="G253" s="4">
        <v>457.33</v>
      </c>
      <c r="H253" s="4">
        <v>0.27</v>
      </c>
      <c r="I253" s="4" t="s">
        <v>1996</v>
      </c>
      <c r="J253" s="10">
        <v>333.85090000000002</v>
      </c>
      <c r="K253" s="4" t="str">
        <f t="shared" si="21"/>
        <v>04-05-2024</v>
      </c>
      <c r="L253" s="4" t="str">
        <f>TEXT(Sales_Fact!$B253,"mmm")</f>
        <v>May</v>
      </c>
      <c r="M253" s="4">
        <f t="shared" si="22"/>
        <v>1</v>
      </c>
      <c r="N253" s="10">
        <f t="shared" si="23"/>
        <v>457.33</v>
      </c>
      <c r="O253" s="10">
        <f t="shared" si="24"/>
        <v>333.85089999999997</v>
      </c>
      <c r="P253" s="10">
        <f t="shared" si="25"/>
        <v>457.33</v>
      </c>
      <c r="Q253" s="3">
        <f t="shared" si="26"/>
        <v>0.27000000000000007</v>
      </c>
      <c r="R253" s="4" t="str">
        <f>IF(Sales_Fact!$O253&gt;1000,"High","Low")</f>
        <v>Low</v>
      </c>
      <c r="S253" s="4" t="str">
        <f>VLOOKUP(C253,Customer_Dim!$A:$N,9,FALSE())</f>
        <v>John Lawson</v>
      </c>
      <c r="T253" s="4" t="str">
        <f>VLOOKUP(D253,Product_Dim!$A:$M,3,FALSE())</f>
        <v>Home</v>
      </c>
      <c r="U253" s="11" t="str">
        <f>VLOOKUP(D253,Product_Dim!$A:$M,2,FALSE())</f>
        <v>Ceramic Kitchen Bowl Set</v>
      </c>
      <c r="V253" s="11" t="str">
        <f>VLOOKUP(E253,Store_Dim!$A:$E,3,FALSE())</f>
        <v>South</v>
      </c>
      <c r="W253" s="11" t="str">
        <f>VLOOKUP(C253,Customer_Dim!$A:$N,13,FALSE())</f>
        <v>Platinum</v>
      </c>
      <c r="X253" s="11" t="str">
        <f t="shared" si="27"/>
        <v>Low</v>
      </c>
    </row>
    <row r="254" spans="1:24" ht="15.75" customHeight="1">
      <c r="A254" s="4" t="s">
        <v>2250</v>
      </c>
      <c r="B254" s="9">
        <v>45880</v>
      </c>
      <c r="C254" s="4" t="s">
        <v>810</v>
      </c>
      <c r="D254" s="4" t="s">
        <v>1834</v>
      </c>
      <c r="E254" s="4" t="s">
        <v>1934</v>
      </c>
      <c r="F254" s="4">
        <v>4</v>
      </c>
      <c r="G254" s="4">
        <v>218.01</v>
      </c>
      <c r="H254" s="4">
        <v>0.06</v>
      </c>
      <c r="I254" s="4" t="s">
        <v>1996</v>
      </c>
      <c r="J254" s="10">
        <v>819.71759999999995</v>
      </c>
      <c r="K254" s="4" t="str">
        <f t="shared" si="21"/>
        <v>11-08-2025</v>
      </c>
      <c r="L254" s="4" t="str">
        <f>TEXT(Sales_Fact!$B254,"mmm")</f>
        <v>Aug</v>
      </c>
      <c r="M254" s="4">
        <f t="shared" si="22"/>
        <v>4</v>
      </c>
      <c r="N254" s="10">
        <f t="shared" si="23"/>
        <v>218.01</v>
      </c>
      <c r="O254" s="10">
        <f t="shared" si="24"/>
        <v>819.71759999999995</v>
      </c>
      <c r="P254" s="10">
        <f t="shared" si="25"/>
        <v>872.04</v>
      </c>
      <c r="Q254" s="3">
        <f t="shared" si="26"/>
        <v>6.0000000000000019E-2</v>
      </c>
      <c r="R254" s="4" t="str">
        <f>IF(Sales_Fact!$O254&gt;1000,"High","Low")</f>
        <v>Low</v>
      </c>
      <c r="S254" s="4" t="str">
        <f>VLOOKUP(C254,Customer_Dim!$A:$N,9,FALSE())</f>
        <v>Nancy Page</v>
      </c>
      <c r="T254" s="4" t="str">
        <f>VLOOKUP(D254,Product_Dim!$A:$M,3,FALSE())</f>
        <v>Electronics</v>
      </c>
      <c r="U254" s="11" t="str">
        <f>VLOOKUP(D254,Product_Dim!$A:$M,2,FALSE())</f>
        <v>Wireless Mouse</v>
      </c>
      <c r="V254" s="11" t="str">
        <f>VLOOKUP(E254,Store_Dim!$A:$E,3,FALSE())</f>
        <v>East</v>
      </c>
      <c r="W254" s="11" t="str">
        <f>VLOOKUP(C254,Customer_Dim!$A:$N,13,FALSE())</f>
        <v>Bronze</v>
      </c>
      <c r="X254" s="11" t="str">
        <f t="shared" si="27"/>
        <v>High</v>
      </c>
    </row>
    <row r="255" spans="1:24" ht="15.75" customHeight="1">
      <c r="A255" s="4" t="s">
        <v>2251</v>
      </c>
      <c r="B255" s="9">
        <v>45933</v>
      </c>
      <c r="C255" s="4" t="s">
        <v>733</v>
      </c>
      <c r="D255" s="4" t="s">
        <v>1882</v>
      </c>
      <c r="E255" s="4" t="s">
        <v>1968</v>
      </c>
      <c r="F255" s="4">
        <v>2</v>
      </c>
      <c r="G255" s="4">
        <v>682.7</v>
      </c>
      <c r="H255" s="4">
        <v>0.13</v>
      </c>
      <c r="I255" s="4" t="s">
        <v>1996</v>
      </c>
      <c r="J255" s="10">
        <v>1187.8979999999999</v>
      </c>
      <c r="K255" s="4" t="str">
        <f t="shared" si="21"/>
        <v>03-10-2025</v>
      </c>
      <c r="L255" s="4" t="str">
        <f>TEXT(Sales_Fact!$B255,"mmm")</f>
        <v>Oct</v>
      </c>
      <c r="M255" s="4">
        <f t="shared" si="22"/>
        <v>2</v>
      </c>
      <c r="N255" s="10">
        <f t="shared" si="23"/>
        <v>682.7</v>
      </c>
      <c r="O255" s="10">
        <f t="shared" si="24"/>
        <v>1187.8980000000001</v>
      </c>
      <c r="P255" s="10">
        <f t="shared" si="25"/>
        <v>1365.4</v>
      </c>
      <c r="Q255" s="3">
        <f t="shared" si="26"/>
        <v>0.12999999999999995</v>
      </c>
      <c r="R255" s="4" t="str">
        <f>IF(Sales_Fact!$O255&gt;1000,"High","Low")</f>
        <v>High</v>
      </c>
      <c r="S255" s="4" t="str">
        <f>VLOOKUP(C255,Customer_Dim!$A:$N,9,FALSE())</f>
        <v>Julia Jackson</v>
      </c>
      <c r="T255" s="4" t="str">
        <f>VLOOKUP(D255,Product_Dim!$A:$M,3,FALSE())</f>
        <v>Home</v>
      </c>
      <c r="U255" s="11" t="str">
        <f>VLOOKUP(D255,Product_Dim!$A:$M,2,FALSE())</f>
        <v>Microwave Oven</v>
      </c>
      <c r="V255" s="11" t="str">
        <f>VLOOKUP(E255,Store_Dim!$A:$E,3,FALSE())</f>
        <v>East</v>
      </c>
      <c r="W255" s="11" t="str">
        <f>VLOOKUP(C255,Customer_Dim!$A:$N,13,FALSE())</f>
        <v>Platinum</v>
      </c>
      <c r="X255" s="11" t="str">
        <f t="shared" si="27"/>
        <v>Low</v>
      </c>
    </row>
    <row r="256" spans="1:24" ht="15.75" customHeight="1">
      <c r="A256" s="4" t="s">
        <v>2252</v>
      </c>
      <c r="B256" s="9">
        <v>45345</v>
      </c>
      <c r="C256" s="4" t="s">
        <v>1045</v>
      </c>
      <c r="D256" s="4" t="s">
        <v>1654</v>
      </c>
      <c r="E256" s="4" t="s">
        <v>1968</v>
      </c>
      <c r="F256" s="4">
        <v>3</v>
      </c>
      <c r="G256" s="4">
        <v>726.97</v>
      </c>
      <c r="H256" s="4">
        <v>0.04</v>
      </c>
      <c r="I256" s="4" t="s">
        <v>1998</v>
      </c>
      <c r="J256" s="10">
        <v>2093.6736000000001</v>
      </c>
      <c r="K256" s="4" t="str">
        <f t="shared" si="21"/>
        <v>23-02-2024</v>
      </c>
      <c r="L256" s="4" t="str">
        <f>TEXT(Sales_Fact!$B256,"mmm")</f>
        <v>Feb</v>
      </c>
      <c r="M256" s="4">
        <f t="shared" si="22"/>
        <v>3</v>
      </c>
      <c r="N256" s="10">
        <f t="shared" si="23"/>
        <v>726.97</v>
      </c>
      <c r="O256" s="10">
        <f t="shared" si="24"/>
        <v>2093.6735999999996</v>
      </c>
      <c r="P256" s="10">
        <f t="shared" si="25"/>
        <v>2180.91</v>
      </c>
      <c r="Q256" s="3">
        <f t="shared" si="26"/>
        <v>4.0000000000000112E-2</v>
      </c>
      <c r="R256" s="4" t="str">
        <f>IF(Sales_Fact!$O256&gt;1000,"High","Low")</f>
        <v>High</v>
      </c>
      <c r="S256" s="4" t="str">
        <f>VLOOKUP(C256,Customer_Dim!$A:$N,9,FALSE())</f>
        <v>Kristy Dunlap</v>
      </c>
      <c r="T256" s="4" t="str">
        <f>VLOOKUP(D256,Product_Dim!$A:$M,3,FALSE())</f>
        <v>Sports</v>
      </c>
      <c r="U256" s="11" t="str">
        <f>VLOOKUP(D256,Product_Dim!$A:$M,2,FALSE())</f>
        <v>Knee Support Brace</v>
      </c>
      <c r="V256" s="11" t="str">
        <f>VLOOKUP(E256,Store_Dim!$A:$E,3,FALSE())</f>
        <v>East</v>
      </c>
      <c r="W256" s="11" t="str">
        <f>VLOOKUP(C256,Customer_Dim!$A:$N,13,FALSE())</f>
        <v>Platinum</v>
      </c>
      <c r="X256" s="11" t="str">
        <f t="shared" si="27"/>
        <v>Low</v>
      </c>
    </row>
    <row r="257" spans="1:24" ht="15.75" customHeight="1">
      <c r="A257" s="4" t="s">
        <v>2253</v>
      </c>
      <c r="B257" s="9">
        <v>45681</v>
      </c>
      <c r="C257" s="4" t="s">
        <v>1298</v>
      </c>
      <c r="D257" s="4" t="s">
        <v>1782</v>
      </c>
      <c r="E257" s="4" t="s">
        <v>1944</v>
      </c>
      <c r="F257" s="4">
        <v>2</v>
      </c>
      <c r="G257" s="4">
        <v>107.97</v>
      </c>
      <c r="H257" s="4">
        <v>0.06</v>
      </c>
      <c r="I257" s="4" t="s">
        <v>1996</v>
      </c>
      <c r="J257" s="10">
        <v>202.9836</v>
      </c>
      <c r="K257" s="4" t="str">
        <f t="shared" si="21"/>
        <v>24-01-2025</v>
      </c>
      <c r="L257" s="4" t="str">
        <f>TEXT(Sales_Fact!$B257,"mmm")</f>
        <v>Jan</v>
      </c>
      <c r="M257" s="4">
        <f t="shared" si="22"/>
        <v>2</v>
      </c>
      <c r="N257" s="10">
        <f t="shared" si="23"/>
        <v>107.97</v>
      </c>
      <c r="O257" s="10">
        <f t="shared" si="24"/>
        <v>202.9836</v>
      </c>
      <c r="P257" s="10">
        <f t="shared" si="25"/>
        <v>215.94</v>
      </c>
      <c r="Q257" s="3">
        <f t="shared" si="26"/>
        <v>6.0000000000000012E-2</v>
      </c>
      <c r="R257" s="4" t="str">
        <f>IF(Sales_Fact!$O257&gt;1000,"High","Low")</f>
        <v>Low</v>
      </c>
      <c r="S257" s="4" t="str">
        <f>VLOOKUP(C257,Customer_Dim!$A:$N,9,FALSE())</f>
        <v>Isabel Foster</v>
      </c>
      <c r="T257" s="4" t="str">
        <f>VLOOKUP(D257,Product_Dim!$A:$M,3,FALSE())</f>
        <v>Beauty</v>
      </c>
      <c r="U257" s="11" t="str">
        <f>VLOOKUP(D257,Product_Dim!$A:$M,2,FALSE())</f>
        <v>Men's Hair Styling Gel</v>
      </c>
      <c r="V257" s="11" t="str">
        <f>VLOOKUP(E257,Store_Dim!$A:$E,3,FALSE())</f>
        <v>South</v>
      </c>
      <c r="W257" s="11" t="str">
        <f>VLOOKUP(C257,Customer_Dim!$A:$N,13,FALSE())</f>
        <v>Gold</v>
      </c>
      <c r="X257" s="11" t="str">
        <f t="shared" si="27"/>
        <v>Low</v>
      </c>
    </row>
    <row r="258" spans="1:24" ht="15.75" customHeight="1">
      <c r="A258" s="4" t="s">
        <v>2254</v>
      </c>
      <c r="B258" s="9">
        <v>45785</v>
      </c>
      <c r="C258" s="4" t="s">
        <v>59</v>
      </c>
      <c r="D258" s="4" t="s">
        <v>1599</v>
      </c>
      <c r="E258" s="4" t="s">
        <v>1957</v>
      </c>
      <c r="F258" s="4">
        <v>1</v>
      </c>
      <c r="G258" s="4">
        <v>38.880000000000003</v>
      </c>
      <c r="H258" s="4">
        <v>0.16</v>
      </c>
      <c r="I258" s="4" t="s">
        <v>2004</v>
      </c>
      <c r="J258" s="10">
        <v>32.659199999999998</v>
      </c>
      <c r="K258" s="4" t="str">
        <f t="shared" ref="K258:K321" si="28">TEXT(B258,"dd-mm-yyyy")</f>
        <v>08-05-2025</v>
      </c>
      <c r="L258" s="4" t="str">
        <f>TEXT(Sales_Fact!$B258,"mmm")</f>
        <v>May</v>
      </c>
      <c r="M258" s="4">
        <f t="shared" ref="M258:M321" si="29">IF(ISBLANK(F258),1,F258)</f>
        <v>1</v>
      </c>
      <c r="N258" s="10">
        <f t="shared" ref="N258:N321" si="30">ROUNDUP(IF(ISBLANK(G258),AVERAGE(C:C,G258,G:G),G258),2)</f>
        <v>38.880000000000003</v>
      </c>
      <c r="O258" s="10">
        <f t="shared" ref="O258:O321" si="31">M258*N258*(1-H258)</f>
        <v>32.659199999999998</v>
      </c>
      <c r="P258" s="10">
        <f t="shared" ref="P258:P321" si="32">M258*N258</f>
        <v>38.880000000000003</v>
      </c>
      <c r="Q258" s="3">
        <f t="shared" ref="Q258:Q321" si="33">(P258-O258)/P258</f>
        <v>0.16000000000000009</v>
      </c>
      <c r="R258" s="4" t="str">
        <f>IF(Sales_Fact!$O258&gt;1000,"High","Low")</f>
        <v>Low</v>
      </c>
      <c r="S258" s="4" t="str">
        <f>VLOOKUP(C258,Customer_Dim!$A:$N,9,FALSE())</f>
        <v>Daniel Boyd</v>
      </c>
      <c r="T258" s="4" t="str">
        <f>VLOOKUP(D258,Product_Dim!$A:$M,3,FALSE())</f>
        <v>Clothing</v>
      </c>
      <c r="U258" s="11" t="str">
        <f>VLOOKUP(D258,Product_Dim!$A:$M,2,FALSE())</f>
        <v>Men's Leather Belt</v>
      </c>
      <c r="V258" s="11" t="str">
        <f>VLOOKUP(E258,Store_Dim!$A:$E,3,FALSE())</f>
        <v>South</v>
      </c>
      <c r="W258" s="11" t="str">
        <f>VLOOKUP(C258,Customer_Dim!$A:$N,13,FALSE())</f>
        <v>Bronze</v>
      </c>
      <c r="X258" s="11" t="str">
        <f t="shared" ref="X258:X321" si="34">IF(F258&gt;3,"High","Low")</f>
        <v>Low</v>
      </c>
    </row>
    <row r="259" spans="1:24" ht="15.75" customHeight="1">
      <c r="A259" s="4" t="s">
        <v>2255</v>
      </c>
      <c r="B259" s="9">
        <v>45823</v>
      </c>
      <c r="C259" s="4" t="s">
        <v>305</v>
      </c>
      <c r="D259" s="4" t="s">
        <v>1644</v>
      </c>
      <c r="E259" s="4" t="s">
        <v>1965</v>
      </c>
      <c r="F259" s="4">
        <v>3</v>
      </c>
      <c r="G259" s="4">
        <v>484.39</v>
      </c>
      <c r="H259" s="4">
        <v>0.28999999999999998</v>
      </c>
      <c r="I259" s="4" t="s">
        <v>2004</v>
      </c>
      <c r="J259" s="10">
        <v>1031.7507000000001</v>
      </c>
      <c r="K259" s="4" t="str">
        <f t="shared" si="28"/>
        <v>15-06-2025</v>
      </c>
      <c r="L259" s="4" t="str">
        <f>TEXT(Sales_Fact!$B259,"mmm")</f>
        <v>Jun</v>
      </c>
      <c r="M259" s="4">
        <f t="shared" si="29"/>
        <v>3</v>
      </c>
      <c r="N259" s="10">
        <f t="shared" si="30"/>
        <v>484.39</v>
      </c>
      <c r="O259" s="10">
        <f t="shared" si="31"/>
        <v>1031.7507000000001</v>
      </c>
      <c r="P259" s="10">
        <f t="shared" si="32"/>
        <v>1453.17</v>
      </c>
      <c r="Q259" s="3">
        <f t="shared" si="33"/>
        <v>0.28999999999999998</v>
      </c>
      <c r="R259" s="4" t="str">
        <f>IF(Sales_Fact!$O259&gt;1000,"High","Low")</f>
        <v>High</v>
      </c>
      <c r="S259" s="4" t="str">
        <f>VLOOKUP(C259,Customer_Dim!$A:$N,9,FALSE())</f>
        <v>Cody Blake</v>
      </c>
      <c r="T259" s="4" t="str">
        <f>VLOOKUP(D259,Product_Dim!$A:$M,3,FALSE())</f>
        <v>Beauty</v>
      </c>
      <c r="U259" s="11" t="str">
        <f>VLOOKUP(D259,Product_Dim!$A:$M,2,FALSE())</f>
        <v>Beard Grooming Kit</v>
      </c>
      <c r="V259" s="11" t="str">
        <f>VLOOKUP(E259,Store_Dim!$A:$E,3,FALSE())</f>
        <v>North</v>
      </c>
      <c r="W259" s="11" t="str">
        <f>VLOOKUP(C259,Customer_Dim!$A:$N,13,FALSE())</f>
        <v>Gold</v>
      </c>
      <c r="X259" s="11" t="str">
        <f t="shared" si="34"/>
        <v>Low</v>
      </c>
    </row>
    <row r="260" spans="1:24" ht="15.75" customHeight="1">
      <c r="A260" s="4" t="s">
        <v>2256</v>
      </c>
      <c r="B260" s="9">
        <v>45674</v>
      </c>
      <c r="C260" s="4" t="s">
        <v>1495</v>
      </c>
      <c r="D260" s="4" t="s">
        <v>1723</v>
      </c>
      <c r="E260" s="4" t="s">
        <v>1919</v>
      </c>
      <c r="F260" s="4">
        <v>3</v>
      </c>
      <c r="G260" s="4">
        <v>334.6</v>
      </c>
      <c r="H260" s="4">
        <v>0.11</v>
      </c>
      <c r="I260" s="4" t="s">
        <v>1998</v>
      </c>
      <c r="J260" s="10">
        <v>893.38199999999995</v>
      </c>
      <c r="K260" s="4" t="str">
        <f t="shared" si="28"/>
        <v>17-01-2025</v>
      </c>
      <c r="L260" s="4" t="str">
        <f>TEXT(Sales_Fact!$B260,"mmm")</f>
        <v>Jan</v>
      </c>
      <c r="M260" s="4">
        <f t="shared" si="29"/>
        <v>3</v>
      </c>
      <c r="N260" s="10">
        <f t="shared" si="30"/>
        <v>334.6</v>
      </c>
      <c r="O260" s="10">
        <f t="shared" si="31"/>
        <v>893.38200000000006</v>
      </c>
      <c r="P260" s="10">
        <f t="shared" si="32"/>
        <v>1003.8000000000001</v>
      </c>
      <c r="Q260" s="3">
        <f t="shared" si="33"/>
        <v>0.11</v>
      </c>
      <c r="R260" s="4" t="str">
        <f>IF(Sales_Fact!$O260&gt;1000,"High","Low")</f>
        <v>Low</v>
      </c>
      <c r="S260" s="4" t="str">
        <f>VLOOKUP(C260,Customer_Dim!$A:$N,9,FALSE())</f>
        <v>Elizabeth Foster</v>
      </c>
      <c r="T260" s="4" t="str">
        <f>VLOOKUP(D260,Product_Dim!$A:$M,3,FALSE())</f>
        <v>Electronics</v>
      </c>
      <c r="U260" s="11" t="str">
        <f>VLOOKUP(D260,Product_Dim!$A:$M,2,FALSE())</f>
        <v>Noise-Canceling Headphones</v>
      </c>
      <c r="V260" s="11" t="str">
        <f>VLOOKUP(E260,Store_Dim!$A:$E,3,FALSE())</f>
        <v>South</v>
      </c>
      <c r="W260" s="11" t="str">
        <f>VLOOKUP(C260,Customer_Dim!$A:$N,13,FALSE())</f>
        <v>Gold</v>
      </c>
      <c r="X260" s="11" t="str">
        <f t="shared" si="34"/>
        <v>Low</v>
      </c>
    </row>
    <row r="261" spans="1:24" ht="15.75" customHeight="1">
      <c r="A261" s="4" t="s">
        <v>2257</v>
      </c>
      <c r="B261" s="9">
        <v>45572</v>
      </c>
      <c r="C261" s="4" t="s">
        <v>102</v>
      </c>
      <c r="D261" s="4" t="s">
        <v>1846</v>
      </c>
      <c r="E261" s="4" t="s">
        <v>1959</v>
      </c>
      <c r="F261" s="4">
        <v>2</v>
      </c>
      <c r="G261" s="4">
        <v>949.3</v>
      </c>
      <c r="H261" s="4">
        <v>0.08</v>
      </c>
      <c r="I261" s="4" t="s">
        <v>2004</v>
      </c>
      <c r="J261" s="10">
        <v>1746.712</v>
      </c>
      <c r="K261" s="4" t="str">
        <f t="shared" si="28"/>
        <v>07-10-2024</v>
      </c>
      <c r="L261" s="4" t="str">
        <f>TEXT(Sales_Fact!$B261,"mmm")</f>
        <v>Oct</v>
      </c>
      <c r="M261" s="4">
        <f t="shared" si="29"/>
        <v>2</v>
      </c>
      <c r="N261" s="10">
        <f t="shared" si="30"/>
        <v>949.3</v>
      </c>
      <c r="O261" s="10">
        <f t="shared" si="31"/>
        <v>1746.712</v>
      </c>
      <c r="P261" s="10">
        <f t="shared" si="32"/>
        <v>1898.6</v>
      </c>
      <c r="Q261" s="3">
        <f t="shared" si="33"/>
        <v>7.999999999999996E-2</v>
      </c>
      <c r="R261" s="4" t="str">
        <f>IF(Sales_Fact!$O261&gt;1000,"High","Low")</f>
        <v>High</v>
      </c>
      <c r="S261" s="4" t="str">
        <f>VLOOKUP(C261,Customer_Dim!$A:$N,9,FALSE())</f>
        <v>Rhonda Moss</v>
      </c>
      <c r="T261" s="4" t="str">
        <f>VLOOKUP(D261,Product_Dim!$A:$M,3,FALSE())</f>
        <v>Home</v>
      </c>
      <c r="U261" s="11" t="str">
        <f>VLOOKUP(D261,Product_Dim!$A:$M,2,FALSE())</f>
        <v>Wall-Mounted Spice Rack</v>
      </c>
      <c r="V261" s="11" t="str">
        <f>VLOOKUP(E261,Store_Dim!$A:$E,3,FALSE())</f>
        <v>North</v>
      </c>
      <c r="W261" s="11" t="str">
        <f>VLOOKUP(C261,Customer_Dim!$A:$N,13,FALSE())</f>
        <v>Standard</v>
      </c>
      <c r="X261" s="11" t="str">
        <f t="shared" si="34"/>
        <v>Low</v>
      </c>
    </row>
    <row r="262" spans="1:24" ht="15.75" customHeight="1">
      <c r="A262" s="4" t="s">
        <v>2258</v>
      </c>
      <c r="B262" s="9">
        <v>45259</v>
      </c>
      <c r="C262" s="4" t="s">
        <v>1372</v>
      </c>
      <c r="D262" s="4" t="s">
        <v>1819</v>
      </c>
      <c r="E262" s="4" t="s">
        <v>1934</v>
      </c>
      <c r="F262" s="4">
        <v>3</v>
      </c>
      <c r="G262" s="4">
        <v>664.75</v>
      </c>
      <c r="H262" s="4">
        <v>0.12</v>
      </c>
      <c r="I262" s="4" t="s">
        <v>1996</v>
      </c>
      <c r="J262" s="10">
        <v>1754.94</v>
      </c>
      <c r="K262" s="4" t="str">
        <f t="shared" si="28"/>
        <v>29-11-2023</v>
      </c>
      <c r="L262" s="4" t="str">
        <f>TEXT(Sales_Fact!$B262,"mmm")</f>
        <v>Nov</v>
      </c>
      <c r="M262" s="4">
        <f t="shared" si="29"/>
        <v>3</v>
      </c>
      <c r="N262" s="10">
        <f t="shared" si="30"/>
        <v>664.75</v>
      </c>
      <c r="O262" s="10">
        <f t="shared" si="31"/>
        <v>1754.94</v>
      </c>
      <c r="P262" s="10">
        <f t="shared" si="32"/>
        <v>1994.25</v>
      </c>
      <c r="Q262" s="3">
        <f t="shared" si="33"/>
        <v>0.11999999999999997</v>
      </c>
      <c r="R262" s="4" t="str">
        <f>IF(Sales_Fact!$O262&gt;1000,"High","Low")</f>
        <v>High</v>
      </c>
      <c r="S262" s="4" t="str">
        <f>VLOOKUP(C262,Customer_Dim!$A:$N,9,FALSE())</f>
        <v>Thomas Moore</v>
      </c>
      <c r="T262" s="4" t="str">
        <f>VLOOKUP(D262,Product_Dim!$A:$M,3,FALSE())</f>
        <v>Beauty</v>
      </c>
      <c r="U262" s="11" t="str">
        <f>VLOOKUP(D262,Product_Dim!$A:$M,2,FALSE())</f>
        <v>Hair Repair Oil Treatment</v>
      </c>
      <c r="V262" s="11" t="str">
        <f>VLOOKUP(E262,Store_Dim!$A:$E,3,FALSE())</f>
        <v>East</v>
      </c>
      <c r="W262" s="11" t="str">
        <f>VLOOKUP(C262,Customer_Dim!$A:$N,13,FALSE())</f>
        <v>Silver</v>
      </c>
      <c r="X262" s="11" t="str">
        <f t="shared" si="34"/>
        <v>Low</v>
      </c>
    </row>
    <row r="263" spans="1:24" ht="15.75" customHeight="1">
      <c r="A263" s="4" t="s">
        <v>2259</v>
      </c>
      <c r="B263" s="9">
        <v>45740</v>
      </c>
      <c r="C263" s="4" t="s">
        <v>924</v>
      </c>
      <c r="D263" s="4" t="s">
        <v>1816</v>
      </c>
      <c r="E263" s="4" t="s">
        <v>1965</v>
      </c>
      <c r="F263" s="4">
        <v>3</v>
      </c>
      <c r="G263" s="4">
        <v>190.04</v>
      </c>
      <c r="H263" s="4">
        <v>7.0000000000000007E-2</v>
      </c>
      <c r="I263" s="4" t="s">
        <v>1998</v>
      </c>
      <c r="J263" s="10">
        <v>530.21159999999998</v>
      </c>
      <c r="K263" s="4" t="str">
        <f t="shared" si="28"/>
        <v>24-03-2025</v>
      </c>
      <c r="L263" s="4" t="str">
        <f>TEXT(Sales_Fact!$B263,"mmm")</f>
        <v>Mar</v>
      </c>
      <c r="M263" s="4">
        <f t="shared" si="29"/>
        <v>3</v>
      </c>
      <c r="N263" s="10">
        <f t="shared" si="30"/>
        <v>190.04</v>
      </c>
      <c r="O263" s="10">
        <f t="shared" si="31"/>
        <v>530.21159999999998</v>
      </c>
      <c r="P263" s="10">
        <f t="shared" si="32"/>
        <v>570.12</v>
      </c>
      <c r="Q263" s="3">
        <f t="shared" si="33"/>
        <v>7.0000000000000048E-2</v>
      </c>
      <c r="R263" s="4" t="str">
        <f>IF(Sales_Fact!$O263&gt;1000,"High","Low")</f>
        <v>Low</v>
      </c>
      <c r="S263" s="4" t="str">
        <f>VLOOKUP(C263,Customer_Dim!$A:$N,9,FALSE())</f>
        <v>Kristi Lopez</v>
      </c>
      <c r="T263" s="4" t="str">
        <f>VLOOKUP(D263,Product_Dim!$A:$M,3,FALSE())</f>
        <v>Home</v>
      </c>
      <c r="U263" s="11" t="str">
        <f>VLOOKUP(D263,Product_Dim!$A:$M,2,FALSE())</f>
        <v>Kitchen Storage Rack</v>
      </c>
      <c r="V263" s="11" t="str">
        <f>VLOOKUP(E263,Store_Dim!$A:$E,3,FALSE())</f>
        <v>North</v>
      </c>
      <c r="W263" s="11" t="str">
        <f>VLOOKUP(C263,Customer_Dim!$A:$N,13,FALSE())</f>
        <v>Gold</v>
      </c>
      <c r="X263" s="11" t="str">
        <f t="shared" si="34"/>
        <v>Low</v>
      </c>
    </row>
    <row r="264" spans="1:24" ht="15.75" customHeight="1">
      <c r="A264" s="4" t="s">
        <v>2260</v>
      </c>
      <c r="B264" s="9">
        <v>45869</v>
      </c>
      <c r="C264" s="4" t="s">
        <v>909</v>
      </c>
      <c r="D264" s="4" t="s">
        <v>1608</v>
      </c>
      <c r="E264" s="4" t="s">
        <v>1959</v>
      </c>
      <c r="F264" s="4">
        <v>3</v>
      </c>
      <c r="G264" s="4">
        <v>754.02</v>
      </c>
      <c r="H264" s="4">
        <v>0.1</v>
      </c>
      <c r="I264" s="4" t="s">
        <v>2004</v>
      </c>
      <c r="J264" s="10">
        <v>2035.854</v>
      </c>
      <c r="K264" s="4" t="str">
        <f t="shared" si="28"/>
        <v>31-07-2025</v>
      </c>
      <c r="L264" s="4" t="str">
        <f>TEXT(Sales_Fact!$B264,"mmm")</f>
        <v>Jul</v>
      </c>
      <c r="M264" s="4">
        <f t="shared" si="29"/>
        <v>3</v>
      </c>
      <c r="N264" s="10">
        <f t="shared" si="30"/>
        <v>754.02</v>
      </c>
      <c r="O264" s="10">
        <f t="shared" si="31"/>
        <v>2035.854</v>
      </c>
      <c r="P264" s="10">
        <f t="shared" si="32"/>
        <v>2262.06</v>
      </c>
      <c r="Q264" s="3">
        <f t="shared" si="33"/>
        <v>9.9999999999999964E-2</v>
      </c>
      <c r="R264" s="4" t="str">
        <f>IF(Sales_Fact!$O264&gt;1000,"High","Low")</f>
        <v>High</v>
      </c>
      <c r="S264" s="4" t="str">
        <f>VLOOKUP(C264,Customer_Dim!$A:$N,9,FALSE())</f>
        <v>Jeffrey Gomez</v>
      </c>
      <c r="T264" s="4" t="str">
        <f>VLOOKUP(D264,Product_Dim!$A:$M,3,FALSE())</f>
        <v>Home</v>
      </c>
      <c r="U264" s="11" t="str">
        <f>VLOOKUP(D264,Product_Dim!$A:$M,2,FALSE())</f>
        <v>LED Table Lamp</v>
      </c>
      <c r="V264" s="11" t="str">
        <f>VLOOKUP(E264,Store_Dim!$A:$E,3,FALSE())</f>
        <v>North</v>
      </c>
      <c r="W264" s="11" t="str">
        <f>VLOOKUP(C264,Customer_Dim!$A:$N,13,FALSE())</f>
        <v>Platinum</v>
      </c>
      <c r="X264" s="11" t="str">
        <f t="shared" si="34"/>
        <v>Low</v>
      </c>
    </row>
    <row r="265" spans="1:24" ht="15.75" customHeight="1">
      <c r="A265" s="4" t="s">
        <v>2261</v>
      </c>
      <c r="B265" s="9">
        <v>45526</v>
      </c>
      <c r="C265" s="4" t="s">
        <v>1228</v>
      </c>
      <c r="D265" s="4" t="s">
        <v>1703</v>
      </c>
      <c r="E265" s="4" t="s">
        <v>1952</v>
      </c>
      <c r="F265" s="4">
        <v>4</v>
      </c>
      <c r="G265" s="4">
        <v>94.13</v>
      </c>
      <c r="H265" s="4">
        <v>0.04</v>
      </c>
      <c r="I265" s="4" t="s">
        <v>2004</v>
      </c>
      <c r="J265" s="10">
        <v>361.45920000000001</v>
      </c>
      <c r="K265" s="4" t="str">
        <f t="shared" si="28"/>
        <v>22-08-2024</v>
      </c>
      <c r="L265" s="4" t="str">
        <f>TEXT(Sales_Fact!$B265,"mmm")</f>
        <v>Aug</v>
      </c>
      <c r="M265" s="4">
        <f t="shared" si="29"/>
        <v>4</v>
      </c>
      <c r="N265" s="10">
        <f t="shared" si="30"/>
        <v>94.13</v>
      </c>
      <c r="O265" s="10">
        <f t="shared" si="31"/>
        <v>361.45919999999995</v>
      </c>
      <c r="P265" s="10">
        <f t="shared" si="32"/>
        <v>376.52</v>
      </c>
      <c r="Q265" s="3">
        <f t="shared" si="33"/>
        <v>4.0000000000000077E-2</v>
      </c>
      <c r="R265" s="4" t="str">
        <f>IF(Sales_Fact!$O265&gt;1000,"High","Low")</f>
        <v>Low</v>
      </c>
      <c r="S265" s="4" t="str">
        <f>VLOOKUP(C265,Customer_Dim!$A:$N,9,FALSE())</f>
        <v>Andrew Mason</v>
      </c>
      <c r="T265" s="4" t="str">
        <f>VLOOKUP(D265,Product_Dim!$A:$M,3,FALSE())</f>
        <v>Electronics</v>
      </c>
      <c r="U265" s="11" t="str">
        <f>VLOOKUP(D265,Product_Dim!$A:$M,2,FALSE())</f>
        <v>Gaming Mechanical Keyboard</v>
      </c>
      <c r="V265" s="11" t="str">
        <f>VLOOKUP(E265,Store_Dim!$A:$E,3,FALSE())</f>
        <v>North</v>
      </c>
      <c r="W265" s="11" t="str">
        <f>VLOOKUP(C265,Customer_Dim!$A:$N,13,FALSE())</f>
        <v>Bronze</v>
      </c>
      <c r="X265" s="11" t="str">
        <f t="shared" si="34"/>
        <v>High</v>
      </c>
    </row>
    <row r="266" spans="1:24" ht="15.75" customHeight="1">
      <c r="A266" s="4" t="s">
        <v>2262</v>
      </c>
      <c r="B266" s="9">
        <v>45489</v>
      </c>
      <c r="C266" s="4" t="s">
        <v>1472</v>
      </c>
      <c r="D266" s="4" t="s">
        <v>1583</v>
      </c>
      <c r="E266" s="4" t="s">
        <v>1959</v>
      </c>
      <c r="F266" s="4">
        <v>3</v>
      </c>
      <c r="G266" s="4">
        <v>402.3</v>
      </c>
      <c r="H266" s="4">
        <v>0.21</v>
      </c>
      <c r="I266" s="4" t="s">
        <v>1998</v>
      </c>
      <c r="J266" s="10">
        <v>953.45100000000002</v>
      </c>
      <c r="K266" s="4" t="str">
        <f t="shared" si="28"/>
        <v>16-07-2024</v>
      </c>
      <c r="L266" s="4" t="str">
        <f>TEXT(Sales_Fact!$B266,"mmm")</f>
        <v>Jul</v>
      </c>
      <c r="M266" s="4">
        <f t="shared" si="29"/>
        <v>3</v>
      </c>
      <c r="N266" s="10">
        <f t="shared" si="30"/>
        <v>402.3</v>
      </c>
      <c r="O266" s="10">
        <f t="shared" si="31"/>
        <v>953.45100000000014</v>
      </c>
      <c r="P266" s="10">
        <f t="shared" si="32"/>
        <v>1206.9000000000001</v>
      </c>
      <c r="Q266" s="3">
        <f t="shared" si="33"/>
        <v>0.20999999999999994</v>
      </c>
      <c r="R266" s="4" t="str">
        <f>IF(Sales_Fact!$O266&gt;1000,"High","Low")</f>
        <v>Low</v>
      </c>
      <c r="S266" s="4" t="str">
        <f>VLOOKUP(C266,Customer_Dim!$A:$N,9,FALSE())</f>
        <v>Gregory Curtis</v>
      </c>
      <c r="T266" s="4" t="str">
        <f>VLOOKUP(D266,Product_Dim!$A:$M,3,FALSE())</f>
        <v>Clothing</v>
      </c>
      <c r="U266" s="11" t="str">
        <f>VLOOKUP(D266,Product_Dim!$A:$M,2,FALSE())</f>
        <v>Men's Graphic T-Shirt</v>
      </c>
      <c r="V266" s="11" t="str">
        <f>VLOOKUP(E266,Store_Dim!$A:$E,3,FALSE())</f>
        <v>North</v>
      </c>
      <c r="W266" s="11" t="str">
        <f>VLOOKUP(C266,Customer_Dim!$A:$N,13,FALSE())</f>
        <v>Bronze</v>
      </c>
      <c r="X266" s="11" t="str">
        <f t="shared" si="34"/>
        <v>Low</v>
      </c>
    </row>
    <row r="267" spans="1:24" ht="15.75" customHeight="1">
      <c r="A267" s="4" t="s">
        <v>2263</v>
      </c>
      <c r="B267" s="9">
        <v>45908</v>
      </c>
      <c r="C267" s="4" t="s">
        <v>795</v>
      </c>
      <c r="D267" s="4" t="s">
        <v>1864</v>
      </c>
      <c r="E267" s="4" t="s">
        <v>1937</v>
      </c>
      <c r="F267" s="4">
        <v>1</v>
      </c>
      <c r="G267" s="4">
        <v>729.05</v>
      </c>
      <c r="H267" s="4">
        <v>0.06</v>
      </c>
      <c r="I267" s="4" t="s">
        <v>2004</v>
      </c>
      <c r="J267" s="10">
        <v>685.30700000000002</v>
      </c>
      <c r="K267" s="4" t="str">
        <f t="shared" si="28"/>
        <v>08-09-2025</v>
      </c>
      <c r="L267" s="4" t="str">
        <f>TEXT(Sales_Fact!$B267,"mmm")</f>
        <v>Sep</v>
      </c>
      <c r="M267" s="4">
        <f t="shared" si="29"/>
        <v>1</v>
      </c>
      <c r="N267" s="10">
        <f t="shared" si="30"/>
        <v>729.05</v>
      </c>
      <c r="O267" s="10">
        <f t="shared" si="31"/>
        <v>685.3069999999999</v>
      </c>
      <c r="P267" s="10">
        <f t="shared" si="32"/>
        <v>729.05</v>
      </c>
      <c r="Q267" s="3">
        <f t="shared" si="33"/>
        <v>6.0000000000000074E-2</v>
      </c>
      <c r="R267" s="4" t="str">
        <f>IF(Sales_Fact!$O267&gt;1000,"High","Low")</f>
        <v>Low</v>
      </c>
      <c r="S267" s="4" t="str">
        <f>VLOOKUP(C267,Customer_Dim!$A:$N,9,FALSE())</f>
        <v>Maria Hill</v>
      </c>
      <c r="T267" s="4" t="str">
        <f>VLOOKUP(D267,Product_Dim!$A:$M,3,FALSE())</f>
        <v>Home</v>
      </c>
      <c r="U267" s="11" t="str">
        <f>VLOOKUP(D267,Product_Dim!$A:$M,2,FALSE())</f>
        <v>Kitchen Cutting Board</v>
      </c>
      <c r="V267" s="11" t="str">
        <f>VLOOKUP(E267,Store_Dim!$A:$E,3,FALSE())</f>
        <v>South</v>
      </c>
      <c r="W267" s="11" t="str">
        <f>VLOOKUP(C267,Customer_Dim!$A:$N,13,FALSE())</f>
        <v>Platinum</v>
      </c>
      <c r="X267" s="11" t="str">
        <f t="shared" si="34"/>
        <v>Low</v>
      </c>
    </row>
    <row r="268" spans="1:24" ht="15.75" customHeight="1">
      <c r="A268" s="4" t="s">
        <v>2264</v>
      </c>
      <c r="B268" s="9">
        <v>45912</v>
      </c>
      <c r="C268" s="4" t="s">
        <v>482</v>
      </c>
      <c r="D268" s="4" t="s">
        <v>1876</v>
      </c>
      <c r="E268" s="4" t="s">
        <v>1955</v>
      </c>
      <c r="F268" s="4">
        <v>1</v>
      </c>
      <c r="G268" s="4">
        <v>822.6</v>
      </c>
      <c r="H268" s="4">
        <v>0.28999999999999998</v>
      </c>
      <c r="I268" s="4" t="s">
        <v>1998</v>
      </c>
      <c r="J268" s="10">
        <v>584.04600000000005</v>
      </c>
      <c r="K268" s="4" t="str">
        <f t="shared" si="28"/>
        <v>12-09-2025</v>
      </c>
      <c r="L268" s="4" t="str">
        <f>TEXT(Sales_Fact!$B268,"mmm")</f>
        <v>Sep</v>
      </c>
      <c r="M268" s="4">
        <f t="shared" si="29"/>
        <v>1</v>
      </c>
      <c r="N268" s="10">
        <f t="shared" si="30"/>
        <v>822.6</v>
      </c>
      <c r="O268" s="10">
        <f t="shared" si="31"/>
        <v>584.04599999999994</v>
      </c>
      <c r="P268" s="10">
        <f t="shared" si="32"/>
        <v>822.6</v>
      </c>
      <c r="Q268" s="3">
        <f t="shared" si="33"/>
        <v>0.29000000000000009</v>
      </c>
      <c r="R268" s="4" t="str">
        <f>IF(Sales_Fact!$O268&gt;1000,"High","Low")</f>
        <v>Low</v>
      </c>
      <c r="S268" s="4" t="str">
        <f>VLOOKUP(C268,Customer_Dim!$A:$N,9,FALSE())</f>
        <v>Morgan Bowen</v>
      </c>
      <c r="T268" s="4" t="str">
        <f>VLOOKUP(D268,Product_Dim!$A:$M,3,FALSE())</f>
        <v>Electronics</v>
      </c>
      <c r="U268" s="11" t="str">
        <f>VLOOKUP(D268,Product_Dim!$A:$M,2,FALSE())</f>
        <v>Gaming Mouse Pad XL</v>
      </c>
      <c r="V268" s="11" t="str">
        <f>VLOOKUP(E268,Store_Dim!$A:$E,3,FALSE())</f>
        <v>East</v>
      </c>
      <c r="W268" s="11" t="str">
        <f>VLOOKUP(C268,Customer_Dim!$A:$N,13,FALSE())</f>
        <v>Gold</v>
      </c>
      <c r="X268" s="11" t="str">
        <f t="shared" si="34"/>
        <v>Low</v>
      </c>
    </row>
    <row r="269" spans="1:24" ht="15.75" customHeight="1">
      <c r="A269" s="4" t="s">
        <v>2265</v>
      </c>
      <c r="B269" s="9">
        <v>45771</v>
      </c>
      <c r="C269" s="4" t="s">
        <v>659</v>
      </c>
      <c r="D269" s="4" t="s">
        <v>1855</v>
      </c>
      <c r="E269" s="4" t="s">
        <v>1940</v>
      </c>
      <c r="F269" s="4">
        <v>2</v>
      </c>
      <c r="G269" s="4">
        <v>327.25</v>
      </c>
      <c r="H269" s="4">
        <v>0.19</v>
      </c>
      <c r="I269" s="4" t="s">
        <v>1998</v>
      </c>
      <c r="J269" s="10">
        <v>530.14499999999998</v>
      </c>
      <c r="K269" s="4" t="str">
        <f t="shared" si="28"/>
        <v>24-04-2025</v>
      </c>
      <c r="L269" s="4" t="str">
        <f>TEXT(Sales_Fact!$B269,"mmm")</f>
        <v>Apr</v>
      </c>
      <c r="M269" s="4">
        <f t="shared" si="29"/>
        <v>2</v>
      </c>
      <c r="N269" s="10">
        <f t="shared" si="30"/>
        <v>327.25</v>
      </c>
      <c r="O269" s="10">
        <f t="shared" si="31"/>
        <v>530.14499999999998</v>
      </c>
      <c r="P269" s="10">
        <f t="shared" si="32"/>
        <v>654.5</v>
      </c>
      <c r="Q269" s="3">
        <f t="shared" si="33"/>
        <v>0.19000000000000003</v>
      </c>
      <c r="R269" s="4" t="str">
        <f>IF(Sales_Fact!$O269&gt;1000,"High","Low")</f>
        <v>Low</v>
      </c>
      <c r="S269" s="4" t="str">
        <f>VLOOKUP(C269,Customer_Dim!$A:$N,9,FALSE())</f>
        <v>David Roberts</v>
      </c>
      <c r="T269" s="4" t="str">
        <f>VLOOKUP(D269,Product_Dim!$A:$M,3,FALSE())</f>
        <v>Beauty</v>
      </c>
      <c r="U269" s="11" t="str">
        <f>VLOOKUP(D269,Product_Dim!$A:$M,2,FALSE())</f>
        <v>Hydrating Face Cleanser</v>
      </c>
      <c r="V269" s="11" t="str">
        <f>VLOOKUP(E269,Store_Dim!$A:$E,3,FALSE())</f>
        <v>West</v>
      </c>
      <c r="W269" s="11" t="str">
        <f>VLOOKUP(C269,Customer_Dim!$A:$N,13,FALSE())</f>
        <v>Gold</v>
      </c>
      <c r="X269" s="11" t="str">
        <f t="shared" si="34"/>
        <v>Low</v>
      </c>
    </row>
    <row r="270" spans="1:24" ht="15.75" customHeight="1">
      <c r="A270" s="4" t="s">
        <v>2266</v>
      </c>
      <c r="B270" s="9">
        <v>45619</v>
      </c>
      <c r="C270" s="4" t="s">
        <v>325</v>
      </c>
      <c r="D270" s="4" t="s">
        <v>1816</v>
      </c>
      <c r="E270" s="4" t="s">
        <v>1944</v>
      </c>
      <c r="F270" s="4">
        <v>4</v>
      </c>
      <c r="G270" s="4">
        <v>930.38</v>
      </c>
      <c r="H270" s="4">
        <v>0</v>
      </c>
      <c r="I270" s="4" t="s">
        <v>2004</v>
      </c>
      <c r="J270" s="10">
        <v>3721.52</v>
      </c>
      <c r="K270" s="4" t="str">
        <f t="shared" si="28"/>
        <v>23-11-2024</v>
      </c>
      <c r="L270" s="4" t="str">
        <f>TEXT(Sales_Fact!$B270,"mmm")</f>
        <v>Nov</v>
      </c>
      <c r="M270" s="4">
        <f t="shared" si="29"/>
        <v>4</v>
      </c>
      <c r="N270" s="10">
        <f t="shared" si="30"/>
        <v>930.38</v>
      </c>
      <c r="O270" s="10">
        <f t="shared" si="31"/>
        <v>3721.52</v>
      </c>
      <c r="P270" s="10">
        <f t="shared" si="32"/>
        <v>3721.52</v>
      </c>
      <c r="Q270" s="3">
        <f t="shared" si="33"/>
        <v>0</v>
      </c>
      <c r="R270" s="4" t="str">
        <f>IF(Sales_Fact!$O270&gt;1000,"High","Low")</f>
        <v>High</v>
      </c>
      <c r="S270" s="4" t="str">
        <f>VLOOKUP(C270,Customer_Dim!$A:$N,9,FALSE())</f>
        <v>Christy Hoffman</v>
      </c>
      <c r="T270" s="4" t="str">
        <f>VLOOKUP(D270,Product_Dim!$A:$M,3,FALSE())</f>
        <v>Home</v>
      </c>
      <c r="U270" s="11" t="str">
        <f>VLOOKUP(D270,Product_Dim!$A:$M,2,FALSE())</f>
        <v>Kitchen Storage Rack</v>
      </c>
      <c r="V270" s="11" t="str">
        <f>VLOOKUP(E270,Store_Dim!$A:$E,3,FALSE())</f>
        <v>South</v>
      </c>
      <c r="W270" s="11" t="str">
        <f>VLOOKUP(C270,Customer_Dim!$A:$N,13,FALSE())</f>
        <v>Platinum</v>
      </c>
      <c r="X270" s="11" t="str">
        <f t="shared" si="34"/>
        <v>High</v>
      </c>
    </row>
    <row r="271" spans="1:24" ht="15.75" customHeight="1">
      <c r="A271" s="4" t="s">
        <v>2267</v>
      </c>
      <c r="B271" s="9">
        <v>45777</v>
      </c>
      <c r="C271" s="4" t="s">
        <v>335</v>
      </c>
      <c r="D271" s="4" t="s">
        <v>1636</v>
      </c>
      <c r="E271" s="4" t="s">
        <v>1924</v>
      </c>
      <c r="F271" s="4">
        <v>2</v>
      </c>
      <c r="G271" s="4">
        <v>44.35</v>
      </c>
      <c r="H271" s="4">
        <v>0.2</v>
      </c>
      <c r="I271" s="4" t="s">
        <v>2004</v>
      </c>
      <c r="J271" s="10">
        <v>70.959999999999994</v>
      </c>
      <c r="K271" s="4" t="str">
        <f t="shared" si="28"/>
        <v>30-04-2025</v>
      </c>
      <c r="L271" s="4" t="str">
        <f>TEXT(Sales_Fact!$B271,"mmm")</f>
        <v>Apr</v>
      </c>
      <c r="M271" s="4">
        <f t="shared" si="29"/>
        <v>2</v>
      </c>
      <c r="N271" s="10">
        <f t="shared" si="30"/>
        <v>44.35</v>
      </c>
      <c r="O271" s="10">
        <f t="shared" si="31"/>
        <v>70.960000000000008</v>
      </c>
      <c r="P271" s="10">
        <f t="shared" si="32"/>
        <v>88.7</v>
      </c>
      <c r="Q271" s="3">
        <f t="shared" si="33"/>
        <v>0.19999999999999993</v>
      </c>
      <c r="R271" s="4" t="str">
        <f>IF(Sales_Fact!$O271&gt;1000,"High","Low")</f>
        <v>Low</v>
      </c>
      <c r="S271" s="4" t="str">
        <f>VLOOKUP(C271,Customer_Dim!$A:$N,9,FALSE())</f>
        <v>Melissa Duffy Md</v>
      </c>
      <c r="T271" s="4" t="str">
        <f>VLOOKUP(D271,Product_Dim!$A:$M,3,FALSE())</f>
        <v>Home</v>
      </c>
      <c r="U271" s="11" t="str">
        <f>VLOOKUP(D271,Product_Dim!$A:$M,2,FALSE())</f>
        <v>Decorative Wall Mirror</v>
      </c>
      <c r="V271" s="11" t="str">
        <f>VLOOKUP(E271,Store_Dim!$A:$E,3,FALSE())</f>
        <v>North</v>
      </c>
      <c r="W271" s="11" t="str">
        <f>VLOOKUP(C271,Customer_Dim!$A:$N,13,FALSE())</f>
        <v>Bronze</v>
      </c>
      <c r="X271" s="11" t="str">
        <f t="shared" si="34"/>
        <v>Low</v>
      </c>
    </row>
    <row r="272" spans="1:24" ht="15.75" customHeight="1">
      <c r="A272" s="4" t="s">
        <v>2268</v>
      </c>
      <c r="B272" s="9">
        <v>45394</v>
      </c>
      <c r="C272" s="4" t="s">
        <v>511</v>
      </c>
      <c r="D272" s="4" t="s">
        <v>1681</v>
      </c>
      <c r="E272" s="4" t="s">
        <v>1931</v>
      </c>
      <c r="F272" s="4">
        <v>2</v>
      </c>
      <c r="G272" s="4">
        <v>437.84</v>
      </c>
      <c r="H272" s="4">
        <v>0.24</v>
      </c>
      <c r="I272" s="4" t="s">
        <v>1996</v>
      </c>
      <c r="J272" s="10">
        <v>665.51679999999999</v>
      </c>
      <c r="K272" s="4" t="str">
        <f t="shared" si="28"/>
        <v>12-04-2024</v>
      </c>
      <c r="L272" s="4" t="str">
        <f>TEXT(Sales_Fact!$B272,"mmm")</f>
        <v>Apr</v>
      </c>
      <c r="M272" s="4">
        <f t="shared" si="29"/>
        <v>2</v>
      </c>
      <c r="N272" s="10">
        <f t="shared" si="30"/>
        <v>437.84</v>
      </c>
      <c r="O272" s="10">
        <f t="shared" si="31"/>
        <v>665.51679999999999</v>
      </c>
      <c r="P272" s="10">
        <f t="shared" si="32"/>
        <v>875.68</v>
      </c>
      <c r="Q272" s="3">
        <f t="shared" si="33"/>
        <v>0.23999999999999996</v>
      </c>
      <c r="R272" s="4" t="str">
        <f>IF(Sales_Fact!$O272&gt;1000,"High","Low")</f>
        <v>Low</v>
      </c>
      <c r="S272" s="4" t="str">
        <f>VLOOKUP(C272,Customer_Dim!$A:$N,9,FALSE())</f>
        <v>Justin Cross</v>
      </c>
      <c r="T272" s="4" t="str">
        <f>VLOOKUP(D272,Product_Dim!$A:$M,3,FALSE())</f>
        <v>Home</v>
      </c>
      <c r="U272" s="11" t="str">
        <f>VLOOKUP(D272,Product_Dim!$A:$M,2,FALSE())</f>
        <v>Decorative Floor Vase</v>
      </c>
      <c r="V272" s="11" t="str">
        <f>VLOOKUP(E272,Store_Dim!$A:$E,3,FALSE())</f>
        <v>North</v>
      </c>
      <c r="W272" s="11" t="str">
        <f>VLOOKUP(C272,Customer_Dim!$A:$N,13,FALSE())</f>
        <v>Bronze</v>
      </c>
      <c r="X272" s="11" t="str">
        <f t="shared" si="34"/>
        <v>Low</v>
      </c>
    </row>
    <row r="273" spans="1:24" ht="15.75" customHeight="1">
      <c r="A273" s="4" t="s">
        <v>2269</v>
      </c>
      <c r="B273" s="9">
        <v>45786</v>
      </c>
      <c r="C273" s="4" t="s">
        <v>279</v>
      </c>
      <c r="D273" s="4" t="s">
        <v>1644</v>
      </c>
      <c r="E273" s="4" t="s">
        <v>1962</v>
      </c>
      <c r="F273" s="4">
        <v>2</v>
      </c>
      <c r="G273" s="4">
        <v>126.02</v>
      </c>
      <c r="H273" s="4">
        <v>0.09</v>
      </c>
      <c r="I273" s="4" t="s">
        <v>2004</v>
      </c>
      <c r="J273" s="10">
        <v>229.35640000000001</v>
      </c>
      <c r="K273" s="4" t="str">
        <f t="shared" si="28"/>
        <v>09-05-2025</v>
      </c>
      <c r="L273" s="4" t="str">
        <f>TEXT(Sales_Fact!$B273,"mmm")</f>
        <v>May</v>
      </c>
      <c r="M273" s="4">
        <f t="shared" si="29"/>
        <v>2</v>
      </c>
      <c r="N273" s="10">
        <f t="shared" si="30"/>
        <v>126.02</v>
      </c>
      <c r="O273" s="10">
        <f t="shared" si="31"/>
        <v>229.35640000000001</v>
      </c>
      <c r="P273" s="10">
        <f t="shared" si="32"/>
        <v>252.04</v>
      </c>
      <c r="Q273" s="3">
        <f t="shared" si="33"/>
        <v>8.9999999999999941E-2</v>
      </c>
      <c r="R273" s="4" t="str">
        <f>IF(Sales_Fact!$O273&gt;1000,"High","Low")</f>
        <v>Low</v>
      </c>
      <c r="S273" s="4" t="str">
        <f>VLOOKUP(C273,Customer_Dim!$A:$N,9,FALSE())</f>
        <v>Eric Singh</v>
      </c>
      <c r="T273" s="4" t="str">
        <f>VLOOKUP(D273,Product_Dim!$A:$M,3,FALSE())</f>
        <v>Beauty</v>
      </c>
      <c r="U273" s="11" t="str">
        <f>VLOOKUP(D273,Product_Dim!$A:$M,2,FALSE())</f>
        <v>Beard Grooming Kit</v>
      </c>
      <c r="V273" s="11" t="str">
        <f>VLOOKUP(E273,Store_Dim!$A:$E,3,FALSE())</f>
        <v>West</v>
      </c>
      <c r="W273" s="11" t="str">
        <f>VLOOKUP(C273,Customer_Dim!$A:$N,13,FALSE())</f>
        <v>Gold</v>
      </c>
      <c r="X273" s="11" t="str">
        <f t="shared" si="34"/>
        <v>Low</v>
      </c>
    </row>
    <row r="274" spans="1:24" ht="15.75" customHeight="1">
      <c r="A274" s="4" t="s">
        <v>2270</v>
      </c>
      <c r="B274" s="9">
        <v>45692</v>
      </c>
      <c r="C274" s="4" t="s">
        <v>1384</v>
      </c>
      <c r="D274" s="4" t="s">
        <v>1855</v>
      </c>
      <c r="E274" s="4" t="s">
        <v>1959</v>
      </c>
      <c r="F274" s="4">
        <v>1</v>
      </c>
      <c r="G274" s="4">
        <v>860.84</v>
      </c>
      <c r="H274" s="4">
        <v>7.0000000000000007E-2</v>
      </c>
      <c r="I274" s="4" t="s">
        <v>1998</v>
      </c>
      <c r="J274" s="10">
        <v>800.58119999999997</v>
      </c>
      <c r="K274" s="4" t="str">
        <f t="shared" si="28"/>
        <v>04-02-2025</v>
      </c>
      <c r="L274" s="4" t="str">
        <f>TEXT(Sales_Fact!$B274,"mmm")</f>
        <v>Feb</v>
      </c>
      <c r="M274" s="4">
        <f t="shared" si="29"/>
        <v>1</v>
      </c>
      <c r="N274" s="10">
        <f t="shared" si="30"/>
        <v>860.84</v>
      </c>
      <c r="O274" s="10">
        <f t="shared" si="31"/>
        <v>800.58119999999997</v>
      </c>
      <c r="P274" s="10">
        <f t="shared" si="32"/>
        <v>860.84</v>
      </c>
      <c r="Q274" s="3">
        <f t="shared" si="33"/>
        <v>7.0000000000000076E-2</v>
      </c>
      <c r="R274" s="4" t="str">
        <f>IF(Sales_Fact!$O274&gt;1000,"High","Low")</f>
        <v>Low</v>
      </c>
      <c r="S274" s="4" t="str">
        <f>VLOOKUP(C274,Customer_Dim!$A:$N,9,FALSE())</f>
        <v>Melinda Rivera</v>
      </c>
      <c r="T274" s="4" t="str">
        <f>VLOOKUP(D274,Product_Dim!$A:$M,3,FALSE())</f>
        <v>Beauty</v>
      </c>
      <c r="U274" s="11" t="str">
        <f>VLOOKUP(D274,Product_Dim!$A:$M,2,FALSE())</f>
        <v>Hydrating Face Cleanser</v>
      </c>
      <c r="V274" s="11" t="str">
        <f>VLOOKUP(E274,Store_Dim!$A:$E,3,FALSE())</f>
        <v>North</v>
      </c>
      <c r="W274" s="11" t="str">
        <f>VLOOKUP(C274,Customer_Dim!$A:$N,13,FALSE())</f>
        <v>Platinum</v>
      </c>
      <c r="X274" s="11" t="str">
        <f t="shared" si="34"/>
        <v>Low</v>
      </c>
    </row>
    <row r="275" spans="1:24" ht="15.75" customHeight="1">
      <c r="A275" s="4" t="s">
        <v>2271</v>
      </c>
      <c r="B275" s="9">
        <v>45677</v>
      </c>
      <c r="C275" s="4" t="s">
        <v>356</v>
      </c>
      <c r="D275" s="4" t="s">
        <v>1748</v>
      </c>
      <c r="E275" s="4" t="s">
        <v>1955</v>
      </c>
      <c r="F275" s="4">
        <v>1</v>
      </c>
      <c r="G275" s="4">
        <v>161.80000000000001</v>
      </c>
      <c r="H275" s="4">
        <v>0.24</v>
      </c>
      <c r="I275" s="4" t="s">
        <v>1998</v>
      </c>
      <c r="J275" s="10">
        <v>122.968</v>
      </c>
      <c r="K275" s="4" t="str">
        <f t="shared" si="28"/>
        <v>20-01-2025</v>
      </c>
      <c r="L275" s="4" t="str">
        <f>TEXT(Sales_Fact!$B275,"mmm")</f>
        <v>Jan</v>
      </c>
      <c r="M275" s="4">
        <f t="shared" si="29"/>
        <v>1</v>
      </c>
      <c r="N275" s="10">
        <f t="shared" si="30"/>
        <v>161.80000000000001</v>
      </c>
      <c r="O275" s="10">
        <f t="shared" si="31"/>
        <v>122.968</v>
      </c>
      <c r="P275" s="10">
        <f t="shared" si="32"/>
        <v>161.80000000000001</v>
      </c>
      <c r="Q275" s="3">
        <f t="shared" si="33"/>
        <v>0.24000000000000002</v>
      </c>
      <c r="R275" s="4" t="str">
        <f>IF(Sales_Fact!$O275&gt;1000,"High","Low")</f>
        <v>Low</v>
      </c>
      <c r="S275" s="4" t="str">
        <f>VLOOKUP(C275,Customer_Dim!$A:$N,9,FALSE())</f>
        <v>Christy Vasquez</v>
      </c>
      <c r="T275" s="4" t="str">
        <f>VLOOKUP(D275,Product_Dim!$A:$M,3,FALSE())</f>
        <v>Electronics</v>
      </c>
      <c r="U275" s="11" t="str">
        <f>VLOOKUP(D275,Product_Dim!$A:$M,2,FALSE())</f>
        <v>Car Dashboard Phone Holder</v>
      </c>
      <c r="V275" s="11" t="str">
        <f>VLOOKUP(E275,Store_Dim!$A:$E,3,FALSE())</f>
        <v>East</v>
      </c>
      <c r="W275" s="11" t="str">
        <f>VLOOKUP(C275,Customer_Dim!$A:$N,13,FALSE())</f>
        <v>Gold</v>
      </c>
      <c r="X275" s="11" t="str">
        <f t="shared" si="34"/>
        <v>Low</v>
      </c>
    </row>
    <row r="276" spans="1:24" ht="15.75" customHeight="1">
      <c r="A276" s="4" t="s">
        <v>2272</v>
      </c>
      <c r="B276" s="9">
        <v>45669</v>
      </c>
      <c r="C276" s="4" t="s">
        <v>1231</v>
      </c>
      <c r="D276" s="4" t="s">
        <v>1716</v>
      </c>
      <c r="E276" s="4" t="s">
        <v>1965</v>
      </c>
      <c r="F276" s="4">
        <v>4</v>
      </c>
      <c r="G276" s="4">
        <v>347.82</v>
      </c>
      <c r="H276" s="4">
        <v>0.02</v>
      </c>
      <c r="I276" s="4" t="s">
        <v>2004</v>
      </c>
      <c r="J276" s="10">
        <v>1363.4544000000001</v>
      </c>
      <c r="K276" s="4" t="str">
        <f t="shared" si="28"/>
        <v>12-01-2025</v>
      </c>
      <c r="L276" s="4" t="str">
        <f>TEXT(Sales_Fact!$B276,"mmm")</f>
        <v>Jan</v>
      </c>
      <c r="M276" s="4">
        <f t="shared" si="29"/>
        <v>4</v>
      </c>
      <c r="N276" s="10">
        <f t="shared" si="30"/>
        <v>347.82</v>
      </c>
      <c r="O276" s="10">
        <f t="shared" si="31"/>
        <v>1363.4543999999999</v>
      </c>
      <c r="P276" s="10">
        <f t="shared" si="32"/>
        <v>1391.28</v>
      </c>
      <c r="Q276" s="3">
        <f t="shared" si="33"/>
        <v>2.0000000000000087E-2</v>
      </c>
      <c r="R276" s="4" t="str">
        <f>IF(Sales_Fact!$O276&gt;1000,"High","Low")</f>
        <v>High</v>
      </c>
      <c r="S276" s="4" t="str">
        <f>VLOOKUP(C276,Customer_Dim!$A:$N,9,FALSE())</f>
        <v>Tammy Brennan</v>
      </c>
      <c r="T276" s="4" t="str">
        <f>VLOOKUP(D276,Product_Dim!$A:$M,3,FALSE())</f>
        <v>Sports</v>
      </c>
      <c r="U276" s="11" t="str">
        <f>VLOOKUP(D276,Product_Dim!$A:$M,2,FALSE())</f>
        <v>Sports Water Hydration Pack</v>
      </c>
      <c r="V276" s="11" t="str">
        <f>VLOOKUP(E276,Store_Dim!$A:$E,3,FALSE())</f>
        <v>North</v>
      </c>
      <c r="W276" s="11" t="str">
        <f>VLOOKUP(C276,Customer_Dim!$A:$N,13,FALSE())</f>
        <v>Gold</v>
      </c>
      <c r="X276" s="11" t="str">
        <f t="shared" si="34"/>
        <v>High</v>
      </c>
    </row>
    <row r="277" spans="1:24" ht="15.75" customHeight="1">
      <c r="A277" s="4" t="s">
        <v>2273</v>
      </c>
      <c r="B277" s="9">
        <v>45299</v>
      </c>
      <c r="C277" s="4" t="s">
        <v>1429</v>
      </c>
      <c r="D277" s="4" t="s">
        <v>1861</v>
      </c>
      <c r="E277" s="4" t="s">
        <v>1962</v>
      </c>
      <c r="F277" s="4">
        <v>3</v>
      </c>
      <c r="G277" s="4">
        <v>416.44</v>
      </c>
      <c r="H277" s="4">
        <v>0.27</v>
      </c>
      <c r="I277" s="4" t="s">
        <v>1996</v>
      </c>
      <c r="J277" s="10">
        <v>912.00360000000001</v>
      </c>
      <c r="K277" s="4" t="str">
        <f t="shared" si="28"/>
        <v>08-01-2024</v>
      </c>
      <c r="L277" s="4" t="str">
        <f>TEXT(Sales_Fact!$B277,"mmm")</f>
        <v>Jan</v>
      </c>
      <c r="M277" s="4">
        <f t="shared" si="29"/>
        <v>3</v>
      </c>
      <c r="N277" s="10">
        <f t="shared" si="30"/>
        <v>416.44</v>
      </c>
      <c r="O277" s="10">
        <f t="shared" si="31"/>
        <v>912.00359999999989</v>
      </c>
      <c r="P277" s="10">
        <f t="shared" si="32"/>
        <v>1249.32</v>
      </c>
      <c r="Q277" s="3">
        <f t="shared" si="33"/>
        <v>0.27000000000000007</v>
      </c>
      <c r="R277" s="4" t="str">
        <f>IF(Sales_Fact!$O277&gt;1000,"High","Low")</f>
        <v>Low</v>
      </c>
      <c r="S277" s="4" t="str">
        <f>VLOOKUP(C277,Customer_Dim!$A:$N,9,FALSE())</f>
        <v>April Phillips</v>
      </c>
      <c r="T277" s="4" t="str">
        <f>VLOOKUP(D277,Product_Dim!$A:$M,3,FALSE())</f>
        <v>Clothing</v>
      </c>
      <c r="U277" s="11" t="str">
        <f>VLOOKUP(D277,Product_Dim!$A:$M,2,FALSE())</f>
        <v>Women's Beanie Hat</v>
      </c>
      <c r="V277" s="11" t="str">
        <f>VLOOKUP(E277,Store_Dim!$A:$E,3,FALSE())</f>
        <v>West</v>
      </c>
      <c r="W277" s="11" t="str">
        <f>VLOOKUP(C277,Customer_Dim!$A:$N,13,FALSE())</f>
        <v>Platinum</v>
      </c>
      <c r="X277" s="11" t="str">
        <f t="shared" si="34"/>
        <v>Low</v>
      </c>
    </row>
    <row r="278" spans="1:24" ht="15.75" customHeight="1">
      <c r="A278" s="4" t="s">
        <v>2274</v>
      </c>
      <c r="B278" s="9">
        <v>45893</v>
      </c>
      <c r="C278" s="4" t="s">
        <v>51</v>
      </c>
      <c r="D278" s="4" t="s">
        <v>1791</v>
      </c>
      <c r="E278" s="4" t="s">
        <v>1910</v>
      </c>
      <c r="F278" s="4">
        <v>1</v>
      </c>
      <c r="G278" s="4">
        <v>147.96</v>
      </c>
      <c r="H278" s="4">
        <v>0.24</v>
      </c>
      <c r="I278" s="4" t="s">
        <v>2004</v>
      </c>
      <c r="J278" s="10">
        <v>112.4496</v>
      </c>
      <c r="K278" s="4" t="str">
        <f t="shared" si="28"/>
        <v>24-08-2025</v>
      </c>
      <c r="L278" s="4" t="str">
        <f>TEXT(Sales_Fact!$B278,"mmm")</f>
        <v>Aug</v>
      </c>
      <c r="M278" s="4">
        <f t="shared" si="29"/>
        <v>1</v>
      </c>
      <c r="N278" s="10">
        <f t="shared" si="30"/>
        <v>147.96</v>
      </c>
      <c r="O278" s="10">
        <f t="shared" si="31"/>
        <v>112.4496</v>
      </c>
      <c r="P278" s="10">
        <f t="shared" si="32"/>
        <v>147.96</v>
      </c>
      <c r="Q278" s="3">
        <f t="shared" si="33"/>
        <v>0.24000000000000002</v>
      </c>
      <c r="R278" s="4" t="str">
        <f>IF(Sales_Fact!$O278&gt;1000,"High","Low")</f>
        <v>Low</v>
      </c>
      <c r="S278" s="4" t="str">
        <f>VLOOKUP(C278,Customer_Dim!$A:$N,9,FALSE())</f>
        <v>Christine Vaughn</v>
      </c>
      <c r="T278" s="4" t="str">
        <f>VLOOKUP(D278,Product_Dim!$A:$M,3,FALSE())</f>
        <v>Electronics</v>
      </c>
      <c r="U278" s="11" t="str">
        <f>VLOOKUP(D278,Product_Dim!$A:$M,2,FALSE())</f>
        <v>Laptop Cooling Pad</v>
      </c>
      <c r="V278" s="11" t="str">
        <f>VLOOKUP(E278,Store_Dim!$A:$E,3,FALSE())</f>
        <v>East</v>
      </c>
      <c r="W278" s="11" t="str">
        <f>VLOOKUP(C278,Customer_Dim!$A:$N,13,FALSE())</f>
        <v>Bronze</v>
      </c>
      <c r="X278" s="11" t="str">
        <f t="shared" si="34"/>
        <v>Low</v>
      </c>
    </row>
    <row r="279" spans="1:24" ht="15.75" customHeight="1">
      <c r="A279" s="4" t="s">
        <v>2275</v>
      </c>
      <c r="B279" s="9">
        <v>45560</v>
      </c>
      <c r="C279" s="4" t="s">
        <v>1406</v>
      </c>
      <c r="D279" s="4" t="s">
        <v>1651</v>
      </c>
      <c r="E279" s="4" t="s">
        <v>1940</v>
      </c>
      <c r="F279" s="4">
        <v>3</v>
      </c>
      <c r="G279" s="4">
        <v>550.26</v>
      </c>
      <c r="H279" s="4">
        <v>0.22</v>
      </c>
      <c r="I279" s="4" t="s">
        <v>1996</v>
      </c>
      <c r="J279" s="10">
        <v>1287.6084000000001</v>
      </c>
      <c r="K279" s="4" t="str">
        <f t="shared" si="28"/>
        <v>25-09-2024</v>
      </c>
      <c r="L279" s="4" t="str">
        <f>TEXT(Sales_Fact!$B279,"mmm")</f>
        <v>Sep</v>
      </c>
      <c r="M279" s="4">
        <f t="shared" si="29"/>
        <v>3</v>
      </c>
      <c r="N279" s="10">
        <f t="shared" si="30"/>
        <v>550.26</v>
      </c>
      <c r="O279" s="10">
        <f t="shared" si="31"/>
        <v>1287.6084000000001</v>
      </c>
      <c r="P279" s="10">
        <f t="shared" si="32"/>
        <v>1650.78</v>
      </c>
      <c r="Q279" s="3">
        <f t="shared" si="33"/>
        <v>0.21999999999999995</v>
      </c>
      <c r="R279" s="4" t="str">
        <f>IF(Sales_Fact!$O279&gt;1000,"High","Low")</f>
        <v>High</v>
      </c>
      <c r="S279" s="4" t="str">
        <f>VLOOKUP(C279,Customer_Dim!$A:$N,9,FALSE())</f>
        <v>Gene Lee</v>
      </c>
      <c r="T279" s="4" t="str">
        <f>VLOOKUP(D279,Product_Dim!$A:$M,3,FALSE())</f>
        <v>Clothing</v>
      </c>
      <c r="U279" s="11" t="str">
        <f>VLOOKUP(D279,Product_Dim!$A:$M,2,FALSE())</f>
        <v>Women's Denim Jeans</v>
      </c>
      <c r="V279" s="11" t="str">
        <f>VLOOKUP(E279,Store_Dim!$A:$E,3,FALSE())</f>
        <v>West</v>
      </c>
      <c r="W279" s="11" t="str">
        <f>VLOOKUP(C279,Customer_Dim!$A:$N,13,FALSE())</f>
        <v>Platinum</v>
      </c>
      <c r="X279" s="11" t="str">
        <f t="shared" si="34"/>
        <v>Low</v>
      </c>
    </row>
    <row r="280" spans="1:24" ht="15.75" customHeight="1">
      <c r="A280" s="4" t="s">
        <v>2276</v>
      </c>
      <c r="B280" s="9">
        <v>45267</v>
      </c>
      <c r="C280" s="4" t="s">
        <v>1189</v>
      </c>
      <c r="D280" s="4" t="s">
        <v>1897</v>
      </c>
      <c r="E280" s="4" t="s">
        <v>1937</v>
      </c>
      <c r="F280" s="4">
        <v>4</v>
      </c>
      <c r="G280" s="4">
        <v>938.21</v>
      </c>
      <c r="H280" s="4">
        <v>0.04</v>
      </c>
      <c r="I280" s="4" t="s">
        <v>1998</v>
      </c>
      <c r="J280" s="10">
        <v>3602.7264</v>
      </c>
      <c r="K280" s="4" t="str">
        <f t="shared" si="28"/>
        <v>07-12-2023</v>
      </c>
      <c r="L280" s="4" t="str">
        <f>TEXT(Sales_Fact!$B280,"mmm")</f>
        <v>Dec</v>
      </c>
      <c r="M280" s="4">
        <f t="shared" si="29"/>
        <v>4</v>
      </c>
      <c r="N280" s="10">
        <f t="shared" si="30"/>
        <v>938.21</v>
      </c>
      <c r="O280" s="10">
        <f t="shared" si="31"/>
        <v>3602.7264</v>
      </c>
      <c r="P280" s="10">
        <f t="shared" si="32"/>
        <v>3752.84</v>
      </c>
      <c r="Q280" s="3">
        <f t="shared" si="33"/>
        <v>4.0000000000000036E-2</v>
      </c>
      <c r="R280" s="4" t="str">
        <f>IF(Sales_Fact!$O280&gt;1000,"High","Low")</f>
        <v>High</v>
      </c>
      <c r="S280" s="4" t="str">
        <f>VLOOKUP(C280,Customer_Dim!$A:$N,9,FALSE())</f>
        <v>Michael Garner</v>
      </c>
      <c r="T280" s="4" t="str">
        <f>VLOOKUP(D280,Product_Dim!$A:$M,3,FALSE())</f>
        <v>Sports</v>
      </c>
      <c r="U280" s="11" t="str">
        <f>VLOOKUP(D280,Product_Dim!$A:$M,2,FALSE())</f>
        <v>Cricket Bat</v>
      </c>
      <c r="V280" s="11" t="str">
        <f>VLOOKUP(E280,Store_Dim!$A:$E,3,FALSE())</f>
        <v>South</v>
      </c>
      <c r="W280" s="11" t="str">
        <f>VLOOKUP(C280,Customer_Dim!$A:$N,13,FALSE())</f>
        <v>Platinum</v>
      </c>
      <c r="X280" s="11" t="str">
        <f t="shared" si="34"/>
        <v>High</v>
      </c>
    </row>
    <row r="281" spans="1:24" ht="15.75" customHeight="1">
      <c r="A281" s="4" t="s">
        <v>2277</v>
      </c>
      <c r="B281" s="9">
        <v>45467</v>
      </c>
      <c r="C281" s="4" t="s">
        <v>482</v>
      </c>
      <c r="D281" s="4" t="s">
        <v>1888</v>
      </c>
      <c r="E281" s="4" t="s">
        <v>1962</v>
      </c>
      <c r="F281" s="4">
        <v>3</v>
      </c>
      <c r="G281" s="4">
        <v>517.98</v>
      </c>
      <c r="H281" s="4">
        <v>0.01</v>
      </c>
      <c r="I281" s="4" t="s">
        <v>1998</v>
      </c>
      <c r="J281" s="10">
        <v>1538.4005999999999</v>
      </c>
      <c r="K281" s="4" t="str">
        <f t="shared" si="28"/>
        <v>24-06-2024</v>
      </c>
      <c r="L281" s="4" t="str">
        <f>TEXT(Sales_Fact!$B281,"mmm")</f>
        <v>Jun</v>
      </c>
      <c r="M281" s="4">
        <f t="shared" si="29"/>
        <v>3</v>
      </c>
      <c r="N281" s="10">
        <f t="shared" si="30"/>
        <v>517.98</v>
      </c>
      <c r="O281" s="10">
        <f t="shared" si="31"/>
        <v>1538.4005999999999</v>
      </c>
      <c r="P281" s="10">
        <f t="shared" si="32"/>
        <v>1553.94</v>
      </c>
      <c r="Q281" s="3">
        <f t="shared" si="33"/>
        <v>1.0000000000000073E-2</v>
      </c>
      <c r="R281" s="4" t="str">
        <f>IF(Sales_Fact!$O281&gt;1000,"High","Low")</f>
        <v>High</v>
      </c>
      <c r="S281" s="4" t="str">
        <f>VLOOKUP(C281,Customer_Dim!$A:$N,9,FALSE())</f>
        <v>Morgan Bowen</v>
      </c>
      <c r="T281" s="4" t="str">
        <f>VLOOKUP(D281,Product_Dim!$A:$M,3,FALSE())</f>
        <v>Beauty</v>
      </c>
      <c r="U281" s="11" t="str">
        <f>VLOOKUP(D281,Product_Dim!$A:$M,2,FALSE())</f>
        <v>Vitamin E Body Lotion</v>
      </c>
      <c r="V281" s="11" t="str">
        <f>VLOOKUP(E281,Store_Dim!$A:$E,3,FALSE())</f>
        <v>West</v>
      </c>
      <c r="W281" s="11" t="str">
        <f>VLOOKUP(C281,Customer_Dim!$A:$N,13,FALSE())</f>
        <v>Gold</v>
      </c>
      <c r="X281" s="11" t="str">
        <f t="shared" si="34"/>
        <v>Low</v>
      </c>
    </row>
    <row r="282" spans="1:24" ht="15.75" customHeight="1">
      <c r="A282" s="4" t="s">
        <v>2278</v>
      </c>
      <c r="B282" s="9">
        <v>45598</v>
      </c>
      <c r="C282" s="4" t="s">
        <v>1559</v>
      </c>
      <c r="D282" s="4" t="s">
        <v>1613</v>
      </c>
      <c r="E282" s="4" t="s">
        <v>1934</v>
      </c>
      <c r="F282" s="4">
        <v>1</v>
      </c>
      <c r="G282" s="4">
        <v>846.31</v>
      </c>
      <c r="H282" s="4">
        <v>0.05</v>
      </c>
      <c r="I282" s="4" t="s">
        <v>1998</v>
      </c>
      <c r="J282" s="10">
        <v>803.99450000000002</v>
      </c>
      <c r="K282" s="4" t="str">
        <f t="shared" si="28"/>
        <v>02-11-2024</v>
      </c>
      <c r="L282" s="4" t="str">
        <f>TEXT(Sales_Fact!$B282,"mmm")</f>
        <v>Nov</v>
      </c>
      <c r="M282" s="4">
        <f t="shared" si="29"/>
        <v>1</v>
      </c>
      <c r="N282" s="10">
        <f t="shared" si="30"/>
        <v>846.31</v>
      </c>
      <c r="O282" s="10">
        <f t="shared" si="31"/>
        <v>803.9944999999999</v>
      </c>
      <c r="P282" s="10">
        <f t="shared" si="32"/>
        <v>846.31</v>
      </c>
      <c r="Q282" s="3">
        <f t="shared" si="33"/>
        <v>5.0000000000000051E-2</v>
      </c>
      <c r="R282" s="4" t="str">
        <f>IF(Sales_Fact!$O282&gt;1000,"High","Low")</f>
        <v>Low</v>
      </c>
      <c r="S282" s="4" t="str">
        <f>VLOOKUP(C282,Customer_Dim!$A:$N,9,FALSE())</f>
        <v>Traci Gonzalez</v>
      </c>
      <c r="T282" s="4" t="str">
        <f>VLOOKUP(D282,Product_Dim!$A:$M,3,FALSE())</f>
        <v>Electronics</v>
      </c>
      <c r="U282" s="11" t="str">
        <f>VLOOKUP(D282,Product_Dim!$A:$M,2,FALSE())</f>
        <v>Wireless Bluetooth Earbuds</v>
      </c>
      <c r="V282" s="11" t="str">
        <f>VLOOKUP(E282,Store_Dim!$A:$E,3,FALSE())</f>
        <v>East</v>
      </c>
      <c r="W282" s="11" t="str">
        <f>VLOOKUP(C282,Customer_Dim!$A:$N,13,FALSE())</f>
        <v>Silver</v>
      </c>
      <c r="X282" s="11" t="str">
        <f t="shared" si="34"/>
        <v>Low</v>
      </c>
    </row>
    <row r="283" spans="1:24" ht="15.75" customHeight="1">
      <c r="A283" s="4" t="s">
        <v>2279</v>
      </c>
      <c r="B283" s="9">
        <v>45847</v>
      </c>
      <c r="C283" s="4" t="s">
        <v>165</v>
      </c>
      <c r="D283" s="4" t="s">
        <v>1603</v>
      </c>
      <c r="E283" s="4" t="s">
        <v>1940</v>
      </c>
      <c r="F283" s="4">
        <v>1</v>
      </c>
      <c r="G283" s="4">
        <v>98.27</v>
      </c>
      <c r="H283" s="4">
        <v>0.16</v>
      </c>
      <c r="I283" s="4" t="s">
        <v>1998</v>
      </c>
      <c r="J283" s="10">
        <v>82.546800000000005</v>
      </c>
      <c r="K283" s="4" t="str">
        <f t="shared" si="28"/>
        <v>09-07-2025</v>
      </c>
      <c r="L283" s="4" t="str">
        <f>TEXT(Sales_Fact!$B283,"mmm")</f>
        <v>Jul</v>
      </c>
      <c r="M283" s="4">
        <f t="shared" si="29"/>
        <v>1</v>
      </c>
      <c r="N283" s="10">
        <f t="shared" si="30"/>
        <v>98.27</v>
      </c>
      <c r="O283" s="10">
        <f t="shared" si="31"/>
        <v>82.54679999999999</v>
      </c>
      <c r="P283" s="10">
        <f t="shared" si="32"/>
        <v>98.27</v>
      </c>
      <c r="Q283" s="3">
        <f t="shared" si="33"/>
        <v>0.16000000000000006</v>
      </c>
      <c r="R283" s="4" t="str">
        <f>IF(Sales_Fact!$O283&gt;1000,"High","Low")</f>
        <v>Low</v>
      </c>
      <c r="S283" s="4" t="str">
        <f>VLOOKUP(C283,Customer_Dim!$A:$N,9,FALSE())</f>
        <v>Thomas Phillips</v>
      </c>
      <c r="T283" s="4" t="str">
        <f>VLOOKUP(D283,Product_Dim!$A:$M,3,FALSE())</f>
        <v>Beauty</v>
      </c>
      <c r="U283" s="11" t="str">
        <f>VLOOKUP(D283,Product_Dim!$A:$M,2,FALSE())</f>
        <v>Herbal Face Moisturizer</v>
      </c>
      <c r="V283" s="11" t="str">
        <f>VLOOKUP(E283,Store_Dim!$A:$E,3,FALSE())</f>
        <v>West</v>
      </c>
      <c r="W283" s="11" t="str">
        <f>VLOOKUP(C283,Customer_Dim!$A:$N,13,FALSE())</f>
        <v>Gold</v>
      </c>
      <c r="X283" s="11" t="str">
        <f t="shared" si="34"/>
        <v>Low</v>
      </c>
    </row>
    <row r="284" spans="1:24" ht="15.75" customHeight="1">
      <c r="A284" s="4" t="s">
        <v>2280</v>
      </c>
      <c r="B284" s="9">
        <v>45480</v>
      </c>
      <c r="C284" s="4" t="s">
        <v>831</v>
      </c>
      <c r="D284" s="4" t="s">
        <v>1748</v>
      </c>
      <c r="E284" s="4" t="s">
        <v>1950</v>
      </c>
      <c r="F284" s="4">
        <v>2</v>
      </c>
      <c r="G284" s="4">
        <v>875.2</v>
      </c>
      <c r="H284" s="4">
        <v>0.19</v>
      </c>
      <c r="I284" s="4" t="s">
        <v>1996</v>
      </c>
      <c r="J284" s="10">
        <v>1417.8240000000001</v>
      </c>
      <c r="K284" s="4" t="str">
        <f t="shared" si="28"/>
        <v>07-07-2024</v>
      </c>
      <c r="L284" s="4" t="str">
        <f>TEXT(Sales_Fact!$B284,"mmm")</f>
        <v>Jul</v>
      </c>
      <c r="M284" s="4">
        <f t="shared" si="29"/>
        <v>2</v>
      </c>
      <c r="N284" s="10">
        <f t="shared" si="30"/>
        <v>875.2</v>
      </c>
      <c r="O284" s="10">
        <f t="shared" si="31"/>
        <v>1417.8240000000001</v>
      </c>
      <c r="P284" s="10">
        <f t="shared" si="32"/>
        <v>1750.4</v>
      </c>
      <c r="Q284" s="3">
        <f t="shared" si="33"/>
        <v>0.19</v>
      </c>
      <c r="R284" s="4" t="str">
        <f>IF(Sales_Fact!$O284&gt;1000,"High","Low")</f>
        <v>High</v>
      </c>
      <c r="S284" s="4" t="str">
        <f>VLOOKUP(C284,Customer_Dim!$A:$N,9,FALSE())</f>
        <v>Tyler Garner</v>
      </c>
      <c r="T284" s="4" t="str">
        <f>VLOOKUP(D284,Product_Dim!$A:$M,3,FALSE())</f>
        <v>Electronics</v>
      </c>
      <c r="U284" s="11" t="str">
        <f>VLOOKUP(D284,Product_Dim!$A:$M,2,FALSE())</f>
        <v>Car Dashboard Phone Holder</v>
      </c>
      <c r="V284" s="11" t="str">
        <f>VLOOKUP(E284,Store_Dim!$A:$E,3,FALSE())</f>
        <v>South</v>
      </c>
      <c r="W284" s="11" t="str">
        <f>VLOOKUP(C284,Customer_Dim!$A:$N,13,FALSE())</f>
        <v>Silver</v>
      </c>
      <c r="X284" s="11" t="str">
        <f t="shared" si="34"/>
        <v>Low</v>
      </c>
    </row>
    <row r="285" spans="1:24" ht="15.75" customHeight="1">
      <c r="A285" s="4" t="s">
        <v>2281</v>
      </c>
      <c r="B285" s="9">
        <v>45345</v>
      </c>
      <c r="C285" s="4" t="s">
        <v>991</v>
      </c>
      <c r="D285" s="4" t="s">
        <v>1864</v>
      </c>
      <c r="E285" s="4" t="s">
        <v>1910</v>
      </c>
      <c r="F285" s="4">
        <v>1</v>
      </c>
      <c r="G285" s="4">
        <v>227.35</v>
      </c>
      <c r="H285" s="4">
        <v>0.06</v>
      </c>
      <c r="I285" s="4" t="s">
        <v>2004</v>
      </c>
      <c r="J285" s="10">
        <v>213.709</v>
      </c>
      <c r="K285" s="4" t="str">
        <f t="shared" si="28"/>
        <v>23-02-2024</v>
      </c>
      <c r="L285" s="4" t="str">
        <f>TEXT(Sales_Fact!$B285,"mmm")</f>
        <v>Feb</v>
      </c>
      <c r="M285" s="4">
        <f t="shared" si="29"/>
        <v>1</v>
      </c>
      <c r="N285" s="10">
        <f t="shared" si="30"/>
        <v>227.35</v>
      </c>
      <c r="O285" s="10">
        <f t="shared" si="31"/>
        <v>213.70899999999997</v>
      </c>
      <c r="P285" s="10">
        <f t="shared" si="32"/>
        <v>227.35</v>
      </c>
      <c r="Q285" s="3">
        <f t="shared" si="33"/>
        <v>6.0000000000000088E-2</v>
      </c>
      <c r="R285" s="4" t="str">
        <f>IF(Sales_Fact!$O285&gt;1000,"High","Low")</f>
        <v>Low</v>
      </c>
      <c r="S285" s="4" t="str">
        <f>VLOOKUP(C285,Customer_Dim!$A:$N,9,FALSE())</f>
        <v>Roberta Green</v>
      </c>
      <c r="T285" s="4" t="str">
        <f>VLOOKUP(D285,Product_Dim!$A:$M,3,FALSE())</f>
        <v>Home</v>
      </c>
      <c r="U285" s="11" t="str">
        <f>VLOOKUP(D285,Product_Dim!$A:$M,2,FALSE())</f>
        <v>Kitchen Cutting Board</v>
      </c>
      <c r="V285" s="11" t="str">
        <f>VLOOKUP(E285,Store_Dim!$A:$E,3,FALSE())</f>
        <v>East</v>
      </c>
      <c r="W285" s="11" t="str">
        <f>VLOOKUP(C285,Customer_Dim!$A:$N,13,FALSE())</f>
        <v>Platinum</v>
      </c>
      <c r="X285" s="11" t="str">
        <f t="shared" si="34"/>
        <v>Low</v>
      </c>
    </row>
    <row r="286" spans="1:24" ht="15.75" customHeight="1">
      <c r="A286" s="4" t="s">
        <v>2282</v>
      </c>
      <c r="B286" s="9">
        <v>45235</v>
      </c>
      <c r="C286" s="4" t="s">
        <v>709</v>
      </c>
      <c r="D286" s="4" t="s">
        <v>1828</v>
      </c>
      <c r="E286" s="4" t="s">
        <v>1915</v>
      </c>
      <c r="F286" s="4">
        <v>1</v>
      </c>
      <c r="G286" s="4">
        <v>842.46</v>
      </c>
      <c r="H286" s="4">
        <v>0.05</v>
      </c>
      <c r="I286" s="4" t="s">
        <v>2004</v>
      </c>
      <c r="J286" s="10">
        <v>800.33699999999999</v>
      </c>
      <c r="K286" s="4" t="str">
        <f t="shared" si="28"/>
        <v>05-11-2023</v>
      </c>
      <c r="L286" s="4" t="str">
        <f>TEXT(Sales_Fact!$B286,"mmm")</f>
        <v>Nov</v>
      </c>
      <c r="M286" s="4">
        <f t="shared" si="29"/>
        <v>1</v>
      </c>
      <c r="N286" s="10">
        <f t="shared" si="30"/>
        <v>842.46</v>
      </c>
      <c r="O286" s="10">
        <f t="shared" si="31"/>
        <v>800.33699999999999</v>
      </c>
      <c r="P286" s="10">
        <f t="shared" si="32"/>
        <v>842.46</v>
      </c>
      <c r="Q286" s="3">
        <f t="shared" si="33"/>
        <v>5.0000000000000051E-2</v>
      </c>
      <c r="R286" s="4" t="str">
        <f>IF(Sales_Fact!$O286&gt;1000,"High","Low")</f>
        <v>Low</v>
      </c>
      <c r="S286" s="4" t="str">
        <f>VLOOKUP(C286,Customer_Dim!$A:$N,9,FALSE())</f>
        <v>Antonio Jones</v>
      </c>
      <c r="T286" s="4" t="str">
        <f>VLOOKUP(D286,Product_Dim!$A:$M,3,FALSE())</f>
        <v>Electronics</v>
      </c>
      <c r="U286" s="11" t="str">
        <f>VLOOKUP(D286,Product_Dim!$A:$M,2,FALSE())</f>
        <v>Bluetooth Car Audio System</v>
      </c>
      <c r="V286" s="11" t="str">
        <f>VLOOKUP(E286,Store_Dim!$A:$E,3,FALSE())</f>
        <v>North</v>
      </c>
      <c r="W286" s="11" t="str">
        <f>VLOOKUP(C286,Customer_Dim!$A:$N,13,FALSE())</f>
        <v>Silver</v>
      </c>
      <c r="X286" s="11" t="str">
        <f t="shared" si="34"/>
        <v>Low</v>
      </c>
    </row>
    <row r="287" spans="1:24" ht="15.75" customHeight="1">
      <c r="A287" s="4" t="s">
        <v>2283</v>
      </c>
      <c r="B287" s="9">
        <v>45543</v>
      </c>
      <c r="C287" s="4" t="s">
        <v>715</v>
      </c>
      <c r="D287" s="4" t="s">
        <v>1709</v>
      </c>
      <c r="E287" s="4" t="s">
        <v>1950</v>
      </c>
      <c r="F287" s="4">
        <v>3</v>
      </c>
      <c r="G287" s="4">
        <v>120.67</v>
      </c>
      <c r="H287" s="4">
        <v>0.08</v>
      </c>
      <c r="I287" s="4" t="s">
        <v>2004</v>
      </c>
      <c r="J287" s="10">
        <v>333.04919999999998</v>
      </c>
      <c r="K287" s="4" t="str">
        <f t="shared" si="28"/>
        <v>08-09-2024</v>
      </c>
      <c r="L287" s="4" t="str">
        <f>TEXT(Sales_Fact!$B287,"mmm")</f>
        <v>Sep</v>
      </c>
      <c r="M287" s="4">
        <f t="shared" si="29"/>
        <v>3</v>
      </c>
      <c r="N287" s="10">
        <f t="shared" si="30"/>
        <v>120.67</v>
      </c>
      <c r="O287" s="10">
        <f t="shared" si="31"/>
        <v>333.04919999999998</v>
      </c>
      <c r="P287" s="10">
        <f t="shared" si="32"/>
        <v>362.01</v>
      </c>
      <c r="Q287" s="3">
        <f t="shared" si="33"/>
        <v>8.0000000000000016E-2</v>
      </c>
      <c r="R287" s="4" t="str">
        <f>IF(Sales_Fact!$O287&gt;1000,"High","Low")</f>
        <v>Low</v>
      </c>
      <c r="S287" s="4" t="str">
        <f>VLOOKUP(C287,Customer_Dim!$A:$N,9,FALSE())</f>
        <v>Blake Harrison</v>
      </c>
      <c r="T287" s="4" t="str">
        <f>VLOOKUP(D287,Product_Dim!$A:$M,3,FALSE())</f>
        <v>Clothing</v>
      </c>
      <c r="U287" s="11" t="str">
        <f>VLOOKUP(D287,Product_Dim!$A:$M,2,FALSE())</f>
        <v>Women's Summer Dress</v>
      </c>
      <c r="V287" s="11" t="str">
        <f>VLOOKUP(E287,Store_Dim!$A:$E,3,FALSE())</f>
        <v>South</v>
      </c>
      <c r="W287" s="11" t="str">
        <f>VLOOKUP(C287,Customer_Dim!$A:$N,13,FALSE())</f>
        <v>Platinum</v>
      </c>
      <c r="X287" s="11" t="str">
        <f t="shared" si="34"/>
        <v>Low</v>
      </c>
    </row>
    <row r="288" spans="1:24" ht="15.75" customHeight="1">
      <c r="A288" s="4" t="s">
        <v>2284</v>
      </c>
      <c r="B288" s="9">
        <v>45402</v>
      </c>
      <c r="C288" s="4" t="s">
        <v>1556</v>
      </c>
      <c r="D288" s="4" t="s">
        <v>1658</v>
      </c>
      <c r="E288" s="4" t="s">
        <v>1924</v>
      </c>
      <c r="F288" s="4">
        <v>4</v>
      </c>
      <c r="G288" s="4">
        <v>176.13</v>
      </c>
      <c r="H288" s="4">
        <v>0.27</v>
      </c>
      <c r="I288" s="4" t="s">
        <v>1998</v>
      </c>
      <c r="J288" s="10">
        <v>514.29960000000005</v>
      </c>
      <c r="K288" s="4" t="str">
        <f t="shared" si="28"/>
        <v>20-04-2024</v>
      </c>
      <c r="L288" s="4" t="str">
        <f>TEXT(Sales_Fact!$B288,"mmm")</f>
        <v>Apr</v>
      </c>
      <c r="M288" s="4">
        <f t="shared" si="29"/>
        <v>4</v>
      </c>
      <c r="N288" s="10">
        <f t="shared" si="30"/>
        <v>176.13</v>
      </c>
      <c r="O288" s="10">
        <f t="shared" si="31"/>
        <v>514.29959999999994</v>
      </c>
      <c r="P288" s="10">
        <f t="shared" si="32"/>
        <v>704.52</v>
      </c>
      <c r="Q288" s="3">
        <f t="shared" si="33"/>
        <v>0.27000000000000007</v>
      </c>
      <c r="R288" s="4" t="str">
        <f>IF(Sales_Fact!$O288&gt;1000,"High","Low")</f>
        <v>Low</v>
      </c>
      <c r="S288" s="4" t="str">
        <f>VLOOKUP(C288,Customer_Dim!$A:$N,9,FALSE())</f>
        <v>Sarah Marsh</v>
      </c>
      <c r="T288" s="4" t="str">
        <f>VLOOKUP(D288,Product_Dim!$A:$M,3,FALSE())</f>
        <v>Sports</v>
      </c>
      <c r="U288" s="11" t="str">
        <f>VLOOKUP(D288,Product_Dim!$A:$M,2,FALSE())</f>
        <v>Outdoor Sports Water Bottle</v>
      </c>
      <c r="V288" s="11" t="str">
        <f>VLOOKUP(E288,Store_Dim!$A:$E,3,FALSE())</f>
        <v>North</v>
      </c>
      <c r="W288" s="11" t="str">
        <f>VLOOKUP(C288,Customer_Dim!$A:$N,13,FALSE())</f>
        <v>Gold</v>
      </c>
      <c r="X288" s="11" t="str">
        <f t="shared" si="34"/>
        <v>High</v>
      </c>
    </row>
    <row r="289" spans="1:24" ht="15.75" customHeight="1">
      <c r="A289" s="4" t="s">
        <v>2285</v>
      </c>
      <c r="B289" s="9">
        <v>45671</v>
      </c>
      <c r="C289" s="4" t="s">
        <v>1421</v>
      </c>
      <c r="D289" s="4" t="s">
        <v>1794</v>
      </c>
      <c r="E289" s="4" t="s">
        <v>1950</v>
      </c>
      <c r="F289" s="4">
        <v>4</v>
      </c>
      <c r="G289" s="4">
        <v>592.67999999999995</v>
      </c>
      <c r="H289" s="4">
        <v>0.03</v>
      </c>
      <c r="I289" s="4" t="s">
        <v>1996</v>
      </c>
      <c r="J289" s="10">
        <v>2299.5983999999999</v>
      </c>
      <c r="K289" s="4" t="str">
        <f t="shared" si="28"/>
        <v>14-01-2025</v>
      </c>
      <c r="L289" s="4" t="str">
        <f>TEXT(Sales_Fact!$B289,"mmm")</f>
        <v>Jan</v>
      </c>
      <c r="M289" s="4">
        <f t="shared" si="29"/>
        <v>4</v>
      </c>
      <c r="N289" s="10">
        <f t="shared" si="30"/>
        <v>592.67999999999995</v>
      </c>
      <c r="O289" s="10">
        <f t="shared" si="31"/>
        <v>2299.5983999999999</v>
      </c>
      <c r="P289" s="10">
        <f t="shared" si="32"/>
        <v>2370.7199999999998</v>
      </c>
      <c r="Q289" s="3">
        <f t="shared" si="33"/>
        <v>2.9999999999999978E-2</v>
      </c>
      <c r="R289" s="4" t="str">
        <f>IF(Sales_Fact!$O289&gt;1000,"High","Low")</f>
        <v>High</v>
      </c>
      <c r="S289" s="4" t="str">
        <f>VLOOKUP(C289,Customer_Dim!$A:$N,9,FALSE())</f>
        <v>Shane Mills</v>
      </c>
      <c r="T289" s="4" t="str">
        <f>VLOOKUP(D289,Product_Dim!$A:$M,3,FALSE())</f>
        <v>Beauty</v>
      </c>
      <c r="U289" s="11" t="str">
        <f>VLOOKUP(D289,Product_Dim!$A:$M,2,FALSE())</f>
        <v>Organic Sunscreen Lotion</v>
      </c>
      <c r="V289" s="11" t="str">
        <f>VLOOKUP(E289,Store_Dim!$A:$E,3,FALSE())</f>
        <v>South</v>
      </c>
      <c r="W289" s="11" t="str">
        <f>VLOOKUP(C289,Customer_Dim!$A:$N,13,FALSE())</f>
        <v>Bronze</v>
      </c>
      <c r="X289" s="11" t="str">
        <f t="shared" si="34"/>
        <v>High</v>
      </c>
    </row>
    <row r="290" spans="1:24" ht="15.75" customHeight="1">
      <c r="A290" s="4" t="s">
        <v>2286</v>
      </c>
      <c r="B290" s="9">
        <v>45367</v>
      </c>
      <c r="C290" s="4" t="s">
        <v>607</v>
      </c>
      <c r="D290" s="4" t="s">
        <v>1816</v>
      </c>
      <c r="E290" s="4" t="s">
        <v>1927</v>
      </c>
      <c r="F290" s="4">
        <v>4</v>
      </c>
      <c r="G290" s="4">
        <v>662.43</v>
      </c>
      <c r="H290" s="4">
        <v>0.24</v>
      </c>
      <c r="I290" s="4" t="s">
        <v>1998</v>
      </c>
      <c r="J290" s="10">
        <v>2013.7872</v>
      </c>
      <c r="K290" s="4" t="str">
        <f t="shared" si="28"/>
        <v>16-03-2024</v>
      </c>
      <c r="L290" s="4" t="str">
        <f>TEXT(Sales_Fact!$B290,"mmm")</f>
        <v>Mar</v>
      </c>
      <c r="M290" s="4">
        <f t="shared" si="29"/>
        <v>4</v>
      </c>
      <c r="N290" s="10">
        <f t="shared" si="30"/>
        <v>662.43</v>
      </c>
      <c r="O290" s="10">
        <f t="shared" si="31"/>
        <v>2013.7872</v>
      </c>
      <c r="P290" s="10">
        <f t="shared" si="32"/>
        <v>2649.72</v>
      </c>
      <c r="Q290" s="3">
        <f t="shared" si="33"/>
        <v>0.23999999999999994</v>
      </c>
      <c r="R290" s="4" t="str">
        <f>IF(Sales_Fact!$O290&gt;1000,"High","Low")</f>
        <v>High</v>
      </c>
      <c r="S290" s="4" t="str">
        <f>VLOOKUP(C290,Customer_Dim!$A:$N,9,FALSE())</f>
        <v>John Bradford</v>
      </c>
      <c r="T290" s="4" t="str">
        <f>VLOOKUP(D290,Product_Dim!$A:$M,3,FALSE())</f>
        <v>Home</v>
      </c>
      <c r="U290" s="11" t="str">
        <f>VLOOKUP(D290,Product_Dim!$A:$M,2,FALSE())</f>
        <v>Kitchen Storage Rack</v>
      </c>
      <c r="V290" s="11" t="str">
        <f>VLOOKUP(E290,Store_Dim!$A:$E,3,FALSE())</f>
        <v>South</v>
      </c>
      <c r="W290" s="11" t="str">
        <f>VLOOKUP(C290,Customer_Dim!$A:$N,13,FALSE())</f>
        <v>Silver</v>
      </c>
      <c r="X290" s="11" t="str">
        <f t="shared" si="34"/>
        <v>High</v>
      </c>
    </row>
    <row r="291" spans="1:24" ht="15.75" customHeight="1">
      <c r="A291" s="4" t="s">
        <v>2287</v>
      </c>
      <c r="B291" s="9">
        <v>45488</v>
      </c>
      <c r="C291" s="4" t="s">
        <v>463</v>
      </c>
      <c r="D291" s="4" t="s">
        <v>1732</v>
      </c>
      <c r="E291" s="4" t="s">
        <v>1940</v>
      </c>
      <c r="F291" s="4">
        <v>3</v>
      </c>
      <c r="G291" s="4">
        <v>518.35</v>
      </c>
      <c r="H291" s="4">
        <v>0.21</v>
      </c>
      <c r="I291" s="4" t="s">
        <v>2004</v>
      </c>
      <c r="J291" s="10">
        <v>1228.4894999999999</v>
      </c>
      <c r="K291" s="4" t="str">
        <f t="shared" si="28"/>
        <v>15-07-2024</v>
      </c>
      <c r="L291" s="4" t="str">
        <f>TEXT(Sales_Fact!$B291,"mmm")</f>
        <v>Jul</v>
      </c>
      <c r="M291" s="4">
        <f t="shared" si="29"/>
        <v>3</v>
      </c>
      <c r="N291" s="10">
        <f t="shared" si="30"/>
        <v>518.35</v>
      </c>
      <c r="O291" s="10">
        <f t="shared" si="31"/>
        <v>1228.4895000000001</v>
      </c>
      <c r="P291" s="10">
        <f t="shared" si="32"/>
        <v>1555.0500000000002</v>
      </c>
      <c r="Q291" s="3">
        <f t="shared" si="33"/>
        <v>0.21</v>
      </c>
      <c r="R291" s="4" t="str">
        <f>IF(Sales_Fact!$O291&gt;1000,"High","Low")</f>
        <v>High</v>
      </c>
      <c r="S291" s="4" t="str">
        <f>VLOOKUP(C291,Customer_Dim!$A:$N,9,FALSE())</f>
        <v>Susan Mcdonald</v>
      </c>
      <c r="T291" s="4" t="str">
        <f>VLOOKUP(D291,Product_Dim!$A:$M,3,FALSE())</f>
        <v>Electronics</v>
      </c>
      <c r="U291" s="11" t="str">
        <f>VLOOKUP(D291,Product_Dim!$A:$M,2,FALSE())</f>
        <v>USB External Hard Drive</v>
      </c>
      <c r="V291" s="11" t="str">
        <f>VLOOKUP(E291,Store_Dim!$A:$E,3,FALSE())</f>
        <v>West</v>
      </c>
      <c r="W291" s="11" t="str">
        <f>VLOOKUP(C291,Customer_Dim!$A:$N,13,FALSE())</f>
        <v>Silver</v>
      </c>
      <c r="X291" s="11" t="str">
        <f t="shared" si="34"/>
        <v>Low</v>
      </c>
    </row>
    <row r="292" spans="1:24" ht="15.75" customHeight="1">
      <c r="A292" s="4" t="s">
        <v>2288</v>
      </c>
      <c r="B292" s="9">
        <v>45509</v>
      </c>
      <c r="C292" s="4" t="s">
        <v>1006</v>
      </c>
      <c r="D292" s="4" t="s">
        <v>1788</v>
      </c>
      <c r="E292" s="4" t="s">
        <v>1931</v>
      </c>
      <c r="F292" s="4">
        <v>1</v>
      </c>
      <c r="G292" s="4">
        <v>85.58</v>
      </c>
      <c r="H292" s="4">
        <v>0.1</v>
      </c>
      <c r="I292" s="4" t="s">
        <v>2004</v>
      </c>
      <c r="J292" s="10">
        <v>77.022000000000006</v>
      </c>
      <c r="K292" s="4" t="str">
        <f t="shared" si="28"/>
        <v>05-08-2024</v>
      </c>
      <c r="L292" s="4" t="str">
        <f>TEXT(Sales_Fact!$B292,"mmm")</f>
        <v>Aug</v>
      </c>
      <c r="M292" s="4">
        <f t="shared" si="29"/>
        <v>1</v>
      </c>
      <c r="N292" s="10">
        <f t="shared" si="30"/>
        <v>85.58</v>
      </c>
      <c r="O292" s="10">
        <f t="shared" si="31"/>
        <v>77.022000000000006</v>
      </c>
      <c r="P292" s="10">
        <f t="shared" si="32"/>
        <v>85.58</v>
      </c>
      <c r="Q292" s="3">
        <f t="shared" si="33"/>
        <v>9.9999999999999922E-2</v>
      </c>
      <c r="R292" s="4" t="str">
        <f>IF(Sales_Fact!$O292&gt;1000,"High","Low")</f>
        <v>Low</v>
      </c>
      <c r="S292" s="4" t="str">
        <f>VLOOKUP(C292,Customer_Dim!$A:$N,9,FALSE())</f>
        <v>Kara Dodson</v>
      </c>
      <c r="T292" s="4" t="str">
        <f>VLOOKUP(D292,Product_Dim!$A:$M,3,FALSE())</f>
        <v>Sports</v>
      </c>
      <c r="U292" s="11" t="str">
        <f>VLOOKUP(D292,Product_Dim!$A:$M,2,FALSE())</f>
        <v>Tennis Ball 3-Pack</v>
      </c>
      <c r="V292" s="11" t="str">
        <f>VLOOKUP(E292,Store_Dim!$A:$E,3,FALSE())</f>
        <v>North</v>
      </c>
      <c r="W292" s="11" t="str">
        <f>VLOOKUP(C292,Customer_Dim!$A:$N,13,FALSE())</f>
        <v>Silver</v>
      </c>
      <c r="X292" s="11" t="str">
        <f t="shared" si="34"/>
        <v>Low</v>
      </c>
    </row>
    <row r="293" spans="1:24" ht="15.75" customHeight="1">
      <c r="A293" s="4" t="s">
        <v>2289</v>
      </c>
      <c r="B293" s="9">
        <v>45884</v>
      </c>
      <c r="C293" s="4" t="s">
        <v>473</v>
      </c>
      <c r="D293" s="4" t="s">
        <v>1706</v>
      </c>
      <c r="E293" s="4" t="s">
        <v>1952</v>
      </c>
      <c r="F293" s="4">
        <v>1</v>
      </c>
      <c r="G293" s="4">
        <v>996.48</v>
      </c>
      <c r="H293" s="4">
        <v>7.0000000000000007E-2</v>
      </c>
      <c r="I293" s="4" t="s">
        <v>2004</v>
      </c>
      <c r="J293" s="10">
        <v>926.72640000000001</v>
      </c>
      <c r="K293" s="4" t="str">
        <f t="shared" si="28"/>
        <v>15-08-2025</v>
      </c>
      <c r="L293" s="4" t="str">
        <f>TEXT(Sales_Fact!$B293,"mmm")</f>
        <v>Aug</v>
      </c>
      <c r="M293" s="4">
        <f t="shared" si="29"/>
        <v>1</v>
      </c>
      <c r="N293" s="10">
        <f t="shared" si="30"/>
        <v>996.48</v>
      </c>
      <c r="O293" s="10">
        <f t="shared" si="31"/>
        <v>926.7263999999999</v>
      </c>
      <c r="P293" s="10">
        <f t="shared" si="32"/>
        <v>996.48</v>
      </c>
      <c r="Q293" s="3">
        <f t="shared" si="33"/>
        <v>7.0000000000000118E-2</v>
      </c>
      <c r="R293" s="4" t="str">
        <f>IF(Sales_Fact!$O293&gt;1000,"High","Low")</f>
        <v>Low</v>
      </c>
      <c r="S293" s="4" t="str">
        <f>VLOOKUP(C293,Customer_Dim!$A:$N,9,FALSE())</f>
        <v>Joseph Richards</v>
      </c>
      <c r="T293" s="4" t="str">
        <f>VLOOKUP(D293,Product_Dim!$A:$M,3,FALSE())</f>
        <v>Home</v>
      </c>
      <c r="U293" s="11" t="str">
        <f>VLOOKUP(D293,Product_Dim!$A:$M,2,FALSE())</f>
        <v>Bedroom Table Lamp</v>
      </c>
      <c r="V293" s="11" t="str">
        <f>VLOOKUP(E293,Store_Dim!$A:$E,3,FALSE())</f>
        <v>North</v>
      </c>
      <c r="W293" s="11" t="str">
        <f>VLOOKUP(C293,Customer_Dim!$A:$N,13,FALSE())</f>
        <v>Bronze</v>
      </c>
      <c r="X293" s="11" t="str">
        <f t="shared" si="34"/>
        <v>Low</v>
      </c>
    </row>
    <row r="294" spans="1:24" ht="15.75" customHeight="1">
      <c r="A294" s="4" t="s">
        <v>2290</v>
      </c>
      <c r="B294" s="9">
        <v>45323</v>
      </c>
      <c r="C294" s="4" t="s">
        <v>1165</v>
      </c>
      <c r="D294" s="4" t="s">
        <v>1867</v>
      </c>
      <c r="E294" s="4" t="s">
        <v>1915</v>
      </c>
      <c r="F294" s="4">
        <v>4</v>
      </c>
      <c r="G294" s="4">
        <v>800</v>
      </c>
      <c r="H294" s="4">
        <v>0.2</v>
      </c>
      <c r="I294" s="4" t="s">
        <v>1996</v>
      </c>
      <c r="J294" s="10">
        <v>2560</v>
      </c>
      <c r="K294" s="4" t="str">
        <f t="shared" si="28"/>
        <v>01-02-2024</v>
      </c>
      <c r="L294" s="4" t="str">
        <f>TEXT(Sales_Fact!$B294,"mmm")</f>
        <v>Feb</v>
      </c>
      <c r="M294" s="4">
        <f t="shared" si="29"/>
        <v>4</v>
      </c>
      <c r="N294" s="10">
        <f t="shared" si="30"/>
        <v>800</v>
      </c>
      <c r="O294" s="10">
        <f t="shared" si="31"/>
        <v>2560</v>
      </c>
      <c r="P294" s="10">
        <f t="shared" si="32"/>
        <v>3200</v>
      </c>
      <c r="Q294" s="3">
        <f t="shared" si="33"/>
        <v>0.2</v>
      </c>
      <c r="R294" s="4" t="str">
        <f>IF(Sales_Fact!$O294&gt;1000,"High","Low")</f>
        <v>High</v>
      </c>
      <c r="S294" s="4" t="str">
        <f>VLOOKUP(C294,Customer_Dim!$A:$N,9,FALSE())</f>
        <v>Elizabeth Smith</v>
      </c>
      <c r="T294" s="4" t="str">
        <f>VLOOKUP(D294,Product_Dim!$A:$M,3,FALSE())</f>
        <v>Home</v>
      </c>
      <c r="U294" s="11" t="str">
        <f>VLOOKUP(D294,Product_Dim!$A:$M,2,FALSE())</f>
        <v>LED Bedside Lamp</v>
      </c>
      <c r="V294" s="11" t="str">
        <f>VLOOKUP(E294,Store_Dim!$A:$E,3,FALSE())</f>
        <v>North</v>
      </c>
      <c r="W294" s="11" t="str">
        <f>VLOOKUP(C294,Customer_Dim!$A:$N,13,FALSE())</f>
        <v>Bronze</v>
      </c>
      <c r="X294" s="11" t="str">
        <f t="shared" si="34"/>
        <v>High</v>
      </c>
    </row>
    <row r="295" spans="1:24" ht="15.75" customHeight="1">
      <c r="A295" s="4" t="s">
        <v>2291</v>
      </c>
      <c r="B295" s="9">
        <v>45889</v>
      </c>
      <c r="C295" s="4" t="s">
        <v>544</v>
      </c>
      <c r="D295" s="4" t="s">
        <v>1785</v>
      </c>
      <c r="E295" s="4" t="s">
        <v>1947</v>
      </c>
      <c r="F295" s="4">
        <v>3</v>
      </c>
      <c r="G295" s="4">
        <v>118.25</v>
      </c>
      <c r="H295" s="4">
        <v>0.26</v>
      </c>
      <c r="I295" s="4" t="s">
        <v>1998</v>
      </c>
      <c r="J295" s="10">
        <v>262.51499999999999</v>
      </c>
      <c r="K295" s="4" t="str">
        <f t="shared" si="28"/>
        <v>20-08-2025</v>
      </c>
      <c r="L295" s="4" t="str">
        <f>TEXT(Sales_Fact!$B295,"mmm")</f>
        <v>Aug</v>
      </c>
      <c r="M295" s="4">
        <f t="shared" si="29"/>
        <v>3</v>
      </c>
      <c r="N295" s="10">
        <f t="shared" si="30"/>
        <v>118.25</v>
      </c>
      <c r="O295" s="10">
        <f t="shared" si="31"/>
        <v>262.51499999999999</v>
      </c>
      <c r="P295" s="10">
        <f t="shared" si="32"/>
        <v>354.75</v>
      </c>
      <c r="Q295" s="3">
        <f t="shared" si="33"/>
        <v>0.26000000000000006</v>
      </c>
      <c r="R295" s="4" t="str">
        <f>IF(Sales_Fact!$O295&gt;1000,"High","Low")</f>
        <v>Low</v>
      </c>
      <c r="S295" s="4" t="str">
        <f>VLOOKUP(C295,Customer_Dim!$A:$N,9,FALSE())</f>
        <v>Curtis Haynes</v>
      </c>
      <c r="T295" s="4" t="str">
        <f>VLOOKUP(D295,Product_Dim!$A:$M,3,FALSE())</f>
        <v>Beauty</v>
      </c>
      <c r="U295" s="11" t="str">
        <f>VLOOKUP(D295,Product_Dim!$A:$M,2,FALSE())</f>
        <v>Luxury Perfume Spray</v>
      </c>
      <c r="V295" s="11" t="str">
        <f>VLOOKUP(E295,Store_Dim!$A:$E,3,FALSE())</f>
        <v>East</v>
      </c>
      <c r="W295" s="11" t="str">
        <f>VLOOKUP(C295,Customer_Dim!$A:$N,13,FALSE())</f>
        <v>Gold</v>
      </c>
      <c r="X295" s="11" t="str">
        <f t="shared" si="34"/>
        <v>Low</v>
      </c>
    </row>
    <row r="296" spans="1:24" ht="15.75" customHeight="1">
      <c r="A296" s="4" t="s">
        <v>2292</v>
      </c>
      <c r="B296" s="9">
        <v>45253</v>
      </c>
      <c r="C296" s="4" t="s">
        <v>1336</v>
      </c>
      <c r="D296" s="4" t="s">
        <v>1697</v>
      </c>
      <c r="E296" s="4" t="s">
        <v>1959</v>
      </c>
      <c r="F296" s="4">
        <v>1</v>
      </c>
      <c r="G296" s="4">
        <v>223.25</v>
      </c>
      <c r="H296" s="4">
        <v>0.28999999999999998</v>
      </c>
      <c r="I296" s="4" t="s">
        <v>1996</v>
      </c>
      <c r="J296" s="10">
        <v>158.50749999999999</v>
      </c>
      <c r="K296" s="4" t="str">
        <f t="shared" si="28"/>
        <v>23-11-2023</v>
      </c>
      <c r="L296" s="4" t="str">
        <f>TEXT(Sales_Fact!$B296,"mmm")</f>
        <v>Nov</v>
      </c>
      <c r="M296" s="4">
        <f t="shared" si="29"/>
        <v>1</v>
      </c>
      <c r="N296" s="10">
        <f t="shared" si="30"/>
        <v>223.25</v>
      </c>
      <c r="O296" s="10">
        <f t="shared" si="31"/>
        <v>158.50749999999999</v>
      </c>
      <c r="P296" s="10">
        <f t="shared" si="32"/>
        <v>223.25</v>
      </c>
      <c r="Q296" s="3">
        <f t="shared" si="33"/>
        <v>0.29000000000000004</v>
      </c>
      <c r="R296" s="4" t="str">
        <f>IF(Sales_Fact!$O296&gt;1000,"High","Low")</f>
        <v>Low</v>
      </c>
      <c r="S296" s="4" t="str">
        <f>VLOOKUP(C296,Customer_Dim!$A:$N,9,FALSE())</f>
        <v>Holly Robinson</v>
      </c>
      <c r="T296" s="4" t="str">
        <f>VLOOKUP(D296,Product_Dim!$A:$M,3,FALSE())</f>
        <v>Beauty</v>
      </c>
      <c r="U296" s="11" t="str">
        <f>VLOOKUP(D296,Product_Dim!$A:$M,2,FALSE())</f>
        <v>Vitamin C Face Serum</v>
      </c>
      <c r="V296" s="11" t="str">
        <f>VLOOKUP(E296,Store_Dim!$A:$E,3,FALSE())</f>
        <v>North</v>
      </c>
      <c r="W296" s="11" t="str">
        <f>VLOOKUP(C296,Customer_Dim!$A:$N,13,FALSE())</f>
        <v>Platinum</v>
      </c>
      <c r="X296" s="11" t="str">
        <f t="shared" si="34"/>
        <v>Low</v>
      </c>
    </row>
    <row r="297" spans="1:24" ht="15.75" customHeight="1">
      <c r="A297" s="4" t="s">
        <v>2293</v>
      </c>
      <c r="B297" s="9">
        <v>45530</v>
      </c>
      <c r="C297" s="4" t="s">
        <v>1354</v>
      </c>
      <c r="D297" s="4" t="s">
        <v>1697</v>
      </c>
      <c r="E297" s="4" t="s">
        <v>1927</v>
      </c>
      <c r="F297" s="4">
        <v>3</v>
      </c>
      <c r="G297" s="4">
        <v>918.76</v>
      </c>
      <c r="H297" s="4">
        <v>0.2</v>
      </c>
      <c r="I297" s="4" t="s">
        <v>1998</v>
      </c>
      <c r="J297" s="10">
        <v>2205.0239999999999</v>
      </c>
      <c r="K297" s="4" t="str">
        <f t="shared" si="28"/>
        <v>26-08-2024</v>
      </c>
      <c r="L297" s="4" t="str">
        <f>TEXT(Sales_Fact!$B297,"mmm")</f>
        <v>Aug</v>
      </c>
      <c r="M297" s="4">
        <f t="shared" si="29"/>
        <v>3</v>
      </c>
      <c r="N297" s="10">
        <f t="shared" si="30"/>
        <v>918.76</v>
      </c>
      <c r="O297" s="10">
        <f t="shared" si="31"/>
        <v>2205.0239999999999</v>
      </c>
      <c r="P297" s="10">
        <f t="shared" si="32"/>
        <v>2756.2799999999997</v>
      </c>
      <c r="Q297" s="3">
        <f t="shared" si="33"/>
        <v>0.19999999999999996</v>
      </c>
      <c r="R297" s="4" t="str">
        <f>IF(Sales_Fact!$O297&gt;1000,"High","Low")</f>
        <v>High</v>
      </c>
      <c r="S297" s="4" t="str">
        <f>VLOOKUP(C297,Customer_Dim!$A:$N,9,FALSE())</f>
        <v>Jose Stewart</v>
      </c>
      <c r="T297" s="4" t="str">
        <f>VLOOKUP(D297,Product_Dim!$A:$M,3,FALSE())</f>
        <v>Beauty</v>
      </c>
      <c r="U297" s="11" t="str">
        <f>VLOOKUP(D297,Product_Dim!$A:$M,2,FALSE())</f>
        <v>Vitamin C Face Serum</v>
      </c>
      <c r="V297" s="11" t="str">
        <f>VLOOKUP(E297,Store_Dim!$A:$E,3,FALSE())</f>
        <v>South</v>
      </c>
      <c r="W297" s="11" t="str">
        <f>VLOOKUP(C297,Customer_Dim!$A:$N,13,FALSE())</f>
        <v>Gold</v>
      </c>
      <c r="X297" s="11" t="str">
        <f t="shared" si="34"/>
        <v>Low</v>
      </c>
    </row>
    <row r="298" spans="1:24" ht="15.75" customHeight="1">
      <c r="A298" s="4" t="s">
        <v>2294</v>
      </c>
      <c r="B298" s="9">
        <v>45491</v>
      </c>
      <c r="C298" s="4" t="s">
        <v>918</v>
      </c>
      <c r="D298" s="4" t="s">
        <v>1858</v>
      </c>
      <c r="E298" s="4" t="s">
        <v>1955</v>
      </c>
      <c r="F298" s="4">
        <v>2</v>
      </c>
      <c r="G298" s="4">
        <v>905.26</v>
      </c>
      <c r="H298" s="4">
        <v>0.15</v>
      </c>
      <c r="I298" s="4" t="s">
        <v>2004</v>
      </c>
      <c r="J298" s="10">
        <v>1538.942</v>
      </c>
      <c r="K298" s="4" t="str">
        <f t="shared" si="28"/>
        <v>18-07-2024</v>
      </c>
      <c r="L298" s="4" t="str">
        <f>TEXT(Sales_Fact!$B298,"mmm")</f>
        <v>Jul</v>
      </c>
      <c r="M298" s="4">
        <f t="shared" si="29"/>
        <v>2</v>
      </c>
      <c r="N298" s="10">
        <f t="shared" si="30"/>
        <v>905.26</v>
      </c>
      <c r="O298" s="10">
        <f t="shared" si="31"/>
        <v>1538.942</v>
      </c>
      <c r="P298" s="10">
        <f t="shared" si="32"/>
        <v>1810.52</v>
      </c>
      <c r="Q298" s="3">
        <f t="shared" si="33"/>
        <v>0.15</v>
      </c>
      <c r="R298" s="4" t="str">
        <f>IF(Sales_Fact!$O298&gt;1000,"High","Low")</f>
        <v>High</v>
      </c>
      <c r="S298" s="4" t="str">
        <f>VLOOKUP(C298,Customer_Dim!$A:$N,9,FALSE())</f>
        <v>Antonio Leon</v>
      </c>
      <c r="T298" s="4" t="str">
        <f>VLOOKUP(D298,Product_Dim!$A:$M,3,FALSE())</f>
        <v>Home</v>
      </c>
      <c r="U298" s="11" t="str">
        <f>VLOOKUP(D298,Product_Dim!$A:$M,2,FALSE())</f>
        <v>Wooden Bookshelf</v>
      </c>
      <c r="V298" s="11" t="str">
        <f>VLOOKUP(E298,Store_Dim!$A:$E,3,FALSE())</f>
        <v>East</v>
      </c>
      <c r="W298" s="11" t="str">
        <f>VLOOKUP(C298,Customer_Dim!$A:$N,13,FALSE())</f>
        <v>Bronze</v>
      </c>
      <c r="X298" s="11" t="str">
        <f t="shared" si="34"/>
        <v>Low</v>
      </c>
    </row>
    <row r="299" spans="1:24" ht="15.75" customHeight="1">
      <c r="A299" s="4" t="s">
        <v>2295</v>
      </c>
      <c r="B299" s="9">
        <v>45628</v>
      </c>
      <c r="C299" s="4" t="s">
        <v>1012</v>
      </c>
      <c r="D299" s="4" t="s">
        <v>1644</v>
      </c>
      <c r="E299" s="4" t="s">
        <v>1971</v>
      </c>
      <c r="F299" s="4">
        <v>4</v>
      </c>
      <c r="G299" s="4">
        <v>295.39999999999998</v>
      </c>
      <c r="H299" s="4">
        <v>0.23</v>
      </c>
      <c r="I299" s="4" t="s">
        <v>1998</v>
      </c>
      <c r="J299" s="10">
        <v>909.83199999999999</v>
      </c>
      <c r="K299" s="4" t="str">
        <f t="shared" si="28"/>
        <v>02-12-2024</v>
      </c>
      <c r="L299" s="4" t="str">
        <f>TEXT(Sales_Fact!$B299,"mmm")</f>
        <v>Dec</v>
      </c>
      <c r="M299" s="4">
        <f t="shared" si="29"/>
        <v>4</v>
      </c>
      <c r="N299" s="10">
        <f t="shared" si="30"/>
        <v>295.39999999999998</v>
      </c>
      <c r="O299" s="10">
        <f t="shared" si="31"/>
        <v>909.83199999999999</v>
      </c>
      <c r="P299" s="10">
        <f t="shared" si="32"/>
        <v>1181.5999999999999</v>
      </c>
      <c r="Q299" s="3">
        <f t="shared" si="33"/>
        <v>0.22999999999999995</v>
      </c>
      <c r="R299" s="4" t="str">
        <f>IF(Sales_Fact!$O299&gt;1000,"High","Low")</f>
        <v>Low</v>
      </c>
      <c r="S299" s="4" t="str">
        <f>VLOOKUP(C299,Customer_Dim!$A:$N,9,FALSE())</f>
        <v>Jason Mullins</v>
      </c>
      <c r="T299" s="4" t="str">
        <f>VLOOKUP(D299,Product_Dim!$A:$M,3,FALSE())</f>
        <v>Beauty</v>
      </c>
      <c r="U299" s="11" t="str">
        <f>VLOOKUP(D299,Product_Dim!$A:$M,2,FALSE())</f>
        <v>Beard Grooming Kit</v>
      </c>
      <c r="V299" s="11" t="str">
        <f>VLOOKUP(E299,Store_Dim!$A:$E,3,FALSE())</f>
        <v>East</v>
      </c>
      <c r="W299" s="11" t="str">
        <f>VLOOKUP(C299,Customer_Dim!$A:$N,13,FALSE())</f>
        <v>Silver</v>
      </c>
      <c r="X299" s="11" t="str">
        <f t="shared" si="34"/>
        <v>High</v>
      </c>
    </row>
    <row r="300" spans="1:24" ht="15.75" customHeight="1">
      <c r="A300" s="4" t="s">
        <v>2296</v>
      </c>
      <c r="B300" s="9">
        <v>45861</v>
      </c>
      <c r="C300" s="4" t="s">
        <v>335</v>
      </c>
      <c r="D300" s="4" t="s">
        <v>1888</v>
      </c>
      <c r="E300" s="4" t="s">
        <v>1931</v>
      </c>
      <c r="F300" s="4">
        <v>1</v>
      </c>
      <c r="G300" s="4">
        <v>252.18</v>
      </c>
      <c r="H300" s="4">
        <v>0.23</v>
      </c>
      <c r="I300" s="4" t="s">
        <v>1998</v>
      </c>
      <c r="J300" s="10">
        <v>194.17859999999999</v>
      </c>
      <c r="K300" s="4" t="str">
        <f t="shared" si="28"/>
        <v>23-07-2025</v>
      </c>
      <c r="L300" s="4" t="str">
        <f>TEXT(Sales_Fact!$B300,"mmm")</f>
        <v>Jul</v>
      </c>
      <c r="M300" s="4">
        <f t="shared" si="29"/>
        <v>1</v>
      </c>
      <c r="N300" s="10">
        <f t="shared" si="30"/>
        <v>252.18</v>
      </c>
      <c r="O300" s="10">
        <f t="shared" si="31"/>
        <v>194.17860000000002</v>
      </c>
      <c r="P300" s="10">
        <f t="shared" si="32"/>
        <v>252.18</v>
      </c>
      <c r="Q300" s="3">
        <f t="shared" si="33"/>
        <v>0.22999999999999995</v>
      </c>
      <c r="R300" s="4" t="str">
        <f>IF(Sales_Fact!$O300&gt;1000,"High","Low")</f>
        <v>Low</v>
      </c>
      <c r="S300" s="4" t="str">
        <f>VLOOKUP(C300,Customer_Dim!$A:$N,9,FALSE())</f>
        <v>Melissa Duffy Md</v>
      </c>
      <c r="T300" s="4" t="str">
        <f>VLOOKUP(D300,Product_Dim!$A:$M,3,FALSE())</f>
        <v>Beauty</v>
      </c>
      <c r="U300" s="11" t="str">
        <f>VLOOKUP(D300,Product_Dim!$A:$M,2,FALSE())</f>
        <v>Vitamin E Body Lotion</v>
      </c>
      <c r="V300" s="11" t="str">
        <f>VLOOKUP(E300,Store_Dim!$A:$E,3,FALSE())</f>
        <v>North</v>
      </c>
      <c r="W300" s="11" t="str">
        <f>VLOOKUP(C300,Customer_Dim!$A:$N,13,FALSE())</f>
        <v>Bronze</v>
      </c>
      <c r="X300" s="11" t="str">
        <f t="shared" si="34"/>
        <v>Low</v>
      </c>
    </row>
    <row r="301" spans="1:24" ht="15.75" customHeight="1">
      <c r="A301" s="4" t="s">
        <v>2297</v>
      </c>
      <c r="B301" s="9">
        <v>45878</v>
      </c>
      <c r="C301" s="4" t="s">
        <v>535</v>
      </c>
      <c r="D301" s="4" t="s">
        <v>1897</v>
      </c>
      <c r="E301" s="4" t="s">
        <v>1952</v>
      </c>
      <c r="F301" s="4">
        <v>4</v>
      </c>
      <c r="G301" s="4">
        <v>792.1</v>
      </c>
      <c r="H301" s="4">
        <v>0.19</v>
      </c>
      <c r="I301" s="4" t="s">
        <v>2004</v>
      </c>
      <c r="J301" s="10">
        <v>2566.404</v>
      </c>
      <c r="K301" s="4" t="str">
        <f t="shared" si="28"/>
        <v>09-08-2025</v>
      </c>
      <c r="L301" s="4" t="str">
        <f>TEXT(Sales_Fact!$B301,"mmm")</f>
        <v>Aug</v>
      </c>
      <c r="M301" s="4">
        <f t="shared" si="29"/>
        <v>4</v>
      </c>
      <c r="N301" s="10">
        <f t="shared" si="30"/>
        <v>792.1</v>
      </c>
      <c r="O301" s="10">
        <f t="shared" si="31"/>
        <v>2566.4040000000005</v>
      </c>
      <c r="P301" s="10">
        <f t="shared" si="32"/>
        <v>3168.4</v>
      </c>
      <c r="Q301" s="3">
        <f t="shared" si="33"/>
        <v>0.18999999999999989</v>
      </c>
      <c r="R301" s="4" t="str">
        <f>IF(Sales_Fact!$O301&gt;1000,"High","Low")</f>
        <v>High</v>
      </c>
      <c r="S301" s="4" t="str">
        <f>VLOOKUP(C301,Customer_Dim!$A:$N,9,FALSE())</f>
        <v>Patrick Roberts</v>
      </c>
      <c r="T301" s="4" t="str">
        <f>VLOOKUP(D301,Product_Dim!$A:$M,3,FALSE())</f>
        <v>Sports</v>
      </c>
      <c r="U301" s="11" t="str">
        <f>VLOOKUP(D301,Product_Dim!$A:$M,2,FALSE())</f>
        <v>Cricket Bat</v>
      </c>
      <c r="V301" s="11" t="str">
        <f>VLOOKUP(E301,Store_Dim!$A:$E,3,FALSE())</f>
        <v>North</v>
      </c>
      <c r="W301" s="11" t="str">
        <f>VLOOKUP(C301,Customer_Dim!$A:$N,13,FALSE())</f>
        <v>Platinum</v>
      </c>
      <c r="X301" s="11" t="str">
        <f t="shared" si="34"/>
        <v>High</v>
      </c>
    </row>
    <row r="302" spans="1:24" ht="15.75" customHeight="1">
      <c r="A302" s="4" t="s">
        <v>2298</v>
      </c>
      <c r="B302" s="9">
        <v>45426</v>
      </c>
      <c r="C302" s="4" t="s">
        <v>299</v>
      </c>
      <c r="D302" s="4" t="s">
        <v>1870</v>
      </c>
      <c r="E302" s="4" t="s">
        <v>1957</v>
      </c>
      <c r="F302" s="4">
        <v>1</v>
      </c>
      <c r="G302" s="4">
        <v>883.36</v>
      </c>
      <c r="H302" s="4">
        <v>0.11</v>
      </c>
      <c r="I302" s="4" t="s">
        <v>1998</v>
      </c>
      <c r="J302" s="10">
        <v>786.19039999999995</v>
      </c>
      <c r="K302" s="4" t="str">
        <f t="shared" si="28"/>
        <v>14-05-2024</v>
      </c>
      <c r="L302" s="4" t="str">
        <f>TEXT(Sales_Fact!$B302,"mmm")</f>
        <v>May</v>
      </c>
      <c r="M302" s="4">
        <f t="shared" si="29"/>
        <v>1</v>
      </c>
      <c r="N302" s="10">
        <f t="shared" si="30"/>
        <v>883.36</v>
      </c>
      <c r="O302" s="10">
        <f t="shared" si="31"/>
        <v>786.19040000000007</v>
      </c>
      <c r="P302" s="10">
        <f t="shared" si="32"/>
        <v>883.36</v>
      </c>
      <c r="Q302" s="3">
        <f t="shared" si="33"/>
        <v>0.10999999999999993</v>
      </c>
      <c r="R302" s="4" t="str">
        <f>IF(Sales_Fact!$O302&gt;1000,"High","Low")</f>
        <v>Low</v>
      </c>
      <c r="S302" s="4" t="str">
        <f>VLOOKUP(C302,Customer_Dim!$A:$N,9,FALSE())</f>
        <v>Nathan Campbell</v>
      </c>
      <c r="T302" s="4" t="str">
        <f>VLOOKUP(D302,Product_Dim!$A:$M,3,FALSE())</f>
        <v>Sports</v>
      </c>
      <c r="U302" s="11" t="str">
        <f>VLOOKUP(D302,Product_Dim!$A:$M,2,FALSE())</f>
        <v>Sports Wrist Sweatbands</v>
      </c>
      <c r="V302" s="11" t="str">
        <f>VLOOKUP(E302,Store_Dim!$A:$E,3,FALSE())</f>
        <v>South</v>
      </c>
      <c r="W302" s="11" t="str">
        <f>VLOOKUP(C302,Customer_Dim!$A:$N,13,FALSE())</f>
        <v>Gold</v>
      </c>
      <c r="X302" s="11" t="str">
        <f t="shared" si="34"/>
        <v>Low</v>
      </c>
    </row>
    <row r="303" spans="1:24" ht="15.75" customHeight="1">
      <c r="A303" s="4" t="s">
        <v>2299</v>
      </c>
      <c r="B303" s="9">
        <v>45231</v>
      </c>
      <c r="C303" s="4" t="s">
        <v>906</v>
      </c>
      <c r="D303" s="4" t="s">
        <v>1813</v>
      </c>
      <c r="E303" s="4" t="s">
        <v>1910</v>
      </c>
      <c r="F303" s="4">
        <v>4</v>
      </c>
      <c r="G303" s="4">
        <v>305.95</v>
      </c>
      <c r="H303" s="4">
        <v>0.08</v>
      </c>
      <c r="I303" s="4" t="s">
        <v>1998</v>
      </c>
      <c r="J303" s="10">
        <v>1125.896</v>
      </c>
      <c r="K303" s="4" t="str">
        <f t="shared" si="28"/>
        <v>01-11-2023</v>
      </c>
      <c r="L303" s="4" t="str">
        <f>TEXT(Sales_Fact!$B303,"mmm")</f>
        <v>Nov</v>
      </c>
      <c r="M303" s="4">
        <f t="shared" si="29"/>
        <v>4</v>
      </c>
      <c r="N303" s="10">
        <f t="shared" si="30"/>
        <v>305.95</v>
      </c>
      <c r="O303" s="10">
        <f t="shared" si="31"/>
        <v>1125.896</v>
      </c>
      <c r="P303" s="10">
        <f t="shared" si="32"/>
        <v>1223.8</v>
      </c>
      <c r="Q303" s="3">
        <f t="shared" si="33"/>
        <v>0.08</v>
      </c>
      <c r="R303" s="4" t="str">
        <f>IF(Sales_Fact!$O303&gt;1000,"High","Low")</f>
        <v>High</v>
      </c>
      <c r="S303" s="4" t="str">
        <f>VLOOKUP(C303,Customer_Dim!$A:$N,9,FALSE())</f>
        <v>Arthur Warren</v>
      </c>
      <c r="T303" s="4" t="str">
        <f>VLOOKUP(D303,Product_Dim!$A:$M,3,FALSE())</f>
        <v>Clothing</v>
      </c>
      <c r="U303" s="11" t="str">
        <f>VLOOKUP(D303,Product_Dim!$A:$M,2,FALSE())</f>
        <v>Men's Sports Shorts</v>
      </c>
      <c r="V303" s="11" t="str">
        <f>VLOOKUP(E303,Store_Dim!$A:$E,3,FALSE())</f>
        <v>East</v>
      </c>
      <c r="W303" s="11" t="str">
        <f>VLOOKUP(C303,Customer_Dim!$A:$N,13,FALSE())</f>
        <v>Gold</v>
      </c>
      <c r="X303" s="11" t="str">
        <f t="shared" si="34"/>
        <v>High</v>
      </c>
    </row>
    <row r="304" spans="1:24" ht="15.75" customHeight="1">
      <c r="A304" s="4" t="s">
        <v>2300</v>
      </c>
      <c r="B304" s="9">
        <v>45916</v>
      </c>
      <c r="C304" s="4" t="s">
        <v>909</v>
      </c>
      <c r="D304" s="4" t="s">
        <v>1885</v>
      </c>
      <c r="E304" s="4" t="s">
        <v>1934</v>
      </c>
      <c r="F304" s="4">
        <v>3</v>
      </c>
      <c r="G304" s="4">
        <v>949.19</v>
      </c>
      <c r="H304" s="4">
        <v>0.03</v>
      </c>
      <c r="I304" s="4" t="s">
        <v>2004</v>
      </c>
      <c r="J304" s="10">
        <v>2762.1428999999998</v>
      </c>
      <c r="K304" s="4" t="str">
        <f t="shared" si="28"/>
        <v>16-09-2025</v>
      </c>
      <c r="L304" s="4" t="str">
        <f>TEXT(Sales_Fact!$B304,"mmm")</f>
        <v>Sep</v>
      </c>
      <c r="M304" s="4">
        <f t="shared" si="29"/>
        <v>3</v>
      </c>
      <c r="N304" s="10">
        <f t="shared" si="30"/>
        <v>949.19</v>
      </c>
      <c r="O304" s="10">
        <f t="shared" si="31"/>
        <v>2762.1429000000003</v>
      </c>
      <c r="P304" s="10">
        <f t="shared" si="32"/>
        <v>2847.57</v>
      </c>
      <c r="Q304" s="3">
        <f t="shared" si="33"/>
        <v>2.9999999999999957E-2</v>
      </c>
      <c r="R304" s="4" t="str">
        <f>IF(Sales_Fact!$O304&gt;1000,"High","Low")</f>
        <v>High</v>
      </c>
      <c r="S304" s="4" t="str">
        <f>VLOOKUP(C304,Customer_Dim!$A:$N,9,FALSE())</f>
        <v>Jeffrey Gomez</v>
      </c>
      <c r="T304" s="4" t="str">
        <f>VLOOKUP(D304,Product_Dim!$A:$M,3,FALSE())</f>
        <v>Electronics</v>
      </c>
      <c r="U304" s="11" t="str">
        <f>VLOOKUP(D304,Product_Dim!$A:$M,2,FALSE())</f>
        <v>USB-C Laptop Charger</v>
      </c>
      <c r="V304" s="11" t="str">
        <f>VLOOKUP(E304,Store_Dim!$A:$E,3,FALSE())</f>
        <v>East</v>
      </c>
      <c r="W304" s="11" t="str">
        <f>VLOOKUP(C304,Customer_Dim!$A:$N,13,FALSE())</f>
        <v>Platinum</v>
      </c>
      <c r="X304" s="11" t="str">
        <f t="shared" si="34"/>
        <v>Low</v>
      </c>
    </row>
    <row r="305" spans="1:24" ht="15.75" customHeight="1">
      <c r="A305" s="4" t="s">
        <v>2301</v>
      </c>
      <c r="B305" s="9">
        <v>45609</v>
      </c>
      <c r="C305" s="4" t="s">
        <v>1278</v>
      </c>
      <c r="D305" s="4" t="s">
        <v>1779</v>
      </c>
      <c r="E305" s="4" t="s">
        <v>1937</v>
      </c>
      <c r="F305" s="4">
        <v>3</v>
      </c>
      <c r="G305" s="4">
        <v>742.45</v>
      </c>
      <c r="H305" s="4">
        <v>0.23</v>
      </c>
      <c r="I305" s="4" t="s">
        <v>2004</v>
      </c>
      <c r="J305" s="10">
        <v>1715.0595000000001</v>
      </c>
      <c r="K305" s="4" t="str">
        <f t="shared" si="28"/>
        <v>13-11-2024</v>
      </c>
      <c r="L305" s="4" t="str">
        <f>TEXT(Sales_Fact!$B305,"mmm")</f>
        <v>Nov</v>
      </c>
      <c r="M305" s="4">
        <f t="shared" si="29"/>
        <v>3</v>
      </c>
      <c r="N305" s="10">
        <f t="shared" si="30"/>
        <v>742.45</v>
      </c>
      <c r="O305" s="10">
        <f t="shared" si="31"/>
        <v>1715.0595000000003</v>
      </c>
      <c r="P305" s="10">
        <f t="shared" si="32"/>
        <v>2227.3500000000004</v>
      </c>
      <c r="Q305" s="3">
        <f t="shared" si="33"/>
        <v>0.22999999999999998</v>
      </c>
      <c r="R305" s="4" t="str">
        <f>IF(Sales_Fact!$O305&gt;1000,"High","Low")</f>
        <v>High</v>
      </c>
      <c r="S305" s="4" t="str">
        <f>VLOOKUP(C305,Customer_Dim!$A:$N,9,FALSE())</f>
        <v>Terry Moses</v>
      </c>
      <c r="T305" s="4" t="str">
        <f>VLOOKUP(D305,Product_Dim!$A:$M,3,FALSE())</f>
        <v>Clothing</v>
      </c>
      <c r="U305" s="11" t="str">
        <f>VLOOKUP(D305,Product_Dim!$A:$M,2,FALSE())</f>
        <v>Womens Cotton Scarf</v>
      </c>
      <c r="V305" s="11" t="str">
        <f>VLOOKUP(E305,Store_Dim!$A:$E,3,FALSE())</f>
        <v>South</v>
      </c>
      <c r="W305" s="11" t="str">
        <f>VLOOKUP(C305,Customer_Dim!$A:$N,13,FALSE())</f>
        <v>Platinum</v>
      </c>
      <c r="X305" s="11" t="str">
        <f t="shared" si="34"/>
        <v>Low</v>
      </c>
    </row>
    <row r="306" spans="1:24" ht="15.75" customHeight="1">
      <c r="A306" s="4" t="s">
        <v>2302</v>
      </c>
      <c r="B306" s="9">
        <v>45392</v>
      </c>
      <c r="C306" s="4" t="s">
        <v>1141</v>
      </c>
      <c r="D306" s="4" t="s">
        <v>1675</v>
      </c>
      <c r="E306" s="4" t="s">
        <v>1968</v>
      </c>
      <c r="F306" s="4">
        <v>3</v>
      </c>
      <c r="G306" s="4">
        <v>336.1</v>
      </c>
      <c r="H306" s="4">
        <v>0.12</v>
      </c>
      <c r="I306" s="4" t="s">
        <v>2004</v>
      </c>
      <c r="J306" s="10">
        <v>887.30399999999997</v>
      </c>
      <c r="K306" s="4" t="str">
        <f t="shared" si="28"/>
        <v>10-04-2024</v>
      </c>
      <c r="L306" s="4" t="str">
        <f>TEXT(Sales_Fact!$B306,"mmm")</f>
        <v>Apr</v>
      </c>
      <c r="M306" s="4">
        <f t="shared" si="29"/>
        <v>3</v>
      </c>
      <c r="N306" s="10">
        <f t="shared" si="30"/>
        <v>336.1</v>
      </c>
      <c r="O306" s="10">
        <f t="shared" si="31"/>
        <v>887.30400000000009</v>
      </c>
      <c r="P306" s="10">
        <f t="shared" si="32"/>
        <v>1008.3000000000001</v>
      </c>
      <c r="Q306" s="3">
        <f t="shared" si="33"/>
        <v>0.11999999999999997</v>
      </c>
      <c r="R306" s="4" t="str">
        <f>IF(Sales_Fact!$O306&gt;1000,"High","Low")</f>
        <v>Low</v>
      </c>
      <c r="S306" s="4" t="str">
        <f>VLOOKUP(C306,Customer_Dim!$A:$N,9,FALSE())</f>
        <v>Carlos Flores</v>
      </c>
      <c r="T306" s="4" t="str">
        <f>VLOOKUP(D306,Product_Dim!$A:$M,3,FALSE())</f>
        <v>Clothing</v>
      </c>
      <c r="U306" s="11" t="str">
        <f>VLOOKUP(D306,Product_Dim!$A:$M,2,FALSE())</f>
        <v>Women's Scarf Set</v>
      </c>
      <c r="V306" s="11" t="str">
        <f>VLOOKUP(E306,Store_Dim!$A:$E,3,FALSE())</f>
        <v>East</v>
      </c>
      <c r="W306" s="11" t="str">
        <f>VLOOKUP(C306,Customer_Dim!$A:$N,13,FALSE())</f>
        <v>Gold</v>
      </c>
      <c r="X306" s="11" t="str">
        <f t="shared" si="34"/>
        <v>Low</v>
      </c>
    </row>
    <row r="307" spans="1:24" ht="15.75" customHeight="1">
      <c r="A307" s="4" t="s">
        <v>2303</v>
      </c>
      <c r="B307" s="9">
        <v>45876</v>
      </c>
      <c r="C307" s="4" t="s">
        <v>1310</v>
      </c>
      <c r="D307" s="4" t="s">
        <v>1687</v>
      </c>
      <c r="E307" s="4" t="s">
        <v>1937</v>
      </c>
      <c r="F307" s="4">
        <v>3</v>
      </c>
      <c r="G307" s="4">
        <v>310.36</v>
      </c>
      <c r="H307" s="4">
        <v>0.14000000000000001</v>
      </c>
      <c r="I307" s="4" t="s">
        <v>2004</v>
      </c>
      <c r="J307" s="10">
        <v>800.72879999999998</v>
      </c>
      <c r="K307" s="4" t="str">
        <f t="shared" si="28"/>
        <v>07-08-2025</v>
      </c>
      <c r="L307" s="4" t="str">
        <f>TEXT(Sales_Fact!$B307,"mmm")</f>
        <v>Aug</v>
      </c>
      <c r="M307" s="4">
        <f t="shared" si="29"/>
        <v>3</v>
      </c>
      <c r="N307" s="10">
        <f t="shared" si="30"/>
        <v>310.36</v>
      </c>
      <c r="O307" s="10">
        <f t="shared" si="31"/>
        <v>800.72879999999998</v>
      </c>
      <c r="P307" s="10">
        <f t="shared" si="32"/>
        <v>931.08</v>
      </c>
      <c r="Q307" s="3">
        <f t="shared" si="33"/>
        <v>0.14000000000000007</v>
      </c>
      <c r="R307" s="4" t="str">
        <f>IF(Sales_Fact!$O307&gt;1000,"High","Low")</f>
        <v>Low</v>
      </c>
      <c r="S307" s="4" t="str">
        <f>VLOOKUP(C307,Customer_Dim!$A:$N,9,FALSE())</f>
        <v>Shane Brown</v>
      </c>
      <c r="T307" s="4" t="str">
        <f>VLOOKUP(D307,Product_Dim!$A:$M,3,FALSE())</f>
        <v>Home</v>
      </c>
      <c r="U307" s="11" t="str">
        <f>VLOOKUP(D307,Product_Dim!$A:$M,2,FALSE())</f>
        <v>Fabric Sofa Throw Blanket</v>
      </c>
      <c r="V307" s="11" t="str">
        <f>VLOOKUP(E307,Store_Dim!$A:$E,3,FALSE())</f>
        <v>South</v>
      </c>
      <c r="W307" s="11" t="str">
        <f>VLOOKUP(C307,Customer_Dim!$A:$N,13,FALSE())</f>
        <v>Gold</v>
      </c>
      <c r="X307" s="11" t="str">
        <f t="shared" si="34"/>
        <v>Low</v>
      </c>
    </row>
    <row r="308" spans="1:24" ht="15.75" customHeight="1">
      <c r="A308" s="4" t="s">
        <v>2304</v>
      </c>
      <c r="B308" s="9">
        <v>45772</v>
      </c>
      <c r="C308" s="4" t="s">
        <v>915</v>
      </c>
      <c r="D308" s="4" t="s">
        <v>1900</v>
      </c>
      <c r="E308" s="4" t="s">
        <v>1940</v>
      </c>
      <c r="F308" s="4">
        <v>3</v>
      </c>
      <c r="G308" s="4">
        <v>992.81</v>
      </c>
      <c r="H308" s="4">
        <v>0.04</v>
      </c>
      <c r="I308" s="4" t="s">
        <v>1998</v>
      </c>
      <c r="J308" s="10">
        <v>2859.2928000000002</v>
      </c>
      <c r="K308" s="4" t="str">
        <f t="shared" si="28"/>
        <v>25-04-2025</v>
      </c>
      <c r="L308" s="4" t="str">
        <f>TEXT(Sales_Fact!$B308,"mmm")</f>
        <v>Apr</v>
      </c>
      <c r="M308" s="4">
        <f t="shared" si="29"/>
        <v>3</v>
      </c>
      <c r="N308" s="10">
        <f t="shared" si="30"/>
        <v>992.81</v>
      </c>
      <c r="O308" s="10">
        <f t="shared" si="31"/>
        <v>2859.2927999999997</v>
      </c>
      <c r="P308" s="10">
        <f t="shared" si="32"/>
        <v>2978.43</v>
      </c>
      <c r="Q308" s="3">
        <f t="shared" si="33"/>
        <v>4.0000000000000042E-2</v>
      </c>
      <c r="R308" s="4" t="str">
        <f>IF(Sales_Fact!$O308&gt;1000,"High","Low")</f>
        <v>High</v>
      </c>
      <c r="S308" s="4" t="str">
        <f>VLOOKUP(C308,Customer_Dim!$A:$N,9,FALSE())</f>
        <v>Aaron Luna</v>
      </c>
      <c r="T308" s="4" t="str">
        <f>VLOOKUP(D308,Product_Dim!$A:$M,3,FALSE())</f>
        <v>Electronics</v>
      </c>
      <c r="U308" s="11" t="str">
        <f>VLOOKUP(D308,Product_Dim!$A:$M,2,FALSE())</f>
        <v>Portable Bluetooth Speaker</v>
      </c>
      <c r="V308" s="11" t="str">
        <f>VLOOKUP(E308,Store_Dim!$A:$E,3,FALSE())</f>
        <v>West</v>
      </c>
      <c r="W308" s="11" t="str">
        <f>VLOOKUP(C308,Customer_Dim!$A:$N,13,FALSE())</f>
        <v>Bronze</v>
      </c>
      <c r="X308" s="11" t="str">
        <f t="shared" si="34"/>
        <v>Low</v>
      </c>
    </row>
    <row r="309" spans="1:24" ht="15.75" customHeight="1">
      <c r="A309" s="4" t="s">
        <v>2305</v>
      </c>
      <c r="B309" s="9">
        <v>45217</v>
      </c>
      <c r="C309" s="4" t="s">
        <v>673</v>
      </c>
      <c r="D309" s="4" t="s">
        <v>1785</v>
      </c>
      <c r="E309" s="4" t="s">
        <v>1950</v>
      </c>
      <c r="F309" s="4">
        <v>3</v>
      </c>
      <c r="G309" s="4">
        <v>257.11</v>
      </c>
      <c r="H309" s="4">
        <v>0.26</v>
      </c>
      <c r="I309" s="4" t="s">
        <v>2004</v>
      </c>
      <c r="J309" s="10">
        <v>570.78420000000006</v>
      </c>
      <c r="K309" s="4" t="str">
        <f t="shared" si="28"/>
        <v>18-10-2023</v>
      </c>
      <c r="L309" s="4" t="str">
        <f>TEXT(Sales_Fact!$B309,"mmm")</f>
        <v>Oct</v>
      </c>
      <c r="M309" s="4">
        <f t="shared" si="29"/>
        <v>3</v>
      </c>
      <c r="N309" s="10">
        <f t="shared" si="30"/>
        <v>257.11</v>
      </c>
      <c r="O309" s="10">
        <f t="shared" si="31"/>
        <v>570.78420000000006</v>
      </c>
      <c r="P309" s="10">
        <f t="shared" si="32"/>
        <v>771.33</v>
      </c>
      <c r="Q309" s="3">
        <f t="shared" si="33"/>
        <v>0.25999999999999995</v>
      </c>
      <c r="R309" s="4" t="str">
        <f>IF(Sales_Fact!$O309&gt;1000,"High","Low")</f>
        <v>Low</v>
      </c>
      <c r="S309" s="4" t="str">
        <f>VLOOKUP(C309,Customer_Dim!$A:$N,9,FALSE())</f>
        <v>Wanda Snyder</v>
      </c>
      <c r="T309" s="4" t="str">
        <f>VLOOKUP(D309,Product_Dim!$A:$M,3,FALSE())</f>
        <v>Beauty</v>
      </c>
      <c r="U309" s="11" t="str">
        <f>VLOOKUP(D309,Product_Dim!$A:$M,2,FALSE())</f>
        <v>Luxury Perfume Spray</v>
      </c>
      <c r="V309" s="11" t="str">
        <f>VLOOKUP(E309,Store_Dim!$A:$E,3,FALSE())</f>
        <v>South</v>
      </c>
      <c r="W309" s="11" t="str">
        <f>VLOOKUP(C309,Customer_Dim!$A:$N,13,FALSE())</f>
        <v>Bronze</v>
      </c>
      <c r="X309" s="11" t="str">
        <f t="shared" si="34"/>
        <v>Low</v>
      </c>
    </row>
    <row r="310" spans="1:24" ht="15.75" customHeight="1">
      <c r="A310" s="4" t="s">
        <v>2306</v>
      </c>
      <c r="B310" s="9">
        <v>45739</v>
      </c>
      <c r="C310" s="4" t="s">
        <v>739</v>
      </c>
      <c r="D310" s="4" t="s">
        <v>1891</v>
      </c>
      <c r="E310" s="4" t="s">
        <v>1952</v>
      </c>
      <c r="F310" s="4">
        <v>4</v>
      </c>
      <c r="G310" s="4">
        <v>816.29</v>
      </c>
      <c r="H310" s="4">
        <v>0.24</v>
      </c>
      <c r="I310" s="4" t="s">
        <v>1998</v>
      </c>
      <c r="J310" s="10">
        <v>2481.5216</v>
      </c>
      <c r="K310" s="4" t="str">
        <f t="shared" si="28"/>
        <v>23-03-2025</v>
      </c>
      <c r="L310" s="4" t="str">
        <f>TEXT(Sales_Fact!$B310,"mmm")</f>
        <v>Mar</v>
      </c>
      <c r="M310" s="4">
        <f t="shared" si="29"/>
        <v>4</v>
      </c>
      <c r="N310" s="10">
        <f t="shared" si="30"/>
        <v>816.29</v>
      </c>
      <c r="O310" s="10">
        <f t="shared" si="31"/>
        <v>2481.5216</v>
      </c>
      <c r="P310" s="10">
        <f t="shared" si="32"/>
        <v>3265.16</v>
      </c>
      <c r="Q310" s="3">
        <f t="shared" si="33"/>
        <v>0.23999999999999996</v>
      </c>
      <c r="R310" s="4" t="str">
        <f>IF(Sales_Fact!$O310&gt;1000,"High","Low")</f>
        <v>High</v>
      </c>
      <c r="S310" s="4" t="str">
        <f>VLOOKUP(C310,Customer_Dim!$A:$N,9,FALSE())</f>
        <v>George Davis</v>
      </c>
      <c r="T310" s="4" t="str">
        <f>VLOOKUP(D310,Product_Dim!$A:$M,3,FALSE())</f>
        <v>Sports</v>
      </c>
      <c r="U310" s="11" t="str">
        <f>VLOOKUP(D310,Product_Dim!$A:$M,2,FALSE())</f>
        <v>Sports Stopwatch Basic</v>
      </c>
      <c r="V310" s="11" t="str">
        <f>VLOOKUP(E310,Store_Dim!$A:$E,3,FALSE())</f>
        <v>North</v>
      </c>
      <c r="W310" s="11" t="str">
        <f>VLOOKUP(C310,Customer_Dim!$A:$N,13,FALSE())</f>
        <v>Bronze</v>
      </c>
      <c r="X310" s="11" t="str">
        <f t="shared" si="34"/>
        <v>High</v>
      </c>
    </row>
    <row r="311" spans="1:24" ht="15.75" customHeight="1">
      <c r="A311" s="4" t="s">
        <v>2307</v>
      </c>
      <c r="B311" s="9">
        <v>45272</v>
      </c>
      <c r="C311" s="4" t="s">
        <v>444</v>
      </c>
      <c r="D311" s="4" t="s">
        <v>1785</v>
      </c>
      <c r="E311" s="4" t="s">
        <v>1952</v>
      </c>
      <c r="F311" s="4">
        <v>4</v>
      </c>
      <c r="G311" s="4">
        <v>755.82</v>
      </c>
      <c r="H311" s="4">
        <v>0.22</v>
      </c>
      <c r="I311" s="4" t="s">
        <v>2004</v>
      </c>
      <c r="J311" s="10">
        <v>2358.1583999999998</v>
      </c>
      <c r="K311" s="4" t="str">
        <f t="shared" si="28"/>
        <v>12-12-2023</v>
      </c>
      <c r="L311" s="4" t="str">
        <f>TEXT(Sales_Fact!$B311,"mmm")</f>
        <v>Dec</v>
      </c>
      <c r="M311" s="4">
        <f t="shared" si="29"/>
        <v>4</v>
      </c>
      <c r="N311" s="10">
        <f t="shared" si="30"/>
        <v>755.82</v>
      </c>
      <c r="O311" s="10">
        <f t="shared" si="31"/>
        <v>2358.1584000000003</v>
      </c>
      <c r="P311" s="10">
        <f t="shared" si="32"/>
        <v>3023.28</v>
      </c>
      <c r="Q311" s="3">
        <f t="shared" si="33"/>
        <v>0.21999999999999997</v>
      </c>
      <c r="R311" s="4" t="str">
        <f>IF(Sales_Fact!$O311&gt;1000,"High","Low")</f>
        <v>High</v>
      </c>
      <c r="S311" s="4" t="str">
        <f>VLOOKUP(C311,Customer_Dim!$A:$N,9,FALSE())</f>
        <v>Michael Chang</v>
      </c>
      <c r="T311" s="4" t="str">
        <f>VLOOKUP(D311,Product_Dim!$A:$M,3,FALSE())</f>
        <v>Beauty</v>
      </c>
      <c r="U311" s="11" t="str">
        <f>VLOOKUP(D311,Product_Dim!$A:$M,2,FALSE())</f>
        <v>Luxury Perfume Spray</v>
      </c>
      <c r="V311" s="11" t="str">
        <f>VLOOKUP(E311,Store_Dim!$A:$E,3,FALSE())</f>
        <v>North</v>
      </c>
      <c r="W311" s="11" t="str">
        <f>VLOOKUP(C311,Customer_Dim!$A:$N,13,FALSE())</f>
        <v>Platinum</v>
      </c>
      <c r="X311" s="11" t="str">
        <f t="shared" si="34"/>
        <v>High</v>
      </c>
    </row>
    <row r="312" spans="1:24" ht="15.75" customHeight="1">
      <c r="A312" s="4" t="s">
        <v>2308</v>
      </c>
      <c r="B312" s="9">
        <v>45524</v>
      </c>
      <c r="C312" s="4" t="s">
        <v>40</v>
      </c>
      <c r="D312" s="4" t="s">
        <v>1578</v>
      </c>
      <c r="E312" s="4" t="s">
        <v>1957</v>
      </c>
      <c r="F312" s="4">
        <v>1</v>
      </c>
      <c r="G312" s="4">
        <v>449.6</v>
      </c>
      <c r="H312" s="4">
        <v>0.01</v>
      </c>
      <c r="I312" s="4" t="s">
        <v>1998</v>
      </c>
      <c r="J312" s="10">
        <v>445.10399999999998</v>
      </c>
      <c r="K312" s="4" t="str">
        <f t="shared" si="28"/>
        <v>20-08-2024</v>
      </c>
      <c r="L312" s="4" t="str">
        <f>TEXT(Sales_Fact!$B312,"mmm")</f>
        <v>Aug</v>
      </c>
      <c r="M312" s="4">
        <f t="shared" si="29"/>
        <v>1</v>
      </c>
      <c r="N312" s="10">
        <f t="shared" si="30"/>
        <v>449.6</v>
      </c>
      <c r="O312" s="10">
        <f t="shared" si="31"/>
        <v>445.10400000000004</v>
      </c>
      <c r="P312" s="10">
        <f t="shared" si="32"/>
        <v>449.6</v>
      </c>
      <c r="Q312" s="3">
        <f t="shared" si="33"/>
        <v>9.9999999999999568E-3</v>
      </c>
      <c r="R312" s="4" t="str">
        <f>IF(Sales_Fact!$O312&gt;1000,"High","Low")</f>
        <v>Low</v>
      </c>
      <c r="S312" s="4" t="str">
        <f>VLOOKUP(C312,Customer_Dim!$A:$N,9,FALSE())</f>
        <v>Jeremy Harris</v>
      </c>
      <c r="T312" s="4" t="str">
        <f>VLOOKUP(D312,Product_Dim!$A:$M,3,FALSE())</f>
        <v>Electronics</v>
      </c>
      <c r="U312" s="11" t="str">
        <f>VLOOKUP(D312,Product_Dim!$A:$M,2,FALSE())</f>
        <v>Brother Laser Printer</v>
      </c>
      <c r="V312" s="11" t="str">
        <f>VLOOKUP(E312,Store_Dim!$A:$E,3,FALSE())</f>
        <v>South</v>
      </c>
      <c r="W312" s="11" t="str">
        <f>VLOOKUP(C312,Customer_Dim!$A:$N,13,FALSE())</f>
        <v>Bronze</v>
      </c>
      <c r="X312" s="11" t="str">
        <f t="shared" si="34"/>
        <v>Low</v>
      </c>
    </row>
    <row r="313" spans="1:24" ht="15.75" customHeight="1">
      <c r="A313" s="4" t="s">
        <v>2309</v>
      </c>
      <c r="B313" s="9">
        <v>45481</v>
      </c>
      <c r="C313" s="4" t="s">
        <v>1129</v>
      </c>
      <c r="D313" s="4" t="s">
        <v>1636</v>
      </c>
      <c r="E313" s="4" t="s">
        <v>1910</v>
      </c>
      <c r="F313" s="4">
        <v>2</v>
      </c>
      <c r="G313" s="4">
        <v>779.29</v>
      </c>
      <c r="H313" s="4">
        <v>0.12</v>
      </c>
      <c r="I313" s="4" t="s">
        <v>2004</v>
      </c>
      <c r="J313" s="10">
        <v>1371.5504000000001</v>
      </c>
      <c r="K313" s="4" t="str">
        <f t="shared" si="28"/>
        <v>08-07-2024</v>
      </c>
      <c r="L313" s="4" t="str">
        <f>TEXT(Sales_Fact!$B313,"mmm")</f>
        <v>Jul</v>
      </c>
      <c r="M313" s="4">
        <f t="shared" si="29"/>
        <v>2</v>
      </c>
      <c r="N313" s="10">
        <f t="shared" si="30"/>
        <v>779.29</v>
      </c>
      <c r="O313" s="10">
        <f t="shared" si="31"/>
        <v>1371.5503999999999</v>
      </c>
      <c r="P313" s="10">
        <f t="shared" si="32"/>
        <v>1558.58</v>
      </c>
      <c r="Q313" s="3">
        <f t="shared" si="33"/>
        <v>0.12000000000000005</v>
      </c>
      <c r="R313" s="4" t="str">
        <f>IF(Sales_Fact!$O313&gt;1000,"High","Low")</f>
        <v>High</v>
      </c>
      <c r="S313" s="4" t="str">
        <f>VLOOKUP(C313,Customer_Dim!$A:$N,9,FALSE())</f>
        <v>Jeffrey Mccarthy</v>
      </c>
      <c r="T313" s="4" t="str">
        <f>VLOOKUP(D313,Product_Dim!$A:$M,3,FALSE())</f>
        <v>Home</v>
      </c>
      <c r="U313" s="11" t="str">
        <f>VLOOKUP(D313,Product_Dim!$A:$M,2,FALSE())</f>
        <v>Decorative Wall Mirror</v>
      </c>
      <c r="V313" s="11" t="str">
        <f>VLOOKUP(E313,Store_Dim!$A:$E,3,FALSE())</f>
        <v>East</v>
      </c>
      <c r="W313" s="11" t="str">
        <f>VLOOKUP(C313,Customer_Dim!$A:$N,13,FALSE())</f>
        <v>Bronze</v>
      </c>
      <c r="X313" s="11" t="str">
        <f t="shared" si="34"/>
        <v>Low</v>
      </c>
    </row>
    <row r="314" spans="1:24" ht="15.75" customHeight="1">
      <c r="A314" s="4" t="s">
        <v>2310</v>
      </c>
      <c r="B314" s="9">
        <v>45267</v>
      </c>
      <c r="C314" s="4" t="s">
        <v>1460</v>
      </c>
      <c r="D314" s="4" t="s">
        <v>1837</v>
      </c>
      <c r="E314" s="4" t="s">
        <v>1965</v>
      </c>
      <c r="F314" s="4">
        <v>1</v>
      </c>
      <c r="G314" s="4">
        <v>748.75</v>
      </c>
      <c r="H314" s="4">
        <v>0.1</v>
      </c>
      <c r="I314" s="4" t="s">
        <v>2004</v>
      </c>
      <c r="J314" s="10">
        <v>673.875</v>
      </c>
      <c r="K314" s="4" t="str">
        <f t="shared" si="28"/>
        <v>07-12-2023</v>
      </c>
      <c r="L314" s="4" t="str">
        <f>TEXT(Sales_Fact!$B314,"mmm")</f>
        <v>Dec</v>
      </c>
      <c r="M314" s="4">
        <f t="shared" si="29"/>
        <v>1</v>
      </c>
      <c r="N314" s="10">
        <f t="shared" si="30"/>
        <v>748.75</v>
      </c>
      <c r="O314" s="10">
        <f t="shared" si="31"/>
        <v>673.875</v>
      </c>
      <c r="P314" s="10">
        <f t="shared" si="32"/>
        <v>748.75</v>
      </c>
      <c r="Q314" s="3">
        <f t="shared" si="33"/>
        <v>0.1</v>
      </c>
      <c r="R314" s="4" t="str">
        <f>IF(Sales_Fact!$O314&gt;1000,"High","Low")</f>
        <v>Low</v>
      </c>
      <c r="S314" s="4" t="str">
        <f>VLOOKUP(C314,Customer_Dim!$A:$N,9,FALSE())</f>
        <v>David Pierce</v>
      </c>
      <c r="T314" s="4" t="str">
        <f>VLOOKUP(D314,Product_Dim!$A:$M,3,FALSE())</f>
        <v>Electronics</v>
      </c>
      <c r="U314" s="11" t="str">
        <f>VLOOKUP(D314,Product_Dim!$A:$M,2,FALSE())</f>
        <v>WiFi Mesh Router</v>
      </c>
      <c r="V314" s="11" t="str">
        <f>VLOOKUP(E314,Store_Dim!$A:$E,3,FALSE())</f>
        <v>North</v>
      </c>
      <c r="W314" s="11" t="str">
        <f>VLOOKUP(C314,Customer_Dim!$A:$N,13,FALSE())</f>
        <v>Platinum</v>
      </c>
      <c r="X314" s="11" t="str">
        <f t="shared" si="34"/>
        <v>Low</v>
      </c>
    </row>
    <row r="315" spans="1:24" ht="15.75" customHeight="1">
      <c r="A315" s="4" t="s">
        <v>2311</v>
      </c>
      <c r="B315" s="9">
        <v>45347</v>
      </c>
      <c r="C315" s="4" t="s">
        <v>1267</v>
      </c>
      <c r="D315" s="4" t="s">
        <v>1888</v>
      </c>
      <c r="E315" s="4" t="s">
        <v>1944</v>
      </c>
      <c r="F315" s="4">
        <v>2</v>
      </c>
      <c r="G315" s="4">
        <v>724.97</v>
      </c>
      <c r="H315" s="4">
        <v>0.1</v>
      </c>
      <c r="I315" s="4" t="s">
        <v>1996</v>
      </c>
      <c r="J315" s="10">
        <v>1304.9459999999999</v>
      </c>
      <c r="K315" s="4" t="str">
        <f t="shared" si="28"/>
        <v>25-02-2024</v>
      </c>
      <c r="L315" s="4" t="str">
        <f>TEXT(Sales_Fact!$B315,"mmm")</f>
        <v>Feb</v>
      </c>
      <c r="M315" s="4">
        <f t="shared" si="29"/>
        <v>2</v>
      </c>
      <c r="N315" s="10">
        <f t="shared" si="30"/>
        <v>724.97</v>
      </c>
      <c r="O315" s="10">
        <f t="shared" si="31"/>
        <v>1304.9460000000001</v>
      </c>
      <c r="P315" s="10">
        <f t="shared" si="32"/>
        <v>1449.94</v>
      </c>
      <c r="Q315" s="3">
        <f t="shared" si="33"/>
        <v>9.9999999999999936E-2</v>
      </c>
      <c r="R315" s="4" t="str">
        <f>IF(Sales_Fact!$O315&gt;1000,"High","Low")</f>
        <v>High</v>
      </c>
      <c r="S315" s="4" t="str">
        <f>VLOOKUP(C315,Customer_Dim!$A:$N,9,FALSE())</f>
        <v>Charles Norman Phd</v>
      </c>
      <c r="T315" s="4" t="str">
        <f>VLOOKUP(D315,Product_Dim!$A:$M,3,FALSE())</f>
        <v>Beauty</v>
      </c>
      <c r="U315" s="11" t="str">
        <f>VLOOKUP(D315,Product_Dim!$A:$M,2,FALSE())</f>
        <v>Vitamin E Body Lotion</v>
      </c>
      <c r="V315" s="11" t="str">
        <f>VLOOKUP(E315,Store_Dim!$A:$E,3,FALSE())</f>
        <v>South</v>
      </c>
      <c r="W315" s="11" t="str">
        <f>VLOOKUP(C315,Customer_Dim!$A:$N,13,FALSE())</f>
        <v>Platinum</v>
      </c>
      <c r="X315" s="11" t="str">
        <f t="shared" si="34"/>
        <v>Low</v>
      </c>
    </row>
    <row r="316" spans="1:24" ht="15.75" customHeight="1">
      <c r="A316" s="4" t="s">
        <v>2312</v>
      </c>
      <c r="B316" s="9">
        <v>45328</v>
      </c>
      <c r="C316" s="4" t="s">
        <v>623</v>
      </c>
      <c r="D316" s="4" t="s">
        <v>1873</v>
      </c>
      <c r="E316" s="4" t="s">
        <v>1910</v>
      </c>
      <c r="F316" s="4">
        <v>2</v>
      </c>
      <c r="G316" s="4">
        <v>121.67</v>
      </c>
      <c r="H316" s="4">
        <v>0.08</v>
      </c>
      <c r="I316" s="4" t="s">
        <v>2004</v>
      </c>
      <c r="J316" s="10">
        <v>223.87280000000001</v>
      </c>
      <c r="K316" s="4" t="str">
        <f t="shared" si="28"/>
        <v>06-02-2024</v>
      </c>
      <c r="L316" s="4" t="str">
        <f>TEXT(Sales_Fact!$B316,"mmm")</f>
        <v>Feb</v>
      </c>
      <c r="M316" s="4">
        <f t="shared" si="29"/>
        <v>2</v>
      </c>
      <c r="N316" s="10">
        <f t="shared" si="30"/>
        <v>121.67</v>
      </c>
      <c r="O316" s="10">
        <f t="shared" si="31"/>
        <v>223.87280000000001</v>
      </c>
      <c r="P316" s="10">
        <f t="shared" si="32"/>
        <v>243.34</v>
      </c>
      <c r="Q316" s="3">
        <f t="shared" si="33"/>
        <v>7.999999999999996E-2</v>
      </c>
      <c r="R316" s="4" t="str">
        <f>IF(Sales_Fact!$O316&gt;1000,"High","Low")</f>
        <v>Low</v>
      </c>
      <c r="S316" s="4" t="str">
        <f>VLOOKUP(C316,Customer_Dim!$A:$N,9,FALSE())</f>
        <v>Erin Ward</v>
      </c>
      <c r="T316" s="4" t="str">
        <f>VLOOKUP(D316,Product_Dim!$A:$M,3,FALSE())</f>
        <v>Beauty</v>
      </c>
      <c r="U316" s="11" t="str">
        <f>VLOOKUP(D316,Product_Dim!$A:$M,2,FALSE())</f>
        <v>Face Foundation Kit</v>
      </c>
      <c r="V316" s="11" t="str">
        <f>VLOOKUP(E316,Store_Dim!$A:$E,3,FALSE())</f>
        <v>East</v>
      </c>
      <c r="W316" s="11" t="str">
        <f>VLOOKUP(C316,Customer_Dim!$A:$N,13,FALSE())</f>
        <v>Bronze</v>
      </c>
      <c r="X316" s="11" t="str">
        <f t="shared" si="34"/>
        <v>Low</v>
      </c>
    </row>
    <row r="317" spans="1:24" ht="15.75" customHeight="1">
      <c r="A317" s="4" t="s">
        <v>2313</v>
      </c>
      <c r="B317" s="9">
        <v>45787</v>
      </c>
      <c r="C317" s="4" t="s">
        <v>1542</v>
      </c>
      <c r="D317" s="4" t="s">
        <v>1751</v>
      </c>
      <c r="E317" s="4" t="s">
        <v>1959</v>
      </c>
      <c r="F317" s="4">
        <v>3</v>
      </c>
      <c r="G317" s="4">
        <v>225.14</v>
      </c>
      <c r="H317" s="4">
        <v>0.15</v>
      </c>
      <c r="I317" s="4" t="s">
        <v>2004</v>
      </c>
      <c r="J317" s="10">
        <v>574.10699999999997</v>
      </c>
      <c r="K317" s="4" t="str">
        <f t="shared" si="28"/>
        <v>10-05-2025</v>
      </c>
      <c r="L317" s="4" t="str">
        <f>TEXT(Sales_Fact!$B317,"mmm")</f>
        <v>May</v>
      </c>
      <c r="M317" s="4">
        <f t="shared" si="29"/>
        <v>3</v>
      </c>
      <c r="N317" s="10">
        <f t="shared" si="30"/>
        <v>225.14</v>
      </c>
      <c r="O317" s="10">
        <f t="shared" si="31"/>
        <v>574.10699999999997</v>
      </c>
      <c r="P317" s="10">
        <f t="shared" si="32"/>
        <v>675.42</v>
      </c>
      <c r="Q317" s="3">
        <f t="shared" si="33"/>
        <v>0.15</v>
      </c>
      <c r="R317" s="4" t="str">
        <f>IF(Sales_Fact!$O317&gt;1000,"High","Low")</f>
        <v>Low</v>
      </c>
      <c r="S317" s="4" t="str">
        <f>VLOOKUP(C317,Customer_Dim!$A:$N,9,FALSE())</f>
        <v>Darrell Miller</v>
      </c>
      <c r="T317" s="4" t="str">
        <f>VLOOKUP(D317,Product_Dim!$A:$M,3,FALSE())</f>
        <v>Beauty</v>
      </c>
      <c r="U317" s="11" t="str">
        <f>VLOOKUP(D317,Product_Dim!$A:$M,2,FALSE())</f>
        <v>Men's Roll-On Perfume</v>
      </c>
      <c r="V317" s="11" t="str">
        <f>VLOOKUP(E317,Store_Dim!$A:$E,3,FALSE())</f>
        <v>North</v>
      </c>
      <c r="W317" s="11" t="str">
        <f>VLOOKUP(C317,Customer_Dim!$A:$N,13,FALSE())</f>
        <v>Platinum</v>
      </c>
      <c r="X317" s="11" t="str">
        <f t="shared" si="34"/>
        <v>Low</v>
      </c>
    </row>
    <row r="318" spans="1:24" ht="15.75" customHeight="1">
      <c r="A318" s="4" t="s">
        <v>2314</v>
      </c>
      <c r="B318" s="9">
        <v>45876</v>
      </c>
      <c r="C318" s="4" t="s">
        <v>1039</v>
      </c>
      <c r="D318" s="4" t="s">
        <v>1687</v>
      </c>
      <c r="E318" s="4" t="s">
        <v>1971</v>
      </c>
      <c r="F318" s="4">
        <v>1</v>
      </c>
      <c r="G318" s="4">
        <v>654.17999999999995</v>
      </c>
      <c r="H318" s="4">
        <v>0.19</v>
      </c>
      <c r="I318" s="4" t="s">
        <v>1998</v>
      </c>
      <c r="J318" s="10">
        <v>529.88580000000002</v>
      </c>
      <c r="K318" s="4" t="str">
        <f t="shared" si="28"/>
        <v>07-08-2025</v>
      </c>
      <c r="L318" s="4" t="str">
        <f>TEXT(Sales_Fact!$B318,"mmm")</f>
        <v>Aug</v>
      </c>
      <c r="M318" s="4">
        <f t="shared" si="29"/>
        <v>1</v>
      </c>
      <c r="N318" s="10">
        <f t="shared" si="30"/>
        <v>654.17999999999995</v>
      </c>
      <c r="O318" s="10">
        <f t="shared" si="31"/>
        <v>529.88580000000002</v>
      </c>
      <c r="P318" s="10">
        <f t="shared" si="32"/>
        <v>654.17999999999995</v>
      </c>
      <c r="Q318" s="3">
        <f t="shared" si="33"/>
        <v>0.18999999999999992</v>
      </c>
      <c r="R318" s="4" t="str">
        <f>IF(Sales_Fact!$O318&gt;1000,"High","Low")</f>
        <v>Low</v>
      </c>
      <c r="S318" s="4" t="str">
        <f>VLOOKUP(C318,Customer_Dim!$A:$N,9,FALSE())</f>
        <v>Darren Burton</v>
      </c>
      <c r="T318" s="4" t="str">
        <f>VLOOKUP(D318,Product_Dim!$A:$M,3,FALSE())</f>
        <v>Home</v>
      </c>
      <c r="U318" s="11" t="str">
        <f>VLOOKUP(D318,Product_Dim!$A:$M,2,FALSE())</f>
        <v>Fabric Sofa Throw Blanket</v>
      </c>
      <c r="V318" s="11" t="str">
        <f>VLOOKUP(E318,Store_Dim!$A:$E,3,FALSE())</f>
        <v>East</v>
      </c>
      <c r="W318" s="11" t="str">
        <f>VLOOKUP(C318,Customer_Dim!$A:$N,13,FALSE())</f>
        <v>Bronze</v>
      </c>
      <c r="X318" s="11" t="str">
        <f t="shared" si="34"/>
        <v>Low</v>
      </c>
    </row>
    <row r="319" spans="1:24" ht="15.75" customHeight="1">
      <c r="A319" s="4" t="s">
        <v>2315</v>
      </c>
      <c r="B319" s="9">
        <v>45552</v>
      </c>
      <c r="C319" s="4" t="s">
        <v>239</v>
      </c>
      <c r="D319" s="4" t="s">
        <v>1819</v>
      </c>
      <c r="E319" s="4" t="s">
        <v>1931</v>
      </c>
      <c r="F319" s="4">
        <v>2</v>
      </c>
      <c r="G319" s="4">
        <v>504.98</v>
      </c>
      <c r="H319" s="4">
        <v>0.08</v>
      </c>
      <c r="I319" s="4" t="s">
        <v>2004</v>
      </c>
      <c r="J319" s="10">
        <v>929.16319999999996</v>
      </c>
      <c r="K319" s="4" t="str">
        <f t="shared" si="28"/>
        <v>17-09-2024</v>
      </c>
      <c r="L319" s="4" t="str">
        <f>TEXT(Sales_Fact!$B319,"mmm")</f>
        <v>Sep</v>
      </c>
      <c r="M319" s="4">
        <f t="shared" si="29"/>
        <v>2</v>
      </c>
      <c r="N319" s="10">
        <f t="shared" si="30"/>
        <v>504.98</v>
      </c>
      <c r="O319" s="10">
        <f t="shared" si="31"/>
        <v>929.16320000000007</v>
      </c>
      <c r="P319" s="10">
        <f t="shared" si="32"/>
        <v>1009.96</v>
      </c>
      <c r="Q319" s="3">
        <f t="shared" si="33"/>
        <v>7.999999999999996E-2</v>
      </c>
      <c r="R319" s="4" t="str">
        <f>IF(Sales_Fact!$O319&gt;1000,"High","Low")</f>
        <v>Low</v>
      </c>
      <c r="S319" s="4" t="str">
        <f>VLOOKUP(C319,Customer_Dim!$A:$N,9,FALSE())</f>
        <v>Cheryl Copeland</v>
      </c>
      <c r="T319" s="4" t="str">
        <f>VLOOKUP(D319,Product_Dim!$A:$M,3,FALSE())</f>
        <v>Beauty</v>
      </c>
      <c r="U319" s="11" t="str">
        <f>VLOOKUP(D319,Product_Dim!$A:$M,2,FALSE())</f>
        <v>Hair Repair Oil Treatment</v>
      </c>
      <c r="V319" s="11" t="str">
        <f>VLOOKUP(E319,Store_Dim!$A:$E,3,FALSE())</f>
        <v>North</v>
      </c>
      <c r="W319" s="11" t="str">
        <f>VLOOKUP(C319,Customer_Dim!$A:$N,13,FALSE())</f>
        <v>Platinum</v>
      </c>
      <c r="X319" s="11" t="str">
        <f t="shared" si="34"/>
        <v>Low</v>
      </c>
    </row>
    <row r="320" spans="1:24" ht="15.75" customHeight="1">
      <c r="A320" s="4" t="s">
        <v>2316</v>
      </c>
      <c r="B320" s="9">
        <v>45823</v>
      </c>
      <c r="C320" s="4" t="s">
        <v>1210</v>
      </c>
      <c r="D320" s="4" t="s">
        <v>1767</v>
      </c>
      <c r="E320" s="4" t="s">
        <v>1940</v>
      </c>
      <c r="F320" s="4">
        <v>2</v>
      </c>
      <c r="G320" s="4">
        <v>623.20000000000005</v>
      </c>
      <c r="H320" s="4">
        <v>0.14000000000000001</v>
      </c>
      <c r="I320" s="4" t="s">
        <v>2004</v>
      </c>
      <c r="J320" s="10">
        <v>1071.904</v>
      </c>
      <c r="K320" s="4" t="str">
        <f t="shared" si="28"/>
        <v>15-06-2025</v>
      </c>
      <c r="L320" s="4" t="str">
        <f>TEXT(Sales_Fact!$B320,"mmm")</f>
        <v>Jun</v>
      </c>
      <c r="M320" s="4">
        <f t="shared" si="29"/>
        <v>2</v>
      </c>
      <c r="N320" s="10">
        <f t="shared" si="30"/>
        <v>623.20000000000005</v>
      </c>
      <c r="O320" s="10">
        <f t="shared" si="31"/>
        <v>1071.904</v>
      </c>
      <c r="P320" s="10">
        <f t="shared" si="32"/>
        <v>1246.4000000000001</v>
      </c>
      <c r="Q320" s="3">
        <f t="shared" si="33"/>
        <v>0.14000000000000007</v>
      </c>
      <c r="R320" s="4" t="str">
        <f>IF(Sales_Fact!$O320&gt;1000,"High","Low")</f>
        <v>High</v>
      </c>
      <c r="S320" s="4" t="str">
        <f>VLOOKUP(C320,Customer_Dim!$A:$N,9,FALSE())</f>
        <v>Frank Stewart</v>
      </c>
      <c r="T320" s="4" t="str">
        <f>VLOOKUP(D320,Product_Dim!$A:$M,3,FALSE())</f>
        <v>Sports</v>
      </c>
      <c r="U320" s="11" t="str">
        <f>VLOOKUP(D320,Product_Dim!$A:$M,2,FALSE())</f>
        <v>Sports Stopwatch Pro</v>
      </c>
      <c r="V320" s="11" t="str">
        <f>VLOOKUP(E320,Store_Dim!$A:$E,3,FALSE())</f>
        <v>West</v>
      </c>
      <c r="W320" s="11" t="str">
        <f>VLOOKUP(C320,Customer_Dim!$A:$N,13,FALSE())</f>
        <v>Bronze</v>
      </c>
      <c r="X320" s="11" t="str">
        <f t="shared" si="34"/>
        <v>Low</v>
      </c>
    </row>
    <row r="321" spans="1:24" ht="15.75" customHeight="1">
      <c r="A321" s="4" t="s">
        <v>2317</v>
      </c>
      <c r="B321" s="9">
        <v>45622</v>
      </c>
      <c r="C321" s="4" t="s">
        <v>1051</v>
      </c>
      <c r="D321" s="4" t="s">
        <v>1599</v>
      </c>
      <c r="E321" s="4" t="s">
        <v>1962</v>
      </c>
      <c r="F321" s="4">
        <v>2</v>
      </c>
      <c r="G321" s="4">
        <v>530.54</v>
      </c>
      <c r="H321" s="4">
        <v>0.28000000000000003</v>
      </c>
      <c r="I321" s="4" t="s">
        <v>2004</v>
      </c>
      <c r="J321" s="10">
        <v>763.97760000000005</v>
      </c>
      <c r="K321" s="4" t="str">
        <f t="shared" si="28"/>
        <v>26-11-2024</v>
      </c>
      <c r="L321" s="4" t="str">
        <f>TEXT(Sales_Fact!$B321,"mmm")</f>
        <v>Nov</v>
      </c>
      <c r="M321" s="4">
        <f t="shared" si="29"/>
        <v>2</v>
      </c>
      <c r="N321" s="10">
        <f t="shared" si="30"/>
        <v>530.54</v>
      </c>
      <c r="O321" s="10">
        <f t="shared" si="31"/>
        <v>763.97759999999994</v>
      </c>
      <c r="P321" s="10">
        <f t="shared" si="32"/>
        <v>1061.08</v>
      </c>
      <c r="Q321" s="3">
        <f t="shared" si="33"/>
        <v>0.28000000000000003</v>
      </c>
      <c r="R321" s="4" t="str">
        <f>IF(Sales_Fact!$O321&gt;1000,"High","Low")</f>
        <v>Low</v>
      </c>
      <c r="S321" s="4" t="str">
        <f>VLOOKUP(C321,Customer_Dim!$A:$N,9,FALSE())</f>
        <v>Andrew Smith</v>
      </c>
      <c r="T321" s="4" t="str">
        <f>VLOOKUP(D321,Product_Dim!$A:$M,3,FALSE())</f>
        <v>Clothing</v>
      </c>
      <c r="U321" s="11" t="str">
        <f>VLOOKUP(D321,Product_Dim!$A:$M,2,FALSE())</f>
        <v>Men's Leather Belt</v>
      </c>
      <c r="V321" s="11" t="str">
        <f>VLOOKUP(E321,Store_Dim!$A:$E,3,FALSE())</f>
        <v>West</v>
      </c>
      <c r="W321" s="11" t="str">
        <f>VLOOKUP(C321,Customer_Dim!$A:$N,13,FALSE())</f>
        <v>Bronze</v>
      </c>
      <c r="X321" s="11" t="str">
        <f t="shared" si="34"/>
        <v>Low</v>
      </c>
    </row>
    <row r="322" spans="1:24" ht="15.75" customHeight="1">
      <c r="A322" s="4" t="s">
        <v>2318</v>
      </c>
      <c r="B322" s="9">
        <v>45810</v>
      </c>
      <c r="C322" s="4" t="s">
        <v>1171</v>
      </c>
      <c r="D322" s="4" t="s">
        <v>1578</v>
      </c>
      <c r="E322" s="4" t="s">
        <v>1962</v>
      </c>
      <c r="F322" s="4">
        <v>3</v>
      </c>
      <c r="G322" s="4">
        <v>279.45</v>
      </c>
      <c r="H322" s="4">
        <v>0.15</v>
      </c>
      <c r="I322" s="4" t="s">
        <v>2004</v>
      </c>
      <c r="J322" s="10">
        <v>712.59749999999997</v>
      </c>
      <c r="K322" s="4" t="str">
        <f t="shared" ref="K322:K385" si="35">TEXT(B322,"dd-mm-yyyy")</f>
        <v>02-06-2025</v>
      </c>
      <c r="L322" s="4" t="str">
        <f>TEXT(Sales_Fact!$B322,"mmm")</f>
        <v>Jun</v>
      </c>
      <c r="M322" s="4">
        <f t="shared" ref="M322:M385" si="36">IF(ISBLANK(F322),1,F322)</f>
        <v>3</v>
      </c>
      <c r="N322" s="10">
        <f t="shared" ref="N322:N385" si="37">ROUNDUP(IF(ISBLANK(G322),AVERAGE(C:C,G322,G:G),G322),2)</f>
        <v>279.45</v>
      </c>
      <c r="O322" s="10">
        <f t="shared" ref="O322:O385" si="38">M322*N322*(1-H322)</f>
        <v>712.59749999999985</v>
      </c>
      <c r="P322" s="10">
        <f t="shared" ref="P322:P385" si="39">M322*N322</f>
        <v>838.34999999999991</v>
      </c>
      <c r="Q322" s="3">
        <f t="shared" ref="Q322:Q385" si="40">(P322-O322)/P322</f>
        <v>0.15000000000000008</v>
      </c>
      <c r="R322" s="4" t="str">
        <f>IF(Sales_Fact!$O322&gt;1000,"High","Low")</f>
        <v>Low</v>
      </c>
      <c r="S322" s="4" t="str">
        <f>VLOOKUP(C322,Customer_Dim!$A:$N,9,FALSE())</f>
        <v>Brandon Mcbride</v>
      </c>
      <c r="T322" s="4" t="str">
        <f>VLOOKUP(D322,Product_Dim!$A:$M,3,FALSE())</f>
        <v>Electronics</v>
      </c>
      <c r="U322" s="11" t="str">
        <f>VLOOKUP(D322,Product_Dim!$A:$M,2,FALSE())</f>
        <v>Brother Laser Printer</v>
      </c>
      <c r="V322" s="11" t="str">
        <f>VLOOKUP(E322,Store_Dim!$A:$E,3,FALSE())</f>
        <v>West</v>
      </c>
      <c r="W322" s="11" t="str">
        <f>VLOOKUP(C322,Customer_Dim!$A:$N,13,FALSE())</f>
        <v>Platinum</v>
      </c>
      <c r="X322" s="11" t="str">
        <f t="shared" ref="X322:X385" si="41">IF(F322&gt;3,"High","Low")</f>
        <v>Low</v>
      </c>
    </row>
    <row r="323" spans="1:24" ht="15.75" customHeight="1">
      <c r="A323" s="4" t="s">
        <v>2319</v>
      </c>
      <c r="B323" s="9">
        <v>45645</v>
      </c>
      <c r="C323" s="4" t="s">
        <v>877</v>
      </c>
      <c r="D323" s="4" t="s">
        <v>1629</v>
      </c>
      <c r="E323" s="4" t="s">
        <v>1940</v>
      </c>
      <c r="F323" s="4">
        <v>3</v>
      </c>
      <c r="G323" s="4">
        <v>906.99</v>
      </c>
      <c r="H323" s="4">
        <v>0.26</v>
      </c>
      <c r="I323" s="4" t="s">
        <v>2004</v>
      </c>
      <c r="J323" s="10">
        <v>2013.5178000000001</v>
      </c>
      <c r="K323" s="4" t="str">
        <f t="shared" si="35"/>
        <v>19-12-2024</v>
      </c>
      <c r="L323" s="4" t="str">
        <f>TEXT(Sales_Fact!$B323,"mmm")</f>
        <v>Dec</v>
      </c>
      <c r="M323" s="4">
        <f t="shared" si="36"/>
        <v>3</v>
      </c>
      <c r="N323" s="10">
        <f t="shared" si="37"/>
        <v>906.99</v>
      </c>
      <c r="O323" s="10">
        <f t="shared" si="38"/>
        <v>2013.5178000000001</v>
      </c>
      <c r="P323" s="10">
        <f t="shared" si="39"/>
        <v>2720.9700000000003</v>
      </c>
      <c r="Q323" s="3">
        <f t="shared" si="40"/>
        <v>0.26000000000000006</v>
      </c>
      <c r="R323" s="4" t="str">
        <f>IF(Sales_Fact!$O323&gt;1000,"High","Low")</f>
        <v>High</v>
      </c>
      <c r="S323" s="4" t="str">
        <f>VLOOKUP(C323,Customer_Dim!$A:$N,9,FALSE())</f>
        <v>Cynthia Payne</v>
      </c>
      <c r="T323" s="4" t="str">
        <f>VLOOKUP(D323,Product_Dim!$A:$M,3,FALSE())</f>
        <v>Beauty</v>
      </c>
      <c r="U323" s="11" t="str">
        <f>VLOOKUP(D323,Product_Dim!$A:$M,2,FALSE())</f>
        <v>Hair Strengthening Shampoo</v>
      </c>
      <c r="V323" s="11" t="str">
        <f>VLOOKUP(E323,Store_Dim!$A:$E,3,FALSE())</f>
        <v>West</v>
      </c>
      <c r="W323" s="11" t="str">
        <f>VLOOKUP(C323,Customer_Dim!$A:$N,13,FALSE())</f>
        <v>Bronze</v>
      </c>
      <c r="X323" s="11" t="str">
        <f t="shared" si="41"/>
        <v>Low</v>
      </c>
    </row>
    <row r="324" spans="1:24" ht="15.75" customHeight="1">
      <c r="A324" s="4" t="s">
        <v>2320</v>
      </c>
      <c r="B324" s="9">
        <v>45749</v>
      </c>
      <c r="C324" s="4" t="s">
        <v>279</v>
      </c>
      <c r="D324" s="4" t="s">
        <v>1846</v>
      </c>
      <c r="E324" s="4" t="s">
        <v>1965</v>
      </c>
      <c r="F324" s="4">
        <v>4</v>
      </c>
      <c r="G324" s="4">
        <v>408.76</v>
      </c>
      <c r="H324" s="4">
        <v>0.12</v>
      </c>
      <c r="I324" s="4" t="s">
        <v>2004</v>
      </c>
      <c r="J324" s="10">
        <v>1438.8352</v>
      </c>
      <c r="K324" s="4" t="str">
        <f t="shared" si="35"/>
        <v>02-04-2025</v>
      </c>
      <c r="L324" s="4" t="str">
        <f>TEXT(Sales_Fact!$B324,"mmm")</f>
        <v>Apr</v>
      </c>
      <c r="M324" s="4">
        <f t="shared" si="36"/>
        <v>4</v>
      </c>
      <c r="N324" s="10">
        <f t="shared" si="37"/>
        <v>408.76</v>
      </c>
      <c r="O324" s="10">
        <f t="shared" si="38"/>
        <v>1438.8352</v>
      </c>
      <c r="P324" s="10">
        <f t="shared" si="39"/>
        <v>1635.04</v>
      </c>
      <c r="Q324" s="3">
        <f t="shared" si="40"/>
        <v>0.12</v>
      </c>
      <c r="R324" s="4" t="str">
        <f>IF(Sales_Fact!$O324&gt;1000,"High","Low")</f>
        <v>High</v>
      </c>
      <c r="S324" s="4" t="str">
        <f>VLOOKUP(C324,Customer_Dim!$A:$N,9,FALSE())</f>
        <v>Eric Singh</v>
      </c>
      <c r="T324" s="4" t="str">
        <f>VLOOKUP(D324,Product_Dim!$A:$M,3,FALSE())</f>
        <v>Home</v>
      </c>
      <c r="U324" s="11" t="str">
        <f>VLOOKUP(D324,Product_Dim!$A:$M,2,FALSE())</f>
        <v>Wall-Mounted Spice Rack</v>
      </c>
      <c r="V324" s="11" t="str">
        <f>VLOOKUP(E324,Store_Dim!$A:$E,3,FALSE())</f>
        <v>North</v>
      </c>
      <c r="W324" s="11" t="str">
        <f>VLOOKUP(C324,Customer_Dim!$A:$N,13,FALSE())</f>
        <v>Gold</v>
      </c>
      <c r="X324" s="11" t="str">
        <f t="shared" si="41"/>
        <v>High</v>
      </c>
    </row>
    <row r="325" spans="1:24" ht="15.75" customHeight="1">
      <c r="A325" s="4" t="s">
        <v>2321</v>
      </c>
      <c r="B325" s="9">
        <v>45537</v>
      </c>
      <c r="C325" s="4" t="s">
        <v>610</v>
      </c>
      <c r="D325" s="4" t="s">
        <v>1709</v>
      </c>
      <c r="E325" s="4" t="s">
        <v>1944</v>
      </c>
      <c r="F325" s="4">
        <v>2</v>
      </c>
      <c r="G325" s="4">
        <v>117.34</v>
      </c>
      <c r="H325" s="4">
        <v>0.09</v>
      </c>
      <c r="I325" s="4" t="s">
        <v>1998</v>
      </c>
      <c r="J325" s="10">
        <v>213.55879999999999</v>
      </c>
      <c r="K325" s="4" t="str">
        <f t="shared" si="35"/>
        <v>02-09-2024</v>
      </c>
      <c r="L325" s="4" t="str">
        <f>TEXT(Sales_Fact!$B325,"mmm")</f>
        <v>Sep</v>
      </c>
      <c r="M325" s="4">
        <f t="shared" si="36"/>
        <v>2</v>
      </c>
      <c r="N325" s="10">
        <f t="shared" si="37"/>
        <v>117.34</v>
      </c>
      <c r="O325" s="10">
        <f t="shared" si="38"/>
        <v>213.55880000000002</v>
      </c>
      <c r="P325" s="10">
        <f t="shared" si="39"/>
        <v>234.68</v>
      </c>
      <c r="Q325" s="3">
        <f t="shared" si="40"/>
        <v>8.9999999999999941E-2</v>
      </c>
      <c r="R325" s="4" t="str">
        <f>IF(Sales_Fact!$O325&gt;1000,"High","Low")</f>
        <v>Low</v>
      </c>
      <c r="S325" s="4" t="str">
        <f>VLOOKUP(C325,Customer_Dim!$A:$N,9,FALSE())</f>
        <v>Curtis Lam</v>
      </c>
      <c r="T325" s="4" t="str">
        <f>VLOOKUP(D325,Product_Dim!$A:$M,3,FALSE())</f>
        <v>Clothing</v>
      </c>
      <c r="U325" s="11" t="str">
        <f>VLOOKUP(D325,Product_Dim!$A:$M,2,FALSE())</f>
        <v>Women's Summer Dress</v>
      </c>
      <c r="V325" s="11" t="str">
        <f>VLOOKUP(E325,Store_Dim!$A:$E,3,FALSE())</f>
        <v>South</v>
      </c>
      <c r="W325" s="11" t="str">
        <f>VLOOKUP(C325,Customer_Dim!$A:$N,13,FALSE())</f>
        <v>Platinum</v>
      </c>
      <c r="X325" s="11" t="str">
        <f t="shared" si="41"/>
        <v>Low</v>
      </c>
    </row>
    <row r="326" spans="1:24" ht="15.75" customHeight="1">
      <c r="A326" s="4" t="s">
        <v>2322</v>
      </c>
      <c r="B326" s="9">
        <v>45723</v>
      </c>
      <c r="C326" s="4" t="s">
        <v>1021</v>
      </c>
      <c r="D326" s="4" t="s">
        <v>1583</v>
      </c>
      <c r="E326" s="4" t="s">
        <v>1962</v>
      </c>
      <c r="F326" s="4">
        <v>1</v>
      </c>
      <c r="G326" s="4">
        <v>783.25</v>
      </c>
      <c r="H326" s="4">
        <v>0.3</v>
      </c>
      <c r="I326" s="4" t="s">
        <v>1996</v>
      </c>
      <c r="J326" s="10">
        <v>548.27499999999998</v>
      </c>
      <c r="K326" s="4" t="str">
        <f t="shared" si="35"/>
        <v>07-03-2025</v>
      </c>
      <c r="L326" s="4" t="str">
        <f>TEXT(Sales_Fact!$B326,"mmm")</f>
        <v>Mar</v>
      </c>
      <c r="M326" s="4">
        <f t="shared" si="36"/>
        <v>1</v>
      </c>
      <c r="N326" s="10">
        <f t="shared" si="37"/>
        <v>783.25</v>
      </c>
      <c r="O326" s="10">
        <f t="shared" si="38"/>
        <v>548.27499999999998</v>
      </c>
      <c r="P326" s="10">
        <f t="shared" si="39"/>
        <v>783.25</v>
      </c>
      <c r="Q326" s="3">
        <f t="shared" si="40"/>
        <v>0.30000000000000004</v>
      </c>
      <c r="R326" s="4" t="str">
        <f>IF(Sales_Fact!$O326&gt;1000,"High","Low")</f>
        <v>Low</v>
      </c>
      <c r="S326" s="4" t="str">
        <f>VLOOKUP(C326,Customer_Dim!$A:$N,9,FALSE())</f>
        <v>William Rodriguez</v>
      </c>
      <c r="T326" s="4" t="str">
        <f>VLOOKUP(D326,Product_Dim!$A:$M,3,FALSE())</f>
        <v>Clothing</v>
      </c>
      <c r="U326" s="11" t="str">
        <f>VLOOKUP(D326,Product_Dim!$A:$M,2,FALSE())</f>
        <v>Men's Graphic T-Shirt</v>
      </c>
      <c r="V326" s="11" t="str">
        <f>VLOOKUP(E326,Store_Dim!$A:$E,3,FALSE())</f>
        <v>West</v>
      </c>
      <c r="W326" s="11" t="str">
        <f>VLOOKUP(C326,Customer_Dim!$A:$N,13,FALSE())</f>
        <v>Silver</v>
      </c>
      <c r="X326" s="11" t="str">
        <f t="shared" si="41"/>
        <v>Low</v>
      </c>
    </row>
    <row r="327" spans="1:24" ht="15.75" customHeight="1">
      <c r="A327" s="4" t="s">
        <v>2323</v>
      </c>
      <c r="B327" s="9">
        <v>45376</v>
      </c>
      <c r="C327" s="4" t="s">
        <v>583</v>
      </c>
      <c r="D327" s="4" t="s">
        <v>1879</v>
      </c>
      <c r="E327" s="4" t="s">
        <v>1957</v>
      </c>
      <c r="F327" s="4">
        <v>3</v>
      </c>
      <c r="G327" s="4">
        <v>690.27</v>
      </c>
      <c r="H327" s="4">
        <v>7.0000000000000007E-2</v>
      </c>
      <c r="I327" s="4" t="s">
        <v>1998</v>
      </c>
      <c r="J327" s="10">
        <v>1925.8533</v>
      </c>
      <c r="K327" s="4" t="str">
        <f t="shared" si="35"/>
        <v>25-03-2024</v>
      </c>
      <c r="L327" s="4" t="str">
        <f>TEXT(Sales_Fact!$B327,"mmm")</f>
        <v>Mar</v>
      </c>
      <c r="M327" s="4">
        <f t="shared" si="36"/>
        <v>3</v>
      </c>
      <c r="N327" s="10">
        <f t="shared" si="37"/>
        <v>690.27</v>
      </c>
      <c r="O327" s="10">
        <f t="shared" si="38"/>
        <v>1925.8532999999998</v>
      </c>
      <c r="P327" s="10">
        <f t="shared" si="39"/>
        <v>2070.81</v>
      </c>
      <c r="Q327" s="3">
        <f t="shared" si="40"/>
        <v>7.000000000000009E-2</v>
      </c>
      <c r="R327" s="4" t="str">
        <f>IF(Sales_Fact!$O327&gt;1000,"High","Low")</f>
        <v>High</v>
      </c>
      <c r="S327" s="4" t="str">
        <f>VLOOKUP(C327,Customer_Dim!$A:$N,9,FALSE())</f>
        <v>Daniel Contreras</v>
      </c>
      <c r="T327" s="4" t="str">
        <f>VLOOKUP(D327,Product_Dim!$A:$M,3,FALSE())</f>
        <v>Clothing</v>
      </c>
      <c r="U327" s="11" t="str">
        <f>VLOOKUP(D327,Product_Dim!$A:$M,2,FALSE())</f>
        <v>Women's High Heels</v>
      </c>
      <c r="V327" s="11" t="str">
        <f>VLOOKUP(E327,Store_Dim!$A:$E,3,FALSE())</f>
        <v>South</v>
      </c>
      <c r="W327" s="11" t="str">
        <f>VLOOKUP(C327,Customer_Dim!$A:$N,13,FALSE())</f>
        <v>Platinum</v>
      </c>
      <c r="X327" s="11" t="str">
        <f t="shared" si="41"/>
        <v>Low</v>
      </c>
    </row>
    <row r="328" spans="1:24" ht="15.75" customHeight="1">
      <c r="A328" s="4" t="s">
        <v>2324</v>
      </c>
      <c r="B328" s="9">
        <v>45709</v>
      </c>
      <c r="C328" s="4" t="s">
        <v>402</v>
      </c>
      <c r="D328" s="4" t="s">
        <v>1684</v>
      </c>
      <c r="E328" s="4" t="s">
        <v>1965</v>
      </c>
      <c r="F328" s="4">
        <v>4</v>
      </c>
      <c r="G328" s="4">
        <v>377.18</v>
      </c>
      <c r="H328" s="4">
        <v>0.24</v>
      </c>
      <c r="I328" s="4" t="s">
        <v>1998</v>
      </c>
      <c r="J328" s="10">
        <v>1146.6271999999999</v>
      </c>
      <c r="K328" s="4" t="str">
        <f t="shared" si="35"/>
        <v>21-02-2025</v>
      </c>
      <c r="L328" s="4" t="str">
        <f>TEXT(Sales_Fact!$B328,"mmm")</f>
        <v>Feb</v>
      </c>
      <c r="M328" s="4">
        <f t="shared" si="36"/>
        <v>4</v>
      </c>
      <c r="N328" s="10">
        <f t="shared" si="37"/>
        <v>377.18</v>
      </c>
      <c r="O328" s="10">
        <f t="shared" si="38"/>
        <v>1146.6272000000001</v>
      </c>
      <c r="P328" s="10">
        <f t="shared" si="39"/>
        <v>1508.72</v>
      </c>
      <c r="Q328" s="3">
        <f t="shared" si="40"/>
        <v>0.23999999999999994</v>
      </c>
      <c r="R328" s="4" t="str">
        <f>IF(Sales_Fact!$O328&gt;1000,"High","Low")</f>
        <v>High</v>
      </c>
      <c r="S328" s="4" t="str">
        <f>VLOOKUP(C328,Customer_Dim!$A:$N,9,FALSE())</f>
        <v>Travis Holland</v>
      </c>
      <c r="T328" s="4" t="str">
        <f>VLOOKUP(D328,Product_Dim!$A:$M,3,FALSE())</f>
        <v>Sports</v>
      </c>
      <c r="U328" s="11" t="str">
        <f>VLOOKUP(D328,Product_Dim!$A:$M,2,FALSE())</f>
        <v>Sports Stopwatch Timer</v>
      </c>
      <c r="V328" s="11" t="str">
        <f>VLOOKUP(E328,Store_Dim!$A:$E,3,FALSE())</f>
        <v>North</v>
      </c>
      <c r="W328" s="11" t="str">
        <f>VLOOKUP(C328,Customer_Dim!$A:$N,13,FALSE())</f>
        <v>Bronze</v>
      </c>
      <c r="X328" s="11" t="str">
        <f t="shared" si="41"/>
        <v>High</v>
      </c>
    </row>
    <row r="329" spans="1:24" ht="15.75" customHeight="1">
      <c r="A329" s="4" t="s">
        <v>2325</v>
      </c>
      <c r="B329" s="9">
        <v>45446</v>
      </c>
      <c r="C329" s="4" t="s">
        <v>414</v>
      </c>
      <c r="D329" s="4" t="s">
        <v>1723</v>
      </c>
      <c r="E329" s="4" t="s">
        <v>1910</v>
      </c>
      <c r="F329" s="4">
        <v>1</v>
      </c>
      <c r="G329" s="4">
        <v>70.52</v>
      </c>
      <c r="H329" s="4">
        <v>0.08</v>
      </c>
      <c r="I329" s="4" t="s">
        <v>2004</v>
      </c>
      <c r="J329" s="10">
        <v>64.878399999999999</v>
      </c>
      <c r="K329" s="4" t="str">
        <f t="shared" si="35"/>
        <v>03-06-2024</v>
      </c>
      <c r="L329" s="4" t="str">
        <f>TEXT(Sales_Fact!$B329,"mmm")</f>
        <v>Jun</v>
      </c>
      <c r="M329" s="4">
        <f t="shared" si="36"/>
        <v>1</v>
      </c>
      <c r="N329" s="10">
        <f t="shared" si="37"/>
        <v>70.52</v>
      </c>
      <c r="O329" s="10">
        <f t="shared" si="38"/>
        <v>64.878399999999999</v>
      </c>
      <c r="P329" s="10">
        <f t="shared" si="39"/>
        <v>70.52</v>
      </c>
      <c r="Q329" s="3">
        <f t="shared" si="40"/>
        <v>7.999999999999996E-2</v>
      </c>
      <c r="R329" s="4" t="str">
        <f>IF(Sales_Fact!$O329&gt;1000,"High","Low")</f>
        <v>Low</v>
      </c>
      <c r="S329" s="4" t="str">
        <f>VLOOKUP(C329,Customer_Dim!$A:$N,9,FALSE())</f>
        <v>David Cole</v>
      </c>
      <c r="T329" s="4" t="str">
        <f>VLOOKUP(D329,Product_Dim!$A:$M,3,FALSE())</f>
        <v>Electronics</v>
      </c>
      <c r="U329" s="11" t="str">
        <f>VLOOKUP(D329,Product_Dim!$A:$M,2,FALSE())</f>
        <v>Noise-Canceling Headphones</v>
      </c>
      <c r="V329" s="11" t="str">
        <f>VLOOKUP(E329,Store_Dim!$A:$E,3,FALSE())</f>
        <v>East</v>
      </c>
      <c r="W329" s="11" t="str">
        <f>VLOOKUP(C329,Customer_Dim!$A:$N,13,FALSE())</f>
        <v>Silver</v>
      </c>
      <c r="X329" s="11" t="str">
        <f t="shared" si="41"/>
        <v>Low</v>
      </c>
    </row>
    <row r="330" spans="1:24" ht="15.75" customHeight="1">
      <c r="A330" s="4" t="s">
        <v>2326</v>
      </c>
      <c r="B330" s="9">
        <v>45330</v>
      </c>
      <c r="C330" s="4" t="s">
        <v>903</v>
      </c>
      <c r="D330" s="4" t="s">
        <v>1716</v>
      </c>
      <c r="E330" s="4" t="s">
        <v>1944</v>
      </c>
      <c r="F330" s="4">
        <v>1</v>
      </c>
      <c r="G330" s="4">
        <v>40.25</v>
      </c>
      <c r="H330" s="4">
        <v>0.1</v>
      </c>
      <c r="I330" s="4" t="s">
        <v>1998</v>
      </c>
      <c r="J330" s="10">
        <v>36.225000000000001</v>
      </c>
      <c r="K330" s="4" t="str">
        <f t="shared" si="35"/>
        <v>08-02-2024</v>
      </c>
      <c r="L330" s="4" t="str">
        <f>TEXT(Sales_Fact!$B330,"mmm")</f>
        <v>Feb</v>
      </c>
      <c r="M330" s="4">
        <f t="shared" si="36"/>
        <v>1</v>
      </c>
      <c r="N330" s="10">
        <f t="shared" si="37"/>
        <v>40.25</v>
      </c>
      <c r="O330" s="10">
        <f t="shared" si="38"/>
        <v>36.225000000000001</v>
      </c>
      <c r="P330" s="10">
        <f t="shared" si="39"/>
        <v>40.25</v>
      </c>
      <c r="Q330" s="3">
        <f t="shared" si="40"/>
        <v>9.9999999999999964E-2</v>
      </c>
      <c r="R330" s="4" t="str">
        <f>IF(Sales_Fact!$O330&gt;1000,"High","Low")</f>
        <v>Low</v>
      </c>
      <c r="S330" s="4" t="str">
        <f>VLOOKUP(C330,Customer_Dim!$A:$N,9,FALSE())</f>
        <v>Shannon Miller</v>
      </c>
      <c r="T330" s="4" t="str">
        <f>VLOOKUP(D330,Product_Dim!$A:$M,3,FALSE())</f>
        <v>Sports</v>
      </c>
      <c r="U330" s="11" t="str">
        <f>VLOOKUP(D330,Product_Dim!$A:$M,2,FALSE())</f>
        <v>Sports Water Hydration Pack</v>
      </c>
      <c r="V330" s="11" t="str">
        <f>VLOOKUP(E330,Store_Dim!$A:$E,3,FALSE())</f>
        <v>South</v>
      </c>
      <c r="W330" s="11" t="str">
        <f>VLOOKUP(C330,Customer_Dim!$A:$N,13,FALSE())</f>
        <v>Gold</v>
      </c>
      <c r="X330" s="11" t="str">
        <f t="shared" si="41"/>
        <v>Low</v>
      </c>
    </row>
    <row r="331" spans="1:24" ht="15.75" customHeight="1">
      <c r="A331" s="4" t="s">
        <v>2327</v>
      </c>
      <c r="B331" s="9">
        <v>45388</v>
      </c>
      <c r="C331" s="4" t="s">
        <v>774</v>
      </c>
      <c r="D331" s="4" t="s">
        <v>1873</v>
      </c>
      <c r="E331" s="4" t="s">
        <v>1950</v>
      </c>
      <c r="F331" s="4">
        <v>3</v>
      </c>
      <c r="G331" s="4">
        <v>539.44000000000005</v>
      </c>
      <c r="H331" s="4">
        <v>0.05</v>
      </c>
      <c r="I331" s="4" t="s">
        <v>2004</v>
      </c>
      <c r="J331" s="10">
        <v>1537.404</v>
      </c>
      <c r="K331" s="4" t="str">
        <f t="shared" si="35"/>
        <v>06-04-2024</v>
      </c>
      <c r="L331" s="4" t="str">
        <f>TEXT(Sales_Fact!$B331,"mmm")</f>
        <v>Apr</v>
      </c>
      <c r="M331" s="4">
        <f t="shared" si="36"/>
        <v>3</v>
      </c>
      <c r="N331" s="10">
        <f t="shared" si="37"/>
        <v>539.44000000000005</v>
      </c>
      <c r="O331" s="10">
        <f t="shared" si="38"/>
        <v>1537.404</v>
      </c>
      <c r="P331" s="10">
        <f t="shared" si="39"/>
        <v>1618.3200000000002</v>
      </c>
      <c r="Q331" s="3">
        <f t="shared" si="40"/>
        <v>5.00000000000001E-2</v>
      </c>
      <c r="R331" s="4" t="str">
        <f>IF(Sales_Fact!$O331&gt;1000,"High","Low")</f>
        <v>High</v>
      </c>
      <c r="S331" s="4" t="str">
        <f>VLOOKUP(C331,Customer_Dim!$A:$N,9,FALSE())</f>
        <v>Christy Hill</v>
      </c>
      <c r="T331" s="4" t="str">
        <f>VLOOKUP(D331,Product_Dim!$A:$M,3,FALSE())</f>
        <v>Beauty</v>
      </c>
      <c r="U331" s="11" t="str">
        <f>VLOOKUP(D331,Product_Dim!$A:$M,2,FALSE())</f>
        <v>Face Foundation Kit</v>
      </c>
      <c r="V331" s="11" t="str">
        <f>VLOOKUP(E331,Store_Dim!$A:$E,3,FALSE())</f>
        <v>South</v>
      </c>
      <c r="W331" s="11" t="str">
        <f>VLOOKUP(C331,Customer_Dim!$A:$N,13,FALSE())</f>
        <v>Platinum</v>
      </c>
      <c r="X331" s="11" t="str">
        <f t="shared" si="41"/>
        <v>Low</v>
      </c>
    </row>
    <row r="332" spans="1:24" ht="15.75" customHeight="1">
      <c r="A332" s="4" t="s">
        <v>2328</v>
      </c>
      <c r="B332" s="9">
        <v>45313</v>
      </c>
      <c r="C332" s="4" t="s">
        <v>819</v>
      </c>
      <c r="D332" s="4" t="s">
        <v>1785</v>
      </c>
      <c r="E332" s="4" t="s">
        <v>1927</v>
      </c>
      <c r="F332" s="4">
        <v>3</v>
      </c>
      <c r="G332" s="4">
        <v>543.49</v>
      </c>
      <c r="H332" s="4">
        <v>0.05</v>
      </c>
      <c r="I332" s="4" t="s">
        <v>1998</v>
      </c>
      <c r="J332" s="10">
        <v>1548.9465</v>
      </c>
      <c r="K332" s="4" t="str">
        <f t="shared" si="35"/>
        <v>22-01-2024</v>
      </c>
      <c r="L332" s="4" t="str">
        <f>TEXT(Sales_Fact!$B332,"mmm")</f>
        <v>Jan</v>
      </c>
      <c r="M332" s="4">
        <f t="shared" si="36"/>
        <v>3</v>
      </c>
      <c r="N332" s="10">
        <f t="shared" si="37"/>
        <v>543.49</v>
      </c>
      <c r="O332" s="10">
        <f t="shared" si="38"/>
        <v>1548.9465</v>
      </c>
      <c r="P332" s="10">
        <f t="shared" si="39"/>
        <v>1630.47</v>
      </c>
      <c r="Q332" s="3">
        <f t="shared" si="40"/>
        <v>5.000000000000001E-2</v>
      </c>
      <c r="R332" s="4" t="str">
        <f>IF(Sales_Fact!$O332&gt;1000,"High","Low")</f>
        <v>High</v>
      </c>
      <c r="S332" s="4" t="str">
        <f>VLOOKUP(C332,Customer_Dim!$A:$N,9,FALSE())</f>
        <v>Douglas Rhodes</v>
      </c>
      <c r="T332" s="4" t="str">
        <f>VLOOKUP(D332,Product_Dim!$A:$M,3,FALSE())</f>
        <v>Beauty</v>
      </c>
      <c r="U332" s="11" t="str">
        <f>VLOOKUP(D332,Product_Dim!$A:$M,2,FALSE())</f>
        <v>Luxury Perfume Spray</v>
      </c>
      <c r="V332" s="11" t="str">
        <f>VLOOKUP(E332,Store_Dim!$A:$E,3,FALSE())</f>
        <v>South</v>
      </c>
      <c r="W332" s="11" t="str">
        <f>VLOOKUP(C332,Customer_Dim!$A:$N,13,FALSE())</f>
        <v>Platinum</v>
      </c>
      <c r="X332" s="11" t="str">
        <f t="shared" si="41"/>
        <v>Low</v>
      </c>
    </row>
    <row r="333" spans="1:24" ht="15.75" customHeight="1">
      <c r="A333" s="4" t="s">
        <v>2329</v>
      </c>
      <c r="B333" s="9">
        <v>45221</v>
      </c>
      <c r="C333" s="4" t="s">
        <v>1048</v>
      </c>
      <c r="D333" s="4" t="s">
        <v>1608</v>
      </c>
      <c r="E333" s="4" t="s">
        <v>1934</v>
      </c>
      <c r="F333" s="4">
        <v>4</v>
      </c>
      <c r="G333" s="4">
        <v>547.21</v>
      </c>
      <c r="H333" s="4">
        <v>0.1</v>
      </c>
      <c r="I333" s="4" t="s">
        <v>2004</v>
      </c>
      <c r="J333" s="10">
        <v>1969.9559999999999</v>
      </c>
      <c r="K333" s="4" t="str">
        <f t="shared" si="35"/>
        <v>22-10-2023</v>
      </c>
      <c r="L333" s="4" t="str">
        <f>TEXT(Sales_Fact!$B333,"mmm")</f>
        <v>Oct</v>
      </c>
      <c r="M333" s="4">
        <f t="shared" si="36"/>
        <v>4</v>
      </c>
      <c r="N333" s="10">
        <f t="shared" si="37"/>
        <v>547.21</v>
      </c>
      <c r="O333" s="10">
        <f t="shared" si="38"/>
        <v>1969.9560000000001</v>
      </c>
      <c r="P333" s="10">
        <f t="shared" si="39"/>
        <v>2188.84</v>
      </c>
      <c r="Q333" s="3">
        <f t="shared" si="40"/>
        <v>0.1</v>
      </c>
      <c r="R333" s="4" t="str">
        <f>IF(Sales_Fact!$O333&gt;1000,"High","Low")</f>
        <v>High</v>
      </c>
      <c r="S333" s="4" t="str">
        <f>VLOOKUP(C333,Customer_Dim!$A:$N,9,FALSE())</f>
        <v>Alex Mann Ii</v>
      </c>
      <c r="T333" s="4" t="str">
        <f>VLOOKUP(D333,Product_Dim!$A:$M,3,FALSE())</f>
        <v>Home</v>
      </c>
      <c r="U333" s="11" t="str">
        <f>VLOOKUP(D333,Product_Dim!$A:$M,2,FALSE())</f>
        <v>LED Table Lamp</v>
      </c>
      <c r="V333" s="11" t="str">
        <f>VLOOKUP(E333,Store_Dim!$A:$E,3,FALSE())</f>
        <v>East</v>
      </c>
      <c r="W333" s="11" t="str">
        <f>VLOOKUP(C333,Customer_Dim!$A:$N,13,FALSE())</f>
        <v>Bronze</v>
      </c>
      <c r="X333" s="11" t="str">
        <f t="shared" si="41"/>
        <v>High</v>
      </c>
    </row>
    <row r="334" spans="1:24" ht="15.75" customHeight="1">
      <c r="A334" s="4" t="s">
        <v>2330</v>
      </c>
      <c r="B334" s="9">
        <v>45619</v>
      </c>
      <c r="C334" s="4" t="s">
        <v>801</v>
      </c>
      <c r="D334" s="4" t="s">
        <v>1800</v>
      </c>
      <c r="E334" s="4" t="s">
        <v>1915</v>
      </c>
      <c r="F334" s="4">
        <v>2</v>
      </c>
      <c r="G334" s="4">
        <v>892.46</v>
      </c>
      <c r="H334" s="4">
        <v>7.0000000000000007E-2</v>
      </c>
      <c r="I334" s="4" t="s">
        <v>1998</v>
      </c>
      <c r="J334" s="10">
        <v>1659.9756</v>
      </c>
      <c r="K334" s="4" t="str">
        <f t="shared" si="35"/>
        <v>23-11-2024</v>
      </c>
      <c r="L334" s="4" t="str">
        <f>TEXT(Sales_Fact!$B334,"mmm")</f>
        <v>Nov</v>
      </c>
      <c r="M334" s="4">
        <f t="shared" si="36"/>
        <v>2</v>
      </c>
      <c r="N334" s="10">
        <f t="shared" si="37"/>
        <v>892.46</v>
      </c>
      <c r="O334" s="10">
        <f t="shared" si="38"/>
        <v>1659.9756</v>
      </c>
      <c r="P334" s="10">
        <f t="shared" si="39"/>
        <v>1784.92</v>
      </c>
      <c r="Q334" s="3">
        <f t="shared" si="40"/>
        <v>7.0000000000000048E-2</v>
      </c>
      <c r="R334" s="4" t="str">
        <f>IF(Sales_Fact!$O334&gt;1000,"High","Low")</f>
        <v>High</v>
      </c>
      <c r="S334" s="4" t="str">
        <f>VLOOKUP(C334,Customer_Dim!$A:$N,9,FALSE())</f>
        <v>Mr. William Horton</v>
      </c>
      <c r="T334" s="4" t="str">
        <f>VLOOKUP(D334,Product_Dim!$A:$M,3,FALSE())</f>
        <v>Sports</v>
      </c>
      <c r="U334" s="11" t="str">
        <f>VLOOKUP(D334,Product_Dim!$A:$M,2,FALSE())</f>
        <v>Adjustable Dumbbells 20kg</v>
      </c>
      <c r="V334" s="11" t="str">
        <f>VLOOKUP(E334,Store_Dim!$A:$E,3,FALSE())</f>
        <v>North</v>
      </c>
      <c r="W334" s="11" t="str">
        <f>VLOOKUP(C334,Customer_Dim!$A:$N,13,FALSE())</f>
        <v>Platinum</v>
      </c>
      <c r="X334" s="11" t="str">
        <f t="shared" si="41"/>
        <v>Low</v>
      </c>
    </row>
    <row r="335" spans="1:24" ht="15.75" customHeight="1">
      <c r="A335" s="4" t="s">
        <v>2331</v>
      </c>
      <c r="B335" s="9">
        <v>45286</v>
      </c>
      <c r="C335" s="4" t="s">
        <v>1237</v>
      </c>
      <c r="D335" s="4" t="s">
        <v>1678</v>
      </c>
      <c r="E335" s="4" t="s">
        <v>1940</v>
      </c>
      <c r="F335" s="4">
        <v>2</v>
      </c>
      <c r="G335" s="4">
        <v>853.41</v>
      </c>
      <c r="H335" s="4">
        <v>0.25</v>
      </c>
      <c r="I335" s="4" t="s">
        <v>1996</v>
      </c>
      <c r="J335" s="10">
        <v>1280.115</v>
      </c>
      <c r="K335" s="4" t="str">
        <f t="shared" si="35"/>
        <v>26-12-2023</v>
      </c>
      <c r="L335" s="4" t="str">
        <f>TEXT(Sales_Fact!$B335,"mmm")</f>
        <v>Dec</v>
      </c>
      <c r="M335" s="4">
        <f t="shared" si="36"/>
        <v>2</v>
      </c>
      <c r="N335" s="10">
        <f t="shared" si="37"/>
        <v>853.41</v>
      </c>
      <c r="O335" s="10">
        <f t="shared" si="38"/>
        <v>1280.115</v>
      </c>
      <c r="P335" s="10">
        <f t="shared" si="39"/>
        <v>1706.82</v>
      </c>
      <c r="Q335" s="3">
        <f t="shared" si="40"/>
        <v>0.24999999999999997</v>
      </c>
      <c r="R335" s="4" t="str">
        <f>IF(Sales_Fact!$O335&gt;1000,"High","Low")</f>
        <v>High</v>
      </c>
      <c r="S335" s="4" t="str">
        <f>VLOOKUP(C335,Customer_Dim!$A:$N,9,FALSE())</f>
        <v>Timothy Gardner</v>
      </c>
      <c r="T335" s="4" t="str">
        <f>VLOOKUP(D335,Product_Dim!$A:$M,3,FALSE())</f>
        <v>Electronics</v>
      </c>
      <c r="U335" s="11" t="str">
        <f>VLOOKUP(D335,Product_Dim!$A:$M,2,FALSE())</f>
        <v>Wireless Bluetooth Speaker</v>
      </c>
      <c r="V335" s="11" t="str">
        <f>VLOOKUP(E335,Store_Dim!$A:$E,3,FALSE())</f>
        <v>West</v>
      </c>
      <c r="W335" s="11" t="str">
        <f>VLOOKUP(C335,Customer_Dim!$A:$N,13,FALSE())</f>
        <v>Silver</v>
      </c>
      <c r="X335" s="11" t="str">
        <f t="shared" si="41"/>
        <v>Low</v>
      </c>
    </row>
    <row r="336" spans="1:24" ht="15.75" customHeight="1">
      <c r="A336" s="4" t="s">
        <v>2332</v>
      </c>
      <c r="B336" s="9">
        <v>45451</v>
      </c>
      <c r="C336" s="4" t="s">
        <v>408</v>
      </c>
      <c r="D336" s="4" t="s">
        <v>1852</v>
      </c>
      <c r="E336" s="4" t="s">
        <v>1937</v>
      </c>
      <c r="F336" s="4">
        <v>1</v>
      </c>
      <c r="G336" s="4">
        <v>162.13999999999999</v>
      </c>
      <c r="H336" s="4">
        <v>7.0000000000000007E-2</v>
      </c>
      <c r="I336" s="4" t="s">
        <v>1998</v>
      </c>
      <c r="J336" s="10">
        <v>150.7902</v>
      </c>
      <c r="K336" s="4" t="str">
        <f t="shared" si="35"/>
        <v>08-06-2024</v>
      </c>
      <c r="L336" s="4" t="str">
        <f>TEXT(Sales_Fact!$B336,"mmm")</f>
        <v>Jun</v>
      </c>
      <c r="M336" s="4">
        <f t="shared" si="36"/>
        <v>1</v>
      </c>
      <c r="N336" s="10">
        <f t="shared" si="37"/>
        <v>162.13999999999999</v>
      </c>
      <c r="O336" s="10">
        <f t="shared" si="38"/>
        <v>150.79019999999997</v>
      </c>
      <c r="P336" s="10">
        <f t="shared" si="39"/>
        <v>162.13999999999999</v>
      </c>
      <c r="Q336" s="3">
        <f t="shared" si="40"/>
        <v>7.0000000000000104E-2</v>
      </c>
      <c r="R336" s="4" t="str">
        <f>IF(Sales_Fact!$O336&gt;1000,"High","Low")</f>
        <v>Low</v>
      </c>
      <c r="S336" s="4" t="str">
        <f>VLOOKUP(C336,Customer_Dim!$A:$N,9,FALSE())</f>
        <v>Ashley Griffin</v>
      </c>
      <c r="T336" s="4" t="str">
        <f>VLOOKUP(D336,Product_Dim!$A:$M,3,FALSE())</f>
        <v>Sports</v>
      </c>
      <c r="U336" s="11" t="str">
        <f>VLOOKUP(D336,Product_Dim!$A:$M,2,FALSE())</f>
        <v>Fitness Resistance Bands</v>
      </c>
      <c r="V336" s="11" t="str">
        <f>VLOOKUP(E336,Store_Dim!$A:$E,3,FALSE())</f>
        <v>South</v>
      </c>
      <c r="W336" s="11" t="str">
        <f>VLOOKUP(C336,Customer_Dim!$A:$N,13,FALSE())</f>
        <v>Gold</v>
      </c>
      <c r="X336" s="11" t="str">
        <f t="shared" si="41"/>
        <v>Low</v>
      </c>
    </row>
    <row r="337" spans="1:24" ht="15.75" customHeight="1">
      <c r="A337" s="4" t="s">
        <v>2333</v>
      </c>
      <c r="B337" s="9">
        <v>45875</v>
      </c>
      <c r="C337" s="4" t="s">
        <v>1400</v>
      </c>
      <c r="D337" s="4" t="s">
        <v>1703</v>
      </c>
      <c r="E337" s="4" t="s">
        <v>1962</v>
      </c>
      <c r="F337" s="4">
        <v>2</v>
      </c>
      <c r="G337" s="4">
        <v>316.89999999999998</v>
      </c>
      <c r="H337" s="4">
        <v>0.3</v>
      </c>
      <c r="I337" s="4" t="s">
        <v>1998</v>
      </c>
      <c r="J337" s="10">
        <v>443.66</v>
      </c>
      <c r="K337" s="4" t="str">
        <f t="shared" si="35"/>
        <v>06-08-2025</v>
      </c>
      <c r="L337" s="4" t="str">
        <f>TEXT(Sales_Fact!$B337,"mmm")</f>
        <v>Aug</v>
      </c>
      <c r="M337" s="4">
        <f t="shared" si="36"/>
        <v>2</v>
      </c>
      <c r="N337" s="10">
        <f t="shared" si="37"/>
        <v>316.89999999999998</v>
      </c>
      <c r="O337" s="10">
        <f t="shared" si="38"/>
        <v>443.65999999999997</v>
      </c>
      <c r="P337" s="10">
        <f t="shared" si="39"/>
        <v>633.79999999999995</v>
      </c>
      <c r="Q337" s="3">
        <f t="shared" si="40"/>
        <v>0.3</v>
      </c>
      <c r="R337" s="4" t="str">
        <f>IF(Sales_Fact!$O337&gt;1000,"High","Low")</f>
        <v>Low</v>
      </c>
      <c r="S337" s="4" t="str">
        <f>VLOOKUP(C337,Customer_Dim!$A:$N,9,FALSE())</f>
        <v>Adam Castro</v>
      </c>
      <c r="T337" s="4" t="str">
        <f>VLOOKUP(D337,Product_Dim!$A:$M,3,FALSE())</f>
        <v>Electronics</v>
      </c>
      <c r="U337" s="11" t="str">
        <f>VLOOKUP(D337,Product_Dim!$A:$M,2,FALSE())</f>
        <v>Gaming Mechanical Keyboard</v>
      </c>
      <c r="V337" s="11" t="str">
        <f>VLOOKUP(E337,Store_Dim!$A:$E,3,FALSE())</f>
        <v>West</v>
      </c>
      <c r="W337" s="11" t="str">
        <f>VLOOKUP(C337,Customer_Dim!$A:$N,13,FALSE())</f>
        <v>Silver</v>
      </c>
      <c r="X337" s="11" t="str">
        <f t="shared" si="41"/>
        <v>Low</v>
      </c>
    </row>
    <row r="338" spans="1:24" ht="15.75" customHeight="1">
      <c r="A338" s="4" t="s">
        <v>2334</v>
      </c>
      <c r="B338" s="9">
        <v>45495</v>
      </c>
      <c r="C338" s="4" t="s">
        <v>1105</v>
      </c>
      <c r="D338" s="4" t="s">
        <v>1648</v>
      </c>
      <c r="E338" s="4" t="s">
        <v>1924</v>
      </c>
      <c r="F338" s="4">
        <v>1</v>
      </c>
      <c r="G338" s="4">
        <v>942.38</v>
      </c>
      <c r="H338" s="4">
        <v>0.17</v>
      </c>
      <c r="I338" s="4" t="s">
        <v>1996</v>
      </c>
      <c r="J338" s="10">
        <v>782.17539999999997</v>
      </c>
      <c r="K338" s="4" t="str">
        <f t="shared" si="35"/>
        <v>22-07-2024</v>
      </c>
      <c r="L338" s="4" t="str">
        <f>TEXT(Sales_Fact!$B338,"mmm")</f>
        <v>Jul</v>
      </c>
      <c r="M338" s="4">
        <f t="shared" si="36"/>
        <v>1</v>
      </c>
      <c r="N338" s="10">
        <f t="shared" si="37"/>
        <v>942.38</v>
      </c>
      <c r="O338" s="10">
        <f t="shared" si="38"/>
        <v>782.17539999999997</v>
      </c>
      <c r="P338" s="10">
        <f t="shared" si="39"/>
        <v>942.38</v>
      </c>
      <c r="Q338" s="3">
        <f t="shared" si="40"/>
        <v>0.17000000000000004</v>
      </c>
      <c r="R338" s="4" t="str">
        <f>IF(Sales_Fact!$O338&gt;1000,"High","Low")</f>
        <v>Low</v>
      </c>
      <c r="S338" s="4" t="str">
        <f>VLOOKUP(C338,Customer_Dim!$A:$N,9,FALSE())</f>
        <v>Ryan Moore</v>
      </c>
      <c r="T338" s="4" t="str">
        <f>VLOOKUP(D338,Product_Dim!$A:$M,3,FALSE())</f>
        <v>Sports</v>
      </c>
      <c r="U338" s="11" t="str">
        <f>VLOOKUP(D338,Product_Dim!$A:$M,2,FALSE())</f>
        <v>Soccer Training Cone Set</v>
      </c>
      <c r="V338" s="11" t="str">
        <f>VLOOKUP(E338,Store_Dim!$A:$E,3,FALSE())</f>
        <v>North</v>
      </c>
      <c r="W338" s="11" t="str">
        <f>VLOOKUP(C338,Customer_Dim!$A:$N,13,FALSE())</f>
        <v>Bronze</v>
      </c>
      <c r="X338" s="11" t="str">
        <f t="shared" si="41"/>
        <v>Low</v>
      </c>
    </row>
    <row r="339" spans="1:24" ht="15.75" customHeight="1">
      <c r="A339" s="4" t="s">
        <v>2335</v>
      </c>
      <c r="B339" s="9">
        <v>45478</v>
      </c>
      <c r="C339" s="4" t="s">
        <v>520</v>
      </c>
      <c r="D339" s="4" t="s">
        <v>1894</v>
      </c>
      <c r="E339" s="4" t="s">
        <v>1962</v>
      </c>
      <c r="F339" s="4">
        <v>1</v>
      </c>
      <c r="G339" s="4">
        <v>893.14</v>
      </c>
      <c r="H339" s="4">
        <v>0.09</v>
      </c>
      <c r="I339" s="4" t="s">
        <v>1996</v>
      </c>
      <c r="J339" s="10">
        <v>812.75739999999996</v>
      </c>
      <c r="K339" s="4" t="str">
        <f t="shared" si="35"/>
        <v>05-07-2024</v>
      </c>
      <c r="L339" s="4" t="str">
        <f>TEXT(Sales_Fact!$B339,"mmm")</f>
        <v>Jul</v>
      </c>
      <c r="M339" s="4">
        <f t="shared" si="36"/>
        <v>1</v>
      </c>
      <c r="N339" s="10">
        <f t="shared" si="37"/>
        <v>893.14</v>
      </c>
      <c r="O339" s="10">
        <f t="shared" si="38"/>
        <v>812.75739999999996</v>
      </c>
      <c r="P339" s="10">
        <f t="shared" si="39"/>
        <v>893.14</v>
      </c>
      <c r="Q339" s="3">
        <f t="shared" si="40"/>
        <v>9.0000000000000024E-2</v>
      </c>
      <c r="R339" s="4" t="str">
        <f>IF(Sales_Fact!$O339&gt;1000,"High","Low")</f>
        <v>Low</v>
      </c>
      <c r="S339" s="4" t="str">
        <f>VLOOKUP(C339,Customer_Dim!$A:$N,9,FALSE())</f>
        <v>Rhonda Young</v>
      </c>
      <c r="T339" s="4" t="str">
        <f>VLOOKUP(D339,Product_Dim!$A:$M,3,FALSE())</f>
        <v>Clothing</v>
      </c>
      <c r="U339" s="11" t="str">
        <f>VLOOKUP(D339,Product_Dim!$A:$M,2,FALSE())</f>
        <v>Women's Formal Blazer</v>
      </c>
      <c r="V339" s="11" t="str">
        <f>VLOOKUP(E339,Store_Dim!$A:$E,3,FALSE())</f>
        <v>West</v>
      </c>
      <c r="W339" s="11" t="str">
        <f>VLOOKUP(C339,Customer_Dim!$A:$N,13,FALSE())</f>
        <v>Platinum</v>
      </c>
      <c r="X339" s="11" t="str">
        <f t="shared" si="41"/>
        <v>Low</v>
      </c>
    </row>
    <row r="340" spans="1:24" ht="15.75" customHeight="1">
      <c r="A340" s="4" t="s">
        <v>2336</v>
      </c>
      <c r="B340" s="9">
        <v>45528</v>
      </c>
      <c r="C340" s="4" t="s">
        <v>387</v>
      </c>
      <c r="D340" s="4" t="s">
        <v>1703</v>
      </c>
      <c r="E340" s="4" t="s">
        <v>1940</v>
      </c>
      <c r="F340" s="4">
        <v>4</v>
      </c>
      <c r="G340" s="4">
        <v>349.07</v>
      </c>
      <c r="H340" s="4">
        <v>0.28000000000000003</v>
      </c>
      <c r="I340" s="4" t="s">
        <v>1996</v>
      </c>
      <c r="J340" s="10">
        <v>1005.3216</v>
      </c>
      <c r="K340" s="4" t="str">
        <f t="shared" si="35"/>
        <v>24-08-2024</v>
      </c>
      <c r="L340" s="4" t="str">
        <f>TEXT(Sales_Fact!$B340,"mmm")</f>
        <v>Aug</v>
      </c>
      <c r="M340" s="4">
        <f t="shared" si="36"/>
        <v>4</v>
      </c>
      <c r="N340" s="10">
        <f t="shared" si="37"/>
        <v>349.07</v>
      </c>
      <c r="O340" s="10">
        <f t="shared" si="38"/>
        <v>1005.3216</v>
      </c>
      <c r="P340" s="10">
        <f t="shared" si="39"/>
        <v>1396.28</v>
      </c>
      <c r="Q340" s="3">
        <f t="shared" si="40"/>
        <v>0.27999999999999997</v>
      </c>
      <c r="R340" s="4" t="str">
        <f>IF(Sales_Fact!$O340&gt;1000,"High","Low")</f>
        <v>High</v>
      </c>
      <c r="S340" s="4" t="str">
        <f>VLOOKUP(C340,Customer_Dim!$A:$N,9,FALSE())</f>
        <v>Steven Stein</v>
      </c>
      <c r="T340" s="4" t="str">
        <f>VLOOKUP(D340,Product_Dim!$A:$M,3,FALSE())</f>
        <v>Electronics</v>
      </c>
      <c r="U340" s="11" t="str">
        <f>VLOOKUP(D340,Product_Dim!$A:$M,2,FALSE())</f>
        <v>Gaming Mechanical Keyboard</v>
      </c>
      <c r="V340" s="11" t="str">
        <f>VLOOKUP(E340,Store_Dim!$A:$E,3,FALSE())</f>
        <v>West</v>
      </c>
      <c r="W340" s="11" t="str">
        <f>VLOOKUP(C340,Customer_Dim!$A:$N,13,FALSE())</f>
        <v>Bronze</v>
      </c>
      <c r="X340" s="11" t="str">
        <f t="shared" si="41"/>
        <v>High</v>
      </c>
    </row>
    <row r="341" spans="1:24" ht="15.75" customHeight="1">
      <c r="A341" s="4" t="s">
        <v>2337</v>
      </c>
      <c r="B341" s="9">
        <v>45418</v>
      </c>
      <c r="C341" s="4" t="s">
        <v>927</v>
      </c>
      <c r="D341" s="4" t="s">
        <v>1849</v>
      </c>
      <c r="E341" s="4" t="s">
        <v>1955</v>
      </c>
      <c r="F341" s="4">
        <v>1</v>
      </c>
      <c r="G341" s="4">
        <v>747.9</v>
      </c>
      <c r="H341" s="4">
        <v>0.21</v>
      </c>
      <c r="I341" s="4" t="s">
        <v>2004</v>
      </c>
      <c r="J341" s="10">
        <v>590.84100000000001</v>
      </c>
      <c r="K341" s="4" t="str">
        <f t="shared" si="35"/>
        <v>06-05-2024</v>
      </c>
      <c r="L341" s="4" t="str">
        <f>TEXT(Sales_Fact!$B341,"mmm")</f>
        <v>May</v>
      </c>
      <c r="M341" s="4">
        <f t="shared" si="36"/>
        <v>1</v>
      </c>
      <c r="N341" s="10">
        <f t="shared" si="37"/>
        <v>747.9</v>
      </c>
      <c r="O341" s="10">
        <f t="shared" si="38"/>
        <v>590.84100000000001</v>
      </c>
      <c r="P341" s="10">
        <f t="shared" si="39"/>
        <v>747.9</v>
      </c>
      <c r="Q341" s="3">
        <f t="shared" si="40"/>
        <v>0.20999999999999996</v>
      </c>
      <c r="R341" s="4" t="str">
        <f>IF(Sales_Fact!$O341&gt;1000,"High","Low")</f>
        <v>Low</v>
      </c>
      <c r="S341" s="4" t="str">
        <f>VLOOKUP(C341,Customer_Dim!$A:$N,9,FALSE())</f>
        <v>Bryan Garcia</v>
      </c>
      <c r="T341" s="4" t="str">
        <f>VLOOKUP(D341,Product_Dim!$A:$M,3,FALSE())</f>
        <v>Sports</v>
      </c>
      <c r="U341" s="11" t="str">
        <f>VLOOKUP(D341,Product_Dim!$A:$M,2,FALSE())</f>
        <v>Badminton Racket Set</v>
      </c>
      <c r="V341" s="11" t="str">
        <f>VLOOKUP(E341,Store_Dim!$A:$E,3,FALSE())</f>
        <v>East</v>
      </c>
      <c r="W341" s="11" t="str">
        <f>VLOOKUP(C341,Customer_Dim!$A:$N,13,FALSE())</f>
        <v>Silver</v>
      </c>
      <c r="X341" s="11" t="str">
        <f t="shared" si="41"/>
        <v>Low</v>
      </c>
    </row>
    <row r="342" spans="1:24" ht="15.75" customHeight="1">
      <c r="A342" s="4" t="s">
        <v>2338</v>
      </c>
      <c r="B342" s="9">
        <v>45478</v>
      </c>
      <c r="C342" s="4" t="s">
        <v>148</v>
      </c>
      <c r="D342" s="4" t="s">
        <v>1849</v>
      </c>
      <c r="E342" s="4" t="s">
        <v>1934</v>
      </c>
      <c r="F342" s="4">
        <v>3</v>
      </c>
      <c r="G342" s="4">
        <v>438.92</v>
      </c>
      <c r="H342" s="4">
        <v>0.21</v>
      </c>
      <c r="I342" s="4" t="s">
        <v>1996</v>
      </c>
      <c r="J342" s="10">
        <v>1040.2403999999999</v>
      </c>
      <c r="K342" s="4" t="str">
        <f t="shared" si="35"/>
        <v>05-07-2024</v>
      </c>
      <c r="L342" s="4" t="str">
        <f>TEXT(Sales_Fact!$B342,"mmm")</f>
        <v>Jul</v>
      </c>
      <c r="M342" s="4">
        <f t="shared" si="36"/>
        <v>3</v>
      </c>
      <c r="N342" s="10">
        <f t="shared" si="37"/>
        <v>438.92</v>
      </c>
      <c r="O342" s="10">
        <f t="shared" si="38"/>
        <v>1040.2404000000001</v>
      </c>
      <c r="P342" s="10">
        <f t="shared" si="39"/>
        <v>1316.76</v>
      </c>
      <c r="Q342" s="3">
        <f t="shared" si="40"/>
        <v>0.20999999999999988</v>
      </c>
      <c r="R342" s="4" t="str">
        <f>IF(Sales_Fact!$O342&gt;1000,"High","Low")</f>
        <v>High</v>
      </c>
      <c r="S342" s="4" t="str">
        <f>VLOOKUP(C342,Customer_Dim!$A:$N,9,FALSE())</f>
        <v>Sarah Vance</v>
      </c>
      <c r="T342" s="4" t="str">
        <f>VLOOKUP(D342,Product_Dim!$A:$M,3,FALSE())</f>
        <v>Sports</v>
      </c>
      <c r="U342" s="11" t="str">
        <f>VLOOKUP(D342,Product_Dim!$A:$M,2,FALSE())</f>
        <v>Badminton Racket Set</v>
      </c>
      <c r="V342" s="11" t="str">
        <f>VLOOKUP(E342,Store_Dim!$A:$E,3,FALSE())</f>
        <v>East</v>
      </c>
      <c r="W342" s="11" t="str">
        <f>VLOOKUP(C342,Customer_Dim!$A:$N,13,FALSE())</f>
        <v>Silver</v>
      </c>
      <c r="X342" s="11" t="str">
        <f t="shared" si="41"/>
        <v>Low</v>
      </c>
    </row>
    <row r="343" spans="1:24" ht="15.75" customHeight="1">
      <c r="A343" s="4" t="s">
        <v>2339</v>
      </c>
      <c r="B343" s="9">
        <v>45232</v>
      </c>
      <c r="C343" s="4" t="s">
        <v>447</v>
      </c>
      <c r="D343" s="4" t="s">
        <v>1837</v>
      </c>
      <c r="E343" s="4" t="s">
        <v>1927</v>
      </c>
      <c r="F343" s="4">
        <v>4</v>
      </c>
      <c r="G343" s="4">
        <v>665.38</v>
      </c>
      <c r="H343" s="4">
        <v>0.18</v>
      </c>
      <c r="I343" s="4" t="s">
        <v>1996</v>
      </c>
      <c r="J343" s="10">
        <v>2182.4463999999998</v>
      </c>
      <c r="K343" s="4" t="str">
        <f t="shared" si="35"/>
        <v>02-11-2023</v>
      </c>
      <c r="L343" s="4" t="str">
        <f>TEXT(Sales_Fact!$B343,"mmm")</f>
        <v>Nov</v>
      </c>
      <c r="M343" s="4">
        <f t="shared" si="36"/>
        <v>4</v>
      </c>
      <c r="N343" s="10">
        <f t="shared" si="37"/>
        <v>665.38</v>
      </c>
      <c r="O343" s="10">
        <f t="shared" si="38"/>
        <v>2182.4464000000003</v>
      </c>
      <c r="P343" s="10">
        <f t="shared" si="39"/>
        <v>2661.52</v>
      </c>
      <c r="Q343" s="3">
        <f t="shared" si="40"/>
        <v>0.17999999999999988</v>
      </c>
      <c r="R343" s="4" t="str">
        <f>IF(Sales_Fact!$O343&gt;1000,"High","Low")</f>
        <v>High</v>
      </c>
      <c r="S343" s="4" t="str">
        <f>VLOOKUP(C343,Customer_Dim!$A:$N,9,FALSE())</f>
        <v>Erin Hopkins</v>
      </c>
      <c r="T343" s="4" t="str">
        <f>VLOOKUP(D343,Product_Dim!$A:$M,3,FALSE())</f>
        <v>Electronics</v>
      </c>
      <c r="U343" s="11" t="str">
        <f>VLOOKUP(D343,Product_Dim!$A:$M,2,FALSE())</f>
        <v>WiFi Mesh Router</v>
      </c>
      <c r="V343" s="11" t="str">
        <f>VLOOKUP(E343,Store_Dim!$A:$E,3,FALSE())</f>
        <v>South</v>
      </c>
      <c r="W343" s="11" t="str">
        <f>VLOOKUP(C343,Customer_Dim!$A:$N,13,FALSE())</f>
        <v>Silver</v>
      </c>
      <c r="X343" s="11" t="str">
        <f t="shared" si="41"/>
        <v>High</v>
      </c>
    </row>
    <row r="344" spans="1:24" ht="15.75" customHeight="1">
      <c r="A344" s="4" t="s">
        <v>2340</v>
      </c>
      <c r="B344" s="9">
        <v>45616</v>
      </c>
      <c r="C344" s="4" t="s">
        <v>40</v>
      </c>
      <c r="D344" s="4" t="s">
        <v>1785</v>
      </c>
      <c r="E344" s="4" t="s">
        <v>1968</v>
      </c>
      <c r="F344" s="4">
        <v>1</v>
      </c>
      <c r="G344" s="4">
        <v>146.49</v>
      </c>
      <c r="H344" s="4">
        <v>0.28000000000000003</v>
      </c>
      <c r="I344" s="4" t="s">
        <v>1996</v>
      </c>
      <c r="J344" s="10">
        <v>105.47280000000001</v>
      </c>
      <c r="K344" s="4" t="str">
        <f t="shared" si="35"/>
        <v>20-11-2024</v>
      </c>
      <c r="L344" s="4" t="str">
        <f>TEXT(Sales_Fact!$B344,"mmm")</f>
        <v>Nov</v>
      </c>
      <c r="M344" s="4">
        <f t="shared" si="36"/>
        <v>1</v>
      </c>
      <c r="N344" s="10">
        <f t="shared" si="37"/>
        <v>146.49</v>
      </c>
      <c r="O344" s="10">
        <f t="shared" si="38"/>
        <v>105.47280000000001</v>
      </c>
      <c r="P344" s="10">
        <f t="shared" si="39"/>
        <v>146.49</v>
      </c>
      <c r="Q344" s="3">
        <f t="shared" si="40"/>
        <v>0.28000000000000003</v>
      </c>
      <c r="R344" s="4" t="str">
        <f>IF(Sales_Fact!$O344&gt;1000,"High","Low")</f>
        <v>Low</v>
      </c>
      <c r="S344" s="4" t="str">
        <f>VLOOKUP(C344,Customer_Dim!$A:$N,9,FALSE())</f>
        <v>Jeremy Harris</v>
      </c>
      <c r="T344" s="4" t="str">
        <f>VLOOKUP(D344,Product_Dim!$A:$M,3,FALSE())</f>
        <v>Beauty</v>
      </c>
      <c r="U344" s="11" t="str">
        <f>VLOOKUP(D344,Product_Dim!$A:$M,2,FALSE())</f>
        <v>Luxury Perfume Spray</v>
      </c>
      <c r="V344" s="11" t="str">
        <f>VLOOKUP(E344,Store_Dim!$A:$E,3,FALSE())</f>
        <v>East</v>
      </c>
      <c r="W344" s="11" t="str">
        <f>VLOOKUP(C344,Customer_Dim!$A:$N,13,FALSE())</f>
        <v>Bronze</v>
      </c>
      <c r="X344" s="11" t="str">
        <f t="shared" si="41"/>
        <v>Low</v>
      </c>
    </row>
    <row r="345" spans="1:24" ht="15.75" customHeight="1">
      <c r="A345" s="4" t="s">
        <v>2341</v>
      </c>
      <c r="B345" s="9">
        <v>45774</v>
      </c>
      <c r="C345" s="4" t="s">
        <v>496</v>
      </c>
      <c r="D345" s="4" t="s">
        <v>1716</v>
      </c>
      <c r="E345" s="4" t="s">
        <v>1959</v>
      </c>
      <c r="F345" s="4">
        <v>2</v>
      </c>
      <c r="G345" s="4">
        <v>235.39</v>
      </c>
      <c r="H345" s="4">
        <v>0.27</v>
      </c>
      <c r="I345" s="4" t="s">
        <v>2004</v>
      </c>
      <c r="J345" s="10">
        <v>343.6694</v>
      </c>
      <c r="K345" s="4" t="str">
        <f t="shared" si="35"/>
        <v>27-04-2025</v>
      </c>
      <c r="L345" s="4" t="str">
        <f>TEXT(Sales_Fact!$B345,"mmm")</f>
        <v>Apr</v>
      </c>
      <c r="M345" s="4">
        <f t="shared" si="36"/>
        <v>2</v>
      </c>
      <c r="N345" s="10">
        <f t="shared" si="37"/>
        <v>235.39</v>
      </c>
      <c r="O345" s="10">
        <f t="shared" si="38"/>
        <v>343.6694</v>
      </c>
      <c r="P345" s="10">
        <f t="shared" si="39"/>
        <v>470.78</v>
      </c>
      <c r="Q345" s="3">
        <f t="shared" si="40"/>
        <v>0.26999999999999996</v>
      </c>
      <c r="R345" s="4" t="str">
        <f>IF(Sales_Fact!$O345&gt;1000,"High","Low")</f>
        <v>Low</v>
      </c>
      <c r="S345" s="4" t="str">
        <f>VLOOKUP(C345,Customer_Dim!$A:$N,9,FALSE())</f>
        <v>Brian Holder</v>
      </c>
      <c r="T345" s="4" t="str">
        <f>VLOOKUP(D345,Product_Dim!$A:$M,3,FALSE())</f>
        <v>Sports</v>
      </c>
      <c r="U345" s="11" t="str">
        <f>VLOOKUP(D345,Product_Dim!$A:$M,2,FALSE())</f>
        <v>Sports Water Hydration Pack</v>
      </c>
      <c r="V345" s="11" t="str">
        <f>VLOOKUP(E345,Store_Dim!$A:$E,3,FALSE())</f>
        <v>North</v>
      </c>
      <c r="W345" s="11" t="str">
        <f>VLOOKUP(C345,Customer_Dim!$A:$N,13,FALSE())</f>
        <v>Bronze</v>
      </c>
      <c r="X345" s="11" t="str">
        <f t="shared" si="41"/>
        <v>Low</v>
      </c>
    </row>
    <row r="346" spans="1:24" ht="15.75" customHeight="1">
      <c r="A346" s="4" t="s">
        <v>2342</v>
      </c>
      <c r="B346" s="9">
        <v>45651</v>
      </c>
      <c r="C346" s="4" t="s">
        <v>139</v>
      </c>
      <c r="D346" s="4" t="s">
        <v>1788</v>
      </c>
      <c r="E346" s="4" t="s">
        <v>1931</v>
      </c>
      <c r="F346" s="4">
        <v>3</v>
      </c>
      <c r="G346" s="4">
        <v>38.07</v>
      </c>
      <c r="H346" s="4">
        <v>0.09</v>
      </c>
      <c r="I346" s="4" t="s">
        <v>1998</v>
      </c>
      <c r="J346" s="10">
        <v>103.9311</v>
      </c>
      <c r="K346" s="4" t="str">
        <f t="shared" si="35"/>
        <v>25-12-2024</v>
      </c>
      <c r="L346" s="4" t="str">
        <f>TEXT(Sales_Fact!$B346,"mmm")</f>
        <v>Dec</v>
      </c>
      <c r="M346" s="4">
        <f t="shared" si="36"/>
        <v>3</v>
      </c>
      <c r="N346" s="10">
        <f t="shared" si="37"/>
        <v>38.07</v>
      </c>
      <c r="O346" s="10">
        <f t="shared" si="38"/>
        <v>103.93110000000001</v>
      </c>
      <c r="P346" s="10">
        <f t="shared" si="39"/>
        <v>114.21000000000001</v>
      </c>
      <c r="Q346" s="3">
        <f t="shared" si="40"/>
        <v>8.9999999999999927E-2</v>
      </c>
      <c r="R346" s="4" t="str">
        <f>IF(Sales_Fact!$O346&gt;1000,"High","Low")</f>
        <v>Low</v>
      </c>
      <c r="S346" s="4" t="str">
        <f>VLOOKUP(C346,Customer_Dim!$A:$N,9,FALSE())</f>
        <v>Joshua Ryan</v>
      </c>
      <c r="T346" s="4" t="str">
        <f>VLOOKUP(D346,Product_Dim!$A:$M,3,FALSE())</f>
        <v>Sports</v>
      </c>
      <c r="U346" s="11" t="str">
        <f>VLOOKUP(D346,Product_Dim!$A:$M,2,FALSE())</f>
        <v>Tennis Ball 3-Pack</v>
      </c>
      <c r="V346" s="11" t="str">
        <f>VLOOKUP(E346,Store_Dim!$A:$E,3,FALSE())</f>
        <v>North</v>
      </c>
      <c r="W346" s="11" t="str">
        <f>VLOOKUP(C346,Customer_Dim!$A:$N,13,FALSE())</f>
        <v>Platinum</v>
      </c>
      <c r="X346" s="11" t="str">
        <f t="shared" si="41"/>
        <v>Low</v>
      </c>
    </row>
    <row r="347" spans="1:24" ht="15.75" customHeight="1">
      <c r="A347" s="4" t="s">
        <v>2343</v>
      </c>
      <c r="B347" s="9">
        <v>45902</v>
      </c>
      <c r="C347" s="4" t="s">
        <v>1283</v>
      </c>
      <c r="D347" s="4" t="s">
        <v>1703</v>
      </c>
      <c r="E347" s="4" t="s">
        <v>1927</v>
      </c>
      <c r="F347" s="4">
        <v>2</v>
      </c>
      <c r="G347" s="4">
        <v>511.7</v>
      </c>
      <c r="H347" s="4">
        <v>0.12</v>
      </c>
      <c r="I347" s="4" t="s">
        <v>2004</v>
      </c>
      <c r="J347" s="10">
        <v>900.59199999999998</v>
      </c>
      <c r="K347" s="4" t="str">
        <f t="shared" si="35"/>
        <v>02-09-2025</v>
      </c>
      <c r="L347" s="4" t="str">
        <f>TEXT(Sales_Fact!$B347,"mmm")</f>
        <v>Sep</v>
      </c>
      <c r="M347" s="4">
        <f t="shared" si="36"/>
        <v>2</v>
      </c>
      <c r="N347" s="10">
        <f t="shared" si="37"/>
        <v>511.7</v>
      </c>
      <c r="O347" s="10">
        <f t="shared" si="38"/>
        <v>900.59199999999998</v>
      </c>
      <c r="P347" s="10">
        <f t="shared" si="39"/>
        <v>1023.4</v>
      </c>
      <c r="Q347" s="3">
        <f t="shared" si="40"/>
        <v>0.12</v>
      </c>
      <c r="R347" s="4" t="str">
        <f>IF(Sales_Fact!$O347&gt;1000,"High","Low")</f>
        <v>Low</v>
      </c>
      <c r="S347" s="4" t="str">
        <f>VLOOKUP(C347,Customer_Dim!$A:$N,9,FALSE())</f>
        <v>Justin Ingram</v>
      </c>
      <c r="T347" s="4" t="str">
        <f>VLOOKUP(D347,Product_Dim!$A:$M,3,FALSE())</f>
        <v>Electronics</v>
      </c>
      <c r="U347" s="11" t="str">
        <f>VLOOKUP(D347,Product_Dim!$A:$M,2,FALSE())</f>
        <v>Gaming Mechanical Keyboard</v>
      </c>
      <c r="V347" s="11" t="str">
        <f>VLOOKUP(E347,Store_Dim!$A:$E,3,FALSE())</f>
        <v>South</v>
      </c>
      <c r="W347" s="11" t="str">
        <f>VLOOKUP(C347,Customer_Dim!$A:$N,13,FALSE())</f>
        <v>Bronze</v>
      </c>
      <c r="X347" s="11" t="str">
        <f t="shared" si="41"/>
        <v>Low</v>
      </c>
    </row>
    <row r="348" spans="1:24" ht="15.75" customHeight="1">
      <c r="A348" s="4" t="s">
        <v>2344</v>
      </c>
      <c r="B348" s="9">
        <v>45401</v>
      </c>
      <c r="C348" s="4" t="s">
        <v>353</v>
      </c>
      <c r="D348" s="4" t="s">
        <v>1831</v>
      </c>
      <c r="E348" s="4" t="s">
        <v>1940</v>
      </c>
      <c r="F348" s="4">
        <v>4</v>
      </c>
      <c r="G348" s="4">
        <v>488.72</v>
      </c>
      <c r="H348" s="4">
        <v>0.23</v>
      </c>
      <c r="I348" s="4" t="s">
        <v>1998</v>
      </c>
      <c r="J348" s="10">
        <v>1505.2575999999999</v>
      </c>
      <c r="K348" s="4" t="str">
        <f t="shared" si="35"/>
        <v>19-04-2024</v>
      </c>
      <c r="L348" s="4" t="str">
        <f>TEXT(Sales_Fact!$B348,"mmm")</f>
        <v>Apr</v>
      </c>
      <c r="M348" s="4">
        <f t="shared" si="36"/>
        <v>4</v>
      </c>
      <c r="N348" s="10">
        <f t="shared" si="37"/>
        <v>488.72</v>
      </c>
      <c r="O348" s="10">
        <f t="shared" si="38"/>
        <v>1505.2576000000001</v>
      </c>
      <c r="P348" s="10">
        <f t="shared" si="39"/>
        <v>1954.88</v>
      </c>
      <c r="Q348" s="3">
        <f t="shared" si="40"/>
        <v>0.22999999999999998</v>
      </c>
      <c r="R348" s="4" t="str">
        <f>IF(Sales_Fact!$O348&gt;1000,"High","Low")</f>
        <v>High</v>
      </c>
      <c r="S348" s="4" t="str">
        <f>VLOOKUP(C348,Customer_Dim!$A:$N,9,FALSE())</f>
        <v>Robert Jackson</v>
      </c>
      <c r="T348" s="4" t="str">
        <f>VLOOKUP(D348,Product_Dim!$A:$M,3,FALSE())</f>
        <v>Clothing</v>
      </c>
      <c r="U348" s="11" t="str">
        <f>VLOOKUP(D348,Product_Dim!$A:$M,2,FALSE())</f>
        <v>Women's Ankle Boots</v>
      </c>
      <c r="V348" s="11" t="str">
        <f>VLOOKUP(E348,Store_Dim!$A:$E,3,FALSE())</f>
        <v>West</v>
      </c>
      <c r="W348" s="11" t="str">
        <f>VLOOKUP(C348,Customer_Dim!$A:$N,13,FALSE())</f>
        <v>Platinum</v>
      </c>
      <c r="X348" s="11" t="str">
        <f t="shared" si="41"/>
        <v>High</v>
      </c>
    </row>
    <row r="349" spans="1:24" ht="15.75" customHeight="1">
      <c r="A349" s="4" t="s">
        <v>2345</v>
      </c>
      <c r="B349" s="9">
        <v>45444</v>
      </c>
      <c r="C349" s="4" t="s">
        <v>1553</v>
      </c>
      <c r="D349" s="4" t="s">
        <v>1758</v>
      </c>
      <c r="E349" s="4" t="s">
        <v>1950</v>
      </c>
      <c r="F349" s="4">
        <v>3</v>
      </c>
      <c r="G349" s="4">
        <v>298.35000000000002</v>
      </c>
      <c r="H349" s="4">
        <v>0.05</v>
      </c>
      <c r="I349" s="4" t="s">
        <v>2004</v>
      </c>
      <c r="J349" s="10">
        <v>850.29750000000001</v>
      </c>
      <c r="K349" s="4" t="str">
        <f t="shared" si="35"/>
        <v>01-06-2024</v>
      </c>
      <c r="L349" s="4" t="str">
        <f>TEXT(Sales_Fact!$B349,"mmm")</f>
        <v>Jun</v>
      </c>
      <c r="M349" s="4">
        <f t="shared" si="36"/>
        <v>3</v>
      </c>
      <c r="N349" s="10">
        <f t="shared" si="37"/>
        <v>298.35000000000002</v>
      </c>
      <c r="O349" s="10">
        <f t="shared" si="38"/>
        <v>850.29750000000001</v>
      </c>
      <c r="P349" s="10">
        <f t="shared" si="39"/>
        <v>895.05000000000007</v>
      </c>
      <c r="Q349" s="3">
        <f t="shared" si="40"/>
        <v>5.0000000000000058E-2</v>
      </c>
      <c r="R349" s="4" t="str">
        <f>IF(Sales_Fact!$O349&gt;1000,"High","Low")</f>
        <v>Low</v>
      </c>
      <c r="S349" s="4" t="str">
        <f>VLOOKUP(C349,Customer_Dim!$A:$N,9,FALSE())</f>
        <v>Christopher Ford</v>
      </c>
      <c r="T349" s="4" t="str">
        <f>VLOOKUP(D349,Product_Dim!$A:$M,3,FALSE())</f>
        <v>Electronics</v>
      </c>
      <c r="U349" s="11" t="str">
        <f>VLOOKUP(D349,Product_Dim!$A:$M,2,FALSE())</f>
        <v>HDMI Cable – 2m</v>
      </c>
      <c r="V349" s="11" t="str">
        <f>VLOOKUP(E349,Store_Dim!$A:$E,3,FALSE())</f>
        <v>South</v>
      </c>
      <c r="W349" s="11" t="str">
        <f>VLOOKUP(C349,Customer_Dim!$A:$N,13,FALSE())</f>
        <v>Bronze</v>
      </c>
      <c r="X349" s="11" t="str">
        <f t="shared" si="41"/>
        <v>Low</v>
      </c>
    </row>
    <row r="350" spans="1:24" ht="15.75" customHeight="1">
      <c r="A350" s="4" t="s">
        <v>2346</v>
      </c>
      <c r="B350" s="9">
        <v>45717</v>
      </c>
      <c r="C350" s="4" t="s">
        <v>1249</v>
      </c>
      <c r="D350" s="4" t="s">
        <v>1755</v>
      </c>
      <c r="E350" s="4" t="s">
        <v>1952</v>
      </c>
      <c r="F350" s="4">
        <v>2</v>
      </c>
      <c r="G350" s="4">
        <v>520.45000000000005</v>
      </c>
      <c r="H350" s="4">
        <v>0.11</v>
      </c>
      <c r="I350" s="4" t="s">
        <v>2004</v>
      </c>
      <c r="J350" s="10">
        <v>926.40099999999995</v>
      </c>
      <c r="K350" s="4" t="str">
        <f t="shared" si="35"/>
        <v>01-03-2025</v>
      </c>
      <c r="L350" s="4" t="str">
        <f>TEXT(Sales_Fact!$B350,"mmm")</f>
        <v>Mar</v>
      </c>
      <c r="M350" s="4">
        <f t="shared" si="36"/>
        <v>2</v>
      </c>
      <c r="N350" s="10">
        <f t="shared" si="37"/>
        <v>520.45000000000005</v>
      </c>
      <c r="O350" s="10">
        <f t="shared" si="38"/>
        <v>926.40100000000007</v>
      </c>
      <c r="P350" s="10">
        <f t="shared" si="39"/>
        <v>1040.9000000000001</v>
      </c>
      <c r="Q350" s="3">
        <f t="shared" si="40"/>
        <v>0.11000000000000001</v>
      </c>
      <c r="R350" s="4" t="str">
        <f>IF(Sales_Fact!$O350&gt;1000,"High","Low")</f>
        <v>Low</v>
      </c>
      <c r="S350" s="4" t="str">
        <f>VLOOKUP(C350,Customer_Dim!$A:$N,9,FALSE())</f>
        <v>Heidi Tyler</v>
      </c>
      <c r="T350" s="4" t="str">
        <f>VLOOKUP(D350,Product_Dim!$A:$M,3,FALSE())</f>
        <v>Sports</v>
      </c>
      <c r="U350" s="11" t="str">
        <f>VLOOKUP(D350,Product_Dim!$A:$M,2,FALSE())</f>
        <v>Boxing Hand Wraps</v>
      </c>
      <c r="V350" s="11" t="str">
        <f>VLOOKUP(E350,Store_Dim!$A:$E,3,FALSE())</f>
        <v>North</v>
      </c>
      <c r="W350" s="11" t="str">
        <f>VLOOKUP(C350,Customer_Dim!$A:$N,13,FALSE())</f>
        <v>Bronze</v>
      </c>
      <c r="X350" s="11" t="str">
        <f t="shared" si="41"/>
        <v>Low</v>
      </c>
    </row>
    <row r="351" spans="1:24" ht="15.75" customHeight="1">
      <c r="A351" s="4" t="s">
        <v>2347</v>
      </c>
      <c r="B351" s="9">
        <v>45376</v>
      </c>
      <c r="C351" s="4" t="s">
        <v>1369</v>
      </c>
      <c r="D351" s="4" t="s">
        <v>1748</v>
      </c>
      <c r="E351" s="4" t="s">
        <v>1931</v>
      </c>
      <c r="F351" s="4">
        <v>1</v>
      </c>
      <c r="G351" s="4">
        <v>340.9</v>
      </c>
      <c r="H351" s="4">
        <v>0.28999999999999998</v>
      </c>
      <c r="I351" s="4" t="s">
        <v>1996</v>
      </c>
      <c r="J351" s="10">
        <v>242.03899999999999</v>
      </c>
      <c r="K351" s="4" t="str">
        <f t="shared" si="35"/>
        <v>25-03-2024</v>
      </c>
      <c r="L351" s="4" t="str">
        <f>TEXT(Sales_Fact!$B351,"mmm")</f>
        <v>Mar</v>
      </c>
      <c r="M351" s="4">
        <f t="shared" si="36"/>
        <v>1</v>
      </c>
      <c r="N351" s="10">
        <f t="shared" si="37"/>
        <v>340.9</v>
      </c>
      <c r="O351" s="10">
        <f t="shared" si="38"/>
        <v>242.03899999999996</v>
      </c>
      <c r="P351" s="10">
        <f t="shared" si="39"/>
        <v>340.9</v>
      </c>
      <c r="Q351" s="3">
        <f t="shared" si="40"/>
        <v>0.29000000000000009</v>
      </c>
      <c r="R351" s="4" t="str">
        <f>IF(Sales_Fact!$O351&gt;1000,"High","Low")</f>
        <v>Low</v>
      </c>
      <c r="S351" s="4" t="str">
        <f>VLOOKUP(C351,Customer_Dim!$A:$N,9,FALSE())</f>
        <v>Summer Weiss</v>
      </c>
      <c r="T351" s="4" t="str">
        <f>VLOOKUP(D351,Product_Dim!$A:$M,3,FALSE())</f>
        <v>Electronics</v>
      </c>
      <c r="U351" s="11" t="str">
        <f>VLOOKUP(D351,Product_Dim!$A:$M,2,FALSE())</f>
        <v>Car Dashboard Phone Holder</v>
      </c>
      <c r="V351" s="11" t="str">
        <f>VLOOKUP(E351,Store_Dim!$A:$E,3,FALSE())</f>
        <v>North</v>
      </c>
      <c r="W351" s="11" t="str">
        <f>VLOOKUP(C351,Customer_Dim!$A:$N,13,FALSE())</f>
        <v>Bronze</v>
      </c>
      <c r="X351" s="11" t="str">
        <f t="shared" si="41"/>
        <v>Low</v>
      </c>
    </row>
    <row r="352" spans="1:24" ht="15.75" customHeight="1">
      <c r="A352" s="4" t="s">
        <v>2348</v>
      </c>
      <c r="B352" s="9">
        <v>45576</v>
      </c>
      <c r="C352" s="4" t="s">
        <v>1114</v>
      </c>
      <c r="D352" s="4" t="s">
        <v>1693</v>
      </c>
      <c r="E352" s="4" t="s">
        <v>1940</v>
      </c>
      <c r="F352" s="4">
        <v>3</v>
      </c>
      <c r="G352" s="4">
        <v>653.59</v>
      </c>
      <c r="H352" s="4">
        <v>0.17</v>
      </c>
      <c r="I352" s="4" t="s">
        <v>2004</v>
      </c>
      <c r="J352" s="10">
        <v>1627.4391000000001</v>
      </c>
      <c r="K352" s="4" t="str">
        <f t="shared" si="35"/>
        <v>11-10-2024</v>
      </c>
      <c r="L352" s="4" t="str">
        <f>TEXT(Sales_Fact!$B352,"mmm")</f>
        <v>Oct</v>
      </c>
      <c r="M352" s="4">
        <f t="shared" si="36"/>
        <v>3</v>
      </c>
      <c r="N352" s="10">
        <f t="shared" si="37"/>
        <v>653.59</v>
      </c>
      <c r="O352" s="10">
        <f t="shared" si="38"/>
        <v>1627.4390999999998</v>
      </c>
      <c r="P352" s="10">
        <f t="shared" si="39"/>
        <v>1960.77</v>
      </c>
      <c r="Q352" s="3">
        <f t="shared" si="40"/>
        <v>0.17000000000000007</v>
      </c>
      <c r="R352" s="4" t="str">
        <f>IF(Sales_Fact!$O352&gt;1000,"High","Low")</f>
        <v>High</v>
      </c>
      <c r="S352" s="4" t="str">
        <f>VLOOKUP(C352,Customer_Dim!$A:$N,9,FALSE())</f>
        <v>John Jordan</v>
      </c>
      <c r="T352" s="4" t="str">
        <f>VLOOKUP(D352,Product_Dim!$A:$M,3,FALSE())</f>
        <v>Sports</v>
      </c>
      <c r="U352" s="11" t="str">
        <f>VLOOKUP(D352,Product_Dim!$A:$M,2,FALSE())</f>
        <v>Basketball</v>
      </c>
      <c r="V352" s="11" t="str">
        <f>VLOOKUP(E352,Store_Dim!$A:$E,3,FALSE())</f>
        <v>West</v>
      </c>
      <c r="W352" s="11" t="str">
        <f>VLOOKUP(C352,Customer_Dim!$A:$N,13,FALSE())</f>
        <v>Platinum</v>
      </c>
      <c r="X352" s="11" t="str">
        <f t="shared" si="41"/>
        <v>Low</v>
      </c>
    </row>
    <row r="353" spans="1:24" ht="15.75" customHeight="1">
      <c r="A353" s="4" t="s">
        <v>2349</v>
      </c>
      <c r="B353" s="9">
        <v>45906</v>
      </c>
      <c r="C353" s="4" t="s">
        <v>113</v>
      </c>
      <c r="D353" s="4" t="s">
        <v>1678</v>
      </c>
      <c r="E353" s="4" t="s">
        <v>1968</v>
      </c>
      <c r="F353" s="4">
        <v>1</v>
      </c>
      <c r="G353" s="4">
        <v>179.77</v>
      </c>
      <c r="H353" s="4">
        <v>0.23</v>
      </c>
      <c r="I353" s="4" t="s">
        <v>2004</v>
      </c>
      <c r="J353" s="10">
        <v>138.4229</v>
      </c>
      <c r="K353" s="4" t="str">
        <f t="shared" si="35"/>
        <v>06-09-2025</v>
      </c>
      <c r="L353" s="4" t="str">
        <f>TEXT(Sales_Fact!$B353,"mmm")</f>
        <v>Sep</v>
      </c>
      <c r="M353" s="4">
        <f t="shared" si="36"/>
        <v>1</v>
      </c>
      <c r="N353" s="10">
        <f t="shared" si="37"/>
        <v>179.77</v>
      </c>
      <c r="O353" s="10">
        <f t="shared" si="38"/>
        <v>138.4229</v>
      </c>
      <c r="P353" s="10">
        <f t="shared" si="39"/>
        <v>179.77</v>
      </c>
      <c r="Q353" s="3">
        <f t="shared" si="40"/>
        <v>0.23000000000000007</v>
      </c>
      <c r="R353" s="4" t="str">
        <f>IF(Sales_Fact!$O353&gt;1000,"High","Low")</f>
        <v>Low</v>
      </c>
      <c r="S353" s="4" t="str">
        <f>VLOOKUP(C353,Customer_Dim!$A:$N,9,FALSE())</f>
        <v>Jeff Martinez</v>
      </c>
      <c r="T353" s="4" t="str">
        <f>VLOOKUP(D353,Product_Dim!$A:$M,3,FALSE())</f>
        <v>Electronics</v>
      </c>
      <c r="U353" s="11" t="str">
        <f>VLOOKUP(D353,Product_Dim!$A:$M,2,FALSE())</f>
        <v>Wireless Bluetooth Speaker</v>
      </c>
      <c r="V353" s="11" t="str">
        <f>VLOOKUP(E353,Store_Dim!$A:$E,3,FALSE())</f>
        <v>East</v>
      </c>
      <c r="W353" s="11" t="str">
        <f>VLOOKUP(C353,Customer_Dim!$A:$N,13,FALSE())</f>
        <v>Gold</v>
      </c>
      <c r="X353" s="11" t="str">
        <f t="shared" si="41"/>
        <v>Low</v>
      </c>
    </row>
    <row r="354" spans="1:24" ht="15.75" customHeight="1">
      <c r="A354" s="4" t="s">
        <v>2350</v>
      </c>
      <c r="B354" s="9">
        <v>45523</v>
      </c>
      <c r="C354" s="4" t="s">
        <v>63</v>
      </c>
      <c r="D354" s="4" t="s">
        <v>1578</v>
      </c>
      <c r="E354" s="4" t="s">
        <v>1944</v>
      </c>
      <c r="F354" s="4">
        <v>2</v>
      </c>
      <c r="G354" s="4">
        <v>943.8</v>
      </c>
      <c r="H354" s="4">
        <v>0.06</v>
      </c>
      <c r="I354" s="4" t="s">
        <v>1996</v>
      </c>
      <c r="J354" s="10">
        <v>1774.3440000000001</v>
      </c>
      <c r="K354" s="4" t="str">
        <f t="shared" si="35"/>
        <v>19-08-2024</v>
      </c>
      <c r="L354" s="4" t="str">
        <f>TEXT(Sales_Fact!$B354,"mmm")</f>
        <v>Aug</v>
      </c>
      <c r="M354" s="4">
        <f t="shared" si="36"/>
        <v>2</v>
      </c>
      <c r="N354" s="10">
        <f t="shared" si="37"/>
        <v>943.8</v>
      </c>
      <c r="O354" s="10">
        <f t="shared" si="38"/>
        <v>1774.3439999999998</v>
      </c>
      <c r="P354" s="10">
        <f t="shared" si="39"/>
        <v>1887.6</v>
      </c>
      <c r="Q354" s="3">
        <f t="shared" si="40"/>
        <v>6.0000000000000046E-2</v>
      </c>
      <c r="R354" s="4" t="str">
        <f>IF(Sales_Fact!$O354&gt;1000,"High","Low")</f>
        <v>High</v>
      </c>
      <c r="S354" s="4" t="str">
        <f>VLOOKUP(C354,Customer_Dim!$A:$N,9,FALSE())</f>
        <v>Melissa Howard</v>
      </c>
      <c r="T354" s="4" t="str">
        <f>VLOOKUP(D354,Product_Dim!$A:$M,3,FALSE())</f>
        <v>Electronics</v>
      </c>
      <c r="U354" s="11" t="str">
        <f>VLOOKUP(D354,Product_Dim!$A:$M,2,FALSE())</f>
        <v>Brother Laser Printer</v>
      </c>
      <c r="V354" s="11" t="str">
        <f>VLOOKUP(E354,Store_Dim!$A:$E,3,FALSE())</f>
        <v>South</v>
      </c>
      <c r="W354" s="11" t="str">
        <f>VLOOKUP(C354,Customer_Dim!$A:$N,13,FALSE())</f>
        <v>Gold</v>
      </c>
      <c r="X354" s="11" t="str">
        <f t="shared" si="41"/>
        <v>Low</v>
      </c>
    </row>
    <row r="355" spans="1:24" ht="15.75" customHeight="1">
      <c r="A355" s="4" t="s">
        <v>2351</v>
      </c>
      <c r="B355" s="9">
        <v>45234</v>
      </c>
      <c r="C355" s="4" t="s">
        <v>1301</v>
      </c>
      <c r="D355" s="4" t="s">
        <v>1819</v>
      </c>
      <c r="E355" s="4" t="s">
        <v>1959</v>
      </c>
      <c r="F355" s="4">
        <v>2</v>
      </c>
      <c r="G355" s="4">
        <v>985</v>
      </c>
      <c r="H355" s="4">
        <v>0.25</v>
      </c>
      <c r="I355" s="4" t="s">
        <v>1996</v>
      </c>
      <c r="J355" s="10">
        <v>1477.5</v>
      </c>
      <c r="K355" s="4" t="str">
        <f t="shared" si="35"/>
        <v>04-11-2023</v>
      </c>
      <c r="L355" s="4" t="str">
        <f>TEXT(Sales_Fact!$B355,"mmm")</f>
        <v>Nov</v>
      </c>
      <c r="M355" s="4">
        <f t="shared" si="36"/>
        <v>2</v>
      </c>
      <c r="N355" s="10">
        <f t="shared" si="37"/>
        <v>985</v>
      </c>
      <c r="O355" s="10">
        <f t="shared" si="38"/>
        <v>1477.5</v>
      </c>
      <c r="P355" s="10">
        <f t="shared" si="39"/>
        <v>1970</v>
      </c>
      <c r="Q355" s="3">
        <f t="shared" si="40"/>
        <v>0.25</v>
      </c>
      <c r="R355" s="4" t="str">
        <f>IF(Sales_Fact!$O355&gt;1000,"High","Low")</f>
        <v>High</v>
      </c>
      <c r="S355" s="4" t="str">
        <f>VLOOKUP(C355,Customer_Dim!$A:$N,9,FALSE())</f>
        <v>Sarah Smith</v>
      </c>
      <c r="T355" s="4" t="str">
        <f>VLOOKUP(D355,Product_Dim!$A:$M,3,FALSE())</f>
        <v>Beauty</v>
      </c>
      <c r="U355" s="11" t="str">
        <f>VLOOKUP(D355,Product_Dim!$A:$M,2,FALSE())</f>
        <v>Hair Repair Oil Treatment</v>
      </c>
      <c r="V355" s="11" t="str">
        <f>VLOOKUP(E355,Store_Dim!$A:$E,3,FALSE())</f>
        <v>North</v>
      </c>
      <c r="W355" s="11" t="str">
        <f>VLOOKUP(C355,Customer_Dim!$A:$N,13,FALSE())</f>
        <v>Gold</v>
      </c>
      <c r="X355" s="11" t="str">
        <f t="shared" si="41"/>
        <v>Low</v>
      </c>
    </row>
    <row r="356" spans="1:24" ht="15.75" customHeight="1">
      <c r="A356" s="4" t="s">
        <v>2352</v>
      </c>
      <c r="B356" s="9">
        <v>45405</v>
      </c>
      <c r="C356" s="4" t="s">
        <v>1521</v>
      </c>
      <c r="D356" s="4" t="s">
        <v>1870</v>
      </c>
      <c r="E356" s="4" t="s">
        <v>1947</v>
      </c>
      <c r="F356" s="4">
        <v>4</v>
      </c>
      <c r="G356" s="4">
        <v>216.81</v>
      </c>
      <c r="H356" s="4">
        <v>0.28999999999999998</v>
      </c>
      <c r="I356" s="4" t="s">
        <v>1996</v>
      </c>
      <c r="J356" s="10">
        <v>615.74040000000002</v>
      </c>
      <c r="K356" s="4" t="str">
        <f t="shared" si="35"/>
        <v>23-04-2024</v>
      </c>
      <c r="L356" s="4" t="str">
        <f>TEXT(Sales_Fact!$B356,"mmm")</f>
        <v>Apr</v>
      </c>
      <c r="M356" s="4">
        <f t="shared" si="36"/>
        <v>4</v>
      </c>
      <c r="N356" s="10">
        <f t="shared" si="37"/>
        <v>216.81</v>
      </c>
      <c r="O356" s="10">
        <f t="shared" si="38"/>
        <v>615.74040000000002</v>
      </c>
      <c r="P356" s="10">
        <f t="shared" si="39"/>
        <v>867.24</v>
      </c>
      <c r="Q356" s="3">
        <f t="shared" si="40"/>
        <v>0.28999999999999998</v>
      </c>
      <c r="R356" s="4" t="str">
        <f>IF(Sales_Fact!$O356&gt;1000,"High","Low")</f>
        <v>Low</v>
      </c>
      <c r="S356" s="4" t="str">
        <f>VLOOKUP(C356,Customer_Dim!$A:$N,9,FALSE())</f>
        <v>Sara Ingram</v>
      </c>
      <c r="T356" s="4" t="str">
        <f>VLOOKUP(D356,Product_Dim!$A:$M,3,FALSE())</f>
        <v>Sports</v>
      </c>
      <c r="U356" s="11" t="str">
        <f>VLOOKUP(D356,Product_Dim!$A:$M,2,FALSE())</f>
        <v>Sports Wrist Sweatbands</v>
      </c>
      <c r="V356" s="11" t="str">
        <f>VLOOKUP(E356,Store_Dim!$A:$E,3,FALSE())</f>
        <v>East</v>
      </c>
      <c r="W356" s="11" t="str">
        <f>VLOOKUP(C356,Customer_Dim!$A:$N,13,FALSE())</f>
        <v>Bronze</v>
      </c>
      <c r="X356" s="11" t="str">
        <f t="shared" si="41"/>
        <v>High</v>
      </c>
    </row>
    <row r="357" spans="1:24" ht="15.75" customHeight="1">
      <c r="A357" s="4" t="s">
        <v>2353</v>
      </c>
      <c r="B357" s="9">
        <v>45223</v>
      </c>
      <c r="C357" s="4" t="s">
        <v>429</v>
      </c>
      <c r="D357" s="4" t="s">
        <v>1797</v>
      </c>
      <c r="E357" s="4" t="s">
        <v>1919</v>
      </c>
      <c r="F357" s="4">
        <v>4</v>
      </c>
      <c r="G357" s="4">
        <v>950.21</v>
      </c>
      <c r="H357" s="4">
        <v>0.27</v>
      </c>
      <c r="I357" s="4" t="s">
        <v>2004</v>
      </c>
      <c r="J357" s="10">
        <v>2774.6131999999998</v>
      </c>
      <c r="K357" s="4" t="str">
        <f t="shared" si="35"/>
        <v>24-10-2023</v>
      </c>
      <c r="L357" s="4" t="str">
        <f>TEXT(Sales_Fact!$B357,"mmm")</f>
        <v>Oct</v>
      </c>
      <c r="M357" s="4">
        <f t="shared" si="36"/>
        <v>4</v>
      </c>
      <c r="N357" s="10">
        <f t="shared" si="37"/>
        <v>950.21</v>
      </c>
      <c r="O357" s="10">
        <f t="shared" si="38"/>
        <v>2774.6132000000002</v>
      </c>
      <c r="P357" s="10">
        <f t="shared" si="39"/>
        <v>3800.84</v>
      </c>
      <c r="Q357" s="3">
        <f t="shared" si="40"/>
        <v>0.26999999999999996</v>
      </c>
      <c r="R357" s="4" t="str">
        <f>IF(Sales_Fact!$O357&gt;1000,"High","Low")</f>
        <v>High</v>
      </c>
      <c r="S357" s="4" t="str">
        <f>VLOOKUP(C357,Customer_Dim!$A:$N,9,FALSE())</f>
        <v>Colleen Mccarthy</v>
      </c>
      <c r="T357" s="4" t="str">
        <f>VLOOKUP(D357,Product_Dim!$A:$M,3,FALSE())</f>
        <v>Beauty</v>
      </c>
      <c r="U357" s="11" t="str">
        <f>VLOOKUP(D357,Product_Dim!$A:$M,2,FALSE())</f>
        <v>Matte Lipstick Set</v>
      </c>
      <c r="V357" s="11" t="str">
        <f>VLOOKUP(E357,Store_Dim!$A:$E,3,FALSE())</f>
        <v>South</v>
      </c>
      <c r="W357" s="11" t="str">
        <f>VLOOKUP(C357,Customer_Dim!$A:$N,13,FALSE())</f>
        <v>Platinum</v>
      </c>
      <c r="X357" s="11" t="str">
        <f t="shared" si="41"/>
        <v>High</v>
      </c>
    </row>
    <row r="358" spans="1:24" ht="15.75" customHeight="1">
      <c r="A358" s="4" t="s">
        <v>2354</v>
      </c>
      <c r="B358" s="9">
        <v>45838</v>
      </c>
      <c r="C358" s="4" t="s">
        <v>846</v>
      </c>
      <c r="D358" s="4" t="s">
        <v>1748</v>
      </c>
      <c r="E358" s="4" t="s">
        <v>1937</v>
      </c>
      <c r="F358" s="4">
        <v>2</v>
      </c>
      <c r="G358" s="4">
        <v>271.39999999999998</v>
      </c>
      <c r="H358" s="4">
        <v>0.17</v>
      </c>
      <c r="I358" s="4" t="s">
        <v>1998</v>
      </c>
      <c r="J358" s="10">
        <v>450.524</v>
      </c>
      <c r="K358" s="4" t="str">
        <f t="shared" si="35"/>
        <v>30-06-2025</v>
      </c>
      <c r="L358" s="4" t="str">
        <f>TEXT(Sales_Fact!$B358,"mmm")</f>
        <v>Jun</v>
      </c>
      <c r="M358" s="4">
        <f t="shared" si="36"/>
        <v>2</v>
      </c>
      <c r="N358" s="10">
        <f t="shared" si="37"/>
        <v>271.39999999999998</v>
      </c>
      <c r="O358" s="10">
        <f t="shared" si="38"/>
        <v>450.52399999999994</v>
      </c>
      <c r="P358" s="10">
        <f t="shared" si="39"/>
        <v>542.79999999999995</v>
      </c>
      <c r="Q358" s="3">
        <f t="shared" si="40"/>
        <v>0.17000000000000004</v>
      </c>
      <c r="R358" s="4" t="str">
        <f>IF(Sales_Fact!$O358&gt;1000,"High","Low")</f>
        <v>Low</v>
      </c>
      <c r="S358" s="4" t="str">
        <f>VLOOKUP(C358,Customer_Dim!$A:$N,9,FALSE())</f>
        <v>Kristen Fischer</v>
      </c>
      <c r="T358" s="4" t="str">
        <f>VLOOKUP(D358,Product_Dim!$A:$M,3,FALSE())</f>
        <v>Electronics</v>
      </c>
      <c r="U358" s="11" t="str">
        <f>VLOOKUP(D358,Product_Dim!$A:$M,2,FALSE())</f>
        <v>Car Dashboard Phone Holder</v>
      </c>
      <c r="V358" s="11" t="str">
        <f>VLOOKUP(E358,Store_Dim!$A:$E,3,FALSE())</f>
        <v>South</v>
      </c>
      <c r="W358" s="11" t="str">
        <f>VLOOKUP(C358,Customer_Dim!$A:$N,13,FALSE())</f>
        <v>Platinum</v>
      </c>
      <c r="X358" s="11" t="str">
        <f t="shared" si="41"/>
        <v>Low</v>
      </c>
    </row>
    <row r="359" spans="1:24" ht="15.75" customHeight="1">
      <c r="A359" s="4" t="s">
        <v>2355</v>
      </c>
      <c r="B359" s="9">
        <v>45883</v>
      </c>
      <c r="C359" s="4" t="s">
        <v>583</v>
      </c>
      <c r="D359" s="4" t="s">
        <v>1719</v>
      </c>
      <c r="E359" s="4" t="s">
        <v>1940</v>
      </c>
      <c r="F359" s="4">
        <v>4</v>
      </c>
      <c r="G359" s="4">
        <v>708.19</v>
      </c>
      <c r="H359" s="4">
        <v>0.1</v>
      </c>
      <c r="I359" s="4" t="s">
        <v>1998</v>
      </c>
      <c r="J359" s="10">
        <v>2549.4839999999999</v>
      </c>
      <c r="K359" s="4" t="str">
        <f t="shared" si="35"/>
        <v>14-08-2025</v>
      </c>
      <c r="L359" s="4" t="str">
        <f>TEXT(Sales_Fact!$B359,"mmm")</f>
        <v>Aug</v>
      </c>
      <c r="M359" s="4">
        <f t="shared" si="36"/>
        <v>4</v>
      </c>
      <c r="N359" s="10">
        <f t="shared" si="37"/>
        <v>708.19</v>
      </c>
      <c r="O359" s="10">
        <f t="shared" si="38"/>
        <v>2549.4840000000004</v>
      </c>
      <c r="P359" s="10">
        <f t="shared" si="39"/>
        <v>2832.76</v>
      </c>
      <c r="Q359" s="3">
        <f t="shared" si="40"/>
        <v>9.9999999999999936E-2</v>
      </c>
      <c r="R359" s="4" t="str">
        <f>IF(Sales_Fact!$O359&gt;1000,"High","Low")</f>
        <v>High</v>
      </c>
      <c r="S359" s="4" t="str">
        <f>VLOOKUP(C359,Customer_Dim!$A:$N,9,FALSE())</f>
        <v>Daniel Contreras</v>
      </c>
      <c r="T359" s="4" t="str">
        <f>VLOOKUP(D359,Product_Dim!$A:$M,3,FALSE())</f>
        <v>Electronics</v>
      </c>
      <c r="U359" s="11" t="str">
        <f>VLOOKUP(D359,Product_Dim!$A:$M,2,FALSE())</f>
        <v>Portable Power Bank</v>
      </c>
      <c r="V359" s="11" t="str">
        <f>VLOOKUP(E359,Store_Dim!$A:$E,3,FALSE())</f>
        <v>West</v>
      </c>
      <c r="W359" s="11" t="str">
        <f>VLOOKUP(C359,Customer_Dim!$A:$N,13,FALSE())</f>
        <v>Platinum</v>
      </c>
      <c r="X359" s="11" t="str">
        <f t="shared" si="41"/>
        <v>High</v>
      </c>
    </row>
    <row r="360" spans="1:24" ht="15.75" customHeight="1">
      <c r="A360" s="4" t="s">
        <v>2356</v>
      </c>
      <c r="B360" s="9">
        <v>45662</v>
      </c>
      <c r="C360" s="4" t="s">
        <v>571</v>
      </c>
      <c r="D360" s="4" t="s">
        <v>1748</v>
      </c>
      <c r="E360" s="4" t="s">
        <v>1952</v>
      </c>
      <c r="F360" s="4">
        <v>4</v>
      </c>
      <c r="G360" s="4">
        <v>950.04</v>
      </c>
      <c r="H360" s="4">
        <v>0.13</v>
      </c>
      <c r="I360" s="4" t="s">
        <v>1998</v>
      </c>
      <c r="J360" s="10">
        <v>3306.1392000000001</v>
      </c>
      <c r="K360" s="4" t="str">
        <f t="shared" si="35"/>
        <v>05-01-2025</v>
      </c>
      <c r="L360" s="4" t="str">
        <f>TEXT(Sales_Fact!$B360,"mmm")</f>
        <v>Jan</v>
      </c>
      <c r="M360" s="4">
        <f t="shared" si="36"/>
        <v>4</v>
      </c>
      <c r="N360" s="10">
        <f t="shared" si="37"/>
        <v>950.04</v>
      </c>
      <c r="O360" s="10">
        <f t="shared" si="38"/>
        <v>3306.1392000000001</v>
      </c>
      <c r="P360" s="10">
        <f t="shared" si="39"/>
        <v>3800.16</v>
      </c>
      <c r="Q360" s="3">
        <f t="shared" si="40"/>
        <v>0.12999999999999995</v>
      </c>
      <c r="R360" s="4" t="str">
        <f>IF(Sales_Fact!$O360&gt;1000,"High","Low")</f>
        <v>High</v>
      </c>
      <c r="S360" s="4" t="str">
        <f>VLOOKUP(C360,Customer_Dim!$A:$N,9,FALSE())</f>
        <v>Daniel Rivas</v>
      </c>
      <c r="T360" s="4" t="str">
        <f>VLOOKUP(D360,Product_Dim!$A:$M,3,FALSE())</f>
        <v>Electronics</v>
      </c>
      <c r="U360" s="11" t="str">
        <f>VLOOKUP(D360,Product_Dim!$A:$M,2,FALSE())</f>
        <v>Car Dashboard Phone Holder</v>
      </c>
      <c r="V360" s="11" t="str">
        <f>VLOOKUP(E360,Store_Dim!$A:$E,3,FALSE())</f>
        <v>North</v>
      </c>
      <c r="W360" s="11" t="str">
        <f>VLOOKUP(C360,Customer_Dim!$A:$N,13,FALSE())</f>
        <v>Silver</v>
      </c>
      <c r="X360" s="11" t="str">
        <f t="shared" si="41"/>
        <v>High</v>
      </c>
    </row>
    <row r="361" spans="1:24" ht="15.75" customHeight="1">
      <c r="A361" s="4" t="s">
        <v>2357</v>
      </c>
      <c r="B361" s="9">
        <v>45788</v>
      </c>
      <c r="C361" s="4" t="s">
        <v>1403</v>
      </c>
      <c r="D361" s="4" t="s">
        <v>1767</v>
      </c>
      <c r="E361" s="4" t="s">
        <v>1924</v>
      </c>
      <c r="F361" s="4">
        <v>3</v>
      </c>
      <c r="G361" s="4">
        <v>477.05</v>
      </c>
      <c r="H361" s="4">
        <v>0.05</v>
      </c>
      <c r="I361" s="4" t="s">
        <v>1998</v>
      </c>
      <c r="J361" s="10">
        <v>1359.5925</v>
      </c>
      <c r="K361" s="4" t="str">
        <f t="shared" si="35"/>
        <v>11-05-2025</v>
      </c>
      <c r="L361" s="4" t="str">
        <f>TEXT(Sales_Fact!$B361,"mmm")</f>
        <v>May</v>
      </c>
      <c r="M361" s="4">
        <f t="shared" si="36"/>
        <v>3</v>
      </c>
      <c r="N361" s="10">
        <f t="shared" si="37"/>
        <v>477.05</v>
      </c>
      <c r="O361" s="10">
        <f t="shared" si="38"/>
        <v>1359.5925</v>
      </c>
      <c r="P361" s="10">
        <f t="shared" si="39"/>
        <v>1431.15</v>
      </c>
      <c r="Q361" s="3">
        <f t="shared" si="40"/>
        <v>5.0000000000000079E-2</v>
      </c>
      <c r="R361" s="4" t="str">
        <f>IF(Sales_Fact!$O361&gt;1000,"High","Low")</f>
        <v>High</v>
      </c>
      <c r="S361" s="4" t="str">
        <f>VLOOKUP(C361,Customer_Dim!$A:$N,9,FALSE())</f>
        <v>Cheryl Carr</v>
      </c>
      <c r="T361" s="4" t="str">
        <f>VLOOKUP(D361,Product_Dim!$A:$M,3,FALSE())</f>
        <v>Sports</v>
      </c>
      <c r="U361" s="11" t="str">
        <f>VLOOKUP(D361,Product_Dim!$A:$M,2,FALSE())</f>
        <v>Sports Stopwatch Pro</v>
      </c>
      <c r="V361" s="11" t="str">
        <f>VLOOKUP(E361,Store_Dim!$A:$E,3,FALSE())</f>
        <v>North</v>
      </c>
      <c r="W361" s="11" t="str">
        <f>VLOOKUP(C361,Customer_Dim!$A:$N,13,FALSE())</f>
        <v>Gold</v>
      </c>
      <c r="X361" s="11" t="str">
        <f t="shared" si="41"/>
        <v>Low</v>
      </c>
    </row>
    <row r="362" spans="1:24" ht="15.75" customHeight="1">
      <c r="A362" s="4" t="s">
        <v>2358</v>
      </c>
      <c r="B362" s="9">
        <v>45383</v>
      </c>
      <c r="C362" s="4" t="s">
        <v>997</v>
      </c>
      <c r="D362" s="4" t="s">
        <v>1828</v>
      </c>
      <c r="E362" s="4" t="s">
        <v>1944</v>
      </c>
      <c r="F362" s="4">
        <v>3</v>
      </c>
      <c r="G362" s="4">
        <v>627.29</v>
      </c>
      <c r="H362" s="4">
        <v>0.27</v>
      </c>
      <c r="I362" s="4" t="s">
        <v>2004</v>
      </c>
      <c r="J362" s="10">
        <v>1373.7651000000001</v>
      </c>
      <c r="K362" s="4" t="str">
        <f t="shared" si="35"/>
        <v>01-04-2024</v>
      </c>
      <c r="L362" s="4" t="str">
        <f>TEXT(Sales_Fact!$B362,"mmm")</f>
        <v>Apr</v>
      </c>
      <c r="M362" s="4">
        <f t="shared" si="36"/>
        <v>3</v>
      </c>
      <c r="N362" s="10">
        <f t="shared" si="37"/>
        <v>627.29</v>
      </c>
      <c r="O362" s="10">
        <f t="shared" si="38"/>
        <v>1373.7650999999998</v>
      </c>
      <c r="P362" s="10">
        <f t="shared" si="39"/>
        <v>1881.87</v>
      </c>
      <c r="Q362" s="3">
        <f t="shared" si="40"/>
        <v>0.27</v>
      </c>
      <c r="R362" s="4" t="str">
        <f>IF(Sales_Fact!$O362&gt;1000,"High","Low")</f>
        <v>High</v>
      </c>
      <c r="S362" s="4" t="str">
        <f>VLOOKUP(C362,Customer_Dim!$A:$N,9,FALSE())</f>
        <v>Brandy Thompson</v>
      </c>
      <c r="T362" s="4" t="str">
        <f>VLOOKUP(D362,Product_Dim!$A:$M,3,FALSE())</f>
        <v>Electronics</v>
      </c>
      <c r="U362" s="11" t="str">
        <f>VLOOKUP(D362,Product_Dim!$A:$M,2,FALSE())</f>
        <v>Bluetooth Car Audio System</v>
      </c>
      <c r="V362" s="11" t="str">
        <f>VLOOKUP(E362,Store_Dim!$A:$E,3,FALSE())</f>
        <v>South</v>
      </c>
      <c r="W362" s="11" t="str">
        <f>VLOOKUP(C362,Customer_Dim!$A:$N,13,FALSE())</f>
        <v>Bronze</v>
      </c>
      <c r="X362" s="11" t="str">
        <f t="shared" si="41"/>
        <v>Low</v>
      </c>
    </row>
    <row r="363" spans="1:24" ht="15.75" customHeight="1">
      <c r="A363" s="4" t="s">
        <v>2359</v>
      </c>
      <c r="B363" s="9">
        <v>45335</v>
      </c>
      <c r="C363" s="4" t="s">
        <v>988</v>
      </c>
      <c r="D363" s="4" t="s">
        <v>1888</v>
      </c>
      <c r="E363" s="4" t="s">
        <v>1950</v>
      </c>
      <c r="F363" s="4">
        <v>3</v>
      </c>
      <c r="G363" s="4">
        <v>206.84</v>
      </c>
      <c r="H363" s="4">
        <v>0.19</v>
      </c>
      <c r="I363" s="4" t="s">
        <v>1998</v>
      </c>
      <c r="J363" s="10">
        <v>502.62119999999999</v>
      </c>
      <c r="K363" s="4" t="str">
        <f t="shared" si="35"/>
        <v>13-02-2024</v>
      </c>
      <c r="L363" s="4" t="str">
        <f>TEXT(Sales_Fact!$B363,"mmm")</f>
        <v>Feb</v>
      </c>
      <c r="M363" s="4">
        <f t="shared" si="36"/>
        <v>3</v>
      </c>
      <c r="N363" s="10">
        <f t="shared" si="37"/>
        <v>206.84</v>
      </c>
      <c r="O363" s="10">
        <f t="shared" si="38"/>
        <v>502.62120000000004</v>
      </c>
      <c r="P363" s="10">
        <f t="shared" si="39"/>
        <v>620.52</v>
      </c>
      <c r="Q363" s="3">
        <f t="shared" si="40"/>
        <v>0.18999999999999989</v>
      </c>
      <c r="R363" s="4" t="str">
        <f>IF(Sales_Fact!$O363&gt;1000,"High","Low")</f>
        <v>Low</v>
      </c>
      <c r="S363" s="4" t="str">
        <f>VLOOKUP(C363,Customer_Dim!$A:$N,9,FALSE())</f>
        <v>Miss Alexandria Li Dvm</v>
      </c>
      <c r="T363" s="4" t="str">
        <f>VLOOKUP(D363,Product_Dim!$A:$M,3,FALSE())</f>
        <v>Beauty</v>
      </c>
      <c r="U363" s="11" t="str">
        <f>VLOOKUP(D363,Product_Dim!$A:$M,2,FALSE())</f>
        <v>Vitamin E Body Lotion</v>
      </c>
      <c r="V363" s="11" t="str">
        <f>VLOOKUP(E363,Store_Dim!$A:$E,3,FALSE())</f>
        <v>South</v>
      </c>
      <c r="W363" s="11" t="str">
        <f>VLOOKUP(C363,Customer_Dim!$A:$N,13,FALSE())</f>
        <v>Silver</v>
      </c>
      <c r="X363" s="11" t="str">
        <f t="shared" si="41"/>
        <v>Low</v>
      </c>
    </row>
    <row r="364" spans="1:24" ht="15.75" customHeight="1">
      <c r="A364" s="4" t="s">
        <v>2360</v>
      </c>
      <c r="B364" s="9">
        <v>45304</v>
      </c>
      <c r="C364" s="4" t="s">
        <v>831</v>
      </c>
      <c r="D364" s="4" t="s">
        <v>1690</v>
      </c>
      <c r="E364" s="4" t="s">
        <v>1915</v>
      </c>
      <c r="F364" s="4">
        <v>4</v>
      </c>
      <c r="G364" s="4">
        <v>629.04999999999995</v>
      </c>
      <c r="H364" s="4">
        <v>0.26</v>
      </c>
      <c r="I364" s="4" t="s">
        <v>1996</v>
      </c>
      <c r="J364" s="10">
        <v>1861.9880000000001</v>
      </c>
      <c r="K364" s="4" t="str">
        <f t="shared" si="35"/>
        <v>13-01-2024</v>
      </c>
      <c r="L364" s="4" t="str">
        <f>TEXT(Sales_Fact!$B364,"mmm")</f>
        <v>Jan</v>
      </c>
      <c r="M364" s="4">
        <f t="shared" si="36"/>
        <v>4</v>
      </c>
      <c r="N364" s="10">
        <f t="shared" si="37"/>
        <v>629.04999999999995</v>
      </c>
      <c r="O364" s="10">
        <f t="shared" si="38"/>
        <v>1861.9879999999998</v>
      </c>
      <c r="P364" s="10">
        <f t="shared" si="39"/>
        <v>2516.1999999999998</v>
      </c>
      <c r="Q364" s="3">
        <f t="shared" si="40"/>
        <v>0.26</v>
      </c>
      <c r="R364" s="4" t="str">
        <f>IF(Sales_Fact!$O364&gt;1000,"High","Low")</f>
        <v>High</v>
      </c>
      <c r="S364" s="4" t="str">
        <f>VLOOKUP(C364,Customer_Dim!$A:$N,9,FALSE())</f>
        <v>Tyler Garner</v>
      </c>
      <c r="T364" s="4" t="str">
        <f>VLOOKUP(D364,Product_Dim!$A:$M,3,FALSE())</f>
        <v>Home</v>
      </c>
      <c r="U364" s="11" t="str">
        <f>VLOOKUP(D364,Product_Dim!$A:$M,2,FALSE())</f>
        <v>Stainless Steel Cutlery Set</v>
      </c>
      <c r="V364" s="11" t="str">
        <f>VLOOKUP(E364,Store_Dim!$A:$E,3,FALSE())</f>
        <v>North</v>
      </c>
      <c r="W364" s="11" t="str">
        <f>VLOOKUP(C364,Customer_Dim!$A:$N,13,FALSE())</f>
        <v>Silver</v>
      </c>
      <c r="X364" s="11" t="str">
        <f t="shared" si="41"/>
        <v>High</v>
      </c>
    </row>
    <row r="365" spans="1:24" ht="15.75" customHeight="1">
      <c r="A365" s="4" t="s">
        <v>2361</v>
      </c>
      <c r="B365" s="9">
        <v>45543</v>
      </c>
      <c r="C365" s="4" t="s">
        <v>1386</v>
      </c>
      <c r="D365" s="4" t="s">
        <v>1828</v>
      </c>
      <c r="E365" s="4" t="s">
        <v>1965</v>
      </c>
      <c r="F365" s="4">
        <v>4</v>
      </c>
      <c r="G365" s="4">
        <v>529.04</v>
      </c>
      <c r="H365" s="4">
        <v>0.1</v>
      </c>
      <c r="I365" s="4" t="s">
        <v>1998</v>
      </c>
      <c r="J365" s="10">
        <v>1904.5440000000001</v>
      </c>
      <c r="K365" s="4" t="str">
        <f t="shared" si="35"/>
        <v>08-09-2024</v>
      </c>
      <c r="L365" s="4" t="str">
        <f>TEXT(Sales_Fact!$B365,"mmm")</f>
        <v>Sep</v>
      </c>
      <c r="M365" s="4">
        <f t="shared" si="36"/>
        <v>4</v>
      </c>
      <c r="N365" s="10">
        <f t="shared" si="37"/>
        <v>529.04</v>
      </c>
      <c r="O365" s="10">
        <f t="shared" si="38"/>
        <v>1904.5439999999999</v>
      </c>
      <c r="P365" s="10">
        <f t="shared" si="39"/>
        <v>2116.16</v>
      </c>
      <c r="Q365" s="3">
        <f t="shared" si="40"/>
        <v>0.1</v>
      </c>
      <c r="R365" s="4" t="str">
        <f>IF(Sales_Fact!$O365&gt;1000,"High","Low")</f>
        <v>High</v>
      </c>
      <c r="S365" s="4" t="str">
        <f>VLOOKUP(C365,Customer_Dim!$A:$N,9,FALSE())</f>
        <v>Monica Flynn</v>
      </c>
      <c r="T365" s="4" t="str">
        <f>VLOOKUP(D365,Product_Dim!$A:$M,3,FALSE())</f>
        <v>Electronics</v>
      </c>
      <c r="U365" s="11" t="str">
        <f>VLOOKUP(D365,Product_Dim!$A:$M,2,FALSE())</f>
        <v>Bluetooth Car Audio System</v>
      </c>
      <c r="V365" s="11" t="str">
        <f>VLOOKUP(E365,Store_Dim!$A:$E,3,FALSE())</f>
        <v>North</v>
      </c>
      <c r="W365" s="11" t="str">
        <f>VLOOKUP(C365,Customer_Dim!$A:$N,13,FALSE())</f>
        <v>Platinum</v>
      </c>
      <c r="X365" s="11" t="str">
        <f t="shared" si="41"/>
        <v>High</v>
      </c>
    </row>
    <row r="366" spans="1:24" ht="15.75" customHeight="1">
      <c r="A366" s="4" t="s">
        <v>2362</v>
      </c>
      <c r="B366" s="9">
        <v>45326</v>
      </c>
      <c r="C366" s="4" t="s">
        <v>1123</v>
      </c>
      <c r="D366" s="4" t="s">
        <v>1690</v>
      </c>
      <c r="E366" s="4" t="s">
        <v>1965</v>
      </c>
      <c r="F366" s="4">
        <v>1</v>
      </c>
      <c r="G366" s="4">
        <v>350.67</v>
      </c>
      <c r="H366" s="4">
        <v>0.22</v>
      </c>
      <c r="I366" s="4" t="s">
        <v>1998</v>
      </c>
      <c r="J366" s="10">
        <v>273.52260000000001</v>
      </c>
      <c r="K366" s="4" t="str">
        <f t="shared" si="35"/>
        <v>04-02-2024</v>
      </c>
      <c r="L366" s="4" t="str">
        <f>TEXT(Sales_Fact!$B366,"mmm")</f>
        <v>Feb</v>
      </c>
      <c r="M366" s="4">
        <f t="shared" si="36"/>
        <v>1</v>
      </c>
      <c r="N366" s="10">
        <f t="shared" si="37"/>
        <v>350.67</v>
      </c>
      <c r="O366" s="10">
        <f t="shared" si="38"/>
        <v>273.52260000000001</v>
      </c>
      <c r="P366" s="10">
        <f t="shared" si="39"/>
        <v>350.67</v>
      </c>
      <c r="Q366" s="3">
        <f t="shared" si="40"/>
        <v>0.22</v>
      </c>
      <c r="R366" s="4" t="str">
        <f>IF(Sales_Fact!$O366&gt;1000,"High","Low")</f>
        <v>Low</v>
      </c>
      <c r="S366" s="4" t="str">
        <f>VLOOKUP(C366,Customer_Dim!$A:$N,9,FALSE())</f>
        <v>Heather Valenzuela</v>
      </c>
      <c r="T366" s="4" t="str">
        <f>VLOOKUP(D366,Product_Dim!$A:$M,3,FALSE())</f>
        <v>Home</v>
      </c>
      <c r="U366" s="11" t="str">
        <f>VLOOKUP(D366,Product_Dim!$A:$M,2,FALSE())</f>
        <v>Stainless Steel Cutlery Set</v>
      </c>
      <c r="V366" s="11" t="str">
        <f>VLOOKUP(E366,Store_Dim!$A:$E,3,FALSE())</f>
        <v>North</v>
      </c>
      <c r="W366" s="11" t="str">
        <f>VLOOKUP(C366,Customer_Dim!$A:$N,13,FALSE())</f>
        <v>Bronze</v>
      </c>
      <c r="X366" s="11" t="str">
        <f t="shared" si="41"/>
        <v>Low</v>
      </c>
    </row>
    <row r="367" spans="1:24" ht="15.75" customHeight="1">
      <c r="A367" s="4" t="s">
        <v>2363</v>
      </c>
      <c r="B367" s="9">
        <v>45498</v>
      </c>
      <c r="C367" s="4" t="s">
        <v>1189</v>
      </c>
      <c r="D367" s="4" t="s">
        <v>1891</v>
      </c>
      <c r="E367" s="4" t="s">
        <v>1915</v>
      </c>
      <c r="F367" s="4">
        <v>1</v>
      </c>
      <c r="G367" s="4">
        <v>128.93</v>
      </c>
      <c r="H367" s="4">
        <v>0.26</v>
      </c>
      <c r="I367" s="4" t="s">
        <v>1996</v>
      </c>
      <c r="J367" s="10">
        <v>95.408199999999994</v>
      </c>
      <c r="K367" s="4" t="str">
        <f t="shared" si="35"/>
        <v>25-07-2024</v>
      </c>
      <c r="L367" s="4" t="str">
        <f>TEXT(Sales_Fact!$B367,"mmm")</f>
        <v>Jul</v>
      </c>
      <c r="M367" s="4">
        <f t="shared" si="36"/>
        <v>1</v>
      </c>
      <c r="N367" s="10">
        <f t="shared" si="37"/>
        <v>128.93</v>
      </c>
      <c r="O367" s="10">
        <f t="shared" si="38"/>
        <v>95.408200000000008</v>
      </c>
      <c r="P367" s="10">
        <f t="shared" si="39"/>
        <v>128.93</v>
      </c>
      <c r="Q367" s="3">
        <f t="shared" si="40"/>
        <v>0.25999999999999995</v>
      </c>
      <c r="R367" s="4" t="str">
        <f>IF(Sales_Fact!$O367&gt;1000,"High","Low")</f>
        <v>Low</v>
      </c>
      <c r="S367" s="4" t="str">
        <f>VLOOKUP(C367,Customer_Dim!$A:$N,9,FALSE())</f>
        <v>Michael Garner</v>
      </c>
      <c r="T367" s="4" t="str">
        <f>VLOOKUP(D367,Product_Dim!$A:$M,3,FALSE())</f>
        <v>Sports</v>
      </c>
      <c r="U367" s="11" t="str">
        <f>VLOOKUP(D367,Product_Dim!$A:$M,2,FALSE())</f>
        <v>Sports Stopwatch Basic</v>
      </c>
      <c r="V367" s="11" t="str">
        <f>VLOOKUP(E367,Store_Dim!$A:$E,3,FALSE())</f>
        <v>North</v>
      </c>
      <c r="W367" s="11" t="str">
        <f>VLOOKUP(C367,Customer_Dim!$A:$N,13,FALSE())</f>
        <v>Platinum</v>
      </c>
      <c r="X367" s="11" t="str">
        <f t="shared" si="41"/>
        <v>Low</v>
      </c>
    </row>
    <row r="368" spans="1:24" ht="15.75" customHeight="1">
      <c r="A368" s="4" t="s">
        <v>2364</v>
      </c>
      <c r="B368" s="9">
        <v>45544</v>
      </c>
      <c r="C368" s="4" t="s">
        <v>514</v>
      </c>
      <c r="D368" s="4" t="s">
        <v>1864</v>
      </c>
      <c r="E368" s="4" t="s">
        <v>1959</v>
      </c>
      <c r="F368" s="4">
        <v>2</v>
      </c>
      <c r="G368" s="4">
        <v>384.92</v>
      </c>
      <c r="H368" s="4">
        <v>0.09</v>
      </c>
      <c r="I368" s="4" t="s">
        <v>1996</v>
      </c>
      <c r="J368" s="10">
        <v>700.55439999999999</v>
      </c>
      <c r="K368" s="4" t="str">
        <f t="shared" si="35"/>
        <v>09-09-2024</v>
      </c>
      <c r="L368" s="4" t="str">
        <f>TEXT(Sales_Fact!$B368,"mmm")</f>
        <v>Sep</v>
      </c>
      <c r="M368" s="4">
        <f t="shared" si="36"/>
        <v>2</v>
      </c>
      <c r="N368" s="10">
        <f t="shared" si="37"/>
        <v>384.92</v>
      </c>
      <c r="O368" s="10">
        <f t="shared" si="38"/>
        <v>700.5544000000001</v>
      </c>
      <c r="P368" s="10">
        <f t="shared" si="39"/>
        <v>769.84</v>
      </c>
      <c r="Q368" s="3">
        <f t="shared" si="40"/>
        <v>8.9999999999999913E-2</v>
      </c>
      <c r="R368" s="4" t="str">
        <f>IF(Sales_Fact!$O368&gt;1000,"High","Low")</f>
        <v>Low</v>
      </c>
      <c r="S368" s="4" t="str">
        <f>VLOOKUP(C368,Customer_Dim!$A:$N,9,FALSE())</f>
        <v>Cameron Simpson</v>
      </c>
      <c r="T368" s="4" t="str">
        <f>VLOOKUP(D368,Product_Dim!$A:$M,3,FALSE())</f>
        <v>Home</v>
      </c>
      <c r="U368" s="11" t="str">
        <f>VLOOKUP(D368,Product_Dim!$A:$M,2,FALSE())</f>
        <v>Kitchen Cutting Board</v>
      </c>
      <c r="V368" s="11" t="str">
        <f>VLOOKUP(E368,Store_Dim!$A:$E,3,FALSE())</f>
        <v>North</v>
      </c>
      <c r="W368" s="11" t="str">
        <f>VLOOKUP(C368,Customer_Dim!$A:$N,13,FALSE())</f>
        <v>Platinum</v>
      </c>
      <c r="X368" s="11" t="str">
        <f t="shared" si="41"/>
        <v>Low</v>
      </c>
    </row>
    <row r="369" spans="1:24" ht="15.75" customHeight="1">
      <c r="A369" s="4" t="s">
        <v>2365</v>
      </c>
      <c r="B369" s="9">
        <v>45268</v>
      </c>
      <c r="C369" s="4" t="s">
        <v>1078</v>
      </c>
      <c r="D369" s="4" t="s">
        <v>1599</v>
      </c>
      <c r="E369" s="4" t="s">
        <v>1940</v>
      </c>
      <c r="F369" s="4">
        <v>3</v>
      </c>
      <c r="G369" s="4">
        <v>120.77</v>
      </c>
      <c r="H369" s="4">
        <v>0.28999999999999998</v>
      </c>
      <c r="I369" s="4" t="s">
        <v>1998</v>
      </c>
      <c r="J369" s="10">
        <v>257.24009999999998</v>
      </c>
      <c r="K369" s="4" t="str">
        <f t="shared" si="35"/>
        <v>08-12-2023</v>
      </c>
      <c r="L369" s="4" t="str">
        <f>TEXT(Sales_Fact!$B369,"mmm")</f>
        <v>Dec</v>
      </c>
      <c r="M369" s="4">
        <f t="shared" si="36"/>
        <v>3</v>
      </c>
      <c r="N369" s="10">
        <f t="shared" si="37"/>
        <v>120.77</v>
      </c>
      <c r="O369" s="10">
        <f t="shared" si="38"/>
        <v>257.24009999999998</v>
      </c>
      <c r="P369" s="10">
        <f t="shared" si="39"/>
        <v>362.31</v>
      </c>
      <c r="Q369" s="3">
        <f t="shared" si="40"/>
        <v>0.29000000000000004</v>
      </c>
      <c r="R369" s="4" t="str">
        <f>IF(Sales_Fact!$O369&gt;1000,"High","Low")</f>
        <v>Low</v>
      </c>
      <c r="S369" s="4" t="str">
        <f>VLOOKUP(C369,Customer_Dim!$A:$N,9,FALSE())</f>
        <v>Mr. Christopher Sims</v>
      </c>
      <c r="T369" s="4" t="str">
        <f>VLOOKUP(D369,Product_Dim!$A:$M,3,FALSE())</f>
        <v>Clothing</v>
      </c>
      <c r="U369" s="11" t="str">
        <f>VLOOKUP(D369,Product_Dim!$A:$M,2,FALSE())</f>
        <v>Men's Leather Belt</v>
      </c>
      <c r="V369" s="11" t="str">
        <f>VLOOKUP(E369,Store_Dim!$A:$E,3,FALSE())</f>
        <v>West</v>
      </c>
      <c r="W369" s="11" t="str">
        <f>VLOOKUP(C369,Customer_Dim!$A:$N,13,FALSE())</f>
        <v>Silver</v>
      </c>
      <c r="X369" s="11" t="str">
        <f t="shared" si="41"/>
        <v>Low</v>
      </c>
    </row>
    <row r="370" spans="1:24" ht="15.75" customHeight="1">
      <c r="A370" s="4" t="s">
        <v>2366</v>
      </c>
      <c r="B370" s="9">
        <v>45824</v>
      </c>
      <c r="C370" s="4" t="s">
        <v>746</v>
      </c>
      <c r="D370" s="4" t="s">
        <v>1834</v>
      </c>
      <c r="E370" s="4" t="s">
        <v>1965</v>
      </c>
      <c r="F370" s="4">
        <v>4</v>
      </c>
      <c r="G370" s="4">
        <v>661.39</v>
      </c>
      <c r="H370" s="4">
        <v>7.0000000000000007E-2</v>
      </c>
      <c r="I370" s="4" t="s">
        <v>1996</v>
      </c>
      <c r="J370" s="10">
        <v>2460.3708000000001</v>
      </c>
      <c r="K370" s="4" t="str">
        <f t="shared" si="35"/>
        <v>16-06-2025</v>
      </c>
      <c r="L370" s="4" t="str">
        <f>TEXT(Sales_Fact!$B370,"mmm")</f>
        <v>Jun</v>
      </c>
      <c r="M370" s="4">
        <f t="shared" si="36"/>
        <v>4</v>
      </c>
      <c r="N370" s="10">
        <f t="shared" si="37"/>
        <v>661.39</v>
      </c>
      <c r="O370" s="10">
        <f t="shared" si="38"/>
        <v>2460.3707999999997</v>
      </c>
      <c r="P370" s="10">
        <f t="shared" si="39"/>
        <v>2645.56</v>
      </c>
      <c r="Q370" s="3">
        <f t="shared" si="40"/>
        <v>7.0000000000000104E-2</v>
      </c>
      <c r="R370" s="4" t="str">
        <f>IF(Sales_Fact!$O370&gt;1000,"High","Low")</f>
        <v>High</v>
      </c>
      <c r="S370" s="4" t="str">
        <f>VLOOKUP(C370,Customer_Dim!$A:$N,9,FALSE())</f>
        <v>Alejandro Doyle</v>
      </c>
      <c r="T370" s="4" t="str">
        <f>VLOOKUP(D370,Product_Dim!$A:$M,3,FALSE())</f>
        <v>Electronics</v>
      </c>
      <c r="U370" s="11" t="str">
        <f>VLOOKUP(D370,Product_Dim!$A:$M,2,FALSE())</f>
        <v>Wireless Mouse</v>
      </c>
      <c r="V370" s="11" t="str">
        <f>VLOOKUP(E370,Store_Dim!$A:$E,3,FALSE())</f>
        <v>North</v>
      </c>
      <c r="W370" s="11" t="str">
        <f>VLOOKUP(C370,Customer_Dim!$A:$N,13,FALSE())</f>
        <v>Platinum</v>
      </c>
      <c r="X370" s="11" t="str">
        <f t="shared" si="41"/>
        <v>High</v>
      </c>
    </row>
    <row r="371" spans="1:24" ht="15.75" customHeight="1">
      <c r="A371" s="4" t="s">
        <v>2367</v>
      </c>
      <c r="B371" s="9">
        <v>45910</v>
      </c>
      <c r="C371" s="4" t="s">
        <v>1063</v>
      </c>
      <c r="D371" s="4" t="s">
        <v>1776</v>
      </c>
      <c r="E371" s="4" t="s">
        <v>1927</v>
      </c>
      <c r="F371" s="4">
        <v>2</v>
      </c>
      <c r="G371" s="4">
        <v>267.19</v>
      </c>
      <c r="H371" s="4">
        <v>7.0000000000000007E-2</v>
      </c>
      <c r="I371" s="4" t="s">
        <v>1996</v>
      </c>
      <c r="J371" s="10">
        <v>496.97340000000003</v>
      </c>
      <c r="K371" s="4" t="str">
        <f t="shared" si="35"/>
        <v>10-09-2025</v>
      </c>
      <c r="L371" s="4" t="str">
        <f>TEXT(Sales_Fact!$B371,"mmm")</f>
        <v>Sep</v>
      </c>
      <c r="M371" s="4">
        <f t="shared" si="36"/>
        <v>2</v>
      </c>
      <c r="N371" s="10">
        <f t="shared" si="37"/>
        <v>267.19</v>
      </c>
      <c r="O371" s="10">
        <f t="shared" si="38"/>
        <v>496.97339999999997</v>
      </c>
      <c r="P371" s="10">
        <f t="shared" si="39"/>
        <v>534.38</v>
      </c>
      <c r="Q371" s="3">
        <f t="shared" si="40"/>
        <v>7.0000000000000048E-2</v>
      </c>
      <c r="R371" s="4" t="str">
        <f>IF(Sales_Fact!$O371&gt;1000,"High","Low")</f>
        <v>Low</v>
      </c>
      <c r="S371" s="4" t="str">
        <f>VLOOKUP(C371,Customer_Dim!$A:$N,9,FALSE())</f>
        <v>Victor Mcintosh</v>
      </c>
      <c r="T371" s="4" t="str">
        <f>VLOOKUP(D371,Product_Dim!$A:$M,3,FALSE())</f>
        <v>Sports</v>
      </c>
      <c r="U371" s="11" t="str">
        <f>VLOOKUP(D371,Product_Dim!$A:$M,2,FALSE())</f>
        <v>Foam Roller</v>
      </c>
      <c r="V371" s="11" t="str">
        <f>VLOOKUP(E371,Store_Dim!$A:$E,3,FALSE())</f>
        <v>South</v>
      </c>
      <c r="W371" s="11" t="str">
        <f>VLOOKUP(C371,Customer_Dim!$A:$N,13,FALSE())</f>
        <v>Bronze</v>
      </c>
      <c r="X371" s="11" t="str">
        <f t="shared" si="41"/>
        <v>Low</v>
      </c>
    </row>
    <row r="372" spans="1:24" ht="15.75" customHeight="1">
      <c r="A372" s="4" t="s">
        <v>2368</v>
      </c>
      <c r="B372" s="9">
        <v>45261</v>
      </c>
      <c r="C372" s="4" t="s">
        <v>1418</v>
      </c>
      <c r="D372" s="4" t="s">
        <v>1791</v>
      </c>
      <c r="E372" s="4" t="s">
        <v>1919</v>
      </c>
      <c r="F372" s="4">
        <v>1</v>
      </c>
      <c r="G372" s="4">
        <v>195.24</v>
      </c>
      <c r="H372" s="4">
        <v>0.27</v>
      </c>
      <c r="I372" s="4" t="s">
        <v>1998</v>
      </c>
      <c r="J372" s="10">
        <v>142.52520000000001</v>
      </c>
      <c r="K372" s="4" t="str">
        <f t="shared" si="35"/>
        <v>01-12-2023</v>
      </c>
      <c r="L372" s="4" t="str">
        <f>TEXT(Sales_Fact!$B372,"mmm")</f>
        <v>Dec</v>
      </c>
      <c r="M372" s="4">
        <f t="shared" si="36"/>
        <v>1</v>
      </c>
      <c r="N372" s="10">
        <f t="shared" si="37"/>
        <v>195.24</v>
      </c>
      <c r="O372" s="10">
        <f t="shared" si="38"/>
        <v>142.52520000000001</v>
      </c>
      <c r="P372" s="10">
        <f t="shared" si="39"/>
        <v>195.24</v>
      </c>
      <c r="Q372" s="3">
        <f t="shared" si="40"/>
        <v>0.26999999999999996</v>
      </c>
      <c r="R372" s="4" t="str">
        <f>IF(Sales_Fact!$O372&gt;1000,"High","Low")</f>
        <v>Low</v>
      </c>
      <c r="S372" s="4" t="str">
        <f>VLOOKUP(C372,Customer_Dim!$A:$N,9,FALSE())</f>
        <v>William Cortez</v>
      </c>
      <c r="T372" s="4" t="str">
        <f>VLOOKUP(D372,Product_Dim!$A:$M,3,FALSE())</f>
        <v>Electronics</v>
      </c>
      <c r="U372" s="11" t="str">
        <f>VLOOKUP(D372,Product_Dim!$A:$M,2,FALSE())</f>
        <v>Laptop Cooling Pad</v>
      </c>
      <c r="V372" s="11" t="str">
        <f>VLOOKUP(E372,Store_Dim!$A:$E,3,FALSE())</f>
        <v>South</v>
      </c>
      <c r="W372" s="11" t="str">
        <f>VLOOKUP(C372,Customer_Dim!$A:$N,13,FALSE())</f>
        <v>Bronze</v>
      </c>
      <c r="X372" s="11" t="str">
        <f t="shared" si="41"/>
        <v>Low</v>
      </c>
    </row>
    <row r="373" spans="1:24" ht="15.75" customHeight="1">
      <c r="A373" s="4" t="s">
        <v>2369</v>
      </c>
      <c r="B373" s="9">
        <v>45233</v>
      </c>
      <c r="C373" s="4" t="s">
        <v>46</v>
      </c>
      <c r="D373" s="4" t="s">
        <v>1882</v>
      </c>
      <c r="E373" s="4" t="s">
        <v>1968</v>
      </c>
      <c r="F373" s="4">
        <v>2</v>
      </c>
      <c r="G373" s="4">
        <v>177.4</v>
      </c>
      <c r="H373" s="4">
        <v>0.19</v>
      </c>
      <c r="I373" s="4" t="s">
        <v>1998</v>
      </c>
      <c r="J373" s="10">
        <v>287.38799999999998</v>
      </c>
      <c r="K373" s="4" t="str">
        <f t="shared" si="35"/>
        <v>03-11-2023</v>
      </c>
      <c r="L373" s="4" t="str">
        <f>TEXT(Sales_Fact!$B373,"mmm")</f>
        <v>Nov</v>
      </c>
      <c r="M373" s="4">
        <f t="shared" si="36"/>
        <v>2</v>
      </c>
      <c r="N373" s="10">
        <f t="shared" si="37"/>
        <v>177.4</v>
      </c>
      <c r="O373" s="10">
        <f t="shared" si="38"/>
        <v>287.38800000000003</v>
      </c>
      <c r="P373" s="10">
        <f t="shared" si="39"/>
        <v>354.8</v>
      </c>
      <c r="Q373" s="3">
        <f t="shared" si="40"/>
        <v>0.18999999999999992</v>
      </c>
      <c r="R373" s="4" t="str">
        <f>IF(Sales_Fact!$O373&gt;1000,"High","Low")</f>
        <v>Low</v>
      </c>
      <c r="S373" s="4" t="str">
        <f>VLOOKUP(C373,Customer_Dim!$A:$N,9,FALSE())</f>
        <v>Caroline Collins</v>
      </c>
      <c r="T373" s="4" t="str">
        <f>VLOOKUP(D373,Product_Dim!$A:$M,3,FALSE())</f>
        <v>Home</v>
      </c>
      <c r="U373" s="11" t="str">
        <f>VLOOKUP(D373,Product_Dim!$A:$M,2,FALSE())</f>
        <v>Microwave Oven</v>
      </c>
      <c r="V373" s="11" t="str">
        <f>VLOOKUP(E373,Store_Dim!$A:$E,3,FALSE())</f>
        <v>East</v>
      </c>
      <c r="W373" s="11" t="str">
        <f>VLOOKUP(C373,Customer_Dim!$A:$N,13,FALSE())</f>
        <v>Silver</v>
      </c>
      <c r="X373" s="11" t="str">
        <f t="shared" si="41"/>
        <v>Low</v>
      </c>
    </row>
    <row r="374" spans="1:24" ht="15.75" customHeight="1">
      <c r="A374" s="4" t="s">
        <v>2370</v>
      </c>
      <c r="B374" s="9">
        <v>45673</v>
      </c>
      <c r="C374" s="4" t="s">
        <v>235</v>
      </c>
      <c r="D374" s="4" t="s">
        <v>1900</v>
      </c>
      <c r="E374" s="4" t="s">
        <v>1950</v>
      </c>
      <c r="F374" s="4">
        <v>4</v>
      </c>
      <c r="G374" s="4">
        <v>862.67</v>
      </c>
      <c r="H374" s="4">
        <v>0.2</v>
      </c>
      <c r="I374" s="4" t="s">
        <v>1998</v>
      </c>
      <c r="J374" s="10">
        <v>2760.5439999999999</v>
      </c>
      <c r="K374" s="4" t="str">
        <f t="shared" si="35"/>
        <v>16-01-2025</v>
      </c>
      <c r="L374" s="4" t="str">
        <f>TEXT(Sales_Fact!$B374,"mmm")</f>
        <v>Jan</v>
      </c>
      <c r="M374" s="4">
        <f t="shared" si="36"/>
        <v>4</v>
      </c>
      <c r="N374" s="10">
        <f t="shared" si="37"/>
        <v>862.67</v>
      </c>
      <c r="O374" s="10">
        <f t="shared" si="38"/>
        <v>2760.5439999999999</v>
      </c>
      <c r="P374" s="10">
        <f t="shared" si="39"/>
        <v>3450.68</v>
      </c>
      <c r="Q374" s="3">
        <f t="shared" si="40"/>
        <v>0.2</v>
      </c>
      <c r="R374" s="4" t="str">
        <f>IF(Sales_Fact!$O374&gt;1000,"High","Low")</f>
        <v>High</v>
      </c>
      <c r="S374" s="4" t="str">
        <f>VLOOKUP(C374,Customer_Dim!$A:$N,9,FALSE())</f>
        <v>Jay Patel</v>
      </c>
      <c r="T374" s="4" t="str">
        <f>VLOOKUP(D374,Product_Dim!$A:$M,3,FALSE())</f>
        <v>Electronics</v>
      </c>
      <c r="U374" s="11" t="str">
        <f>VLOOKUP(D374,Product_Dim!$A:$M,2,FALSE())</f>
        <v>Portable Bluetooth Speaker</v>
      </c>
      <c r="V374" s="11" t="str">
        <f>VLOOKUP(E374,Store_Dim!$A:$E,3,FALSE())</f>
        <v>South</v>
      </c>
      <c r="W374" s="11" t="str">
        <f>VLOOKUP(C374,Customer_Dim!$A:$N,13,FALSE())</f>
        <v>Platinum</v>
      </c>
      <c r="X374" s="11" t="str">
        <f t="shared" si="41"/>
        <v>High</v>
      </c>
    </row>
    <row r="375" spans="1:24" ht="15.75" customHeight="1">
      <c r="A375" s="4" t="s">
        <v>2371</v>
      </c>
      <c r="B375" s="9">
        <v>45565</v>
      </c>
      <c r="C375" s="4" t="s">
        <v>1403</v>
      </c>
      <c r="D375" s="4" t="s">
        <v>1648</v>
      </c>
      <c r="E375" s="4" t="s">
        <v>1934</v>
      </c>
      <c r="F375" s="4">
        <v>1</v>
      </c>
      <c r="G375" s="4">
        <v>55.04</v>
      </c>
      <c r="H375" s="4">
        <v>0.01</v>
      </c>
      <c r="I375" s="4" t="s">
        <v>2004</v>
      </c>
      <c r="J375" s="10">
        <v>54.489600000000003</v>
      </c>
      <c r="K375" s="4" t="str">
        <f t="shared" si="35"/>
        <v>30-09-2024</v>
      </c>
      <c r="L375" s="4" t="str">
        <f>TEXT(Sales_Fact!$B375,"mmm")</f>
        <v>Sep</v>
      </c>
      <c r="M375" s="4">
        <f t="shared" si="36"/>
        <v>1</v>
      </c>
      <c r="N375" s="10">
        <f t="shared" si="37"/>
        <v>55.04</v>
      </c>
      <c r="O375" s="10">
        <f t="shared" si="38"/>
        <v>54.489599999999996</v>
      </c>
      <c r="P375" s="10">
        <f t="shared" si="39"/>
        <v>55.04</v>
      </c>
      <c r="Q375" s="3">
        <f t="shared" si="40"/>
        <v>1.0000000000000061E-2</v>
      </c>
      <c r="R375" s="4" t="str">
        <f>IF(Sales_Fact!$O375&gt;1000,"High","Low")</f>
        <v>Low</v>
      </c>
      <c r="S375" s="4" t="str">
        <f>VLOOKUP(C375,Customer_Dim!$A:$N,9,FALSE())</f>
        <v>Cheryl Carr</v>
      </c>
      <c r="T375" s="4" t="str">
        <f>VLOOKUP(D375,Product_Dim!$A:$M,3,FALSE())</f>
        <v>Sports</v>
      </c>
      <c r="U375" s="11" t="str">
        <f>VLOOKUP(D375,Product_Dim!$A:$M,2,FALSE())</f>
        <v>Soccer Training Cone Set</v>
      </c>
      <c r="V375" s="11" t="str">
        <f>VLOOKUP(E375,Store_Dim!$A:$E,3,FALSE())</f>
        <v>East</v>
      </c>
      <c r="W375" s="11" t="str">
        <f>VLOOKUP(C375,Customer_Dim!$A:$N,13,FALSE())</f>
        <v>Gold</v>
      </c>
      <c r="X375" s="11" t="str">
        <f t="shared" si="41"/>
        <v>Low</v>
      </c>
    </row>
    <row r="376" spans="1:24" ht="15.75" customHeight="1">
      <c r="A376" s="4" t="s">
        <v>2372</v>
      </c>
      <c r="B376" s="9">
        <v>45646</v>
      </c>
      <c r="C376" s="4" t="s">
        <v>209</v>
      </c>
      <c r="D376" s="4" t="s">
        <v>1738</v>
      </c>
      <c r="E376" s="4" t="s">
        <v>1910</v>
      </c>
      <c r="F376" s="4">
        <v>2</v>
      </c>
      <c r="G376" s="4">
        <v>905.47</v>
      </c>
      <c r="H376" s="4">
        <v>0.2</v>
      </c>
      <c r="I376" s="4" t="s">
        <v>2004</v>
      </c>
      <c r="J376" s="10">
        <v>1448.752</v>
      </c>
      <c r="K376" s="4" t="str">
        <f t="shared" si="35"/>
        <v>20-12-2024</v>
      </c>
      <c r="L376" s="4" t="str">
        <f>TEXT(Sales_Fact!$B376,"mmm")</f>
        <v>Dec</v>
      </c>
      <c r="M376" s="4">
        <f t="shared" si="36"/>
        <v>2</v>
      </c>
      <c r="N376" s="10">
        <f t="shared" si="37"/>
        <v>905.47</v>
      </c>
      <c r="O376" s="10">
        <f t="shared" si="38"/>
        <v>1448.7520000000002</v>
      </c>
      <c r="P376" s="10">
        <f t="shared" si="39"/>
        <v>1810.94</v>
      </c>
      <c r="Q376" s="3">
        <f t="shared" si="40"/>
        <v>0.19999999999999993</v>
      </c>
      <c r="R376" s="4" t="str">
        <f>IF(Sales_Fact!$O376&gt;1000,"High","Low")</f>
        <v>High</v>
      </c>
      <c r="S376" s="4" t="str">
        <f>VLOOKUP(C376,Customer_Dim!$A:$N,9,FALSE())</f>
        <v>Timothy Weaver</v>
      </c>
      <c r="T376" s="4" t="str">
        <f>VLOOKUP(D376,Product_Dim!$A:$M,3,FALSE())</f>
        <v>Sports</v>
      </c>
      <c r="U376" s="11" t="str">
        <f>VLOOKUP(D376,Product_Dim!$A:$M,2,FALSE())</f>
        <v>High-Grip Football</v>
      </c>
      <c r="V376" s="11" t="str">
        <f>VLOOKUP(E376,Store_Dim!$A:$E,3,FALSE())</f>
        <v>East</v>
      </c>
      <c r="W376" s="11" t="str">
        <f>VLOOKUP(C376,Customer_Dim!$A:$N,13,FALSE())</f>
        <v>Gold</v>
      </c>
      <c r="X376" s="11" t="str">
        <f t="shared" si="41"/>
        <v>Low</v>
      </c>
    </row>
    <row r="377" spans="1:24" ht="15.75" customHeight="1">
      <c r="A377" s="4" t="s">
        <v>2373</v>
      </c>
      <c r="B377" s="9">
        <v>45539</v>
      </c>
      <c r="C377" s="4" t="s">
        <v>1451</v>
      </c>
      <c r="D377" s="4" t="s">
        <v>1794</v>
      </c>
      <c r="E377" s="4" t="s">
        <v>1955</v>
      </c>
      <c r="F377" s="4">
        <v>3</v>
      </c>
      <c r="G377" s="4">
        <v>217.13</v>
      </c>
      <c r="H377" s="4">
        <v>0.28000000000000003</v>
      </c>
      <c r="I377" s="4" t="s">
        <v>1996</v>
      </c>
      <c r="J377" s="10">
        <v>469.00080000000003</v>
      </c>
      <c r="K377" s="4" t="str">
        <f t="shared" si="35"/>
        <v>04-09-2024</v>
      </c>
      <c r="L377" s="4" t="str">
        <f>TEXT(Sales_Fact!$B377,"mmm")</f>
        <v>Sep</v>
      </c>
      <c r="M377" s="4">
        <f t="shared" si="36"/>
        <v>3</v>
      </c>
      <c r="N377" s="10">
        <f t="shared" si="37"/>
        <v>217.13</v>
      </c>
      <c r="O377" s="10">
        <f t="shared" si="38"/>
        <v>469.00079999999997</v>
      </c>
      <c r="P377" s="10">
        <f t="shared" si="39"/>
        <v>651.39</v>
      </c>
      <c r="Q377" s="3">
        <f t="shared" si="40"/>
        <v>0.28000000000000003</v>
      </c>
      <c r="R377" s="4" t="str">
        <f>IF(Sales_Fact!$O377&gt;1000,"High","Low")</f>
        <v>Low</v>
      </c>
      <c r="S377" s="4" t="str">
        <f>VLOOKUP(C377,Customer_Dim!$A:$N,9,FALSE())</f>
        <v>Paul Cox</v>
      </c>
      <c r="T377" s="4" t="str">
        <f>VLOOKUP(D377,Product_Dim!$A:$M,3,FALSE())</f>
        <v>Beauty</v>
      </c>
      <c r="U377" s="11" t="str">
        <f>VLOOKUP(D377,Product_Dim!$A:$M,2,FALSE())</f>
        <v>Organic Sunscreen Lotion</v>
      </c>
      <c r="V377" s="11" t="str">
        <f>VLOOKUP(E377,Store_Dim!$A:$E,3,FALSE())</f>
        <v>East</v>
      </c>
      <c r="W377" s="11" t="str">
        <f>VLOOKUP(C377,Customer_Dim!$A:$N,13,FALSE())</f>
        <v>Silver</v>
      </c>
      <c r="X377" s="11" t="str">
        <f t="shared" si="41"/>
        <v>Low</v>
      </c>
    </row>
    <row r="378" spans="1:24" ht="15.75" customHeight="1">
      <c r="A378" s="4" t="s">
        <v>2374</v>
      </c>
      <c r="B378" s="9">
        <v>45936</v>
      </c>
      <c r="C378" s="4" t="s">
        <v>1243</v>
      </c>
      <c r="D378" s="4" t="s">
        <v>1831</v>
      </c>
      <c r="E378" s="4" t="s">
        <v>1910</v>
      </c>
      <c r="F378" s="4">
        <v>3</v>
      </c>
      <c r="G378" s="4">
        <v>580.45000000000005</v>
      </c>
      <c r="H378" s="4">
        <v>0</v>
      </c>
      <c r="I378" s="4" t="s">
        <v>1998</v>
      </c>
      <c r="J378" s="10">
        <v>1741.35</v>
      </c>
      <c r="K378" s="4" t="str">
        <f t="shared" si="35"/>
        <v>06-10-2025</v>
      </c>
      <c r="L378" s="4" t="str">
        <f>TEXT(Sales_Fact!$B378,"mmm")</f>
        <v>Oct</v>
      </c>
      <c r="M378" s="4">
        <f t="shared" si="36"/>
        <v>3</v>
      </c>
      <c r="N378" s="10">
        <f t="shared" si="37"/>
        <v>580.45000000000005</v>
      </c>
      <c r="O378" s="10">
        <f t="shared" si="38"/>
        <v>1741.3500000000001</v>
      </c>
      <c r="P378" s="10">
        <f t="shared" si="39"/>
        <v>1741.3500000000001</v>
      </c>
      <c r="Q378" s="3">
        <f t="shared" si="40"/>
        <v>0</v>
      </c>
      <c r="R378" s="4" t="str">
        <f>IF(Sales_Fact!$O378&gt;1000,"High","Low")</f>
        <v>High</v>
      </c>
      <c r="S378" s="4" t="str">
        <f>VLOOKUP(C378,Customer_Dim!$A:$N,9,FALSE())</f>
        <v>Cynthia Lopez</v>
      </c>
      <c r="T378" s="4" t="str">
        <f>VLOOKUP(D378,Product_Dim!$A:$M,3,FALSE())</f>
        <v>Clothing</v>
      </c>
      <c r="U378" s="11" t="str">
        <f>VLOOKUP(D378,Product_Dim!$A:$M,2,FALSE())</f>
        <v>Women's Ankle Boots</v>
      </c>
      <c r="V378" s="11" t="str">
        <f>VLOOKUP(E378,Store_Dim!$A:$E,3,FALSE())</f>
        <v>East</v>
      </c>
      <c r="W378" s="11" t="str">
        <f>VLOOKUP(C378,Customer_Dim!$A:$N,13,FALSE())</f>
        <v>Platinum</v>
      </c>
      <c r="X378" s="11" t="str">
        <f t="shared" si="41"/>
        <v>Low</v>
      </c>
    </row>
    <row r="379" spans="1:24" ht="15.75" customHeight="1">
      <c r="A379" s="4" t="s">
        <v>2375</v>
      </c>
      <c r="B379" s="9">
        <v>45854</v>
      </c>
      <c r="C379" s="4" t="s">
        <v>387</v>
      </c>
      <c r="D379" s="4" t="s">
        <v>1595</v>
      </c>
      <c r="E379" s="4" t="s">
        <v>1965</v>
      </c>
      <c r="F379" s="4">
        <v>2</v>
      </c>
      <c r="G379" s="4">
        <v>892.88</v>
      </c>
      <c r="H379" s="4">
        <v>0.17</v>
      </c>
      <c r="I379" s="4" t="s">
        <v>1998</v>
      </c>
      <c r="J379" s="10">
        <v>1482.1808000000001</v>
      </c>
      <c r="K379" s="4" t="str">
        <f t="shared" si="35"/>
        <v>16-07-2025</v>
      </c>
      <c r="L379" s="4" t="str">
        <f>TEXT(Sales_Fact!$B379,"mmm")</f>
        <v>Jul</v>
      </c>
      <c r="M379" s="4">
        <f t="shared" si="36"/>
        <v>2</v>
      </c>
      <c r="N379" s="10">
        <f t="shared" si="37"/>
        <v>892.88</v>
      </c>
      <c r="O379" s="10">
        <f t="shared" si="38"/>
        <v>1482.1807999999999</v>
      </c>
      <c r="P379" s="10">
        <f t="shared" si="39"/>
        <v>1785.76</v>
      </c>
      <c r="Q379" s="3">
        <f t="shared" si="40"/>
        <v>0.17000000000000007</v>
      </c>
      <c r="R379" s="4" t="str">
        <f>IF(Sales_Fact!$O379&gt;1000,"High","Low")</f>
        <v>High</v>
      </c>
      <c r="S379" s="4" t="str">
        <f>VLOOKUP(C379,Customer_Dim!$A:$N,9,FALSE())</f>
        <v>Steven Stein</v>
      </c>
      <c r="T379" s="4" t="str">
        <f>VLOOKUP(D379,Product_Dim!$A:$M,3,FALSE())</f>
        <v>Clothing</v>
      </c>
      <c r="U379" s="11" t="str">
        <f>VLOOKUP(D379,Product_Dim!$A:$M,2,FALSE())</f>
        <v>Women's Yoga Pants</v>
      </c>
      <c r="V379" s="11" t="str">
        <f>VLOOKUP(E379,Store_Dim!$A:$E,3,FALSE())</f>
        <v>North</v>
      </c>
      <c r="W379" s="11" t="str">
        <f>VLOOKUP(C379,Customer_Dim!$A:$N,13,FALSE())</f>
        <v>Bronze</v>
      </c>
      <c r="X379" s="11" t="str">
        <f t="shared" si="41"/>
        <v>Low</v>
      </c>
    </row>
    <row r="380" spans="1:24" ht="15.75" customHeight="1">
      <c r="A380" s="4" t="s">
        <v>2376</v>
      </c>
      <c r="B380" s="9">
        <v>45936</v>
      </c>
      <c r="C380" s="4" t="s">
        <v>350</v>
      </c>
      <c r="D380" s="4" t="s">
        <v>1723</v>
      </c>
      <c r="E380" s="4" t="s">
        <v>1968</v>
      </c>
      <c r="F380" s="4">
        <v>2</v>
      </c>
      <c r="G380" s="4">
        <v>356.28</v>
      </c>
      <c r="H380" s="4">
        <v>0.11</v>
      </c>
      <c r="I380" s="4" t="s">
        <v>2004</v>
      </c>
      <c r="J380" s="10">
        <v>634.17840000000001</v>
      </c>
      <c r="K380" s="4" t="str">
        <f t="shared" si="35"/>
        <v>06-10-2025</v>
      </c>
      <c r="L380" s="4" t="str">
        <f>TEXT(Sales_Fact!$B380,"mmm")</f>
        <v>Oct</v>
      </c>
      <c r="M380" s="4">
        <f t="shared" si="36"/>
        <v>2</v>
      </c>
      <c r="N380" s="10">
        <f t="shared" si="37"/>
        <v>356.28</v>
      </c>
      <c r="O380" s="10">
        <f t="shared" si="38"/>
        <v>634.17840000000001</v>
      </c>
      <c r="P380" s="10">
        <f t="shared" si="39"/>
        <v>712.56</v>
      </c>
      <c r="Q380" s="3">
        <f t="shared" si="40"/>
        <v>0.10999999999999992</v>
      </c>
      <c r="R380" s="4" t="str">
        <f>IF(Sales_Fact!$O380&gt;1000,"High","Low")</f>
        <v>Low</v>
      </c>
      <c r="S380" s="4" t="str">
        <f>VLOOKUP(C380,Customer_Dim!$A:$N,9,FALSE())</f>
        <v>Donna Gregory</v>
      </c>
      <c r="T380" s="4" t="str">
        <f>VLOOKUP(D380,Product_Dim!$A:$M,3,FALSE())</f>
        <v>Electronics</v>
      </c>
      <c r="U380" s="11" t="str">
        <f>VLOOKUP(D380,Product_Dim!$A:$M,2,FALSE())</f>
        <v>Noise-Canceling Headphones</v>
      </c>
      <c r="V380" s="11" t="str">
        <f>VLOOKUP(E380,Store_Dim!$A:$E,3,FALSE())</f>
        <v>East</v>
      </c>
      <c r="W380" s="11" t="str">
        <f>VLOOKUP(C380,Customer_Dim!$A:$N,13,FALSE())</f>
        <v>Silver</v>
      </c>
      <c r="X380" s="11" t="str">
        <f t="shared" si="41"/>
        <v>Low</v>
      </c>
    </row>
    <row r="381" spans="1:24" ht="15.75" customHeight="1">
      <c r="A381" s="4" t="s">
        <v>2377</v>
      </c>
      <c r="B381" s="9">
        <v>45921</v>
      </c>
      <c r="C381" s="4" t="s">
        <v>1228</v>
      </c>
      <c r="D381" s="4" t="s">
        <v>1846</v>
      </c>
      <c r="E381" s="4" t="s">
        <v>1919</v>
      </c>
      <c r="F381" s="4">
        <v>4</v>
      </c>
      <c r="G381" s="4">
        <v>806.99</v>
      </c>
      <c r="H381" s="4">
        <v>0.06</v>
      </c>
      <c r="I381" s="4" t="s">
        <v>1996</v>
      </c>
      <c r="J381" s="10">
        <v>3034.2824000000001</v>
      </c>
      <c r="K381" s="4" t="str">
        <f t="shared" si="35"/>
        <v>21-09-2025</v>
      </c>
      <c r="L381" s="4" t="str">
        <f>TEXT(Sales_Fact!$B381,"mmm")</f>
        <v>Sep</v>
      </c>
      <c r="M381" s="4">
        <f t="shared" si="36"/>
        <v>4</v>
      </c>
      <c r="N381" s="10">
        <f t="shared" si="37"/>
        <v>806.99</v>
      </c>
      <c r="O381" s="10">
        <f t="shared" si="38"/>
        <v>3034.2824000000001</v>
      </c>
      <c r="P381" s="10">
        <f t="shared" si="39"/>
        <v>3227.96</v>
      </c>
      <c r="Q381" s="3">
        <f t="shared" si="40"/>
        <v>0.06</v>
      </c>
      <c r="R381" s="4" t="str">
        <f>IF(Sales_Fact!$O381&gt;1000,"High","Low")</f>
        <v>High</v>
      </c>
      <c r="S381" s="4" t="str">
        <f>VLOOKUP(C381,Customer_Dim!$A:$N,9,FALSE())</f>
        <v>Andrew Mason</v>
      </c>
      <c r="T381" s="4" t="str">
        <f>VLOOKUP(D381,Product_Dim!$A:$M,3,FALSE())</f>
        <v>Home</v>
      </c>
      <c r="U381" s="11" t="str">
        <f>VLOOKUP(D381,Product_Dim!$A:$M,2,FALSE())</f>
        <v>Wall-Mounted Spice Rack</v>
      </c>
      <c r="V381" s="11" t="str">
        <f>VLOOKUP(E381,Store_Dim!$A:$E,3,FALSE())</f>
        <v>South</v>
      </c>
      <c r="W381" s="11" t="str">
        <f>VLOOKUP(C381,Customer_Dim!$A:$N,13,FALSE())</f>
        <v>Bronze</v>
      </c>
      <c r="X381" s="11" t="str">
        <f t="shared" si="41"/>
        <v>High</v>
      </c>
    </row>
    <row r="382" spans="1:24" ht="15.75" customHeight="1">
      <c r="A382" s="4" t="s">
        <v>2378</v>
      </c>
      <c r="B382" s="9">
        <v>45827</v>
      </c>
      <c r="C382" s="4" t="s">
        <v>682</v>
      </c>
      <c r="D382" s="4" t="s">
        <v>1867</v>
      </c>
      <c r="E382" s="4" t="s">
        <v>1959</v>
      </c>
      <c r="F382" s="4">
        <v>4</v>
      </c>
      <c r="G382" s="4">
        <v>72.63</v>
      </c>
      <c r="H382" s="4">
        <v>0.06</v>
      </c>
      <c r="I382" s="4" t="s">
        <v>1998</v>
      </c>
      <c r="J382" s="10">
        <v>273.08879999999999</v>
      </c>
      <c r="K382" s="4" t="str">
        <f t="shared" si="35"/>
        <v>19-06-2025</v>
      </c>
      <c r="L382" s="4" t="str">
        <f>TEXT(Sales_Fact!$B382,"mmm")</f>
        <v>Jun</v>
      </c>
      <c r="M382" s="4">
        <f t="shared" si="36"/>
        <v>4</v>
      </c>
      <c r="N382" s="10">
        <f t="shared" si="37"/>
        <v>72.63</v>
      </c>
      <c r="O382" s="10">
        <f t="shared" si="38"/>
        <v>273.08879999999999</v>
      </c>
      <c r="P382" s="10">
        <f t="shared" si="39"/>
        <v>290.52</v>
      </c>
      <c r="Q382" s="3">
        <f t="shared" si="40"/>
        <v>5.999999999999997E-2</v>
      </c>
      <c r="R382" s="4" t="str">
        <f>IF(Sales_Fact!$O382&gt;1000,"High","Low")</f>
        <v>Low</v>
      </c>
      <c r="S382" s="4" t="str">
        <f>VLOOKUP(C382,Customer_Dim!$A:$N,9,FALSE())</f>
        <v>Mary Boyd</v>
      </c>
      <c r="T382" s="4" t="str">
        <f>VLOOKUP(D382,Product_Dim!$A:$M,3,FALSE())</f>
        <v>Home</v>
      </c>
      <c r="U382" s="11" t="str">
        <f>VLOOKUP(D382,Product_Dim!$A:$M,2,FALSE())</f>
        <v>LED Bedside Lamp</v>
      </c>
      <c r="V382" s="11" t="str">
        <f>VLOOKUP(E382,Store_Dim!$A:$E,3,FALSE())</f>
        <v>North</v>
      </c>
      <c r="W382" s="11" t="str">
        <f>VLOOKUP(C382,Customer_Dim!$A:$N,13,FALSE())</f>
        <v>Bronze</v>
      </c>
      <c r="X382" s="11" t="str">
        <f t="shared" si="41"/>
        <v>High</v>
      </c>
    </row>
    <row r="383" spans="1:24" ht="15.75" customHeight="1">
      <c r="A383" s="4" t="s">
        <v>2379</v>
      </c>
      <c r="B383" s="9">
        <v>45855</v>
      </c>
      <c r="C383" s="4" t="s">
        <v>1389</v>
      </c>
      <c r="D383" s="4" t="s">
        <v>1658</v>
      </c>
      <c r="E383" s="4" t="s">
        <v>1915</v>
      </c>
      <c r="F383" s="4">
        <v>3</v>
      </c>
      <c r="G383" s="4">
        <v>684.22</v>
      </c>
      <c r="H383" s="4">
        <v>0.09</v>
      </c>
      <c r="I383" s="4" t="s">
        <v>1996</v>
      </c>
      <c r="J383" s="10">
        <v>1867.9205999999999</v>
      </c>
      <c r="K383" s="4" t="str">
        <f t="shared" si="35"/>
        <v>17-07-2025</v>
      </c>
      <c r="L383" s="4" t="str">
        <f>TEXT(Sales_Fact!$B383,"mmm")</f>
        <v>Jul</v>
      </c>
      <c r="M383" s="4">
        <f t="shared" si="36"/>
        <v>3</v>
      </c>
      <c r="N383" s="10">
        <f t="shared" si="37"/>
        <v>684.22</v>
      </c>
      <c r="O383" s="10">
        <f t="shared" si="38"/>
        <v>1867.9205999999999</v>
      </c>
      <c r="P383" s="10">
        <f t="shared" si="39"/>
        <v>2052.66</v>
      </c>
      <c r="Q383" s="3">
        <f t="shared" si="40"/>
        <v>8.9999999999999969E-2</v>
      </c>
      <c r="R383" s="4" t="str">
        <f>IF(Sales_Fact!$O383&gt;1000,"High","Low")</f>
        <v>High</v>
      </c>
      <c r="S383" s="4" t="str">
        <f>VLOOKUP(C383,Customer_Dim!$A:$N,9,FALSE())</f>
        <v>John Compton</v>
      </c>
      <c r="T383" s="4" t="str">
        <f>VLOOKUP(D383,Product_Dim!$A:$M,3,FALSE())</f>
        <v>Sports</v>
      </c>
      <c r="U383" s="11" t="str">
        <f>VLOOKUP(D383,Product_Dim!$A:$M,2,FALSE())</f>
        <v>Outdoor Sports Water Bottle</v>
      </c>
      <c r="V383" s="11" t="str">
        <f>VLOOKUP(E383,Store_Dim!$A:$E,3,FALSE())</f>
        <v>North</v>
      </c>
      <c r="W383" s="11" t="str">
        <f>VLOOKUP(C383,Customer_Dim!$A:$N,13,FALSE())</f>
        <v>Silver</v>
      </c>
      <c r="X383" s="11" t="str">
        <f t="shared" si="41"/>
        <v>Low</v>
      </c>
    </row>
    <row r="384" spans="1:24" ht="15.75" customHeight="1">
      <c r="A384" s="4" t="s">
        <v>2380</v>
      </c>
      <c r="B384" s="9">
        <v>45837</v>
      </c>
      <c r="C384" s="4" t="s">
        <v>1400</v>
      </c>
      <c r="D384" s="4" t="s">
        <v>1885</v>
      </c>
      <c r="E384" s="4" t="s">
        <v>1937</v>
      </c>
      <c r="F384" s="4">
        <v>4</v>
      </c>
      <c r="G384" s="4">
        <v>763.34</v>
      </c>
      <c r="H384" s="4">
        <v>7.0000000000000007E-2</v>
      </c>
      <c r="I384" s="4" t="s">
        <v>1998</v>
      </c>
      <c r="J384" s="10">
        <v>2839.6248000000001</v>
      </c>
      <c r="K384" s="4" t="str">
        <f t="shared" si="35"/>
        <v>29-06-2025</v>
      </c>
      <c r="L384" s="4" t="str">
        <f>TEXT(Sales_Fact!$B384,"mmm")</f>
        <v>Jun</v>
      </c>
      <c r="M384" s="4">
        <f t="shared" si="36"/>
        <v>4</v>
      </c>
      <c r="N384" s="10">
        <f t="shared" si="37"/>
        <v>763.34</v>
      </c>
      <c r="O384" s="10">
        <f t="shared" si="38"/>
        <v>2839.6248000000001</v>
      </c>
      <c r="P384" s="10">
        <f t="shared" si="39"/>
        <v>3053.36</v>
      </c>
      <c r="Q384" s="3">
        <f t="shared" si="40"/>
        <v>7.0000000000000021E-2</v>
      </c>
      <c r="R384" s="4" t="str">
        <f>IF(Sales_Fact!$O384&gt;1000,"High","Low")</f>
        <v>High</v>
      </c>
      <c r="S384" s="4" t="str">
        <f>VLOOKUP(C384,Customer_Dim!$A:$N,9,FALSE())</f>
        <v>Adam Castro</v>
      </c>
      <c r="T384" s="4" t="str">
        <f>VLOOKUP(D384,Product_Dim!$A:$M,3,FALSE())</f>
        <v>Electronics</v>
      </c>
      <c r="U384" s="11" t="str">
        <f>VLOOKUP(D384,Product_Dim!$A:$M,2,FALSE())</f>
        <v>USB-C Laptop Charger</v>
      </c>
      <c r="V384" s="11" t="str">
        <f>VLOOKUP(E384,Store_Dim!$A:$E,3,FALSE())</f>
        <v>South</v>
      </c>
      <c r="W384" s="11" t="str">
        <f>VLOOKUP(C384,Customer_Dim!$A:$N,13,FALSE())</f>
        <v>Silver</v>
      </c>
      <c r="X384" s="11" t="str">
        <f t="shared" si="41"/>
        <v>High</v>
      </c>
    </row>
    <row r="385" spans="1:24" ht="15.75" customHeight="1">
      <c r="A385" s="4" t="s">
        <v>2381</v>
      </c>
      <c r="B385" s="9">
        <v>45738</v>
      </c>
      <c r="C385" s="4" t="s">
        <v>1159</v>
      </c>
      <c r="D385" s="4" t="s">
        <v>1755</v>
      </c>
      <c r="E385" s="4" t="s">
        <v>1924</v>
      </c>
      <c r="F385" s="4">
        <v>3</v>
      </c>
      <c r="G385" s="4">
        <v>721.94</v>
      </c>
      <c r="H385" s="4">
        <v>0.26</v>
      </c>
      <c r="I385" s="4" t="s">
        <v>1996</v>
      </c>
      <c r="J385" s="10">
        <v>1602.7067999999999</v>
      </c>
      <c r="K385" s="4" t="str">
        <f t="shared" si="35"/>
        <v>22-03-2025</v>
      </c>
      <c r="L385" s="4" t="str">
        <f>TEXT(Sales_Fact!$B385,"mmm")</f>
        <v>Mar</v>
      </c>
      <c r="M385" s="4">
        <f t="shared" si="36"/>
        <v>3</v>
      </c>
      <c r="N385" s="10">
        <f t="shared" si="37"/>
        <v>721.94</v>
      </c>
      <c r="O385" s="10">
        <f t="shared" si="38"/>
        <v>1602.7068000000002</v>
      </c>
      <c r="P385" s="10">
        <f t="shared" si="39"/>
        <v>2165.8200000000002</v>
      </c>
      <c r="Q385" s="3">
        <f t="shared" si="40"/>
        <v>0.26</v>
      </c>
      <c r="R385" s="4" t="str">
        <f>IF(Sales_Fact!$O385&gt;1000,"High","Low")</f>
        <v>High</v>
      </c>
      <c r="S385" s="4" t="str">
        <f>VLOOKUP(C385,Customer_Dim!$A:$N,9,FALSE())</f>
        <v>Natalie Johnson</v>
      </c>
      <c r="T385" s="4" t="str">
        <f>VLOOKUP(D385,Product_Dim!$A:$M,3,FALSE())</f>
        <v>Sports</v>
      </c>
      <c r="U385" s="11" t="str">
        <f>VLOOKUP(D385,Product_Dim!$A:$M,2,FALSE())</f>
        <v>Boxing Hand Wraps</v>
      </c>
      <c r="V385" s="11" t="str">
        <f>VLOOKUP(E385,Store_Dim!$A:$E,3,FALSE())</f>
        <v>North</v>
      </c>
      <c r="W385" s="11" t="str">
        <f>VLOOKUP(C385,Customer_Dim!$A:$N,13,FALSE())</f>
        <v>Platinum</v>
      </c>
      <c r="X385" s="11" t="str">
        <f t="shared" si="41"/>
        <v>Low</v>
      </c>
    </row>
    <row r="386" spans="1:24" ht="15.75" customHeight="1">
      <c r="A386" s="4" t="s">
        <v>2382</v>
      </c>
      <c r="B386" s="9">
        <v>45323</v>
      </c>
      <c r="C386" s="4" t="s">
        <v>1292</v>
      </c>
      <c r="D386" s="4" t="s">
        <v>1897</v>
      </c>
      <c r="E386" s="4" t="s">
        <v>1915</v>
      </c>
      <c r="F386" s="4">
        <v>3</v>
      </c>
      <c r="G386" s="4">
        <v>760.38</v>
      </c>
      <c r="H386" s="4">
        <v>0</v>
      </c>
      <c r="I386" s="4" t="s">
        <v>2004</v>
      </c>
      <c r="J386" s="10">
        <v>2281.14</v>
      </c>
      <c r="K386" s="4" t="str">
        <f t="shared" ref="K386:K449" si="42">TEXT(B386,"dd-mm-yyyy")</f>
        <v>01-02-2024</v>
      </c>
      <c r="L386" s="4" t="str">
        <f>TEXT(Sales_Fact!$B386,"mmm")</f>
        <v>Feb</v>
      </c>
      <c r="M386" s="4">
        <f t="shared" ref="M386:M449" si="43">IF(ISBLANK(F386),1,F386)</f>
        <v>3</v>
      </c>
      <c r="N386" s="10">
        <f t="shared" ref="N386:N449" si="44">ROUNDUP(IF(ISBLANK(G386),AVERAGE(C:C,G386,G:G),G386),2)</f>
        <v>760.38</v>
      </c>
      <c r="O386" s="10">
        <f t="shared" ref="O386:O449" si="45">M386*N386*(1-H386)</f>
        <v>2281.14</v>
      </c>
      <c r="P386" s="10">
        <f t="shared" ref="P386:P449" si="46">M386*N386</f>
        <v>2281.14</v>
      </c>
      <c r="Q386" s="3">
        <f t="shared" ref="Q386:Q449" si="47">(P386-O386)/P386</f>
        <v>0</v>
      </c>
      <c r="R386" s="4" t="str">
        <f>IF(Sales_Fact!$O386&gt;1000,"High","Low")</f>
        <v>High</v>
      </c>
      <c r="S386" s="4" t="str">
        <f>VLOOKUP(C386,Customer_Dim!$A:$N,9,FALSE())</f>
        <v>David Lozano</v>
      </c>
      <c r="T386" s="4" t="str">
        <f>VLOOKUP(D386,Product_Dim!$A:$M,3,FALSE())</f>
        <v>Sports</v>
      </c>
      <c r="U386" s="11" t="str">
        <f>VLOOKUP(D386,Product_Dim!$A:$M,2,FALSE())</f>
        <v>Cricket Bat</v>
      </c>
      <c r="V386" s="11" t="str">
        <f>VLOOKUP(E386,Store_Dim!$A:$E,3,FALSE())</f>
        <v>North</v>
      </c>
      <c r="W386" s="11" t="str">
        <f>VLOOKUP(C386,Customer_Dim!$A:$N,13,FALSE())</f>
        <v>Gold</v>
      </c>
      <c r="X386" s="11" t="str">
        <f t="shared" ref="X386:X449" si="48">IF(F386&gt;3,"High","Low")</f>
        <v>Low</v>
      </c>
    </row>
    <row r="387" spans="1:24" ht="15.75" customHeight="1">
      <c r="A387" s="4" t="s">
        <v>2383</v>
      </c>
      <c r="B387" s="9">
        <v>45362</v>
      </c>
      <c r="C387" s="4" t="s">
        <v>970</v>
      </c>
      <c r="D387" s="4" t="s">
        <v>1897</v>
      </c>
      <c r="E387" s="4" t="s">
        <v>1934</v>
      </c>
      <c r="F387" s="4">
        <v>3</v>
      </c>
      <c r="G387" s="4">
        <v>612.53</v>
      </c>
      <c r="H387" s="4">
        <v>0.21</v>
      </c>
      <c r="I387" s="4" t="s">
        <v>2004</v>
      </c>
      <c r="J387" s="10">
        <v>1451.6960999999999</v>
      </c>
      <c r="K387" s="4" t="str">
        <f t="shared" si="42"/>
        <v>11-03-2024</v>
      </c>
      <c r="L387" s="4" t="str">
        <f>TEXT(Sales_Fact!$B387,"mmm")</f>
        <v>Mar</v>
      </c>
      <c r="M387" s="4">
        <f t="shared" si="43"/>
        <v>3</v>
      </c>
      <c r="N387" s="10">
        <f t="shared" si="44"/>
        <v>612.53</v>
      </c>
      <c r="O387" s="10">
        <f t="shared" si="45"/>
        <v>1451.6960999999999</v>
      </c>
      <c r="P387" s="10">
        <f t="shared" si="46"/>
        <v>1837.59</v>
      </c>
      <c r="Q387" s="3">
        <f t="shared" si="47"/>
        <v>0.21000000000000002</v>
      </c>
      <c r="R387" s="4" t="str">
        <f>IF(Sales_Fact!$O387&gt;1000,"High","Low")</f>
        <v>High</v>
      </c>
      <c r="S387" s="4" t="str">
        <f>VLOOKUP(C387,Customer_Dim!$A:$N,9,FALSE())</f>
        <v>Tracy Stephens</v>
      </c>
      <c r="T387" s="4" t="str">
        <f>VLOOKUP(D387,Product_Dim!$A:$M,3,FALSE())</f>
        <v>Sports</v>
      </c>
      <c r="U387" s="11" t="str">
        <f>VLOOKUP(D387,Product_Dim!$A:$M,2,FALSE())</f>
        <v>Cricket Bat</v>
      </c>
      <c r="V387" s="11" t="str">
        <f>VLOOKUP(E387,Store_Dim!$A:$E,3,FALSE())</f>
        <v>East</v>
      </c>
      <c r="W387" s="11" t="str">
        <f>VLOOKUP(C387,Customer_Dim!$A:$N,13,FALSE())</f>
        <v>Platinum</v>
      </c>
      <c r="X387" s="11" t="str">
        <f t="shared" si="48"/>
        <v>Low</v>
      </c>
    </row>
    <row r="388" spans="1:24" ht="15.75" customHeight="1">
      <c r="A388" s="4" t="s">
        <v>2384</v>
      </c>
      <c r="B388" s="9">
        <v>45544</v>
      </c>
      <c r="C388" s="4" t="s">
        <v>181</v>
      </c>
      <c r="D388" s="4" t="s">
        <v>1794</v>
      </c>
      <c r="E388" s="4" t="s">
        <v>1962</v>
      </c>
      <c r="F388" s="4">
        <v>3</v>
      </c>
      <c r="G388" s="4">
        <v>841.37</v>
      </c>
      <c r="H388" s="4">
        <v>0.28999999999999998</v>
      </c>
      <c r="I388" s="4" t="s">
        <v>1998</v>
      </c>
      <c r="J388" s="10">
        <v>1792.1180999999999</v>
      </c>
      <c r="K388" s="4" t="str">
        <f t="shared" si="42"/>
        <v>09-09-2024</v>
      </c>
      <c r="L388" s="4" t="str">
        <f>TEXT(Sales_Fact!$B388,"mmm")</f>
        <v>Sep</v>
      </c>
      <c r="M388" s="4">
        <f t="shared" si="43"/>
        <v>3</v>
      </c>
      <c r="N388" s="10">
        <f t="shared" si="44"/>
        <v>841.37</v>
      </c>
      <c r="O388" s="10">
        <f t="shared" si="45"/>
        <v>1792.1180999999999</v>
      </c>
      <c r="P388" s="10">
        <f t="shared" si="46"/>
        <v>2524.11</v>
      </c>
      <c r="Q388" s="3">
        <f t="shared" si="47"/>
        <v>0.29000000000000009</v>
      </c>
      <c r="R388" s="4" t="str">
        <f>IF(Sales_Fact!$O388&gt;1000,"High","Low")</f>
        <v>High</v>
      </c>
      <c r="S388" s="4" t="str">
        <f>VLOOKUP(C388,Customer_Dim!$A:$N,9,FALSE())</f>
        <v>James Gibbs</v>
      </c>
      <c r="T388" s="4" t="str">
        <f>VLOOKUP(D388,Product_Dim!$A:$M,3,FALSE())</f>
        <v>Beauty</v>
      </c>
      <c r="U388" s="11" t="str">
        <f>VLOOKUP(D388,Product_Dim!$A:$M,2,FALSE())</f>
        <v>Organic Sunscreen Lotion</v>
      </c>
      <c r="V388" s="11" t="str">
        <f>VLOOKUP(E388,Store_Dim!$A:$E,3,FALSE())</f>
        <v>West</v>
      </c>
      <c r="W388" s="11" t="str">
        <f>VLOOKUP(C388,Customer_Dim!$A:$N,13,FALSE())</f>
        <v>Platinum</v>
      </c>
      <c r="X388" s="11" t="str">
        <f t="shared" si="48"/>
        <v>Low</v>
      </c>
    </row>
    <row r="389" spans="1:24" ht="15.75" customHeight="1">
      <c r="A389" s="4" t="s">
        <v>2385</v>
      </c>
      <c r="B389" s="9">
        <v>45249</v>
      </c>
      <c r="C389" s="4" t="s">
        <v>861</v>
      </c>
      <c r="D389" s="4" t="s">
        <v>1748</v>
      </c>
      <c r="E389" s="4" t="s">
        <v>1944</v>
      </c>
      <c r="F389" s="4">
        <v>2</v>
      </c>
      <c r="G389" s="4">
        <v>636.51</v>
      </c>
      <c r="H389" s="4">
        <v>0.25</v>
      </c>
      <c r="I389" s="4" t="s">
        <v>1996</v>
      </c>
      <c r="J389" s="10">
        <v>954.76499999999999</v>
      </c>
      <c r="K389" s="4" t="str">
        <f t="shared" si="42"/>
        <v>19-11-2023</v>
      </c>
      <c r="L389" s="4" t="str">
        <f>TEXT(Sales_Fact!$B389,"mmm")</f>
        <v>Nov</v>
      </c>
      <c r="M389" s="4">
        <f t="shared" si="43"/>
        <v>2</v>
      </c>
      <c r="N389" s="10">
        <f t="shared" si="44"/>
        <v>636.51</v>
      </c>
      <c r="O389" s="10">
        <f t="shared" si="45"/>
        <v>954.76499999999999</v>
      </c>
      <c r="P389" s="10">
        <f t="shared" si="46"/>
        <v>1273.02</v>
      </c>
      <c r="Q389" s="3">
        <f t="shared" si="47"/>
        <v>0.25</v>
      </c>
      <c r="R389" s="4" t="str">
        <f>IF(Sales_Fact!$O389&gt;1000,"High","Low")</f>
        <v>Low</v>
      </c>
      <c r="S389" s="4" t="str">
        <f>VLOOKUP(C389,Customer_Dim!$A:$N,9,FALSE())</f>
        <v>Carol Bishop</v>
      </c>
      <c r="T389" s="4" t="str">
        <f>VLOOKUP(D389,Product_Dim!$A:$M,3,FALSE())</f>
        <v>Electronics</v>
      </c>
      <c r="U389" s="11" t="str">
        <f>VLOOKUP(D389,Product_Dim!$A:$M,2,FALSE())</f>
        <v>Car Dashboard Phone Holder</v>
      </c>
      <c r="V389" s="11" t="str">
        <f>VLOOKUP(E389,Store_Dim!$A:$E,3,FALSE())</f>
        <v>South</v>
      </c>
      <c r="W389" s="11" t="str">
        <f>VLOOKUP(C389,Customer_Dim!$A:$N,13,FALSE())</f>
        <v>Silver</v>
      </c>
      <c r="X389" s="11" t="str">
        <f t="shared" si="48"/>
        <v>Low</v>
      </c>
    </row>
    <row r="390" spans="1:24" ht="15.75" customHeight="1">
      <c r="A390" s="4" t="s">
        <v>2386</v>
      </c>
      <c r="B390" s="9">
        <v>45659</v>
      </c>
      <c r="C390" s="4" t="s">
        <v>350</v>
      </c>
      <c r="D390" s="4" t="s">
        <v>1738</v>
      </c>
      <c r="E390" s="4" t="s">
        <v>1940</v>
      </c>
      <c r="F390" s="4">
        <v>2</v>
      </c>
      <c r="G390" s="4">
        <v>732.37</v>
      </c>
      <c r="H390" s="4">
        <v>0.22</v>
      </c>
      <c r="I390" s="4" t="s">
        <v>2004</v>
      </c>
      <c r="J390" s="10">
        <v>1142.4972</v>
      </c>
      <c r="K390" s="4" t="str">
        <f t="shared" si="42"/>
        <v>02-01-2025</v>
      </c>
      <c r="L390" s="4" t="str">
        <f>TEXT(Sales_Fact!$B390,"mmm")</f>
        <v>Jan</v>
      </c>
      <c r="M390" s="4">
        <f t="shared" si="43"/>
        <v>2</v>
      </c>
      <c r="N390" s="10">
        <f t="shared" si="44"/>
        <v>732.37</v>
      </c>
      <c r="O390" s="10">
        <f t="shared" si="45"/>
        <v>1142.4972</v>
      </c>
      <c r="P390" s="10">
        <f t="shared" si="46"/>
        <v>1464.74</v>
      </c>
      <c r="Q390" s="3">
        <f t="shared" si="47"/>
        <v>0.22</v>
      </c>
      <c r="R390" s="4" t="str">
        <f>IF(Sales_Fact!$O390&gt;1000,"High","Low")</f>
        <v>High</v>
      </c>
      <c r="S390" s="4" t="str">
        <f>VLOOKUP(C390,Customer_Dim!$A:$N,9,FALSE())</f>
        <v>Donna Gregory</v>
      </c>
      <c r="T390" s="4" t="str">
        <f>VLOOKUP(D390,Product_Dim!$A:$M,3,FALSE())</f>
        <v>Sports</v>
      </c>
      <c r="U390" s="11" t="str">
        <f>VLOOKUP(D390,Product_Dim!$A:$M,2,FALSE())</f>
        <v>High-Grip Football</v>
      </c>
      <c r="V390" s="11" t="str">
        <f>VLOOKUP(E390,Store_Dim!$A:$E,3,FALSE())</f>
        <v>West</v>
      </c>
      <c r="W390" s="11" t="str">
        <f>VLOOKUP(C390,Customer_Dim!$A:$N,13,FALSE())</f>
        <v>Silver</v>
      </c>
      <c r="X390" s="11" t="str">
        <f t="shared" si="48"/>
        <v>Low</v>
      </c>
    </row>
    <row r="391" spans="1:24" ht="15.75" customHeight="1">
      <c r="A391" s="4" t="s">
        <v>2387</v>
      </c>
      <c r="B391" s="9">
        <v>45927</v>
      </c>
      <c r="C391" s="4" t="s">
        <v>571</v>
      </c>
      <c r="D391" s="4" t="s">
        <v>1767</v>
      </c>
      <c r="E391" s="4" t="s">
        <v>1962</v>
      </c>
      <c r="F391" s="4">
        <v>3</v>
      </c>
      <c r="G391" s="4">
        <v>183.44</v>
      </c>
      <c r="H391" s="4">
        <v>0.28000000000000003</v>
      </c>
      <c r="I391" s="4" t="s">
        <v>2004</v>
      </c>
      <c r="J391" s="10">
        <v>396.23039999999997</v>
      </c>
      <c r="K391" s="4" t="str">
        <f t="shared" si="42"/>
        <v>27-09-2025</v>
      </c>
      <c r="L391" s="4" t="str">
        <f>TEXT(Sales_Fact!$B391,"mmm")</f>
        <v>Sep</v>
      </c>
      <c r="M391" s="4">
        <f t="shared" si="43"/>
        <v>3</v>
      </c>
      <c r="N391" s="10">
        <f t="shared" si="44"/>
        <v>183.44</v>
      </c>
      <c r="O391" s="10">
        <f t="shared" si="45"/>
        <v>396.23039999999992</v>
      </c>
      <c r="P391" s="10">
        <f t="shared" si="46"/>
        <v>550.31999999999994</v>
      </c>
      <c r="Q391" s="3">
        <f t="shared" si="47"/>
        <v>0.28000000000000008</v>
      </c>
      <c r="R391" s="4" t="str">
        <f>IF(Sales_Fact!$O391&gt;1000,"High","Low")</f>
        <v>Low</v>
      </c>
      <c r="S391" s="4" t="str">
        <f>VLOOKUP(C391,Customer_Dim!$A:$N,9,FALSE())</f>
        <v>Daniel Rivas</v>
      </c>
      <c r="T391" s="4" t="str">
        <f>VLOOKUP(D391,Product_Dim!$A:$M,3,FALSE())</f>
        <v>Sports</v>
      </c>
      <c r="U391" s="11" t="str">
        <f>VLOOKUP(D391,Product_Dim!$A:$M,2,FALSE())</f>
        <v>Sports Stopwatch Pro</v>
      </c>
      <c r="V391" s="11" t="str">
        <f>VLOOKUP(E391,Store_Dim!$A:$E,3,FALSE())</f>
        <v>West</v>
      </c>
      <c r="W391" s="11" t="str">
        <f>VLOOKUP(C391,Customer_Dim!$A:$N,13,FALSE())</f>
        <v>Silver</v>
      </c>
      <c r="X391" s="11" t="str">
        <f t="shared" si="48"/>
        <v>Low</v>
      </c>
    </row>
    <row r="392" spans="1:24" ht="15.75" customHeight="1">
      <c r="A392" s="4" t="s">
        <v>2388</v>
      </c>
      <c r="B392" s="9">
        <v>45373</v>
      </c>
      <c r="C392" s="4" t="s">
        <v>262</v>
      </c>
      <c r="D392" s="4" t="s">
        <v>1626</v>
      </c>
      <c r="E392" s="4" t="s">
        <v>1955</v>
      </c>
      <c r="F392" s="4">
        <v>4</v>
      </c>
      <c r="G392" s="4">
        <v>898.58</v>
      </c>
      <c r="H392" s="4">
        <v>0.16</v>
      </c>
      <c r="I392" s="4" t="s">
        <v>1998</v>
      </c>
      <c r="J392" s="10">
        <v>3019.2287999999999</v>
      </c>
      <c r="K392" s="4" t="str">
        <f t="shared" si="42"/>
        <v>22-03-2024</v>
      </c>
      <c r="L392" s="4" t="str">
        <f>TEXT(Sales_Fact!$B392,"mmm")</f>
        <v>Mar</v>
      </c>
      <c r="M392" s="4">
        <f t="shared" si="43"/>
        <v>4</v>
      </c>
      <c r="N392" s="10">
        <f t="shared" si="44"/>
        <v>898.58</v>
      </c>
      <c r="O392" s="10">
        <f t="shared" si="45"/>
        <v>3019.2287999999999</v>
      </c>
      <c r="P392" s="10">
        <f t="shared" si="46"/>
        <v>3594.32</v>
      </c>
      <c r="Q392" s="3">
        <f t="shared" si="47"/>
        <v>0.16000000000000009</v>
      </c>
      <c r="R392" s="4" t="str">
        <f>IF(Sales_Fact!$O392&gt;1000,"High","Low")</f>
        <v>High</v>
      </c>
      <c r="S392" s="4" t="str">
        <f>VLOOKUP(C392,Customer_Dim!$A:$N,9,FALSE())</f>
        <v>Michael Thomas</v>
      </c>
      <c r="T392" s="4" t="str">
        <f>VLOOKUP(D392,Product_Dim!$A:$M,3,FALSE())</f>
        <v>Electronics</v>
      </c>
      <c r="U392" s="11" t="str">
        <f>VLOOKUP(D392,Product_Dim!$A:$M,2,FALSE())</f>
        <v>HD Smart TV Stick</v>
      </c>
      <c r="V392" s="11" t="str">
        <f>VLOOKUP(E392,Store_Dim!$A:$E,3,FALSE())</f>
        <v>East</v>
      </c>
      <c r="W392" s="11" t="str">
        <f>VLOOKUP(C392,Customer_Dim!$A:$N,13,FALSE())</f>
        <v>Silver</v>
      </c>
      <c r="X392" s="11" t="str">
        <f t="shared" si="48"/>
        <v>High</v>
      </c>
    </row>
    <row r="393" spans="1:24" ht="15.75" customHeight="1">
      <c r="A393" s="4" t="s">
        <v>2389</v>
      </c>
      <c r="B393" s="9">
        <v>45544</v>
      </c>
      <c r="C393" s="4" t="s">
        <v>1354</v>
      </c>
      <c r="D393" s="4" t="s">
        <v>1764</v>
      </c>
      <c r="E393" s="4" t="s">
        <v>1931</v>
      </c>
      <c r="F393" s="4">
        <v>3</v>
      </c>
      <c r="G393" s="4">
        <v>576.52</v>
      </c>
      <c r="H393" s="4">
        <v>0.22</v>
      </c>
      <c r="I393" s="4" t="s">
        <v>2004</v>
      </c>
      <c r="J393" s="10">
        <v>1349.0568000000001</v>
      </c>
      <c r="K393" s="4" t="str">
        <f t="shared" si="42"/>
        <v>09-09-2024</v>
      </c>
      <c r="L393" s="4" t="str">
        <f>TEXT(Sales_Fact!$B393,"mmm")</f>
        <v>Sep</v>
      </c>
      <c r="M393" s="4">
        <f t="shared" si="43"/>
        <v>3</v>
      </c>
      <c r="N393" s="10">
        <f t="shared" si="44"/>
        <v>576.52</v>
      </c>
      <c r="O393" s="10">
        <f t="shared" si="45"/>
        <v>1349.0568000000001</v>
      </c>
      <c r="P393" s="10">
        <f t="shared" si="46"/>
        <v>1729.56</v>
      </c>
      <c r="Q393" s="3">
        <f t="shared" si="47"/>
        <v>0.21999999999999995</v>
      </c>
      <c r="R393" s="4" t="str">
        <f>IF(Sales_Fact!$O393&gt;1000,"High","Low")</f>
        <v>High</v>
      </c>
      <c r="S393" s="4" t="str">
        <f>VLOOKUP(C393,Customer_Dim!$A:$N,9,FALSE())</f>
        <v>Jose Stewart</v>
      </c>
      <c r="T393" s="4" t="str">
        <f>VLOOKUP(D393,Product_Dim!$A:$M,3,FALSE())</f>
        <v>Clothing</v>
      </c>
      <c r="U393" s="11" t="str">
        <f>VLOOKUP(D393,Product_Dim!$A:$M,2,FALSE())</f>
        <v>Men's Track Pants</v>
      </c>
      <c r="V393" s="11" t="str">
        <f>VLOOKUP(E393,Store_Dim!$A:$E,3,FALSE())</f>
        <v>North</v>
      </c>
      <c r="W393" s="11" t="str">
        <f>VLOOKUP(C393,Customer_Dim!$A:$N,13,FALSE())</f>
        <v>Gold</v>
      </c>
      <c r="X393" s="11" t="str">
        <f t="shared" si="48"/>
        <v>Low</v>
      </c>
    </row>
    <row r="394" spans="1:24" ht="15.75" customHeight="1">
      <c r="A394" s="4" t="s">
        <v>2390</v>
      </c>
      <c r="B394" s="9">
        <v>45529</v>
      </c>
      <c r="C394" s="4" t="s">
        <v>1246</v>
      </c>
      <c r="D394" s="4" t="s">
        <v>1668</v>
      </c>
      <c r="E394" s="4" t="s">
        <v>1919</v>
      </c>
      <c r="F394" s="4">
        <v>3</v>
      </c>
      <c r="G394" s="4">
        <v>152.41</v>
      </c>
      <c r="H394" s="4">
        <v>0.25</v>
      </c>
      <c r="I394" s="4" t="s">
        <v>1996</v>
      </c>
      <c r="J394" s="10">
        <v>342.92250000000001</v>
      </c>
      <c r="K394" s="4" t="str">
        <f t="shared" si="42"/>
        <v>25-08-2024</v>
      </c>
      <c r="L394" s="4" t="str">
        <f>TEXT(Sales_Fact!$B394,"mmm")</f>
        <v>Aug</v>
      </c>
      <c r="M394" s="4">
        <f t="shared" si="43"/>
        <v>3</v>
      </c>
      <c r="N394" s="10">
        <f t="shared" si="44"/>
        <v>152.41</v>
      </c>
      <c r="O394" s="10">
        <f t="shared" si="45"/>
        <v>342.92250000000001</v>
      </c>
      <c r="P394" s="10">
        <f t="shared" si="46"/>
        <v>457.23</v>
      </c>
      <c r="Q394" s="3">
        <f t="shared" si="47"/>
        <v>0.25</v>
      </c>
      <c r="R394" s="4" t="str">
        <f>IF(Sales_Fact!$O394&gt;1000,"High","Low")</f>
        <v>Low</v>
      </c>
      <c r="S394" s="4" t="str">
        <f>VLOOKUP(C394,Customer_Dim!$A:$N,9,FALSE())</f>
        <v>Daniel Bell</v>
      </c>
      <c r="T394" s="4" t="str">
        <f>VLOOKUP(D394,Product_Dim!$A:$M,3,FALSE())</f>
        <v>Clothing</v>
      </c>
      <c r="U394" s="11" t="str">
        <f>VLOOKUP(D394,Product_Dim!$A:$M,2,FALSE())</f>
        <v>Men's Formal Shirt</v>
      </c>
      <c r="V394" s="11" t="str">
        <f>VLOOKUP(E394,Store_Dim!$A:$E,3,FALSE())</f>
        <v>South</v>
      </c>
      <c r="W394" s="11" t="str">
        <f>VLOOKUP(C394,Customer_Dim!$A:$N,13,FALSE())</f>
        <v>Silver</v>
      </c>
      <c r="X394" s="11" t="str">
        <f t="shared" si="48"/>
        <v>Low</v>
      </c>
    </row>
    <row r="395" spans="1:24" ht="15.75" customHeight="1">
      <c r="A395" s="4" t="s">
        <v>2391</v>
      </c>
      <c r="B395" s="9">
        <v>45872</v>
      </c>
      <c r="C395" s="4" t="s">
        <v>749</v>
      </c>
      <c r="D395" s="4" t="s">
        <v>1882</v>
      </c>
      <c r="E395" s="4" t="s">
        <v>1957</v>
      </c>
      <c r="F395" s="4">
        <v>3</v>
      </c>
      <c r="G395" s="4">
        <v>972.58</v>
      </c>
      <c r="H395" s="4">
        <v>0.28000000000000003</v>
      </c>
      <c r="I395" s="4" t="s">
        <v>2004</v>
      </c>
      <c r="J395" s="10">
        <v>2100.7728000000002</v>
      </c>
      <c r="K395" s="4" t="str">
        <f t="shared" si="42"/>
        <v>03-08-2025</v>
      </c>
      <c r="L395" s="4" t="str">
        <f>TEXT(Sales_Fact!$B395,"mmm")</f>
        <v>Aug</v>
      </c>
      <c r="M395" s="4">
        <f t="shared" si="43"/>
        <v>3</v>
      </c>
      <c r="N395" s="10">
        <f t="shared" si="44"/>
        <v>972.58</v>
      </c>
      <c r="O395" s="10">
        <f t="shared" si="45"/>
        <v>2100.7728000000002</v>
      </c>
      <c r="P395" s="10">
        <f t="shared" si="46"/>
        <v>2917.7400000000002</v>
      </c>
      <c r="Q395" s="3">
        <f t="shared" si="47"/>
        <v>0.27999999999999997</v>
      </c>
      <c r="R395" s="4" t="str">
        <f>IF(Sales_Fact!$O395&gt;1000,"High","Low")</f>
        <v>High</v>
      </c>
      <c r="S395" s="4" t="str">
        <f>VLOOKUP(C395,Customer_Dim!$A:$N,9,FALSE())</f>
        <v>Robert Harris</v>
      </c>
      <c r="T395" s="4" t="str">
        <f>VLOOKUP(D395,Product_Dim!$A:$M,3,FALSE())</f>
        <v>Home</v>
      </c>
      <c r="U395" s="11" t="str">
        <f>VLOOKUP(D395,Product_Dim!$A:$M,2,FALSE())</f>
        <v>Microwave Oven</v>
      </c>
      <c r="V395" s="11" t="str">
        <f>VLOOKUP(E395,Store_Dim!$A:$E,3,FALSE())</f>
        <v>South</v>
      </c>
      <c r="W395" s="11" t="str">
        <f>VLOOKUP(C395,Customer_Dim!$A:$N,13,FALSE())</f>
        <v>Platinum</v>
      </c>
      <c r="X395" s="11" t="str">
        <f t="shared" si="48"/>
        <v>Low</v>
      </c>
    </row>
    <row r="396" spans="1:24" ht="15.75" customHeight="1">
      <c r="A396" s="4" t="s">
        <v>2392</v>
      </c>
      <c r="B396" s="9">
        <v>45267</v>
      </c>
      <c r="C396" s="4" t="s">
        <v>1466</v>
      </c>
      <c r="D396" s="4" t="s">
        <v>1813</v>
      </c>
      <c r="E396" s="4" t="s">
        <v>1950</v>
      </c>
      <c r="F396" s="4">
        <v>4</v>
      </c>
      <c r="G396" s="4">
        <v>136.4</v>
      </c>
      <c r="H396" s="4">
        <v>0.04</v>
      </c>
      <c r="I396" s="4" t="s">
        <v>2004</v>
      </c>
      <c r="J396" s="10">
        <v>523.77599999999995</v>
      </c>
      <c r="K396" s="4" t="str">
        <f t="shared" si="42"/>
        <v>07-12-2023</v>
      </c>
      <c r="L396" s="4" t="str">
        <f>TEXT(Sales_Fact!$B396,"mmm")</f>
        <v>Dec</v>
      </c>
      <c r="M396" s="4">
        <f t="shared" si="43"/>
        <v>4</v>
      </c>
      <c r="N396" s="10">
        <f t="shared" si="44"/>
        <v>136.4</v>
      </c>
      <c r="O396" s="10">
        <f t="shared" si="45"/>
        <v>523.77599999999995</v>
      </c>
      <c r="P396" s="10">
        <f t="shared" si="46"/>
        <v>545.6</v>
      </c>
      <c r="Q396" s="3">
        <f t="shared" si="47"/>
        <v>4.0000000000000126E-2</v>
      </c>
      <c r="R396" s="4" t="str">
        <f>IF(Sales_Fact!$O396&gt;1000,"High","Low")</f>
        <v>Low</v>
      </c>
      <c r="S396" s="4" t="str">
        <f>VLOOKUP(C396,Customer_Dim!$A:$N,9,FALSE())</f>
        <v>Cynthia Parrish</v>
      </c>
      <c r="T396" s="4" t="str">
        <f>VLOOKUP(D396,Product_Dim!$A:$M,3,FALSE())</f>
        <v>Clothing</v>
      </c>
      <c r="U396" s="11" t="str">
        <f>VLOOKUP(D396,Product_Dim!$A:$M,2,FALSE())</f>
        <v>Men's Sports Shorts</v>
      </c>
      <c r="V396" s="11" t="str">
        <f>VLOOKUP(E396,Store_Dim!$A:$E,3,FALSE())</f>
        <v>South</v>
      </c>
      <c r="W396" s="11" t="str">
        <f>VLOOKUP(C396,Customer_Dim!$A:$N,13,FALSE())</f>
        <v>Silver</v>
      </c>
      <c r="X396" s="11" t="str">
        <f t="shared" si="48"/>
        <v>High</v>
      </c>
    </row>
    <row r="397" spans="1:24" ht="15.75" customHeight="1">
      <c r="A397" s="4" t="s">
        <v>2393</v>
      </c>
      <c r="B397" s="9">
        <v>45894</v>
      </c>
      <c r="C397" s="4" t="s">
        <v>1275</v>
      </c>
      <c r="D397" s="4" t="s">
        <v>1888</v>
      </c>
      <c r="E397" s="4" t="s">
        <v>1959</v>
      </c>
      <c r="F397" s="4">
        <v>1</v>
      </c>
      <c r="G397" s="4">
        <v>509.63</v>
      </c>
      <c r="H397" s="4">
        <v>0.27</v>
      </c>
      <c r="I397" s="4" t="s">
        <v>2004</v>
      </c>
      <c r="J397" s="10">
        <v>372.0299</v>
      </c>
      <c r="K397" s="4" t="str">
        <f t="shared" si="42"/>
        <v>25-08-2025</v>
      </c>
      <c r="L397" s="4" t="str">
        <f>TEXT(Sales_Fact!$B397,"mmm")</f>
        <v>Aug</v>
      </c>
      <c r="M397" s="4">
        <f t="shared" si="43"/>
        <v>1</v>
      </c>
      <c r="N397" s="10">
        <f t="shared" si="44"/>
        <v>509.63</v>
      </c>
      <c r="O397" s="10">
        <f t="shared" si="45"/>
        <v>372.0299</v>
      </c>
      <c r="P397" s="10">
        <f t="shared" si="46"/>
        <v>509.63</v>
      </c>
      <c r="Q397" s="3">
        <f t="shared" si="47"/>
        <v>0.27</v>
      </c>
      <c r="R397" s="4" t="str">
        <f>IF(Sales_Fact!$O397&gt;1000,"High","Low")</f>
        <v>Low</v>
      </c>
      <c r="S397" s="4" t="str">
        <f>VLOOKUP(C397,Customer_Dim!$A:$N,9,FALSE())</f>
        <v>Mark Rogers</v>
      </c>
      <c r="T397" s="4" t="str">
        <f>VLOOKUP(D397,Product_Dim!$A:$M,3,FALSE())</f>
        <v>Beauty</v>
      </c>
      <c r="U397" s="11" t="str">
        <f>VLOOKUP(D397,Product_Dim!$A:$M,2,FALSE())</f>
        <v>Vitamin E Body Lotion</v>
      </c>
      <c r="V397" s="11" t="str">
        <f>VLOOKUP(E397,Store_Dim!$A:$E,3,FALSE())</f>
        <v>North</v>
      </c>
      <c r="W397" s="11" t="str">
        <f>VLOOKUP(C397,Customer_Dim!$A:$N,13,FALSE())</f>
        <v>Platinum</v>
      </c>
      <c r="X397" s="11" t="str">
        <f t="shared" si="48"/>
        <v>Low</v>
      </c>
    </row>
    <row r="398" spans="1:24" ht="15.75" customHeight="1">
      <c r="A398" s="4" t="s">
        <v>2394</v>
      </c>
      <c r="B398" s="9">
        <v>45331</v>
      </c>
      <c r="C398" s="4" t="s">
        <v>40</v>
      </c>
      <c r="D398" s="4" t="s">
        <v>1897</v>
      </c>
      <c r="E398" s="4" t="s">
        <v>1924</v>
      </c>
      <c r="F398" s="4">
        <v>4</v>
      </c>
      <c r="G398" s="4">
        <v>360.28</v>
      </c>
      <c r="H398" s="4">
        <v>0.09</v>
      </c>
      <c r="I398" s="4" t="s">
        <v>2004</v>
      </c>
      <c r="J398" s="10">
        <v>1311.4192</v>
      </c>
      <c r="K398" s="4" t="str">
        <f t="shared" si="42"/>
        <v>09-02-2024</v>
      </c>
      <c r="L398" s="4" t="str">
        <f>TEXT(Sales_Fact!$B398,"mmm")</f>
        <v>Feb</v>
      </c>
      <c r="M398" s="4">
        <f t="shared" si="43"/>
        <v>4</v>
      </c>
      <c r="N398" s="10">
        <f t="shared" si="44"/>
        <v>360.28</v>
      </c>
      <c r="O398" s="10">
        <f t="shared" si="45"/>
        <v>1311.4192</v>
      </c>
      <c r="P398" s="10">
        <f t="shared" si="46"/>
        <v>1441.12</v>
      </c>
      <c r="Q398" s="3">
        <f t="shared" si="47"/>
        <v>8.99999999999999E-2</v>
      </c>
      <c r="R398" s="4" t="str">
        <f>IF(Sales_Fact!$O398&gt;1000,"High","Low")</f>
        <v>High</v>
      </c>
      <c r="S398" s="4" t="str">
        <f>VLOOKUP(C398,Customer_Dim!$A:$N,9,FALSE())</f>
        <v>Jeremy Harris</v>
      </c>
      <c r="T398" s="4" t="str">
        <f>VLOOKUP(D398,Product_Dim!$A:$M,3,FALSE())</f>
        <v>Sports</v>
      </c>
      <c r="U398" s="11" t="str">
        <f>VLOOKUP(D398,Product_Dim!$A:$M,2,FALSE())</f>
        <v>Cricket Bat</v>
      </c>
      <c r="V398" s="11" t="str">
        <f>VLOOKUP(E398,Store_Dim!$A:$E,3,FALSE())</f>
        <v>North</v>
      </c>
      <c r="W398" s="11" t="str">
        <f>VLOOKUP(C398,Customer_Dim!$A:$N,13,FALSE())</f>
        <v>Bronze</v>
      </c>
      <c r="X398" s="11" t="str">
        <f t="shared" si="48"/>
        <v>High</v>
      </c>
    </row>
    <row r="399" spans="1:24" ht="15.75" customHeight="1">
      <c r="A399" s="4" t="s">
        <v>2395</v>
      </c>
      <c r="B399" s="9">
        <v>45910</v>
      </c>
      <c r="C399" s="4" t="s">
        <v>313</v>
      </c>
      <c r="D399" s="4" t="s">
        <v>1873</v>
      </c>
      <c r="E399" s="4" t="s">
        <v>1959</v>
      </c>
      <c r="F399" s="4">
        <v>3</v>
      </c>
      <c r="G399" s="4">
        <v>882.05</v>
      </c>
      <c r="H399" s="4">
        <v>0.06</v>
      </c>
      <c r="I399" s="4" t="s">
        <v>1998</v>
      </c>
      <c r="J399" s="10">
        <v>2487.3809999999999</v>
      </c>
      <c r="K399" s="4" t="str">
        <f t="shared" si="42"/>
        <v>10-09-2025</v>
      </c>
      <c r="L399" s="4" t="str">
        <f>TEXT(Sales_Fact!$B399,"mmm")</f>
        <v>Sep</v>
      </c>
      <c r="M399" s="4">
        <f t="shared" si="43"/>
        <v>3</v>
      </c>
      <c r="N399" s="10">
        <f t="shared" si="44"/>
        <v>882.05</v>
      </c>
      <c r="O399" s="10">
        <f t="shared" si="45"/>
        <v>2487.3809999999994</v>
      </c>
      <c r="P399" s="10">
        <f t="shared" si="46"/>
        <v>2646.1499999999996</v>
      </c>
      <c r="Q399" s="3">
        <f t="shared" si="47"/>
        <v>6.0000000000000095E-2</v>
      </c>
      <c r="R399" s="4" t="str">
        <f>IF(Sales_Fact!$O399&gt;1000,"High","Low")</f>
        <v>High</v>
      </c>
      <c r="S399" s="4" t="str">
        <f>VLOOKUP(C399,Customer_Dim!$A:$N,9,FALSE())</f>
        <v>Jennifer Garcia</v>
      </c>
      <c r="T399" s="4" t="str">
        <f>VLOOKUP(D399,Product_Dim!$A:$M,3,FALSE())</f>
        <v>Beauty</v>
      </c>
      <c r="U399" s="11" t="str">
        <f>VLOOKUP(D399,Product_Dim!$A:$M,2,FALSE())</f>
        <v>Face Foundation Kit</v>
      </c>
      <c r="V399" s="11" t="str">
        <f>VLOOKUP(E399,Store_Dim!$A:$E,3,FALSE())</f>
        <v>North</v>
      </c>
      <c r="W399" s="11" t="str">
        <f>VLOOKUP(C399,Customer_Dim!$A:$N,13,FALSE())</f>
        <v>Bronze</v>
      </c>
      <c r="X399" s="11" t="str">
        <f t="shared" si="48"/>
        <v>Low</v>
      </c>
    </row>
    <row r="400" spans="1:24" ht="15.75" customHeight="1">
      <c r="A400" s="4" t="s">
        <v>2396</v>
      </c>
      <c r="B400" s="9">
        <v>45564</v>
      </c>
      <c r="C400" s="4" t="s">
        <v>665</v>
      </c>
      <c r="D400" s="4" t="s">
        <v>1843</v>
      </c>
      <c r="E400" s="4" t="s">
        <v>1940</v>
      </c>
      <c r="F400" s="4">
        <v>3</v>
      </c>
      <c r="G400" s="4">
        <v>141.54</v>
      </c>
      <c r="H400" s="4">
        <v>0.12</v>
      </c>
      <c r="I400" s="4" t="s">
        <v>1998</v>
      </c>
      <c r="J400" s="10">
        <v>373.66559999999998</v>
      </c>
      <c r="K400" s="4" t="str">
        <f t="shared" si="42"/>
        <v>29-09-2024</v>
      </c>
      <c r="L400" s="4" t="str">
        <f>TEXT(Sales_Fact!$B400,"mmm")</f>
        <v>Sep</v>
      </c>
      <c r="M400" s="4">
        <f t="shared" si="43"/>
        <v>3</v>
      </c>
      <c r="N400" s="10">
        <f t="shared" si="44"/>
        <v>141.54</v>
      </c>
      <c r="O400" s="10">
        <f t="shared" si="45"/>
        <v>373.66559999999998</v>
      </c>
      <c r="P400" s="10">
        <f t="shared" si="46"/>
        <v>424.62</v>
      </c>
      <c r="Q400" s="3">
        <f t="shared" si="47"/>
        <v>0.12000000000000005</v>
      </c>
      <c r="R400" s="4" t="str">
        <f>IF(Sales_Fact!$O400&gt;1000,"High","Low")</f>
        <v>Low</v>
      </c>
      <c r="S400" s="4" t="str">
        <f>VLOOKUP(C400,Customer_Dim!$A:$N,9,FALSE())</f>
        <v>Anthony Garcia</v>
      </c>
      <c r="T400" s="4" t="str">
        <f>VLOOKUP(D400,Product_Dim!$A:$M,3,FALSE())</f>
        <v>Home</v>
      </c>
      <c r="U400" s="11" t="str">
        <f>VLOOKUP(D400,Product_Dim!$A:$M,2,FALSE())</f>
        <v>Decorative Lamp Shade</v>
      </c>
      <c r="V400" s="11" t="str">
        <f>VLOOKUP(E400,Store_Dim!$A:$E,3,FALSE())</f>
        <v>West</v>
      </c>
      <c r="W400" s="11" t="str">
        <f>VLOOKUP(C400,Customer_Dim!$A:$N,13,FALSE())</f>
        <v>Silver</v>
      </c>
      <c r="X400" s="11" t="str">
        <f t="shared" si="48"/>
        <v>Low</v>
      </c>
    </row>
    <row r="401" spans="1:24" ht="15.75" customHeight="1">
      <c r="A401" s="4" t="s">
        <v>2397</v>
      </c>
      <c r="B401" s="9">
        <v>45461</v>
      </c>
      <c r="C401" s="4" t="s">
        <v>189</v>
      </c>
      <c r="D401" s="4" t="s">
        <v>1640</v>
      </c>
      <c r="E401" s="4" t="s">
        <v>1927</v>
      </c>
      <c r="F401" s="4">
        <v>3</v>
      </c>
      <c r="G401" s="4">
        <v>83.5</v>
      </c>
      <c r="H401" s="4">
        <v>0.23</v>
      </c>
      <c r="I401" s="4" t="s">
        <v>2004</v>
      </c>
      <c r="J401" s="10">
        <v>192.88499999999999</v>
      </c>
      <c r="K401" s="4" t="str">
        <f t="shared" si="42"/>
        <v>18-06-2024</v>
      </c>
      <c r="L401" s="4" t="str">
        <f>TEXT(Sales_Fact!$B401,"mmm")</f>
        <v>Jun</v>
      </c>
      <c r="M401" s="4">
        <f t="shared" si="43"/>
        <v>3</v>
      </c>
      <c r="N401" s="10">
        <f t="shared" si="44"/>
        <v>83.5</v>
      </c>
      <c r="O401" s="10">
        <f t="shared" si="45"/>
        <v>192.88499999999999</v>
      </c>
      <c r="P401" s="10">
        <f t="shared" si="46"/>
        <v>250.5</v>
      </c>
      <c r="Q401" s="3">
        <f t="shared" si="47"/>
        <v>0.23000000000000004</v>
      </c>
      <c r="R401" s="4" t="str">
        <f>IF(Sales_Fact!$O401&gt;1000,"High","Low")</f>
        <v>Low</v>
      </c>
      <c r="S401" s="4" t="str">
        <f>VLOOKUP(C401,Customer_Dim!$A:$N,9,FALSE())</f>
        <v>Joseph Snow</v>
      </c>
      <c r="T401" s="4" t="str">
        <f>VLOOKUP(D401,Product_Dim!$A:$M,3,FALSE())</f>
        <v>Electronics</v>
      </c>
      <c r="U401" s="11" t="str">
        <f>VLOOKUP(D401,Product_Dim!$A:$M,2,FALSE())</f>
        <v>4K Home Projector</v>
      </c>
      <c r="V401" s="11" t="str">
        <f>VLOOKUP(E401,Store_Dim!$A:$E,3,FALSE())</f>
        <v>South</v>
      </c>
      <c r="W401" s="11" t="str">
        <f>VLOOKUP(C401,Customer_Dim!$A:$N,13,FALSE())</f>
        <v>Gold</v>
      </c>
      <c r="X401" s="11" t="str">
        <f t="shared" si="48"/>
        <v>Low</v>
      </c>
    </row>
    <row r="402" spans="1:24" ht="15.75" customHeight="1">
      <c r="A402" s="4" t="s">
        <v>2398</v>
      </c>
      <c r="B402" s="9">
        <v>45258</v>
      </c>
      <c r="C402" s="4" t="s">
        <v>447</v>
      </c>
      <c r="D402" s="4" t="s">
        <v>1636</v>
      </c>
      <c r="E402" s="4" t="s">
        <v>1934</v>
      </c>
      <c r="F402" s="4">
        <v>2</v>
      </c>
      <c r="G402" s="4">
        <v>629.73</v>
      </c>
      <c r="H402" s="4">
        <v>7.0000000000000007E-2</v>
      </c>
      <c r="I402" s="4" t="s">
        <v>1998</v>
      </c>
      <c r="J402" s="10">
        <v>1171.2978000000001</v>
      </c>
      <c r="K402" s="4" t="str">
        <f t="shared" si="42"/>
        <v>28-11-2023</v>
      </c>
      <c r="L402" s="4" t="str">
        <f>TEXT(Sales_Fact!$B402,"mmm")</f>
        <v>Nov</v>
      </c>
      <c r="M402" s="4">
        <f t="shared" si="43"/>
        <v>2</v>
      </c>
      <c r="N402" s="10">
        <f t="shared" si="44"/>
        <v>629.73</v>
      </c>
      <c r="O402" s="10">
        <f t="shared" si="45"/>
        <v>1171.2978000000001</v>
      </c>
      <c r="P402" s="10">
        <f t="shared" si="46"/>
        <v>1259.46</v>
      </c>
      <c r="Q402" s="3">
        <f t="shared" si="47"/>
        <v>6.9999999999999979E-2</v>
      </c>
      <c r="R402" s="4" t="str">
        <f>IF(Sales_Fact!$O402&gt;1000,"High","Low")</f>
        <v>High</v>
      </c>
      <c r="S402" s="4" t="str">
        <f>VLOOKUP(C402,Customer_Dim!$A:$N,9,FALSE())</f>
        <v>Erin Hopkins</v>
      </c>
      <c r="T402" s="4" t="str">
        <f>VLOOKUP(D402,Product_Dim!$A:$M,3,FALSE())</f>
        <v>Home</v>
      </c>
      <c r="U402" s="11" t="str">
        <f>VLOOKUP(D402,Product_Dim!$A:$M,2,FALSE())</f>
        <v>Decorative Wall Mirror</v>
      </c>
      <c r="V402" s="11" t="str">
        <f>VLOOKUP(E402,Store_Dim!$A:$E,3,FALSE())</f>
        <v>East</v>
      </c>
      <c r="W402" s="11" t="str">
        <f>VLOOKUP(C402,Customer_Dim!$A:$N,13,FALSE())</f>
        <v>Silver</v>
      </c>
      <c r="X402" s="11" t="str">
        <f t="shared" si="48"/>
        <v>Low</v>
      </c>
    </row>
    <row r="403" spans="1:24" ht="15.75" customHeight="1">
      <c r="A403" s="4" t="s">
        <v>2399</v>
      </c>
      <c r="B403" s="9">
        <v>45228</v>
      </c>
      <c r="C403" s="4" t="s">
        <v>79</v>
      </c>
      <c r="D403" s="4" t="s">
        <v>1700</v>
      </c>
      <c r="E403" s="4" t="s">
        <v>1934</v>
      </c>
      <c r="F403" s="4">
        <v>2</v>
      </c>
      <c r="G403" s="4">
        <v>159.93</v>
      </c>
      <c r="H403" s="4">
        <v>0.2</v>
      </c>
      <c r="I403" s="4" t="s">
        <v>2004</v>
      </c>
      <c r="J403" s="10">
        <v>255.88800000000001</v>
      </c>
      <c r="K403" s="4" t="str">
        <f t="shared" si="42"/>
        <v>29-10-2023</v>
      </c>
      <c r="L403" s="4" t="str">
        <f>TEXT(Sales_Fact!$B403,"mmm")</f>
        <v>Oct</v>
      </c>
      <c r="M403" s="4">
        <f t="shared" si="43"/>
        <v>2</v>
      </c>
      <c r="N403" s="10">
        <f t="shared" si="44"/>
        <v>159.93</v>
      </c>
      <c r="O403" s="10">
        <f t="shared" si="45"/>
        <v>255.88800000000003</v>
      </c>
      <c r="P403" s="10">
        <f t="shared" si="46"/>
        <v>319.86</v>
      </c>
      <c r="Q403" s="3">
        <f t="shared" si="47"/>
        <v>0.19999999999999993</v>
      </c>
      <c r="R403" s="4" t="str">
        <f>IF(Sales_Fact!$O403&gt;1000,"High","Low")</f>
        <v>Low</v>
      </c>
      <c r="S403" s="4" t="str">
        <f>VLOOKUP(C403,Customer_Dim!$A:$N,9,FALSE())</f>
        <v>Kenneth Lambert</v>
      </c>
      <c r="T403" s="4" t="str">
        <f>VLOOKUP(D403,Product_Dim!$A:$M,3,FALSE())</f>
        <v>Home</v>
      </c>
      <c r="U403" s="11" t="str">
        <f>VLOOKUP(D403,Product_Dim!$A:$M,2,FALSE())</f>
        <v>Modern Wall Clock</v>
      </c>
      <c r="V403" s="11" t="str">
        <f>VLOOKUP(E403,Store_Dim!$A:$E,3,FALSE())</f>
        <v>East</v>
      </c>
      <c r="W403" s="11" t="str">
        <f>VLOOKUP(C403,Customer_Dim!$A:$N,13,FALSE())</f>
        <v>Platinum</v>
      </c>
      <c r="X403" s="11" t="str">
        <f t="shared" si="48"/>
        <v>Low</v>
      </c>
    </row>
    <row r="404" spans="1:24" ht="15.75" customHeight="1">
      <c r="A404" s="4" t="s">
        <v>2400</v>
      </c>
      <c r="B404" s="9">
        <v>45751</v>
      </c>
      <c r="C404" s="4" t="s">
        <v>1123</v>
      </c>
      <c r="D404" s="4" t="s">
        <v>1819</v>
      </c>
      <c r="E404" s="4" t="s">
        <v>1944</v>
      </c>
      <c r="F404" s="4">
        <v>3</v>
      </c>
      <c r="G404" s="4">
        <v>849.36</v>
      </c>
      <c r="H404" s="4">
        <v>0.03</v>
      </c>
      <c r="I404" s="4" t="s">
        <v>1996</v>
      </c>
      <c r="J404" s="10">
        <v>2471.6376</v>
      </c>
      <c r="K404" s="4" t="str">
        <f t="shared" si="42"/>
        <v>04-04-2025</v>
      </c>
      <c r="L404" s="4" t="str">
        <f>TEXT(Sales_Fact!$B404,"mmm")</f>
        <v>Apr</v>
      </c>
      <c r="M404" s="4">
        <f t="shared" si="43"/>
        <v>3</v>
      </c>
      <c r="N404" s="10">
        <f t="shared" si="44"/>
        <v>849.36</v>
      </c>
      <c r="O404" s="10">
        <f t="shared" si="45"/>
        <v>2471.6376</v>
      </c>
      <c r="P404" s="10">
        <f t="shared" si="46"/>
        <v>2548.08</v>
      </c>
      <c r="Q404" s="3">
        <f t="shared" si="47"/>
        <v>2.9999999999999964E-2</v>
      </c>
      <c r="R404" s="4" t="str">
        <f>IF(Sales_Fact!$O404&gt;1000,"High","Low")</f>
        <v>High</v>
      </c>
      <c r="S404" s="4" t="str">
        <f>VLOOKUP(C404,Customer_Dim!$A:$N,9,FALSE())</f>
        <v>Heather Valenzuela</v>
      </c>
      <c r="T404" s="4" t="str">
        <f>VLOOKUP(D404,Product_Dim!$A:$M,3,FALSE())</f>
        <v>Beauty</v>
      </c>
      <c r="U404" s="11" t="str">
        <f>VLOOKUP(D404,Product_Dim!$A:$M,2,FALSE())</f>
        <v>Hair Repair Oil Treatment</v>
      </c>
      <c r="V404" s="11" t="str">
        <f>VLOOKUP(E404,Store_Dim!$A:$E,3,FALSE())</f>
        <v>South</v>
      </c>
      <c r="W404" s="11" t="str">
        <f>VLOOKUP(C404,Customer_Dim!$A:$N,13,FALSE())</f>
        <v>Bronze</v>
      </c>
      <c r="X404" s="11" t="str">
        <f t="shared" si="48"/>
        <v>Low</v>
      </c>
    </row>
    <row r="405" spans="1:24" ht="15.75" customHeight="1">
      <c r="A405" s="4" t="s">
        <v>2401</v>
      </c>
      <c r="B405" s="9">
        <v>45858</v>
      </c>
      <c r="C405" s="4" t="s">
        <v>79</v>
      </c>
      <c r="D405" s="4" t="s">
        <v>1738</v>
      </c>
      <c r="E405" s="4" t="s">
        <v>1968</v>
      </c>
      <c r="F405" s="4">
        <v>1</v>
      </c>
      <c r="G405" s="4">
        <v>459.89</v>
      </c>
      <c r="H405" s="4">
        <v>0.18</v>
      </c>
      <c r="I405" s="4" t="s">
        <v>2004</v>
      </c>
      <c r="J405" s="10">
        <v>377.10980000000001</v>
      </c>
      <c r="K405" s="4" t="str">
        <f t="shared" si="42"/>
        <v>20-07-2025</v>
      </c>
      <c r="L405" s="4" t="str">
        <f>TEXT(Sales_Fact!$B405,"mmm")</f>
        <v>Jul</v>
      </c>
      <c r="M405" s="4">
        <f t="shared" si="43"/>
        <v>1</v>
      </c>
      <c r="N405" s="10">
        <f t="shared" si="44"/>
        <v>459.89</v>
      </c>
      <c r="O405" s="10">
        <f t="shared" si="45"/>
        <v>377.10980000000001</v>
      </c>
      <c r="P405" s="10">
        <f t="shared" si="46"/>
        <v>459.89</v>
      </c>
      <c r="Q405" s="3">
        <f t="shared" si="47"/>
        <v>0.17999999999999997</v>
      </c>
      <c r="R405" s="4" t="str">
        <f>IF(Sales_Fact!$O405&gt;1000,"High","Low")</f>
        <v>Low</v>
      </c>
      <c r="S405" s="4" t="str">
        <f>VLOOKUP(C405,Customer_Dim!$A:$N,9,FALSE())</f>
        <v>Kenneth Lambert</v>
      </c>
      <c r="T405" s="4" t="str">
        <f>VLOOKUP(D405,Product_Dim!$A:$M,3,FALSE())</f>
        <v>Sports</v>
      </c>
      <c r="U405" s="11" t="str">
        <f>VLOOKUP(D405,Product_Dim!$A:$M,2,FALSE())</f>
        <v>High-Grip Football</v>
      </c>
      <c r="V405" s="11" t="str">
        <f>VLOOKUP(E405,Store_Dim!$A:$E,3,FALSE())</f>
        <v>East</v>
      </c>
      <c r="W405" s="11" t="str">
        <f>VLOOKUP(C405,Customer_Dim!$A:$N,13,FALSE())</f>
        <v>Platinum</v>
      </c>
      <c r="X405" s="11" t="str">
        <f t="shared" si="48"/>
        <v>Low</v>
      </c>
    </row>
    <row r="406" spans="1:24" ht="15.75" customHeight="1">
      <c r="A406" s="4" t="s">
        <v>2402</v>
      </c>
      <c r="B406" s="9">
        <v>45532</v>
      </c>
      <c r="C406" s="4" t="s">
        <v>644</v>
      </c>
      <c r="D406" s="4" t="s">
        <v>1700</v>
      </c>
      <c r="E406" s="4" t="s">
        <v>1971</v>
      </c>
      <c r="F406" s="4">
        <v>4</v>
      </c>
      <c r="G406" s="4">
        <v>885.57</v>
      </c>
      <c r="H406" s="4">
        <v>0.27</v>
      </c>
      <c r="I406" s="4" t="s">
        <v>1996</v>
      </c>
      <c r="J406" s="10">
        <v>2585.8643999999999</v>
      </c>
      <c r="K406" s="4" t="str">
        <f t="shared" si="42"/>
        <v>28-08-2024</v>
      </c>
      <c r="L406" s="4" t="str">
        <f>TEXT(Sales_Fact!$B406,"mmm")</f>
        <v>Aug</v>
      </c>
      <c r="M406" s="4">
        <f t="shared" si="43"/>
        <v>4</v>
      </c>
      <c r="N406" s="10">
        <f t="shared" si="44"/>
        <v>885.57</v>
      </c>
      <c r="O406" s="10">
        <f t="shared" si="45"/>
        <v>2585.8643999999999</v>
      </c>
      <c r="P406" s="10">
        <f t="shared" si="46"/>
        <v>3542.28</v>
      </c>
      <c r="Q406" s="3">
        <f t="shared" si="47"/>
        <v>0.27000000000000007</v>
      </c>
      <c r="R406" s="4" t="str">
        <f>IF(Sales_Fact!$O406&gt;1000,"High","Low")</f>
        <v>High</v>
      </c>
      <c r="S406" s="4" t="str">
        <f>VLOOKUP(C406,Customer_Dim!$A:$N,9,FALSE())</f>
        <v>Kimberly Brooks</v>
      </c>
      <c r="T406" s="4" t="str">
        <f>VLOOKUP(D406,Product_Dim!$A:$M,3,FALSE())</f>
        <v>Home</v>
      </c>
      <c r="U406" s="11" t="str">
        <f>VLOOKUP(D406,Product_Dim!$A:$M,2,FALSE())</f>
        <v>Modern Wall Clock</v>
      </c>
      <c r="V406" s="11" t="str">
        <f>VLOOKUP(E406,Store_Dim!$A:$E,3,FALSE())</f>
        <v>East</v>
      </c>
      <c r="W406" s="11" t="str">
        <f>VLOOKUP(C406,Customer_Dim!$A:$N,13,FALSE())</f>
        <v>Silver</v>
      </c>
      <c r="X406" s="11" t="str">
        <f t="shared" si="48"/>
        <v>High</v>
      </c>
    </row>
    <row r="407" spans="1:24" ht="15.75" customHeight="1">
      <c r="A407" s="4" t="s">
        <v>2403</v>
      </c>
      <c r="B407" s="9">
        <v>45454</v>
      </c>
      <c r="C407" s="4" t="s">
        <v>1281</v>
      </c>
      <c r="D407" s="4" t="s">
        <v>1767</v>
      </c>
      <c r="E407" s="4" t="s">
        <v>1959</v>
      </c>
      <c r="F407" s="4">
        <v>3</v>
      </c>
      <c r="G407" s="4">
        <v>789.05</v>
      </c>
      <c r="H407" s="4">
        <v>0</v>
      </c>
      <c r="I407" s="4" t="s">
        <v>1998</v>
      </c>
      <c r="J407" s="10">
        <v>2367.15</v>
      </c>
      <c r="K407" s="4" t="str">
        <f t="shared" si="42"/>
        <v>11-06-2024</v>
      </c>
      <c r="L407" s="4" t="str">
        <f>TEXT(Sales_Fact!$B407,"mmm")</f>
        <v>Jun</v>
      </c>
      <c r="M407" s="4">
        <f t="shared" si="43"/>
        <v>3</v>
      </c>
      <c r="N407" s="10">
        <f t="shared" si="44"/>
        <v>789.05</v>
      </c>
      <c r="O407" s="10">
        <f t="shared" si="45"/>
        <v>2367.1499999999996</v>
      </c>
      <c r="P407" s="10">
        <f t="shared" si="46"/>
        <v>2367.1499999999996</v>
      </c>
      <c r="Q407" s="3">
        <f t="shared" si="47"/>
        <v>0</v>
      </c>
      <c r="R407" s="4" t="str">
        <f>IF(Sales_Fact!$O407&gt;1000,"High","Low")</f>
        <v>High</v>
      </c>
      <c r="S407" s="4" t="str">
        <f>VLOOKUP(C407,Customer_Dim!$A:$N,9,FALSE())</f>
        <v>Cassandra Perez</v>
      </c>
      <c r="T407" s="4" t="str">
        <f>VLOOKUP(D407,Product_Dim!$A:$M,3,FALSE())</f>
        <v>Sports</v>
      </c>
      <c r="U407" s="11" t="str">
        <f>VLOOKUP(D407,Product_Dim!$A:$M,2,FALSE())</f>
        <v>Sports Stopwatch Pro</v>
      </c>
      <c r="V407" s="11" t="str">
        <f>VLOOKUP(E407,Store_Dim!$A:$E,3,FALSE())</f>
        <v>North</v>
      </c>
      <c r="W407" s="11" t="str">
        <f>VLOOKUP(C407,Customer_Dim!$A:$N,13,FALSE())</f>
        <v>Bronze</v>
      </c>
      <c r="X407" s="11" t="str">
        <f t="shared" si="48"/>
        <v>Low</v>
      </c>
    </row>
    <row r="408" spans="1:24" ht="15.75" customHeight="1">
      <c r="A408" s="4" t="s">
        <v>2404</v>
      </c>
      <c r="B408" s="9">
        <v>45244</v>
      </c>
      <c r="C408" s="4" t="s">
        <v>541</v>
      </c>
      <c r="D408" s="4" t="s">
        <v>1803</v>
      </c>
      <c r="E408" s="4" t="s">
        <v>1910</v>
      </c>
      <c r="F408" s="4">
        <v>1</v>
      </c>
      <c r="G408" s="4">
        <v>570.52</v>
      </c>
      <c r="H408" s="4">
        <v>0</v>
      </c>
      <c r="I408" s="4" t="s">
        <v>1998</v>
      </c>
      <c r="J408" s="10">
        <v>570.52</v>
      </c>
      <c r="K408" s="4" t="str">
        <f t="shared" si="42"/>
        <v>14-11-2023</v>
      </c>
      <c r="L408" s="4" t="str">
        <f>TEXT(Sales_Fact!$B408,"mmm")</f>
        <v>Nov</v>
      </c>
      <c r="M408" s="4">
        <f t="shared" si="43"/>
        <v>1</v>
      </c>
      <c r="N408" s="10">
        <f t="shared" si="44"/>
        <v>570.52</v>
      </c>
      <c r="O408" s="10">
        <f t="shared" si="45"/>
        <v>570.52</v>
      </c>
      <c r="P408" s="10">
        <f t="shared" si="46"/>
        <v>570.52</v>
      </c>
      <c r="Q408" s="3">
        <f t="shared" si="47"/>
        <v>0</v>
      </c>
      <c r="R408" s="4" t="str">
        <f>IF(Sales_Fact!$O408&gt;1000,"High","Low")</f>
        <v>Low</v>
      </c>
      <c r="S408" s="4" t="str">
        <f>VLOOKUP(C408,Customer_Dim!$A:$N,9,FALSE())</f>
        <v>Julie Hale</v>
      </c>
      <c r="T408" s="4" t="str">
        <f>VLOOKUP(D408,Product_Dim!$A:$M,3,FALSE())</f>
        <v>Beauty</v>
      </c>
      <c r="U408" s="11" t="str">
        <f>VLOOKUP(D408,Product_Dim!$A:$M,2,FALSE())</f>
        <v>Women's Hair Dryer Brush</v>
      </c>
      <c r="V408" s="11" t="str">
        <f>VLOOKUP(E408,Store_Dim!$A:$E,3,FALSE())</f>
        <v>East</v>
      </c>
      <c r="W408" s="11" t="str">
        <f>VLOOKUP(C408,Customer_Dim!$A:$N,13,FALSE())</f>
        <v>Gold</v>
      </c>
      <c r="X408" s="11" t="str">
        <f t="shared" si="48"/>
        <v>Low</v>
      </c>
    </row>
    <row r="409" spans="1:24" ht="15.75" customHeight="1">
      <c r="A409" s="4" t="s">
        <v>2405</v>
      </c>
      <c r="B409" s="9">
        <v>45322</v>
      </c>
      <c r="C409" s="4" t="s">
        <v>617</v>
      </c>
      <c r="D409" s="4" t="s">
        <v>1681</v>
      </c>
      <c r="E409" s="4" t="s">
        <v>1962</v>
      </c>
      <c r="F409" s="4">
        <v>4</v>
      </c>
      <c r="G409" s="4">
        <v>310.79000000000002</v>
      </c>
      <c r="H409" s="4">
        <v>0.22</v>
      </c>
      <c r="I409" s="4" t="s">
        <v>2004</v>
      </c>
      <c r="J409" s="10">
        <v>969.66480000000001</v>
      </c>
      <c r="K409" s="4" t="str">
        <f t="shared" si="42"/>
        <v>31-01-2024</v>
      </c>
      <c r="L409" s="4" t="str">
        <f>TEXT(Sales_Fact!$B409,"mmm")</f>
        <v>Jan</v>
      </c>
      <c r="M409" s="4">
        <f t="shared" si="43"/>
        <v>4</v>
      </c>
      <c r="N409" s="10">
        <f t="shared" si="44"/>
        <v>310.79000000000002</v>
      </c>
      <c r="O409" s="10">
        <f t="shared" si="45"/>
        <v>969.66480000000013</v>
      </c>
      <c r="P409" s="10">
        <f t="shared" si="46"/>
        <v>1243.1600000000001</v>
      </c>
      <c r="Q409" s="3">
        <f t="shared" si="47"/>
        <v>0.21999999999999995</v>
      </c>
      <c r="R409" s="4" t="str">
        <f>IF(Sales_Fact!$O409&gt;1000,"High","Low")</f>
        <v>Low</v>
      </c>
      <c r="S409" s="4" t="str">
        <f>VLOOKUP(C409,Customer_Dim!$A:$N,9,FALSE())</f>
        <v>Nicholas Bradshaw</v>
      </c>
      <c r="T409" s="4" t="str">
        <f>VLOOKUP(D409,Product_Dim!$A:$M,3,FALSE())</f>
        <v>Home</v>
      </c>
      <c r="U409" s="11" t="str">
        <f>VLOOKUP(D409,Product_Dim!$A:$M,2,FALSE())</f>
        <v>Decorative Floor Vase</v>
      </c>
      <c r="V409" s="11" t="str">
        <f>VLOOKUP(E409,Store_Dim!$A:$E,3,FALSE())</f>
        <v>West</v>
      </c>
      <c r="W409" s="11" t="str">
        <f>VLOOKUP(C409,Customer_Dim!$A:$N,13,FALSE())</f>
        <v>Silver</v>
      </c>
      <c r="X409" s="11" t="str">
        <f t="shared" si="48"/>
        <v>High</v>
      </c>
    </row>
    <row r="410" spans="1:24" ht="15.75" customHeight="1">
      <c r="A410" s="4" t="s">
        <v>2406</v>
      </c>
      <c r="B410" s="9">
        <v>45757</v>
      </c>
      <c r="C410" s="4" t="s">
        <v>235</v>
      </c>
      <c r="D410" s="4" t="s">
        <v>1809</v>
      </c>
      <c r="E410" s="4" t="s">
        <v>1965</v>
      </c>
      <c r="F410" s="4">
        <v>4</v>
      </c>
      <c r="G410" s="4">
        <v>255.67</v>
      </c>
      <c r="H410" s="4">
        <v>0.17</v>
      </c>
      <c r="I410" s="4" t="s">
        <v>1996</v>
      </c>
      <c r="J410" s="10">
        <v>848.82439999999997</v>
      </c>
      <c r="K410" s="4" t="str">
        <f t="shared" si="42"/>
        <v>10-04-2025</v>
      </c>
      <c r="L410" s="4" t="str">
        <f>TEXT(Sales_Fact!$B410,"mmm")</f>
        <v>Apr</v>
      </c>
      <c r="M410" s="4">
        <f t="shared" si="43"/>
        <v>4</v>
      </c>
      <c r="N410" s="10">
        <f t="shared" si="44"/>
        <v>255.67</v>
      </c>
      <c r="O410" s="10">
        <f t="shared" si="45"/>
        <v>848.82439999999997</v>
      </c>
      <c r="P410" s="10">
        <f t="shared" si="46"/>
        <v>1022.68</v>
      </c>
      <c r="Q410" s="3">
        <f t="shared" si="47"/>
        <v>0.16999999999999998</v>
      </c>
      <c r="R410" s="4" t="str">
        <f>IF(Sales_Fact!$O410&gt;1000,"High","Low")</f>
        <v>Low</v>
      </c>
      <c r="S410" s="4" t="str">
        <f>VLOOKUP(C410,Customer_Dim!$A:$N,9,FALSE())</f>
        <v>Jay Patel</v>
      </c>
      <c r="T410" s="4" t="str">
        <f>VLOOKUP(D410,Product_Dim!$A:$M,3,FALSE())</f>
        <v>Home</v>
      </c>
      <c r="U410" s="11" t="str">
        <f>VLOOKUP(D410,Product_Dim!$A:$M,2,FALSE())</f>
        <v>Wooden Nightstand</v>
      </c>
      <c r="V410" s="11" t="str">
        <f>VLOOKUP(E410,Store_Dim!$A:$E,3,FALSE())</f>
        <v>North</v>
      </c>
      <c r="W410" s="11" t="str">
        <f>VLOOKUP(C410,Customer_Dim!$A:$N,13,FALSE())</f>
        <v>Platinum</v>
      </c>
      <c r="X410" s="11" t="str">
        <f t="shared" si="48"/>
        <v>High</v>
      </c>
    </row>
    <row r="411" spans="1:24" ht="15.75" customHeight="1">
      <c r="A411" s="4" t="s">
        <v>2407</v>
      </c>
      <c r="B411" s="9">
        <v>45397</v>
      </c>
      <c r="C411" s="4" t="s">
        <v>466</v>
      </c>
      <c r="D411" s="4" t="s">
        <v>1681</v>
      </c>
      <c r="E411" s="4" t="s">
        <v>1962</v>
      </c>
      <c r="F411" s="4">
        <v>2</v>
      </c>
      <c r="G411" s="4">
        <v>270.66000000000003</v>
      </c>
      <c r="H411" s="4">
        <v>0.1</v>
      </c>
      <c r="I411" s="4" t="s">
        <v>2004</v>
      </c>
      <c r="J411" s="10">
        <v>487.18799999999999</v>
      </c>
      <c r="K411" s="4" t="str">
        <f t="shared" si="42"/>
        <v>15-04-2024</v>
      </c>
      <c r="L411" s="4" t="str">
        <f>TEXT(Sales_Fact!$B411,"mmm")</f>
        <v>Apr</v>
      </c>
      <c r="M411" s="4">
        <f t="shared" si="43"/>
        <v>2</v>
      </c>
      <c r="N411" s="10">
        <f t="shared" si="44"/>
        <v>270.66000000000003</v>
      </c>
      <c r="O411" s="10">
        <f t="shared" si="45"/>
        <v>487.18800000000005</v>
      </c>
      <c r="P411" s="10">
        <f t="shared" si="46"/>
        <v>541.32000000000005</v>
      </c>
      <c r="Q411" s="3">
        <f t="shared" si="47"/>
        <v>0.1</v>
      </c>
      <c r="R411" s="4" t="str">
        <f>IF(Sales_Fact!$O411&gt;1000,"High","Low")</f>
        <v>Low</v>
      </c>
      <c r="S411" s="4" t="str">
        <f>VLOOKUP(C411,Customer_Dim!$A:$N,9,FALSE())</f>
        <v>Jessica Mitchell</v>
      </c>
      <c r="T411" s="4" t="str">
        <f>VLOOKUP(D411,Product_Dim!$A:$M,3,FALSE())</f>
        <v>Home</v>
      </c>
      <c r="U411" s="11" t="str">
        <f>VLOOKUP(D411,Product_Dim!$A:$M,2,FALSE())</f>
        <v>Decorative Floor Vase</v>
      </c>
      <c r="V411" s="11" t="str">
        <f>VLOOKUP(E411,Store_Dim!$A:$E,3,FALSE())</f>
        <v>West</v>
      </c>
      <c r="W411" s="11" t="str">
        <f>VLOOKUP(C411,Customer_Dim!$A:$N,13,FALSE())</f>
        <v>Silver</v>
      </c>
      <c r="X411" s="11" t="str">
        <f t="shared" si="48"/>
        <v>Low</v>
      </c>
    </row>
    <row r="412" spans="1:24" ht="15.75" customHeight="1">
      <c r="A412" s="4" t="s">
        <v>2408</v>
      </c>
      <c r="B412" s="9">
        <v>45914</v>
      </c>
      <c r="C412" s="4" t="s">
        <v>973</v>
      </c>
      <c r="D412" s="4" t="s">
        <v>1668</v>
      </c>
      <c r="E412" s="4" t="s">
        <v>1965</v>
      </c>
      <c r="F412" s="4">
        <v>3</v>
      </c>
      <c r="G412" s="4">
        <v>373.35</v>
      </c>
      <c r="H412" s="4">
        <v>0.2</v>
      </c>
      <c r="I412" s="4" t="s">
        <v>2004</v>
      </c>
      <c r="J412" s="10">
        <v>896.04</v>
      </c>
      <c r="K412" s="4" t="str">
        <f t="shared" si="42"/>
        <v>14-09-2025</v>
      </c>
      <c r="L412" s="4" t="str">
        <f>TEXT(Sales_Fact!$B412,"mmm")</f>
        <v>Sep</v>
      </c>
      <c r="M412" s="4">
        <f t="shared" si="43"/>
        <v>3</v>
      </c>
      <c r="N412" s="10">
        <f t="shared" si="44"/>
        <v>373.35</v>
      </c>
      <c r="O412" s="10">
        <f t="shared" si="45"/>
        <v>896.04000000000019</v>
      </c>
      <c r="P412" s="10">
        <f t="shared" si="46"/>
        <v>1120.0500000000002</v>
      </c>
      <c r="Q412" s="3">
        <f t="shared" si="47"/>
        <v>0.19999999999999996</v>
      </c>
      <c r="R412" s="4" t="str">
        <f>IF(Sales_Fact!$O412&gt;1000,"High","Low")</f>
        <v>Low</v>
      </c>
      <c r="S412" s="4" t="str">
        <f>VLOOKUP(C412,Customer_Dim!$A:$N,9,FALSE())</f>
        <v>Stephanie Jacobs</v>
      </c>
      <c r="T412" s="4" t="str">
        <f>VLOOKUP(D412,Product_Dim!$A:$M,3,FALSE())</f>
        <v>Clothing</v>
      </c>
      <c r="U412" s="11" t="str">
        <f>VLOOKUP(D412,Product_Dim!$A:$M,2,FALSE())</f>
        <v>Men's Formal Shirt</v>
      </c>
      <c r="V412" s="11" t="str">
        <f>VLOOKUP(E412,Store_Dim!$A:$E,3,FALSE())</f>
        <v>North</v>
      </c>
      <c r="W412" s="11" t="str">
        <f>VLOOKUP(C412,Customer_Dim!$A:$N,13,FALSE())</f>
        <v>Platinum</v>
      </c>
      <c r="X412" s="11" t="str">
        <f t="shared" si="48"/>
        <v>Low</v>
      </c>
    </row>
    <row r="413" spans="1:24" ht="15.75" customHeight="1">
      <c r="A413" s="4" t="s">
        <v>2409</v>
      </c>
      <c r="B413" s="9">
        <v>45432</v>
      </c>
      <c r="C413" s="4" t="s">
        <v>165</v>
      </c>
      <c r="D413" s="4" t="s">
        <v>1782</v>
      </c>
      <c r="E413" s="4" t="s">
        <v>1950</v>
      </c>
      <c r="F413" s="4">
        <v>2</v>
      </c>
      <c r="G413" s="4">
        <v>23.58</v>
      </c>
      <c r="H413" s="4">
        <v>0.02</v>
      </c>
      <c r="I413" s="4" t="s">
        <v>1998</v>
      </c>
      <c r="J413" s="10">
        <v>46.216799999999999</v>
      </c>
      <c r="K413" s="4" t="str">
        <f t="shared" si="42"/>
        <v>20-05-2024</v>
      </c>
      <c r="L413" s="4" t="str">
        <f>TEXT(Sales_Fact!$B413,"mmm")</f>
        <v>May</v>
      </c>
      <c r="M413" s="4">
        <f t="shared" si="43"/>
        <v>2</v>
      </c>
      <c r="N413" s="10">
        <f t="shared" si="44"/>
        <v>23.58</v>
      </c>
      <c r="O413" s="10">
        <f t="shared" si="45"/>
        <v>46.216799999999999</v>
      </c>
      <c r="P413" s="10">
        <f t="shared" si="46"/>
        <v>47.16</v>
      </c>
      <c r="Q413" s="3">
        <f t="shared" si="47"/>
        <v>1.9999999999999945E-2</v>
      </c>
      <c r="R413" s="4" t="str">
        <f>IF(Sales_Fact!$O413&gt;1000,"High","Low")</f>
        <v>Low</v>
      </c>
      <c r="S413" s="4" t="str">
        <f>VLOOKUP(C413,Customer_Dim!$A:$N,9,FALSE())</f>
        <v>Thomas Phillips</v>
      </c>
      <c r="T413" s="4" t="str">
        <f>VLOOKUP(D413,Product_Dim!$A:$M,3,FALSE())</f>
        <v>Beauty</v>
      </c>
      <c r="U413" s="11" t="str">
        <f>VLOOKUP(D413,Product_Dim!$A:$M,2,FALSE())</f>
        <v>Men's Hair Styling Gel</v>
      </c>
      <c r="V413" s="11" t="str">
        <f>VLOOKUP(E413,Store_Dim!$A:$E,3,FALSE())</f>
        <v>South</v>
      </c>
      <c r="W413" s="11" t="str">
        <f>VLOOKUP(C413,Customer_Dim!$A:$N,13,FALSE())</f>
        <v>Gold</v>
      </c>
      <c r="X413" s="11" t="str">
        <f t="shared" si="48"/>
        <v>Low</v>
      </c>
    </row>
    <row r="414" spans="1:24" ht="15.75" customHeight="1">
      <c r="A414" s="4" t="s">
        <v>2410</v>
      </c>
      <c r="B414" s="9">
        <v>45798</v>
      </c>
      <c r="C414" s="4" t="s">
        <v>51</v>
      </c>
      <c r="D414" s="4" t="s">
        <v>1706</v>
      </c>
      <c r="E414" s="4" t="s">
        <v>1937</v>
      </c>
      <c r="F414" s="4">
        <v>4</v>
      </c>
      <c r="G414" s="4">
        <v>185.67</v>
      </c>
      <c r="H414" s="4">
        <v>0.21</v>
      </c>
      <c r="I414" s="4" t="s">
        <v>1998</v>
      </c>
      <c r="J414" s="10">
        <v>586.71720000000005</v>
      </c>
      <c r="K414" s="4" t="str">
        <f t="shared" si="42"/>
        <v>21-05-2025</v>
      </c>
      <c r="L414" s="4" t="str">
        <f>TEXT(Sales_Fact!$B414,"mmm")</f>
        <v>May</v>
      </c>
      <c r="M414" s="4">
        <f t="shared" si="43"/>
        <v>4</v>
      </c>
      <c r="N414" s="10">
        <f t="shared" si="44"/>
        <v>185.67</v>
      </c>
      <c r="O414" s="10">
        <f t="shared" si="45"/>
        <v>586.71719999999993</v>
      </c>
      <c r="P414" s="10">
        <f t="shared" si="46"/>
        <v>742.68</v>
      </c>
      <c r="Q414" s="3">
        <f t="shared" si="47"/>
        <v>0.21000000000000005</v>
      </c>
      <c r="R414" s="4" t="str">
        <f>IF(Sales_Fact!$O414&gt;1000,"High","Low")</f>
        <v>Low</v>
      </c>
      <c r="S414" s="4" t="str">
        <f>VLOOKUP(C414,Customer_Dim!$A:$N,9,FALSE())</f>
        <v>Christine Vaughn</v>
      </c>
      <c r="T414" s="4" t="str">
        <f>VLOOKUP(D414,Product_Dim!$A:$M,3,FALSE())</f>
        <v>Home</v>
      </c>
      <c r="U414" s="11" t="str">
        <f>VLOOKUP(D414,Product_Dim!$A:$M,2,FALSE())</f>
        <v>Bedroom Table Lamp</v>
      </c>
      <c r="V414" s="11" t="str">
        <f>VLOOKUP(E414,Store_Dim!$A:$E,3,FALSE())</f>
        <v>South</v>
      </c>
      <c r="W414" s="11" t="str">
        <f>VLOOKUP(C414,Customer_Dim!$A:$N,13,FALSE())</f>
        <v>Bronze</v>
      </c>
      <c r="X414" s="11" t="str">
        <f t="shared" si="48"/>
        <v>High</v>
      </c>
    </row>
    <row r="415" spans="1:24" ht="15.75" customHeight="1">
      <c r="A415" s="4" t="s">
        <v>2411</v>
      </c>
      <c r="B415" s="9">
        <v>45392</v>
      </c>
      <c r="C415" s="4" t="s">
        <v>1487</v>
      </c>
      <c r="D415" s="4" t="s">
        <v>1755</v>
      </c>
      <c r="E415" s="4" t="s">
        <v>1934</v>
      </c>
      <c r="F415" s="4">
        <v>1</v>
      </c>
      <c r="G415" s="4">
        <v>245.85</v>
      </c>
      <c r="H415" s="4">
        <v>0.18</v>
      </c>
      <c r="I415" s="4" t="s">
        <v>2004</v>
      </c>
      <c r="J415" s="10">
        <v>201.59700000000001</v>
      </c>
      <c r="K415" s="4" t="str">
        <f t="shared" si="42"/>
        <v>10-04-2024</v>
      </c>
      <c r="L415" s="4" t="str">
        <f>TEXT(Sales_Fact!$B415,"mmm")</f>
        <v>Apr</v>
      </c>
      <c r="M415" s="4">
        <f t="shared" si="43"/>
        <v>1</v>
      </c>
      <c r="N415" s="10">
        <f t="shared" si="44"/>
        <v>245.85</v>
      </c>
      <c r="O415" s="10">
        <f t="shared" si="45"/>
        <v>201.59700000000001</v>
      </c>
      <c r="P415" s="10">
        <f t="shared" si="46"/>
        <v>245.85</v>
      </c>
      <c r="Q415" s="3">
        <f t="shared" si="47"/>
        <v>0.17999999999999994</v>
      </c>
      <c r="R415" s="4" t="str">
        <f>IF(Sales_Fact!$O415&gt;1000,"High","Low")</f>
        <v>Low</v>
      </c>
      <c r="S415" s="4" t="str">
        <f>VLOOKUP(C415,Customer_Dim!$A:$N,9,FALSE())</f>
        <v>Laura Mathews</v>
      </c>
      <c r="T415" s="4" t="str">
        <f>VLOOKUP(D415,Product_Dim!$A:$M,3,FALSE())</f>
        <v>Sports</v>
      </c>
      <c r="U415" s="11" t="str">
        <f>VLOOKUP(D415,Product_Dim!$A:$M,2,FALSE())</f>
        <v>Boxing Hand Wraps</v>
      </c>
      <c r="V415" s="11" t="str">
        <f>VLOOKUP(E415,Store_Dim!$A:$E,3,FALSE())</f>
        <v>East</v>
      </c>
      <c r="W415" s="11" t="str">
        <f>VLOOKUP(C415,Customer_Dim!$A:$N,13,FALSE())</f>
        <v>Bronze</v>
      </c>
      <c r="X415" s="11" t="str">
        <f t="shared" si="48"/>
        <v>Low</v>
      </c>
    </row>
    <row r="416" spans="1:24" ht="15.75" customHeight="1">
      <c r="A416" s="4" t="s">
        <v>2412</v>
      </c>
      <c r="B416" s="9">
        <v>45396</v>
      </c>
      <c r="C416" s="4" t="s">
        <v>438</v>
      </c>
      <c r="D416" s="4" t="s">
        <v>1651</v>
      </c>
      <c r="E416" s="4" t="s">
        <v>1955</v>
      </c>
      <c r="F416" s="4">
        <v>3</v>
      </c>
      <c r="G416" s="4">
        <v>928.74</v>
      </c>
      <c r="H416" s="4">
        <v>0.27</v>
      </c>
      <c r="I416" s="4" t="s">
        <v>1998</v>
      </c>
      <c r="J416" s="10">
        <v>2033.9405999999999</v>
      </c>
      <c r="K416" s="4" t="str">
        <f t="shared" si="42"/>
        <v>14-04-2024</v>
      </c>
      <c r="L416" s="4" t="str">
        <f>TEXT(Sales_Fact!$B416,"mmm")</f>
        <v>Apr</v>
      </c>
      <c r="M416" s="4">
        <f t="shared" si="43"/>
        <v>3</v>
      </c>
      <c r="N416" s="10">
        <f t="shared" si="44"/>
        <v>928.74</v>
      </c>
      <c r="O416" s="10">
        <f t="shared" si="45"/>
        <v>2033.9406000000001</v>
      </c>
      <c r="P416" s="10">
        <f t="shared" si="46"/>
        <v>2786.2200000000003</v>
      </c>
      <c r="Q416" s="3">
        <f t="shared" si="47"/>
        <v>0.27</v>
      </c>
      <c r="R416" s="4" t="str">
        <f>IF(Sales_Fact!$O416&gt;1000,"High","Low")</f>
        <v>High</v>
      </c>
      <c r="S416" s="4" t="str">
        <f>VLOOKUP(C416,Customer_Dim!$A:$N,9,FALSE())</f>
        <v>Jacob Hopkins</v>
      </c>
      <c r="T416" s="4" t="str">
        <f>VLOOKUP(D416,Product_Dim!$A:$M,3,FALSE())</f>
        <v>Clothing</v>
      </c>
      <c r="U416" s="11" t="str">
        <f>VLOOKUP(D416,Product_Dim!$A:$M,2,FALSE())</f>
        <v>Women's Denim Jeans</v>
      </c>
      <c r="V416" s="11" t="str">
        <f>VLOOKUP(E416,Store_Dim!$A:$E,3,FALSE())</f>
        <v>East</v>
      </c>
      <c r="W416" s="11" t="str">
        <f>VLOOKUP(C416,Customer_Dim!$A:$N,13,FALSE())</f>
        <v>Platinum</v>
      </c>
      <c r="X416" s="11" t="str">
        <f t="shared" si="48"/>
        <v>Low</v>
      </c>
    </row>
    <row r="417" spans="1:24" ht="15.75" customHeight="1">
      <c r="A417" s="4" t="s">
        <v>2413</v>
      </c>
      <c r="B417" s="9">
        <v>45235</v>
      </c>
      <c r="C417" s="4" t="s">
        <v>142</v>
      </c>
      <c r="D417" s="4" t="s">
        <v>1858</v>
      </c>
      <c r="E417" s="4" t="s">
        <v>1931</v>
      </c>
      <c r="F417" s="4">
        <v>3</v>
      </c>
      <c r="G417" s="4">
        <v>923.38</v>
      </c>
      <c r="H417" s="4">
        <v>7.0000000000000007E-2</v>
      </c>
      <c r="I417" s="4" t="s">
        <v>2004</v>
      </c>
      <c r="J417" s="10">
        <v>2576.2302</v>
      </c>
      <c r="K417" s="4" t="str">
        <f t="shared" si="42"/>
        <v>05-11-2023</v>
      </c>
      <c r="L417" s="4" t="str">
        <f>TEXT(Sales_Fact!$B417,"mmm")</f>
        <v>Nov</v>
      </c>
      <c r="M417" s="4">
        <f t="shared" si="43"/>
        <v>3</v>
      </c>
      <c r="N417" s="10">
        <f t="shared" si="44"/>
        <v>923.38</v>
      </c>
      <c r="O417" s="10">
        <f t="shared" si="45"/>
        <v>2576.2301999999995</v>
      </c>
      <c r="P417" s="10">
        <f t="shared" si="46"/>
        <v>2770.14</v>
      </c>
      <c r="Q417" s="3">
        <f t="shared" si="47"/>
        <v>7.0000000000000132E-2</v>
      </c>
      <c r="R417" s="4" t="str">
        <f>IF(Sales_Fact!$O417&gt;1000,"High","Low")</f>
        <v>High</v>
      </c>
      <c r="S417" s="4" t="str">
        <f>VLOOKUP(C417,Customer_Dim!$A:$N,9,FALSE())</f>
        <v>David Arnold</v>
      </c>
      <c r="T417" s="4" t="str">
        <f>VLOOKUP(D417,Product_Dim!$A:$M,3,FALSE())</f>
        <v>Home</v>
      </c>
      <c r="U417" s="11" t="str">
        <f>VLOOKUP(D417,Product_Dim!$A:$M,2,FALSE())</f>
        <v>Wooden Bookshelf</v>
      </c>
      <c r="V417" s="11" t="str">
        <f>VLOOKUP(E417,Store_Dim!$A:$E,3,FALSE())</f>
        <v>North</v>
      </c>
      <c r="W417" s="11" t="str">
        <f>VLOOKUP(C417,Customer_Dim!$A:$N,13,FALSE())</f>
        <v>Silver</v>
      </c>
      <c r="X417" s="11" t="str">
        <f t="shared" si="48"/>
        <v>Low</v>
      </c>
    </row>
    <row r="418" spans="1:24" ht="15.75" customHeight="1">
      <c r="A418" s="4" t="s">
        <v>2414</v>
      </c>
      <c r="B418" s="9">
        <v>45499</v>
      </c>
      <c r="C418" s="4" t="s">
        <v>1454</v>
      </c>
      <c r="D418" s="4" t="s">
        <v>1595</v>
      </c>
      <c r="E418" s="4" t="s">
        <v>1944</v>
      </c>
      <c r="F418" s="4">
        <v>2</v>
      </c>
      <c r="G418" s="4">
        <v>409.26</v>
      </c>
      <c r="H418" s="4">
        <v>0.1</v>
      </c>
      <c r="I418" s="4" t="s">
        <v>1998</v>
      </c>
      <c r="J418" s="10">
        <v>736.66800000000001</v>
      </c>
      <c r="K418" s="4" t="str">
        <f t="shared" si="42"/>
        <v>26-07-2024</v>
      </c>
      <c r="L418" s="4" t="str">
        <f>TEXT(Sales_Fact!$B418,"mmm")</f>
        <v>Jul</v>
      </c>
      <c r="M418" s="4">
        <f t="shared" si="43"/>
        <v>2</v>
      </c>
      <c r="N418" s="10">
        <f t="shared" si="44"/>
        <v>409.26</v>
      </c>
      <c r="O418" s="10">
        <f t="shared" si="45"/>
        <v>736.66800000000001</v>
      </c>
      <c r="P418" s="10">
        <f t="shared" si="46"/>
        <v>818.52</v>
      </c>
      <c r="Q418" s="3">
        <f t="shared" si="47"/>
        <v>9.9999999999999978E-2</v>
      </c>
      <c r="R418" s="4" t="str">
        <f>IF(Sales_Fact!$O418&gt;1000,"High","Low")</f>
        <v>Low</v>
      </c>
      <c r="S418" s="4" t="str">
        <f>VLOOKUP(C418,Customer_Dim!$A:$N,9,FALSE())</f>
        <v>Beth Martin</v>
      </c>
      <c r="T418" s="4" t="str">
        <f>VLOOKUP(D418,Product_Dim!$A:$M,3,FALSE())</f>
        <v>Clothing</v>
      </c>
      <c r="U418" s="11" t="str">
        <f>VLOOKUP(D418,Product_Dim!$A:$M,2,FALSE())</f>
        <v>Women's Yoga Pants</v>
      </c>
      <c r="V418" s="11" t="str">
        <f>VLOOKUP(E418,Store_Dim!$A:$E,3,FALSE())</f>
        <v>South</v>
      </c>
      <c r="W418" s="11" t="str">
        <f>VLOOKUP(C418,Customer_Dim!$A:$N,13,FALSE())</f>
        <v>Silver</v>
      </c>
      <c r="X418" s="11" t="str">
        <f t="shared" si="48"/>
        <v>Low</v>
      </c>
    </row>
    <row r="419" spans="1:24" ht="15.75" customHeight="1">
      <c r="A419" s="4" t="s">
        <v>2415</v>
      </c>
      <c r="B419" s="9">
        <v>45272</v>
      </c>
      <c r="C419" s="4" t="s">
        <v>840</v>
      </c>
      <c r="D419" s="4" t="s">
        <v>1668</v>
      </c>
      <c r="E419" s="4" t="s">
        <v>1937</v>
      </c>
      <c r="F419" s="4">
        <v>2</v>
      </c>
      <c r="G419" s="4">
        <v>608.46</v>
      </c>
      <c r="H419" s="4">
        <v>0.16</v>
      </c>
      <c r="I419" s="4" t="s">
        <v>1996</v>
      </c>
      <c r="J419" s="10">
        <v>1022.2128</v>
      </c>
      <c r="K419" s="4" t="str">
        <f t="shared" si="42"/>
        <v>12-12-2023</v>
      </c>
      <c r="L419" s="4" t="str">
        <f>TEXT(Sales_Fact!$B419,"mmm")</f>
        <v>Dec</v>
      </c>
      <c r="M419" s="4">
        <f t="shared" si="43"/>
        <v>2</v>
      </c>
      <c r="N419" s="10">
        <f t="shared" si="44"/>
        <v>608.46</v>
      </c>
      <c r="O419" s="10">
        <f t="shared" si="45"/>
        <v>1022.2128</v>
      </c>
      <c r="P419" s="10">
        <f t="shared" si="46"/>
        <v>1216.92</v>
      </c>
      <c r="Q419" s="3">
        <f t="shared" si="47"/>
        <v>0.16000000000000003</v>
      </c>
      <c r="R419" s="4" t="str">
        <f>IF(Sales_Fact!$O419&gt;1000,"High","Low")</f>
        <v>High</v>
      </c>
      <c r="S419" s="4" t="str">
        <f>VLOOKUP(C419,Customer_Dim!$A:$N,9,FALSE())</f>
        <v>Linda Kline</v>
      </c>
      <c r="T419" s="4" t="str">
        <f>VLOOKUP(D419,Product_Dim!$A:$M,3,FALSE())</f>
        <v>Clothing</v>
      </c>
      <c r="U419" s="11" t="str">
        <f>VLOOKUP(D419,Product_Dim!$A:$M,2,FALSE())</f>
        <v>Men's Formal Shirt</v>
      </c>
      <c r="V419" s="11" t="str">
        <f>VLOOKUP(E419,Store_Dim!$A:$E,3,FALSE())</f>
        <v>South</v>
      </c>
      <c r="W419" s="11" t="str">
        <f>VLOOKUP(C419,Customer_Dim!$A:$N,13,FALSE())</f>
        <v>Silver</v>
      </c>
      <c r="X419" s="11" t="str">
        <f t="shared" si="48"/>
        <v>Low</v>
      </c>
    </row>
    <row r="420" spans="1:24" ht="15.75" customHeight="1">
      <c r="A420" s="4" t="s">
        <v>2416</v>
      </c>
      <c r="B420" s="9">
        <v>45785</v>
      </c>
      <c r="C420" s="4" t="s">
        <v>715</v>
      </c>
      <c r="D420" s="4" t="s">
        <v>1729</v>
      </c>
      <c r="E420" s="4" t="s">
        <v>1971</v>
      </c>
      <c r="F420" s="4">
        <v>4</v>
      </c>
      <c r="G420" s="4">
        <v>150.47999999999999</v>
      </c>
      <c r="H420" s="4">
        <v>0.09</v>
      </c>
      <c r="I420" s="4" t="s">
        <v>1996</v>
      </c>
      <c r="J420" s="10">
        <v>547.74720000000002</v>
      </c>
      <c r="K420" s="4" t="str">
        <f t="shared" si="42"/>
        <v>08-05-2025</v>
      </c>
      <c r="L420" s="4" t="str">
        <f>TEXT(Sales_Fact!$B420,"mmm")</f>
        <v>May</v>
      </c>
      <c r="M420" s="4">
        <f t="shared" si="43"/>
        <v>4</v>
      </c>
      <c r="N420" s="10">
        <f t="shared" si="44"/>
        <v>150.47999999999999</v>
      </c>
      <c r="O420" s="10">
        <f t="shared" si="45"/>
        <v>547.74720000000002</v>
      </c>
      <c r="P420" s="10">
        <f t="shared" si="46"/>
        <v>601.91999999999996</v>
      </c>
      <c r="Q420" s="3">
        <f t="shared" si="47"/>
        <v>8.99999999999999E-2</v>
      </c>
      <c r="R420" s="4" t="str">
        <f>IF(Sales_Fact!$O420&gt;1000,"High","Low")</f>
        <v>Low</v>
      </c>
      <c r="S420" s="4" t="str">
        <f>VLOOKUP(C420,Customer_Dim!$A:$N,9,FALSE())</f>
        <v>Blake Harrison</v>
      </c>
      <c r="T420" s="4" t="str">
        <f>VLOOKUP(D420,Product_Dim!$A:$M,3,FALSE())</f>
        <v>Electronics</v>
      </c>
      <c r="U420" s="11" t="str">
        <f>VLOOKUP(D420,Product_Dim!$A:$M,2,FALSE())</f>
        <v>Smart Home WiFi Camera</v>
      </c>
      <c r="V420" s="11" t="str">
        <f>VLOOKUP(E420,Store_Dim!$A:$E,3,FALSE())</f>
        <v>East</v>
      </c>
      <c r="W420" s="11" t="str">
        <f>VLOOKUP(C420,Customer_Dim!$A:$N,13,FALSE())</f>
        <v>Platinum</v>
      </c>
      <c r="X420" s="11" t="str">
        <f t="shared" si="48"/>
        <v>High</v>
      </c>
    </row>
    <row r="421" spans="1:24" ht="15.75" customHeight="1">
      <c r="A421" s="4" t="s">
        <v>2417</v>
      </c>
      <c r="B421" s="9">
        <v>45534</v>
      </c>
      <c r="C421" s="4" t="s">
        <v>813</v>
      </c>
      <c r="D421" s="4" t="s">
        <v>1809</v>
      </c>
      <c r="E421" s="4" t="s">
        <v>1957</v>
      </c>
      <c r="F421" s="4">
        <v>4</v>
      </c>
      <c r="G421" s="4">
        <v>207.41</v>
      </c>
      <c r="H421" s="4">
        <v>0.02</v>
      </c>
      <c r="I421" s="4" t="s">
        <v>1996</v>
      </c>
      <c r="J421" s="10">
        <v>813.04719999999998</v>
      </c>
      <c r="K421" s="4" t="str">
        <f t="shared" si="42"/>
        <v>30-08-2024</v>
      </c>
      <c r="L421" s="4" t="str">
        <f>TEXT(Sales_Fact!$B421,"mmm")</f>
        <v>Aug</v>
      </c>
      <c r="M421" s="4">
        <f t="shared" si="43"/>
        <v>4</v>
      </c>
      <c r="N421" s="10">
        <f t="shared" si="44"/>
        <v>207.41</v>
      </c>
      <c r="O421" s="10">
        <f t="shared" si="45"/>
        <v>813.04719999999998</v>
      </c>
      <c r="P421" s="10">
        <f t="shared" si="46"/>
        <v>829.64</v>
      </c>
      <c r="Q421" s="3">
        <f t="shared" si="47"/>
        <v>2.0000000000000014E-2</v>
      </c>
      <c r="R421" s="4" t="str">
        <f>IF(Sales_Fact!$O421&gt;1000,"High","Low")</f>
        <v>Low</v>
      </c>
      <c r="S421" s="4" t="str">
        <f>VLOOKUP(C421,Customer_Dim!$A:$N,9,FALSE())</f>
        <v>Laura Soto</v>
      </c>
      <c r="T421" s="4" t="str">
        <f>VLOOKUP(D421,Product_Dim!$A:$M,3,FALSE())</f>
        <v>Home</v>
      </c>
      <c r="U421" s="11" t="str">
        <f>VLOOKUP(D421,Product_Dim!$A:$M,2,FALSE())</f>
        <v>Wooden Nightstand</v>
      </c>
      <c r="V421" s="11" t="str">
        <f>VLOOKUP(E421,Store_Dim!$A:$E,3,FALSE())</f>
        <v>South</v>
      </c>
      <c r="W421" s="11" t="str">
        <f>VLOOKUP(C421,Customer_Dim!$A:$N,13,FALSE())</f>
        <v>Platinum</v>
      </c>
      <c r="X421" s="11" t="str">
        <f t="shared" si="48"/>
        <v>High</v>
      </c>
    </row>
    <row r="422" spans="1:24" ht="15.75" customHeight="1">
      <c r="A422" s="4" t="s">
        <v>2418</v>
      </c>
      <c r="B422" s="9">
        <v>45803</v>
      </c>
      <c r="C422" s="4" t="s">
        <v>595</v>
      </c>
      <c r="D422" s="4" t="s">
        <v>1626</v>
      </c>
      <c r="E422" s="4" t="s">
        <v>1934</v>
      </c>
      <c r="F422" s="4">
        <v>1</v>
      </c>
      <c r="G422" s="4">
        <v>56.59</v>
      </c>
      <c r="H422" s="4">
        <v>0.15</v>
      </c>
      <c r="I422" s="4" t="s">
        <v>1998</v>
      </c>
      <c r="J422" s="10">
        <v>48.101500000000001</v>
      </c>
      <c r="K422" s="4" t="str">
        <f t="shared" si="42"/>
        <v>26-05-2025</v>
      </c>
      <c r="L422" s="4" t="str">
        <f>TEXT(Sales_Fact!$B422,"mmm")</f>
        <v>May</v>
      </c>
      <c r="M422" s="4">
        <f t="shared" si="43"/>
        <v>1</v>
      </c>
      <c r="N422" s="10">
        <f t="shared" si="44"/>
        <v>56.59</v>
      </c>
      <c r="O422" s="10">
        <f t="shared" si="45"/>
        <v>48.101500000000001</v>
      </c>
      <c r="P422" s="10">
        <f t="shared" si="46"/>
        <v>56.59</v>
      </c>
      <c r="Q422" s="3">
        <f t="shared" si="47"/>
        <v>0.15000000000000002</v>
      </c>
      <c r="R422" s="4" t="str">
        <f>IF(Sales_Fact!$O422&gt;1000,"High","Low")</f>
        <v>Low</v>
      </c>
      <c r="S422" s="4" t="str">
        <f>VLOOKUP(C422,Customer_Dim!$A:$N,9,FALSE())</f>
        <v>Thomas Rhodes</v>
      </c>
      <c r="T422" s="4" t="str">
        <f>VLOOKUP(D422,Product_Dim!$A:$M,3,FALSE())</f>
        <v>Electronics</v>
      </c>
      <c r="U422" s="11" t="str">
        <f>VLOOKUP(D422,Product_Dim!$A:$M,2,FALSE())</f>
        <v>HD Smart TV Stick</v>
      </c>
      <c r="V422" s="11" t="str">
        <f>VLOOKUP(E422,Store_Dim!$A:$E,3,FALSE())</f>
        <v>East</v>
      </c>
      <c r="W422" s="11" t="str">
        <f>VLOOKUP(C422,Customer_Dim!$A:$N,13,FALSE())</f>
        <v>Bronze</v>
      </c>
      <c r="X422" s="11" t="str">
        <f t="shared" si="48"/>
        <v>Low</v>
      </c>
    </row>
    <row r="423" spans="1:24" ht="15.75" customHeight="1">
      <c r="A423" s="4" t="s">
        <v>2419</v>
      </c>
      <c r="B423" s="9">
        <v>45667</v>
      </c>
      <c r="C423" s="4" t="s">
        <v>1289</v>
      </c>
      <c r="D423" s="4" t="s">
        <v>1719</v>
      </c>
      <c r="E423" s="4" t="s">
        <v>1927</v>
      </c>
      <c r="F423" s="4">
        <v>4</v>
      </c>
      <c r="G423" s="4">
        <v>995.4</v>
      </c>
      <c r="H423" s="4">
        <v>0.27</v>
      </c>
      <c r="I423" s="4" t="s">
        <v>1996</v>
      </c>
      <c r="J423" s="10">
        <v>2906.5680000000002</v>
      </c>
      <c r="K423" s="4" t="str">
        <f t="shared" si="42"/>
        <v>10-01-2025</v>
      </c>
      <c r="L423" s="4" t="str">
        <f>TEXT(Sales_Fact!$B423,"mmm")</f>
        <v>Jan</v>
      </c>
      <c r="M423" s="4">
        <f t="shared" si="43"/>
        <v>4</v>
      </c>
      <c r="N423" s="10">
        <f t="shared" si="44"/>
        <v>995.4</v>
      </c>
      <c r="O423" s="10">
        <f t="shared" si="45"/>
        <v>2906.5679999999998</v>
      </c>
      <c r="P423" s="10">
        <f t="shared" si="46"/>
        <v>3981.6</v>
      </c>
      <c r="Q423" s="3">
        <f t="shared" si="47"/>
        <v>0.27</v>
      </c>
      <c r="R423" s="4" t="str">
        <f>IF(Sales_Fact!$O423&gt;1000,"High","Low")</f>
        <v>High</v>
      </c>
      <c r="S423" s="4" t="str">
        <f>VLOOKUP(C423,Customer_Dim!$A:$N,9,FALSE())</f>
        <v>Eric Wolfe</v>
      </c>
      <c r="T423" s="4" t="str">
        <f>VLOOKUP(D423,Product_Dim!$A:$M,3,FALSE())</f>
        <v>Electronics</v>
      </c>
      <c r="U423" s="11" t="str">
        <f>VLOOKUP(D423,Product_Dim!$A:$M,2,FALSE())</f>
        <v>Portable Power Bank</v>
      </c>
      <c r="V423" s="11" t="str">
        <f>VLOOKUP(E423,Store_Dim!$A:$E,3,FALSE())</f>
        <v>South</v>
      </c>
      <c r="W423" s="11" t="str">
        <f>VLOOKUP(C423,Customer_Dim!$A:$N,13,FALSE())</f>
        <v>Gold</v>
      </c>
      <c r="X423" s="11" t="str">
        <f t="shared" si="48"/>
        <v>High</v>
      </c>
    </row>
    <row r="424" spans="1:24" ht="15.75" customHeight="1">
      <c r="A424" s="4" t="s">
        <v>2420</v>
      </c>
      <c r="B424" s="9">
        <v>45656</v>
      </c>
      <c r="C424" s="4" t="s">
        <v>259</v>
      </c>
      <c r="D424" s="4" t="s">
        <v>1744</v>
      </c>
      <c r="E424" s="4" t="s">
        <v>1952</v>
      </c>
      <c r="F424" s="4">
        <v>2</v>
      </c>
      <c r="G424" s="4">
        <v>591.33000000000004</v>
      </c>
      <c r="H424" s="4">
        <v>0.24</v>
      </c>
      <c r="I424" s="4" t="s">
        <v>1996</v>
      </c>
      <c r="J424" s="10">
        <v>898.82159999999999</v>
      </c>
      <c r="K424" s="4" t="str">
        <f t="shared" si="42"/>
        <v>30-12-2024</v>
      </c>
      <c r="L424" s="4" t="str">
        <f>TEXT(Sales_Fact!$B424,"mmm")</f>
        <v>Dec</v>
      </c>
      <c r="M424" s="4">
        <f t="shared" si="43"/>
        <v>2</v>
      </c>
      <c r="N424" s="10">
        <f t="shared" si="44"/>
        <v>591.33000000000004</v>
      </c>
      <c r="O424" s="10">
        <f t="shared" si="45"/>
        <v>898.8216000000001</v>
      </c>
      <c r="P424" s="10">
        <f t="shared" si="46"/>
        <v>1182.6600000000001</v>
      </c>
      <c r="Q424" s="3">
        <f t="shared" si="47"/>
        <v>0.23999999999999996</v>
      </c>
      <c r="R424" s="4" t="str">
        <f>IF(Sales_Fact!$O424&gt;1000,"High","Low")</f>
        <v>Low</v>
      </c>
      <c r="S424" s="4" t="str">
        <f>VLOOKUP(C424,Customer_Dim!$A:$N,9,FALSE())</f>
        <v>Mr. Mason Butler</v>
      </c>
      <c r="T424" s="4" t="str">
        <f>VLOOKUP(D424,Product_Dim!$A:$M,3,FALSE())</f>
        <v>Beauty</v>
      </c>
      <c r="U424" s="11" t="str">
        <f>VLOOKUP(D424,Product_Dim!$A:$M,2,FALSE())</f>
        <v>Makeup Brush Set</v>
      </c>
      <c r="V424" s="11" t="str">
        <f>VLOOKUP(E424,Store_Dim!$A:$E,3,FALSE())</f>
        <v>North</v>
      </c>
      <c r="W424" s="11" t="str">
        <f>VLOOKUP(C424,Customer_Dim!$A:$N,13,FALSE())</f>
        <v>Gold</v>
      </c>
      <c r="X424" s="11" t="str">
        <f t="shared" si="48"/>
        <v>Low</v>
      </c>
    </row>
    <row r="425" spans="1:24" ht="15.75" customHeight="1">
      <c r="A425" s="4" t="s">
        <v>2421</v>
      </c>
      <c r="B425" s="9">
        <v>45869</v>
      </c>
      <c r="C425" s="4" t="s">
        <v>1210</v>
      </c>
      <c r="D425" s="4" t="s">
        <v>1748</v>
      </c>
      <c r="E425" s="4" t="s">
        <v>1965</v>
      </c>
      <c r="F425" s="4">
        <v>2</v>
      </c>
      <c r="G425" s="4">
        <v>204.89</v>
      </c>
      <c r="H425" s="4">
        <v>0.24</v>
      </c>
      <c r="I425" s="4" t="s">
        <v>1996</v>
      </c>
      <c r="J425" s="10">
        <v>311.43279999999999</v>
      </c>
      <c r="K425" s="4" t="str">
        <f t="shared" si="42"/>
        <v>31-07-2025</v>
      </c>
      <c r="L425" s="4" t="str">
        <f>TEXT(Sales_Fact!$B425,"mmm")</f>
        <v>Jul</v>
      </c>
      <c r="M425" s="4">
        <f t="shared" si="43"/>
        <v>2</v>
      </c>
      <c r="N425" s="10">
        <f t="shared" si="44"/>
        <v>204.89</v>
      </c>
      <c r="O425" s="10">
        <f t="shared" si="45"/>
        <v>311.43279999999999</v>
      </c>
      <c r="P425" s="10">
        <f t="shared" si="46"/>
        <v>409.78</v>
      </c>
      <c r="Q425" s="3">
        <f t="shared" si="47"/>
        <v>0.24</v>
      </c>
      <c r="R425" s="4" t="str">
        <f>IF(Sales_Fact!$O425&gt;1000,"High","Low")</f>
        <v>Low</v>
      </c>
      <c r="S425" s="4" t="str">
        <f>VLOOKUP(C425,Customer_Dim!$A:$N,9,FALSE())</f>
        <v>Frank Stewart</v>
      </c>
      <c r="T425" s="4" t="str">
        <f>VLOOKUP(D425,Product_Dim!$A:$M,3,FALSE())</f>
        <v>Electronics</v>
      </c>
      <c r="U425" s="11" t="str">
        <f>VLOOKUP(D425,Product_Dim!$A:$M,2,FALSE())</f>
        <v>Car Dashboard Phone Holder</v>
      </c>
      <c r="V425" s="11" t="str">
        <f>VLOOKUP(E425,Store_Dim!$A:$E,3,FALSE())</f>
        <v>North</v>
      </c>
      <c r="W425" s="11" t="str">
        <f>VLOOKUP(C425,Customer_Dim!$A:$N,13,FALSE())</f>
        <v>Bronze</v>
      </c>
      <c r="X425" s="11" t="str">
        <f t="shared" si="48"/>
        <v>Low</v>
      </c>
    </row>
    <row r="426" spans="1:24" ht="15.75" customHeight="1">
      <c r="A426" s="4" t="s">
        <v>2422</v>
      </c>
      <c r="B426" s="9">
        <v>45589</v>
      </c>
      <c r="C426" s="4" t="s">
        <v>614</v>
      </c>
      <c r="D426" s="4" t="s">
        <v>1897</v>
      </c>
      <c r="E426" s="4" t="s">
        <v>1947</v>
      </c>
      <c r="F426" s="4">
        <v>3</v>
      </c>
      <c r="G426" s="4">
        <v>237.68</v>
      </c>
      <c r="H426" s="4">
        <v>0.1</v>
      </c>
      <c r="I426" s="4" t="s">
        <v>2004</v>
      </c>
      <c r="J426" s="10">
        <v>641.73599999999999</v>
      </c>
      <c r="K426" s="4" t="str">
        <f t="shared" si="42"/>
        <v>24-10-2024</v>
      </c>
      <c r="L426" s="4" t="str">
        <f>TEXT(Sales_Fact!$B426,"mmm")</f>
        <v>Oct</v>
      </c>
      <c r="M426" s="4">
        <f t="shared" si="43"/>
        <v>3</v>
      </c>
      <c r="N426" s="10">
        <f t="shared" si="44"/>
        <v>237.68</v>
      </c>
      <c r="O426" s="10">
        <f t="shared" si="45"/>
        <v>641.73599999999999</v>
      </c>
      <c r="P426" s="10">
        <f t="shared" si="46"/>
        <v>713.04</v>
      </c>
      <c r="Q426" s="3">
        <f t="shared" si="47"/>
        <v>9.9999999999999964E-2</v>
      </c>
      <c r="R426" s="4" t="str">
        <f>IF(Sales_Fact!$O426&gt;1000,"High","Low")</f>
        <v>Low</v>
      </c>
      <c r="S426" s="4" t="str">
        <f>VLOOKUP(C426,Customer_Dim!$A:$N,9,FALSE())</f>
        <v>Michelle Myers</v>
      </c>
      <c r="T426" s="4" t="str">
        <f>VLOOKUP(D426,Product_Dim!$A:$M,3,FALSE())</f>
        <v>Sports</v>
      </c>
      <c r="U426" s="11" t="str">
        <f>VLOOKUP(D426,Product_Dim!$A:$M,2,FALSE())</f>
        <v>Cricket Bat</v>
      </c>
      <c r="V426" s="11" t="str">
        <f>VLOOKUP(E426,Store_Dim!$A:$E,3,FALSE())</f>
        <v>East</v>
      </c>
      <c r="W426" s="11" t="str">
        <f>VLOOKUP(C426,Customer_Dim!$A:$N,13,FALSE())</f>
        <v>Bronze</v>
      </c>
      <c r="X426" s="11" t="str">
        <f t="shared" si="48"/>
        <v>Low</v>
      </c>
    </row>
    <row r="427" spans="1:24" ht="15.75" customHeight="1">
      <c r="A427" s="4" t="s">
        <v>2423</v>
      </c>
      <c r="B427" s="9">
        <v>45549</v>
      </c>
      <c r="C427" s="4" t="s">
        <v>346</v>
      </c>
      <c r="D427" s="4" t="s">
        <v>1800</v>
      </c>
      <c r="E427" s="4" t="s">
        <v>1957</v>
      </c>
      <c r="F427" s="4">
        <v>2</v>
      </c>
      <c r="G427" s="4">
        <v>546.41</v>
      </c>
      <c r="H427" s="4">
        <v>0.08</v>
      </c>
      <c r="I427" s="4" t="s">
        <v>2004</v>
      </c>
      <c r="J427" s="10">
        <v>1005.3944</v>
      </c>
      <c r="K427" s="4" t="str">
        <f t="shared" si="42"/>
        <v>14-09-2024</v>
      </c>
      <c r="L427" s="4" t="str">
        <f>TEXT(Sales_Fact!$B427,"mmm")</f>
        <v>Sep</v>
      </c>
      <c r="M427" s="4">
        <f t="shared" si="43"/>
        <v>2</v>
      </c>
      <c r="N427" s="10">
        <f t="shared" si="44"/>
        <v>546.41</v>
      </c>
      <c r="O427" s="10">
        <f t="shared" si="45"/>
        <v>1005.3944</v>
      </c>
      <c r="P427" s="10">
        <f t="shared" si="46"/>
        <v>1092.82</v>
      </c>
      <c r="Q427" s="3">
        <f t="shared" si="47"/>
        <v>7.9999999999999932E-2</v>
      </c>
      <c r="R427" s="4" t="str">
        <f>IF(Sales_Fact!$O427&gt;1000,"High","Low")</f>
        <v>High</v>
      </c>
      <c r="S427" s="4" t="str">
        <f>VLOOKUP(C427,Customer_Dim!$A:$N,9,FALSE())</f>
        <v>Oscar Moon</v>
      </c>
      <c r="T427" s="4" t="str">
        <f>VLOOKUP(D427,Product_Dim!$A:$M,3,FALSE())</f>
        <v>Sports</v>
      </c>
      <c r="U427" s="11" t="str">
        <f>VLOOKUP(D427,Product_Dim!$A:$M,2,FALSE())</f>
        <v>Adjustable Dumbbells 20kg</v>
      </c>
      <c r="V427" s="11" t="str">
        <f>VLOOKUP(E427,Store_Dim!$A:$E,3,FALSE())</f>
        <v>South</v>
      </c>
      <c r="W427" s="11" t="str">
        <f>VLOOKUP(C427,Customer_Dim!$A:$N,13,FALSE())</f>
        <v>Platinum</v>
      </c>
      <c r="X427" s="11" t="str">
        <f t="shared" si="48"/>
        <v>Low</v>
      </c>
    </row>
    <row r="428" spans="1:24" ht="15.75" customHeight="1">
      <c r="A428" s="4" t="s">
        <v>2424</v>
      </c>
      <c r="B428" s="9">
        <v>45409</v>
      </c>
      <c r="C428" s="4" t="s">
        <v>232</v>
      </c>
      <c r="D428" s="4" t="s">
        <v>1651</v>
      </c>
      <c r="E428" s="4" t="s">
        <v>1952</v>
      </c>
      <c r="F428" s="4">
        <v>4</v>
      </c>
      <c r="G428" s="4">
        <v>455.49</v>
      </c>
      <c r="H428" s="4">
        <v>0.17</v>
      </c>
      <c r="I428" s="4" t="s">
        <v>1996</v>
      </c>
      <c r="J428" s="10">
        <v>1512.2267999999999</v>
      </c>
      <c r="K428" s="4" t="str">
        <f t="shared" si="42"/>
        <v>27-04-2024</v>
      </c>
      <c r="L428" s="4" t="str">
        <f>TEXT(Sales_Fact!$B428,"mmm")</f>
        <v>Apr</v>
      </c>
      <c r="M428" s="4">
        <f t="shared" si="43"/>
        <v>4</v>
      </c>
      <c r="N428" s="10">
        <f t="shared" si="44"/>
        <v>455.49</v>
      </c>
      <c r="O428" s="10">
        <f t="shared" si="45"/>
        <v>1512.2267999999999</v>
      </c>
      <c r="P428" s="10">
        <f t="shared" si="46"/>
        <v>1821.96</v>
      </c>
      <c r="Q428" s="3">
        <f t="shared" si="47"/>
        <v>0.17000000000000007</v>
      </c>
      <c r="R428" s="4" t="str">
        <f>IF(Sales_Fact!$O428&gt;1000,"High","Low")</f>
        <v>High</v>
      </c>
      <c r="S428" s="4" t="str">
        <f>VLOOKUP(C428,Customer_Dim!$A:$N,9,FALSE())</f>
        <v>Christopher Sutton</v>
      </c>
      <c r="T428" s="4" t="str">
        <f>VLOOKUP(D428,Product_Dim!$A:$M,3,FALSE())</f>
        <v>Clothing</v>
      </c>
      <c r="U428" s="11" t="str">
        <f>VLOOKUP(D428,Product_Dim!$A:$M,2,FALSE())</f>
        <v>Women's Denim Jeans</v>
      </c>
      <c r="V428" s="11" t="str">
        <f>VLOOKUP(E428,Store_Dim!$A:$E,3,FALSE())</f>
        <v>North</v>
      </c>
      <c r="W428" s="11" t="str">
        <f>VLOOKUP(C428,Customer_Dim!$A:$N,13,FALSE())</f>
        <v>Gold</v>
      </c>
      <c r="X428" s="11" t="str">
        <f t="shared" si="48"/>
        <v>High</v>
      </c>
    </row>
    <row r="429" spans="1:24" ht="15.75" customHeight="1">
      <c r="A429" s="4" t="s">
        <v>2425</v>
      </c>
      <c r="B429" s="9">
        <v>45374</v>
      </c>
      <c r="C429" s="4" t="s">
        <v>1339</v>
      </c>
      <c r="D429" s="4" t="s">
        <v>1622</v>
      </c>
      <c r="E429" s="4" t="s">
        <v>1962</v>
      </c>
      <c r="F429" s="4">
        <v>2</v>
      </c>
      <c r="G429" s="4">
        <v>700.27</v>
      </c>
      <c r="H429" s="4">
        <v>0.16</v>
      </c>
      <c r="I429" s="4" t="s">
        <v>1996</v>
      </c>
      <c r="J429" s="10">
        <v>1176.4536000000001</v>
      </c>
      <c r="K429" s="4" t="str">
        <f t="shared" si="42"/>
        <v>23-03-2024</v>
      </c>
      <c r="L429" s="4" t="str">
        <f>TEXT(Sales_Fact!$B429,"mmm")</f>
        <v>Mar</v>
      </c>
      <c r="M429" s="4">
        <f t="shared" si="43"/>
        <v>2</v>
      </c>
      <c r="N429" s="10">
        <f t="shared" si="44"/>
        <v>700.27</v>
      </c>
      <c r="O429" s="10">
        <f t="shared" si="45"/>
        <v>1176.4535999999998</v>
      </c>
      <c r="P429" s="10">
        <f t="shared" si="46"/>
        <v>1400.54</v>
      </c>
      <c r="Q429" s="3">
        <f t="shared" si="47"/>
        <v>0.16000000000000011</v>
      </c>
      <c r="R429" s="4" t="str">
        <f>IF(Sales_Fact!$O429&gt;1000,"High","Low")</f>
        <v>High</v>
      </c>
      <c r="S429" s="4" t="str">
        <f>VLOOKUP(C429,Customer_Dim!$A:$N,9,FALSE())</f>
        <v>Brittany Edwards Dds</v>
      </c>
      <c r="T429" s="4" t="str">
        <f>VLOOKUP(D429,Product_Dim!$A:$M,3,FALSE())</f>
        <v>Home</v>
      </c>
      <c r="U429" s="11" t="str">
        <f>VLOOKUP(D429,Product_Dim!$A:$M,2,FALSE())</f>
        <v>Ceramic Kitchen Bowl Set</v>
      </c>
      <c r="V429" s="11" t="str">
        <f>VLOOKUP(E429,Store_Dim!$A:$E,3,FALSE())</f>
        <v>West</v>
      </c>
      <c r="W429" s="11" t="str">
        <f>VLOOKUP(C429,Customer_Dim!$A:$N,13,FALSE())</f>
        <v>Platinum</v>
      </c>
      <c r="X429" s="11" t="str">
        <f t="shared" si="48"/>
        <v>Low</v>
      </c>
    </row>
    <row r="430" spans="1:24" ht="15.75" customHeight="1">
      <c r="A430" s="4" t="s">
        <v>2426</v>
      </c>
      <c r="B430" s="9">
        <v>45282</v>
      </c>
      <c r="C430" s="4" t="s">
        <v>1111</v>
      </c>
      <c r="D430" s="4" t="s">
        <v>1852</v>
      </c>
      <c r="E430" s="4" t="s">
        <v>1965</v>
      </c>
      <c r="F430" s="4">
        <v>2</v>
      </c>
      <c r="G430" s="4">
        <v>160.21</v>
      </c>
      <c r="H430" s="4">
        <v>0.09</v>
      </c>
      <c r="I430" s="4" t="s">
        <v>1996</v>
      </c>
      <c r="J430" s="10">
        <v>291.5822</v>
      </c>
      <c r="K430" s="4" t="str">
        <f t="shared" si="42"/>
        <v>22-12-2023</v>
      </c>
      <c r="L430" s="4" t="str">
        <f>TEXT(Sales_Fact!$B430,"mmm")</f>
        <v>Dec</v>
      </c>
      <c r="M430" s="4">
        <f t="shared" si="43"/>
        <v>2</v>
      </c>
      <c r="N430" s="10">
        <f t="shared" si="44"/>
        <v>160.21</v>
      </c>
      <c r="O430" s="10">
        <f t="shared" si="45"/>
        <v>291.5822</v>
      </c>
      <c r="P430" s="10">
        <f t="shared" si="46"/>
        <v>320.42</v>
      </c>
      <c r="Q430" s="3">
        <f t="shared" si="47"/>
        <v>9.0000000000000038E-2</v>
      </c>
      <c r="R430" s="4" t="str">
        <f>IF(Sales_Fact!$O430&gt;1000,"High","Low")</f>
        <v>Low</v>
      </c>
      <c r="S430" s="4" t="str">
        <f>VLOOKUP(C430,Customer_Dim!$A:$N,9,FALSE())</f>
        <v>Daniel Nelson</v>
      </c>
      <c r="T430" s="4" t="str">
        <f>VLOOKUP(D430,Product_Dim!$A:$M,3,FALSE())</f>
        <v>Sports</v>
      </c>
      <c r="U430" s="11" t="str">
        <f>VLOOKUP(D430,Product_Dim!$A:$M,2,FALSE())</f>
        <v>Fitness Resistance Bands</v>
      </c>
      <c r="V430" s="11" t="str">
        <f>VLOOKUP(E430,Store_Dim!$A:$E,3,FALSE())</f>
        <v>North</v>
      </c>
      <c r="W430" s="11" t="str">
        <f>VLOOKUP(C430,Customer_Dim!$A:$N,13,FALSE())</f>
        <v>Bronze</v>
      </c>
      <c r="X430" s="11" t="str">
        <f t="shared" si="48"/>
        <v>Low</v>
      </c>
    </row>
    <row r="431" spans="1:24" ht="15.75" customHeight="1">
      <c r="A431" s="4" t="s">
        <v>2427</v>
      </c>
      <c r="B431" s="9">
        <v>45742</v>
      </c>
      <c r="C431" s="4" t="s">
        <v>148</v>
      </c>
      <c r="D431" s="4" t="s">
        <v>1744</v>
      </c>
      <c r="E431" s="4" t="s">
        <v>1950</v>
      </c>
      <c r="F431" s="4">
        <v>1</v>
      </c>
      <c r="G431" s="4">
        <v>713.63</v>
      </c>
      <c r="H431" s="4">
        <v>0.28000000000000003</v>
      </c>
      <c r="I431" s="4" t="s">
        <v>2004</v>
      </c>
      <c r="J431" s="10">
        <v>513.81359999999995</v>
      </c>
      <c r="K431" s="4" t="str">
        <f t="shared" si="42"/>
        <v>26-03-2025</v>
      </c>
      <c r="L431" s="4" t="str">
        <f>TEXT(Sales_Fact!$B431,"mmm")</f>
        <v>Mar</v>
      </c>
      <c r="M431" s="4">
        <f t="shared" si="43"/>
        <v>1</v>
      </c>
      <c r="N431" s="10">
        <f t="shared" si="44"/>
        <v>713.63</v>
      </c>
      <c r="O431" s="10">
        <f t="shared" si="45"/>
        <v>513.81359999999995</v>
      </c>
      <c r="P431" s="10">
        <f t="shared" si="46"/>
        <v>713.63</v>
      </c>
      <c r="Q431" s="3">
        <f t="shared" si="47"/>
        <v>0.28000000000000008</v>
      </c>
      <c r="R431" s="4" t="str">
        <f>IF(Sales_Fact!$O431&gt;1000,"High","Low")</f>
        <v>Low</v>
      </c>
      <c r="S431" s="4" t="str">
        <f>VLOOKUP(C431,Customer_Dim!$A:$N,9,FALSE())</f>
        <v>Sarah Vance</v>
      </c>
      <c r="T431" s="4" t="str">
        <f>VLOOKUP(D431,Product_Dim!$A:$M,3,FALSE())</f>
        <v>Beauty</v>
      </c>
      <c r="U431" s="11" t="str">
        <f>VLOOKUP(D431,Product_Dim!$A:$M,2,FALSE())</f>
        <v>Makeup Brush Set</v>
      </c>
      <c r="V431" s="11" t="str">
        <f>VLOOKUP(E431,Store_Dim!$A:$E,3,FALSE())</f>
        <v>South</v>
      </c>
      <c r="W431" s="11" t="str">
        <f>VLOOKUP(C431,Customer_Dim!$A:$N,13,FALSE())</f>
        <v>Silver</v>
      </c>
      <c r="X431" s="11" t="str">
        <f t="shared" si="48"/>
        <v>Low</v>
      </c>
    </row>
    <row r="432" spans="1:24" ht="15.75" customHeight="1">
      <c r="A432" s="4" t="s">
        <v>2428</v>
      </c>
      <c r="B432" s="9">
        <v>45447</v>
      </c>
      <c r="C432" s="4" t="s">
        <v>760</v>
      </c>
      <c r="D432" s="4" t="s">
        <v>1885</v>
      </c>
      <c r="E432" s="4" t="s">
        <v>1937</v>
      </c>
      <c r="F432" s="4">
        <v>2</v>
      </c>
      <c r="G432" s="4">
        <v>224.69</v>
      </c>
      <c r="H432" s="4">
        <v>0.2</v>
      </c>
      <c r="I432" s="4" t="s">
        <v>2004</v>
      </c>
      <c r="J432" s="10">
        <v>359.50400000000002</v>
      </c>
      <c r="K432" s="4" t="str">
        <f t="shared" si="42"/>
        <v>04-06-2024</v>
      </c>
      <c r="L432" s="4" t="str">
        <f>TEXT(Sales_Fact!$B432,"mmm")</f>
        <v>Jun</v>
      </c>
      <c r="M432" s="4">
        <f t="shared" si="43"/>
        <v>2</v>
      </c>
      <c r="N432" s="10">
        <f t="shared" si="44"/>
        <v>224.69</v>
      </c>
      <c r="O432" s="10">
        <f t="shared" si="45"/>
        <v>359.50400000000002</v>
      </c>
      <c r="P432" s="10">
        <f t="shared" si="46"/>
        <v>449.38</v>
      </c>
      <c r="Q432" s="3">
        <f t="shared" si="47"/>
        <v>0.19999999999999996</v>
      </c>
      <c r="R432" s="4" t="str">
        <f>IF(Sales_Fact!$O432&gt;1000,"High","Low")</f>
        <v>Low</v>
      </c>
      <c r="S432" s="4" t="str">
        <f>VLOOKUP(C432,Customer_Dim!$A:$N,9,FALSE())</f>
        <v>Gregory Pham</v>
      </c>
      <c r="T432" s="4" t="str">
        <f>VLOOKUP(D432,Product_Dim!$A:$M,3,FALSE())</f>
        <v>Electronics</v>
      </c>
      <c r="U432" s="11" t="str">
        <f>VLOOKUP(D432,Product_Dim!$A:$M,2,FALSE())</f>
        <v>USB-C Laptop Charger</v>
      </c>
      <c r="V432" s="11" t="str">
        <f>VLOOKUP(E432,Store_Dim!$A:$E,3,FALSE())</f>
        <v>South</v>
      </c>
      <c r="W432" s="11" t="str">
        <f>VLOOKUP(C432,Customer_Dim!$A:$N,13,FALSE())</f>
        <v>Gold</v>
      </c>
      <c r="X432" s="11" t="str">
        <f t="shared" si="48"/>
        <v>Low</v>
      </c>
    </row>
    <row r="433" spans="1:24" ht="15.75" customHeight="1">
      <c r="A433" s="4" t="s">
        <v>2429</v>
      </c>
      <c r="B433" s="9">
        <v>45733</v>
      </c>
      <c r="C433" s="4" t="s">
        <v>1429</v>
      </c>
      <c r="D433" s="4" t="s">
        <v>1658</v>
      </c>
      <c r="E433" s="4" t="s">
        <v>1957</v>
      </c>
      <c r="F433" s="4">
        <v>2</v>
      </c>
      <c r="G433" s="4">
        <v>740.57</v>
      </c>
      <c r="H433" s="4">
        <v>0.06</v>
      </c>
      <c r="I433" s="4" t="s">
        <v>1996</v>
      </c>
      <c r="J433" s="10">
        <v>1392.2716</v>
      </c>
      <c r="K433" s="4" t="str">
        <f t="shared" si="42"/>
        <v>17-03-2025</v>
      </c>
      <c r="L433" s="4" t="str">
        <f>TEXT(Sales_Fact!$B433,"mmm")</f>
        <v>Mar</v>
      </c>
      <c r="M433" s="4">
        <f t="shared" si="43"/>
        <v>2</v>
      </c>
      <c r="N433" s="10">
        <f t="shared" si="44"/>
        <v>740.57</v>
      </c>
      <c r="O433" s="10">
        <f t="shared" si="45"/>
        <v>1392.2716</v>
      </c>
      <c r="P433" s="10">
        <f t="shared" si="46"/>
        <v>1481.14</v>
      </c>
      <c r="Q433" s="3">
        <f t="shared" si="47"/>
        <v>6.0000000000000039E-2</v>
      </c>
      <c r="R433" s="4" t="str">
        <f>IF(Sales_Fact!$O433&gt;1000,"High","Low")</f>
        <v>High</v>
      </c>
      <c r="S433" s="4" t="str">
        <f>VLOOKUP(C433,Customer_Dim!$A:$N,9,FALSE())</f>
        <v>April Phillips</v>
      </c>
      <c r="T433" s="4" t="str">
        <f>VLOOKUP(D433,Product_Dim!$A:$M,3,FALSE())</f>
        <v>Sports</v>
      </c>
      <c r="U433" s="11" t="str">
        <f>VLOOKUP(D433,Product_Dim!$A:$M,2,FALSE())</f>
        <v>Outdoor Sports Water Bottle</v>
      </c>
      <c r="V433" s="11" t="str">
        <f>VLOOKUP(E433,Store_Dim!$A:$E,3,FALSE())</f>
        <v>South</v>
      </c>
      <c r="W433" s="11" t="str">
        <f>VLOOKUP(C433,Customer_Dim!$A:$N,13,FALSE())</f>
        <v>Platinum</v>
      </c>
      <c r="X433" s="11" t="str">
        <f t="shared" si="48"/>
        <v>Low</v>
      </c>
    </row>
    <row r="434" spans="1:24" ht="15.75" customHeight="1">
      <c r="A434" s="4" t="s">
        <v>2430</v>
      </c>
      <c r="B434" s="9">
        <v>45373</v>
      </c>
      <c r="C434" s="4" t="s">
        <v>505</v>
      </c>
      <c r="D434" s="4" t="s">
        <v>1626</v>
      </c>
      <c r="E434" s="4" t="s">
        <v>1924</v>
      </c>
      <c r="F434" s="4">
        <v>3</v>
      </c>
      <c r="G434" s="4">
        <v>250.14</v>
      </c>
      <c r="H434" s="4">
        <v>0.23</v>
      </c>
      <c r="I434" s="4" t="s">
        <v>1998</v>
      </c>
      <c r="J434" s="10">
        <v>577.82339999999999</v>
      </c>
      <c r="K434" s="4" t="str">
        <f t="shared" si="42"/>
        <v>22-03-2024</v>
      </c>
      <c r="L434" s="4" t="str">
        <f>TEXT(Sales_Fact!$B434,"mmm")</f>
        <v>Mar</v>
      </c>
      <c r="M434" s="4">
        <f t="shared" si="43"/>
        <v>3</v>
      </c>
      <c r="N434" s="10">
        <f t="shared" si="44"/>
        <v>250.14</v>
      </c>
      <c r="O434" s="10">
        <f t="shared" si="45"/>
        <v>577.82339999999999</v>
      </c>
      <c r="P434" s="10">
        <f t="shared" si="46"/>
        <v>750.42</v>
      </c>
      <c r="Q434" s="3">
        <f t="shared" si="47"/>
        <v>0.22999999999999995</v>
      </c>
      <c r="R434" s="4" t="str">
        <f>IF(Sales_Fact!$O434&gt;1000,"High","Low")</f>
        <v>Low</v>
      </c>
      <c r="S434" s="4" t="str">
        <f>VLOOKUP(C434,Customer_Dim!$A:$N,9,FALSE())</f>
        <v>Maria Ramirez</v>
      </c>
      <c r="T434" s="4" t="str">
        <f>VLOOKUP(D434,Product_Dim!$A:$M,3,FALSE())</f>
        <v>Electronics</v>
      </c>
      <c r="U434" s="11" t="str">
        <f>VLOOKUP(D434,Product_Dim!$A:$M,2,FALSE())</f>
        <v>HD Smart TV Stick</v>
      </c>
      <c r="V434" s="11" t="str">
        <f>VLOOKUP(E434,Store_Dim!$A:$E,3,FALSE())</f>
        <v>North</v>
      </c>
      <c r="W434" s="11" t="str">
        <f>VLOOKUP(C434,Customer_Dim!$A:$N,13,FALSE())</f>
        <v>Bronze</v>
      </c>
      <c r="X434" s="11" t="str">
        <f t="shared" si="48"/>
        <v>Low</v>
      </c>
    </row>
    <row r="435" spans="1:24" ht="15.75" customHeight="1">
      <c r="A435" s="4" t="s">
        <v>2431</v>
      </c>
      <c r="B435" s="9">
        <v>45655</v>
      </c>
      <c r="C435" s="4" t="s">
        <v>109</v>
      </c>
      <c r="D435" s="4" t="s">
        <v>1900</v>
      </c>
      <c r="E435" s="4" t="s">
        <v>1971</v>
      </c>
      <c r="F435" s="4">
        <v>3</v>
      </c>
      <c r="G435" s="4">
        <v>34.97</v>
      </c>
      <c r="H435" s="4">
        <v>0.01</v>
      </c>
      <c r="I435" s="4" t="s">
        <v>1996</v>
      </c>
      <c r="J435" s="10">
        <v>103.8609</v>
      </c>
      <c r="K435" s="4" t="str">
        <f t="shared" si="42"/>
        <v>29-12-2024</v>
      </c>
      <c r="L435" s="4" t="str">
        <f>TEXT(Sales_Fact!$B435,"mmm")</f>
        <v>Dec</v>
      </c>
      <c r="M435" s="4">
        <f t="shared" si="43"/>
        <v>3</v>
      </c>
      <c r="N435" s="10">
        <f t="shared" si="44"/>
        <v>34.97</v>
      </c>
      <c r="O435" s="10">
        <f t="shared" si="45"/>
        <v>103.8609</v>
      </c>
      <c r="P435" s="10">
        <f t="shared" si="46"/>
        <v>104.91</v>
      </c>
      <c r="Q435" s="3">
        <f t="shared" si="47"/>
        <v>9.9999999999999586E-3</v>
      </c>
      <c r="R435" s="4" t="str">
        <f>IF(Sales_Fact!$O435&gt;1000,"High","Low")</f>
        <v>Low</v>
      </c>
      <c r="S435" s="4" t="str">
        <f>VLOOKUP(C435,Customer_Dim!$A:$N,9,FALSE())</f>
        <v>Bridget Allen</v>
      </c>
      <c r="T435" s="4" t="str">
        <f>VLOOKUP(D435,Product_Dim!$A:$M,3,FALSE())</f>
        <v>Electronics</v>
      </c>
      <c r="U435" s="11" t="str">
        <f>VLOOKUP(D435,Product_Dim!$A:$M,2,FALSE())</f>
        <v>Portable Bluetooth Speaker</v>
      </c>
      <c r="V435" s="11" t="str">
        <f>VLOOKUP(E435,Store_Dim!$A:$E,3,FALSE())</f>
        <v>East</v>
      </c>
      <c r="W435" s="11" t="str">
        <f>VLOOKUP(C435,Customer_Dim!$A:$N,13,FALSE())</f>
        <v>Silver</v>
      </c>
      <c r="X435" s="11" t="str">
        <f t="shared" si="48"/>
        <v>Low</v>
      </c>
    </row>
    <row r="436" spans="1:24" ht="15.75" customHeight="1">
      <c r="A436" s="4" t="s">
        <v>2432</v>
      </c>
      <c r="B436" s="9">
        <v>45868</v>
      </c>
      <c r="C436" s="4" t="s">
        <v>988</v>
      </c>
      <c r="D436" s="4" t="s">
        <v>1729</v>
      </c>
      <c r="E436" s="4" t="s">
        <v>1962</v>
      </c>
      <c r="F436" s="4">
        <v>1</v>
      </c>
      <c r="G436" s="4">
        <v>653.91</v>
      </c>
      <c r="H436" s="4">
        <v>0.3</v>
      </c>
      <c r="I436" s="4" t="s">
        <v>1998</v>
      </c>
      <c r="J436" s="10">
        <v>457.73700000000002</v>
      </c>
      <c r="K436" s="4" t="str">
        <f t="shared" si="42"/>
        <v>30-07-2025</v>
      </c>
      <c r="L436" s="4" t="str">
        <f>TEXT(Sales_Fact!$B436,"mmm")</f>
        <v>Jul</v>
      </c>
      <c r="M436" s="4">
        <f t="shared" si="43"/>
        <v>1</v>
      </c>
      <c r="N436" s="10">
        <f t="shared" si="44"/>
        <v>653.91</v>
      </c>
      <c r="O436" s="10">
        <f t="shared" si="45"/>
        <v>457.73699999999997</v>
      </c>
      <c r="P436" s="10">
        <f t="shared" si="46"/>
        <v>653.91</v>
      </c>
      <c r="Q436" s="3">
        <f t="shared" si="47"/>
        <v>0.30000000000000004</v>
      </c>
      <c r="R436" s="4" t="str">
        <f>IF(Sales_Fact!$O436&gt;1000,"High","Low")</f>
        <v>Low</v>
      </c>
      <c r="S436" s="4" t="str">
        <f>VLOOKUP(C436,Customer_Dim!$A:$N,9,FALSE())</f>
        <v>Miss Alexandria Li Dvm</v>
      </c>
      <c r="T436" s="4" t="str">
        <f>VLOOKUP(D436,Product_Dim!$A:$M,3,FALSE())</f>
        <v>Electronics</v>
      </c>
      <c r="U436" s="11" t="str">
        <f>VLOOKUP(D436,Product_Dim!$A:$M,2,FALSE())</f>
        <v>Smart Home WiFi Camera</v>
      </c>
      <c r="V436" s="11" t="str">
        <f>VLOOKUP(E436,Store_Dim!$A:$E,3,FALSE())</f>
        <v>West</v>
      </c>
      <c r="W436" s="11" t="str">
        <f>VLOOKUP(C436,Customer_Dim!$A:$N,13,FALSE())</f>
        <v>Silver</v>
      </c>
      <c r="X436" s="11" t="str">
        <f t="shared" si="48"/>
        <v>Low</v>
      </c>
    </row>
    <row r="437" spans="1:24" ht="15.75" customHeight="1">
      <c r="A437" s="4" t="s">
        <v>2433</v>
      </c>
      <c r="B437" s="9">
        <v>45756</v>
      </c>
      <c r="C437" s="4" t="s">
        <v>1087</v>
      </c>
      <c r="D437" s="4" t="s">
        <v>1819</v>
      </c>
      <c r="E437" s="4" t="s">
        <v>1957</v>
      </c>
      <c r="F437" s="4">
        <v>4</v>
      </c>
      <c r="G437" s="4">
        <v>715.85</v>
      </c>
      <c r="H437" s="4">
        <v>0.25</v>
      </c>
      <c r="I437" s="4" t="s">
        <v>1998</v>
      </c>
      <c r="J437" s="10">
        <v>2147.5500000000002</v>
      </c>
      <c r="K437" s="4" t="str">
        <f t="shared" si="42"/>
        <v>09-04-2025</v>
      </c>
      <c r="L437" s="4" t="str">
        <f>TEXT(Sales_Fact!$B437,"mmm")</f>
        <v>Apr</v>
      </c>
      <c r="M437" s="4">
        <f t="shared" si="43"/>
        <v>4</v>
      </c>
      <c r="N437" s="10">
        <f t="shared" si="44"/>
        <v>715.85</v>
      </c>
      <c r="O437" s="10">
        <f t="shared" si="45"/>
        <v>2147.5500000000002</v>
      </c>
      <c r="P437" s="10">
        <f t="shared" si="46"/>
        <v>2863.4</v>
      </c>
      <c r="Q437" s="3">
        <f t="shared" si="47"/>
        <v>0.24999999999999997</v>
      </c>
      <c r="R437" s="4" t="str">
        <f>IF(Sales_Fact!$O437&gt;1000,"High","Low")</f>
        <v>High</v>
      </c>
      <c r="S437" s="4" t="str">
        <f>VLOOKUP(C437,Customer_Dim!$A:$N,9,FALSE())</f>
        <v>Carol Lewis</v>
      </c>
      <c r="T437" s="4" t="str">
        <f>VLOOKUP(D437,Product_Dim!$A:$M,3,FALSE())</f>
        <v>Beauty</v>
      </c>
      <c r="U437" s="11" t="str">
        <f>VLOOKUP(D437,Product_Dim!$A:$M,2,FALSE())</f>
        <v>Hair Repair Oil Treatment</v>
      </c>
      <c r="V437" s="11" t="str">
        <f>VLOOKUP(E437,Store_Dim!$A:$E,3,FALSE())</f>
        <v>South</v>
      </c>
      <c r="W437" s="11" t="str">
        <f>VLOOKUP(C437,Customer_Dim!$A:$N,13,FALSE())</f>
        <v>Bronze</v>
      </c>
      <c r="X437" s="11" t="str">
        <f t="shared" si="48"/>
        <v>High</v>
      </c>
    </row>
    <row r="438" spans="1:24" ht="15.75" customHeight="1">
      <c r="A438" s="4" t="s">
        <v>2434</v>
      </c>
      <c r="B438" s="9">
        <v>45338</v>
      </c>
      <c r="C438" s="4" t="s">
        <v>1165</v>
      </c>
      <c r="D438" s="4" t="s">
        <v>1803</v>
      </c>
      <c r="E438" s="4" t="s">
        <v>1924</v>
      </c>
      <c r="F438" s="4">
        <v>1</v>
      </c>
      <c r="G438" s="4">
        <v>997.87</v>
      </c>
      <c r="H438" s="4">
        <v>0.24</v>
      </c>
      <c r="I438" s="4" t="s">
        <v>1996</v>
      </c>
      <c r="J438" s="10">
        <v>758.38120000000004</v>
      </c>
      <c r="K438" s="4" t="str">
        <f t="shared" si="42"/>
        <v>16-02-2024</v>
      </c>
      <c r="L438" s="4" t="str">
        <f>TEXT(Sales_Fact!$B438,"mmm")</f>
        <v>Feb</v>
      </c>
      <c r="M438" s="4">
        <f t="shared" si="43"/>
        <v>1</v>
      </c>
      <c r="N438" s="10">
        <f t="shared" si="44"/>
        <v>997.87</v>
      </c>
      <c r="O438" s="10">
        <f t="shared" si="45"/>
        <v>758.38120000000004</v>
      </c>
      <c r="P438" s="10">
        <f t="shared" si="46"/>
        <v>997.87</v>
      </c>
      <c r="Q438" s="3">
        <f t="shared" si="47"/>
        <v>0.23999999999999996</v>
      </c>
      <c r="R438" s="4" t="str">
        <f>IF(Sales_Fact!$O438&gt;1000,"High","Low")</f>
        <v>Low</v>
      </c>
      <c r="S438" s="4" t="str">
        <f>VLOOKUP(C438,Customer_Dim!$A:$N,9,FALSE())</f>
        <v>Elizabeth Smith</v>
      </c>
      <c r="T438" s="4" t="str">
        <f>VLOOKUP(D438,Product_Dim!$A:$M,3,FALSE())</f>
        <v>Beauty</v>
      </c>
      <c r="U438" s="11" t="str">
        <f>VLOOKUP(D438,Product_Dim!$A:$M,2,FALSE())</f>
        <v>Women's Hair Dryer Brush</v>
      </c>
      <c r="V438" s="11" t="str">
        <f>VLOOKUP(E438,Store_Dim!$A:$E,3,FALSE())</f>
        <v>North</v>
      </c>
      <c r="W438" s="11" t="str">
        <f>VLOOKUP(C438,Customer_Dim!$A:$N,13,FALSE())</f>
        <v>Bronze</v>
      </c>
      <c r="X438" s="11" t="str">
        <f t="shared" si="48"/>
        <v>Low</v>
      </c>
    </row>
    <row r="439" spans="1:24" ht="15.75" customHeight="1">
      <c r="A439" s="4" t="s">
        <v>2435</v>
      </c>
      <c r="B439" s="9">
        <v>45349</v>
      </c>
      <c r="C439" s="4" t="s">
        <v>703</v>
      </c>
      <c r="D439" s="4" t="s">
        <v>1873</v>
      </c>
      <c r="E439" s="4" t="s">
        <v>1957</v>
      </c>
      <c r="F439" s="4">
        <v>1</v>
      </c>
      <c r="G439" s="4">
        <v>174.27</v>
      </c>
      <c r="H439" s="4">
        <v>0.27</v>
      </c>
      <c r="I439" s="4" t="s">
        <v>2004</v>
      </c>
      <c r="J439" s="10">
        <v>127.2171</v>
      </c>
      <c r="K439" s="4" t="str">
        <f t="shared" si="42"/>
        <v>27-02-2024</v>
      </c>
      <c r="L439" s="4" t="str">
        <f>TEXT(Sales_Fact!$B439,"mmm")</f>
        <v>Feb</v>
      </c>
      <c r="M439" s="4">
        <f t="shared" si="43"/>
        <v>1</v>
      </c>
      <c r="N439" s="10">
        <f t="shared" si="44"/>
        <v>174.27</v>
      </c>
      <c r="O439" s="10">
        <f t="shared" si="45"/>
        <v>127.2171</v>
      </c>
      <c r="P439" s="10">
        <f t="shared" si="46"/>
        <v>174.27</v>
      </c>
      <c r="Q439" s="3">
        <f t="shared" si="47"/>
        <v>0.27</v>
      </c>
      <c r="R439" s="4" t="str">
        <f>IF(Sales_Fact!$O439&gt;1000,"High","Low")</f>
        <v>Low</v>
      </c>
      <c r="S439" s="4" t="str">
        <f>VLOOKUP(C439,Customer_Dim!$A:$N,9,FALSE())</f>
        <v>John Perez</v>
      </c>
      <c r="T439" s="4" t="str">
        <f>VLOOKUP(D439,Product_Dim!$A:$M,3,FALSE())</f>
        <v>Beauty</v>
      </c>
      <c r="U439" s="11" t="str">
        <f>VLOOKUP(D439,Product_Dim!$A:$M,2,FALSE())</f>
        <v>Face Foundation Kit</v>
      </c>
      <c r="V439" s="11" t="str">
        <f>VLOOKUP(E439,Store_Dim!$A:$E,3,FALSE())</f>
        <v>South</v>
      </c>
      <c r="W439" s="11" t="str">
        <f>VLOOKUP(C439,Customer_Dim!$A:$N,13,FALSE())</f>
        <v>Platinum</v>
      </c>
      <c r="X439" s="11" t="str">
        <f t="shared" si="48"/>
        <v>Low</v>
      </c>
    </row>
    <row r="440" spans="1:24" ht="15.75" customHeight="1">
      <c r="A440" s="4" t="s">
        <v>2436</v>
      </c>
      <c r="B440" s="9">
        <v>45368</v>
      </c>
      <c r="C440" s="4" t="s">
        <v>423</v>
      </c>
      <c r="D440" s="4" t="s">
        <v>1751</v>
      </c>
      <c r="E440" s="4" t="s">
        <v>1937</v>
      </c>
      <c r="F440" s="4">
        <v>3</v>
      </c>
      <c r="G440" s="4">
        <v>847.44</v>
      </c>
      <c r="H440" s="4">
        <v>0.17</v>
      </c>
      <c r="I440" s="4" t="s">
        <v>1996</v>
      </c>
      <c r="J440" s="10">
        <v>2110.1255999999998</v>
      </c>
      <c r="K440" s="4" t="str">
        <f t="shared" si="42"/>
        <v>17-03-2024</v>
      </c>
      <c r="L440" s="4" t="str">
        <f>TEXT(Sales_Fact!$B440,"mmm")</f>
        <v>Mar</v>
      </c>
      <c r="M440" s="4">
        <f t="shared" si="43"/>
        <v>3</v>
      </c>
      <c r="N440" s="10">
        <f t="shared" si="44"/>
        <v>847.44</v>
      </c>
      <c r="O440" s="10">
        <f t="shared" si="45"/>
        <v>2110.1255999999998</v>
      </c>
      <c r="P440" s="10">
        <f t="shared" si="46"/>
        <v>2542.3200000000002</v>
      </c>
      <c r="Q440" s="3">
        <f t="shared" si="47"/>
        <v>0.17000000000000012</v>
      </c>
      <c r="R440" s="4" t="str">
        <f>IF(Sales_Fact!$O440&gt;1000,"High","Low")</f>
        <v>High</v>
      </c>
      <c r="S440" s="4" t="str">
        <f>VLOOKUP(C440,Customer_Dim!$A:$N,9,FALSE())</f>
        <v>Tyler Conrad</v>
      </c>
      <c r="T440" s="4" t="str">
        <f>VLOOKUP(D440,Product_Dim!$A:$M,3,FALSE())</f>
        <v>Beauty</v>
      </c>
      <c r="U440" s="11" t="str">
        <f>VLOOKUP(D440,Product_Dim!$A:$M,2,FALSE())</f>
        <v>Men's Roll-On Perfume</v>
      </c>
      <c r="V440" s="11" t="str">
        <f>VLOOKUP(E440,Store_Dim!$A:$E,3,FALSE())</f>
        <v>South</v>
      </c>
      <c r="W440" s="11" t="str">
        <f>VLOOKUP(C440,Customer_Dim!$A:$N,13,FALSE())</f>
        <v>Platinum</v>
      </c>
      <c r="X440" s="11" t="str">
        <f t="shared" si="48"/>
        <v>Low</v>
      </c>
    </row>
    <row r="441" spans="1:24" ht="15.75" customHeight="1">
      <c r="A441" s="4" t="s">
        <v>2437</v>
      </c>
      <c r="B441" s="9">
        <v>45243</v>
      </c>
      <c r="C441" s="4" t="s">
        <v>1357</v>
      </c>
      <c r="D441" s="4" t="s">
        <v>1588</v>
      </c>
      <c r="E441" s="4" t="s">
        <v>1919</v>
      </c>
      <c r="F441" s="4">
        <v>1</v>
      </c>
      <c r="G441" s="4">
        <v>493.45</v>
      </c>
      <c r="H441" s="4">
        <v>0.09</v>
      </c>
      <c r="I441" s="4" t="s">
        <v>1996</v>
      </c>
      <c r="J441" s="10">
        <v>449.03949999999998</v>
      </c>
      <c r="K441" s="4" t="str">
        <f t="shared" si="42"/>
        <v>13-11-2023</v>
      </c>
      <c r="L441" s="4" t="str">
        <f>TEXT(Sales_Fact!$B441,"mmm")</f>
        <v>Nov</v>
      </c>
      <c r="M441" s="4">
        <f t="shared" si="43"/>
        <v>1</v>
      </c>
      <c r="N441" s="10">
        <f t="shared" si="44"/>
        <v>493.45</v>
      </c>
      <c r="O441" s="10">
        <f t="shared" si="45"/>
        <v>449.03950000000003</v>
      </c>
      <c r="P441" s="10">
        <f t="shared" si="46"/>
        <v>493.45</v>
      </c>
      <c r="Q441" s="3">
        <f t="shared" si="47"/>
        <v>8.9999999999999913E-2</v>
      </c>
      <c r="R441" s="4" t="str">
        <f>IF(Sales_Fact!$O441&gt;1000,"High","Low")</f>
        <v>Low</v>
      </c>
      <c r="S441" s="4" t="str">
        <f>VLOOKUP(C441,Customer_Dim!$A:$N,9,FALSE())</f>
        <v>Samuel Mullins</v>
      </c>
      <c r="T441" s="4" t="str">
        <f>VLOOKUP(D441,Product_Dim!$A:$M,3,FALSE())</f>
        <v>Clothing</v>
      </c>
      <c r="U441" s="11" t="str">
        <f>VLOOKUP(D441,Product_Dim!$A:$M,2,FALSE())</f>
        <v>Women's Casual Hoodie</v>
      </c>
      <c r="V441" s="11" t="str">
        <f>VLOOKUP(E441,Store_Dim!$A:$E,3,FALSE())</f>
        <v>South</v>
      </c>
      <c r="W441" s="11" t="str">
        <f>VLOOKUP(C441,Customer_Dim!$A:$N,13,FALSE())</f>
        <v>Bronze</v>
      </c>
      <c r="X441" s="11" t="str">
        <f t="shared" si="48"/>
        <v>Low</v>
      </c>
    </row>
    <row r="442" spans="1:24" ht="15.75" customHeight="1">
      <c r="A442" s="4" t="s">
        <v>2438</v>
      </c>
      <c r="B442" s="9">
        <v>45577</v>
      </c>
      <c r="C442" s="4" t="s">
        <v>774</v>
      </c>
      <c r="D442" s="4" t="s">
        <v>1791</v>
      </c>
      <c r="E442" s="4" t="s">
        <v>1919</v>
      </c>
      <c r="F442" s="4">
        <v>4</v>
      </c>
      <c r="G442" s="4">
        <v>111.66</v>
      </c>
      <c r="H442" s="4">
        <v>0.14000000000000001</v>
      </c>
      <c r="I442" s="4" t="s">
        <v>1996</v>
      </c>
      <c r="J442" s="10">
        <v>384.11040000000003</v>
      </c>
      <c r="K442" s="4" t="str">
        <f t="shared" si="42"/>
        <v>12-10-2024</v>
      </c>
      <c r="L442" s="4" t="str">
        <f>TEXT(Sales_Fact!$B442,"mmm")</f>
        <v>Oct</v>
      </c>
      <c r="M442" s="4">
        <f t="shared" si="43"/>
        <v>4</v>
      </c>
      <c r="N442" s="10">
        <f t="shared" si="44"/>
        <v>111.66</v>
      </c>
      <c r="O442" s="10">
        <f t="shared" si="45"/>
        <v>384.11039999999997</v>
      </c>
      <c r="P442" s="10">
        <f t="shared" si="46"/>
        <v>446.64</v>
      </c>
      <c r="Q442" s="3">
        <f t="shared" si="47"/>
        <v>0.14000000000000004</v>
      </c>
      <c r="R442" s="4" t="str">
        <f>IF(Sales_Fact!$O442&gt;1000,"High","Low")</f>
        <v>Low</v>
      </c>
      <c r="S442" s="4" t="str">
        <f>VLOOKUP(C442,Customer_Dim!$A:$N,9,FALSE())</f>
        <v>Christy Hill</v>
      </c>
      <c r="T442" s="4" t="str">
        <f>VLOOKUP(D442,Product_Dim!$A:$M,3,FALSE())</f>
        <v>Electronics</v>
      </c>
      <c r="U442" s="11" t="str">
        <f>VLOOKUP(D442,Product_Dim!$A:$M,2,FALSE())</f>
        <v>Laptop Cooling Pad</v>
      </c>
      <c r="V442" s="11" t="str">
        <f>VLOOKUP(E442,Store_Dim!$A:$E,3,FALSE())</f>
        <v>South</v>
      </c>
      <c r="W442" s="11" t="str">
        <f>VLOOKUP(C442,Customer_Dim!$A:$N,13,FALSE())</f>
        <v>Platinum</v>
      </c>
      <c r="X442" s="11" t="str">
        <f t="shared" si="48"/>
        <v>High</v>
      </c>
    </row>
    <row r="443" spans="1:24" ht="15.75" customHeight="1">
      <c r="A443" s="4" t="s">
        <v>2439</v>
      </c>
      <c r="B443" s="9">
        <v>45343</v>
      </c>
      <c r="C443" s="4" t="s">
        <v>912</v>
      </c>
      <c r="D443" s="4" t="s">
        <v>1876</v>
      </c>
      <c r="E443" s="4" t="s">
        <v>1950</v>
      </c>
      <c r="F443" s="4">
        <v>1</v>
      </c>
      <c r="G443" s="4">
        <v>413.65</v>
      </c>
      <c r="H443" s="4">
        <v>0.1</v>
      </c>
      <c r="I443" s="4" t="s">
        <v>2004</v>
      </c>
      <c r="J443" s="10">
        <v>372.28500000000003</v>
      </c>
      <c r="K443" s="4" t="str">
        <f t="shared" si="42"/>
        <v>21-02-2024</v>
      </c>
      <c r="L443" s="4" t="str">
        <f>TEXT(Sales_Fact!$B443,"mmm")</f>
        <v>Feb</v>
      </c>
      <c r="M443" s="4">
        <f t="shared" si="43"/>
        <v>1</v>
      </c>
      <c r="N443" s="10">
        <f t="shared" si="44"/>
        <v>413.65</v>
      </c>
      <c r="O443" s="10">
        <f t="shared" si="45"/>
        <v>372.28499999999997</v>
      </c>
      <c r="P443" s="10">
        <f t="shared" si="46"/>
        <v>413.65</v>
      </c>
      <c r="Q443" s="3">
        <f t="shared" si="47"/>
        <v>0.10000000000000003</v>
      </c>
      <c r="R443" s="4" t="str">
        <f>IF(Sales_Fact!$O443&gt;1000,"High","Low")</f>
        <v>Low</v>
      </c>
      <c r="S443" s="4" t="str">
        <f>VLOOKUP(C443,Customer_Dim!$A:$N,9,FALSE())</f>
        <v>Stephen Fowler</v>
      </c>
      <c r="T443" s="4" t="str">
        <f>VLOOKUP(D443,Product_Dim!$A:$M,3,FALSE())</f>
        <v>Electronics</v>
      </c>
      <c r="U443" s="11" t="str">
        <f>VLOOKUP(D443,Product_Dim!$A:$M,2,FALSE())</f>
        <v>Gaming Mouse Pad XL</v>
      </c>
      <c r="V443" s="11" t="str">
        <f>VLOOKUP(E443,Store_Dim!$A:$E,3,FALSE())</f>
        <v>South</v>
      </c>
      <c r="W443" s="11" t="str">
        <f>VLOOKUP(C443,Customer_Dim!$A:$N,13,FALSE())</f>
        <v>Platinum</v>
      </c>
      <c r="X443" s="11" t="str">
        <f t="shared" si="48"/>
        <v>Low</v>
      </c>
    </row>
    <row r="444" spans="1:24" ht="15.75" customHeight="1">
      <c r="A444" s="4" t="s">
        <v>2440</v>
      </c>
      <c r="B444" s="9">
        <v>45744</v>
      </c>
      <c r="C444" s="4" t="s">
        <v>1493</v>
      </c>
      <c r="D444" s="4" t="s">
        <v>1873</v>
      </c>
      <c r="E444" s="4" t="s">
        <v>1944</v>
      </c>
      <c r="F444" s="4">
        <v>1</v>
      </c>
      <c r="G444" s="4">
        <v>317.14999999999998</v>
      </c>
      <c r="H444" s="4">
        <v>0.24</v>
      </c>
      <c r="I444" s="4" t="s">
        <v>2004</v>
      </c>
      <c r="J444" s="10">
        <v>241.03399999999999</v>
      </c>
      <c r="K444" s="4" t="str">
        <f t="shared" si="42"/>
        <v>28-03-2025</v>
      </c>
      <c r="L444" s="4" t="str">
        <f>TEXT(Sales_Fact!$B444,"mmm")</f>
        <v>Mar</v>
      </c>
      <c r="M444" s="4">
        <f t="shared" si="43"/>
        <v>1</v>
      </c>
      <c r="N444" s="10">
        <f t="shared" si="44"/>
        <v>317.14999999999998</v>
      </c>
      <c r="O444" s="10">
        <f t="shared" si="45"/>
        <v>241.03399999999999</v>
      </c>
      <c r="P444" s="10">
        <f t="shared" si="46"/>
        <v>317.14999999999998</v>
      </c>
      <c r="Q444" s="3">
        <f t="shared" si="47"/>
        <v>0.23999999999999996</v>
      </c>
      <c r="R444" s="4" t="str">
        <f>IF(Sales_Fact!$O444&gt;1000,"High","Low")</f>
        <v>Low</v>
      </c>
      <c r="S444" s="4" t="str">
        <f>VLOOKUP(C444,Customer_Dim!$A:$N,9,FALSE())</f>
        <v>Barbara Berry</v>
      </c>
      <c r="T444" s="4" t="str">
        <f>VLOOKUP(D444,Product_Dim!$A:$M,3,FALSE())</f>
        <v>Beauty</v>
      </c>
      <c r="U444" s="11" t="str">
        <f>VLOOKUP(D444,Product_Dim!$A:$M,2,FALSE())</f>
        <v>Face Foundation Kit</v>
      </c>
      <c r="V444" s="11" t="str">
        <f>VLOOKUP(E444,Store_Dim!$A:$E,3,FALSE())</f>
        <v>South</v>
      </c>
      <c r="W444" s="11" t="str">
        <f>VLOOKUP(C444,Customer_Dim!$A:$N,13,FALSE())</f>
        <v>Platinum</v>
      </c>
      <c r="X444" s="11" t="str">
        <f t="shared" si="48"/>
        <v>Low</v>
      </c>
    </row>
    <row r="445" spans="1:24" ht="15.75" customHeight="1">
      <c r="A445" s="4" t="s">
        <v>2441</v>
      </c>
      <c r="B445" s="9">
        <v>45873</v>
      </c>
      <c r="C445" s="4" t="s">
        <v>1153</v>
      </c>
      <c r="D445" s="4" t="s">
        <v>1870</v>
      </c>
      <c r="E445" s="4" t="s">
        <v>1915</v>
      </c>
      <c r="F445" s="4">
        <v>3</v>
      </c>
      <c r="G445" s="4">
        <v>642.94000000000005</v>
      </c>
      <c r="H445" s="4">
        <v>0.05</v>
      </c>
      <c r="I445" s="4" t="s">
        <v>2004</v>
      </c>
      <c r="J445" s="10">
        <v>1832.3789999999999</v>
      </c>
      <c r="K445" s="4" t="str">
        <f t="shared" si="42"/>
        <v>04-08-2025</v>
      </c>
      <c r="L445" s="4" t="str">
        <f>TEXT(Sales_Fact!$B445,"mmm")</f>
        <v>Aug</v>
      </c>
      <c r="M445" s="4">
        <f t="shared" si="43"/>
        <v>3</v>
      </c>
      <c r="N445" s="10">
        <f t="shared" si="44"/>
        <v>642.94000000000005</v>
      </c>
      <c r="O445" s="10">
        <f t="shared" si="45"/>
        <v>1832.3790000000001</v>
      </c>
      <c r="P445" s="10">
        <f t="shared" si="46"/>
        <v>1928.8200000000002</v>
      </c>
      <c r="Q445" s="3">
        <f t="shared" si="47"/>
        <v>5.000000000000001E-2</v>
      </c>
      <c r="R445" s="4" t="str">
        <f>IF(Sales_Fact!$O445&gt;1000,"High","Low")</f>
        <v>High</v>
      </c>
      <c r="S445" s="4" t="str">
        <f>VLOOKUP(C445,Customer_Dim!$A:$N,9,FALSE())</f>
        <v>Melanie Lam</v>
      </c>
      <c r="T445" s="4" t="str">
        <f>VLOOKUP(D445,Product_Dim!$A:$M,3,FALSE())</f>
        <v>Sports</v>
      </c>
      <c r="U445" s="11" t="str">
        <f>VLOOKUP(D445,Product_Dim!$A:$M,2,FALSE())</f>
        <v>Sports Wrist Sweatbands</v>
      </c>
      <c r="V445" s="11" t="str">
        <f>VLOOKUP(E445,Store_Dim!$A:$E,3,FALSE())</f>
        <v>North</v>
      </c>
      <c r="W445" s="11" t="str">
        <f>VLOOKUP(C445,Customer_Dim!$A:$N,13,FALSE())</f>
        <v>Silver</v>
      </c>
      <c r="X445" s="11" t="str">
        <f t="shared" si="48"/>
        <v>Low</v>
      </c>
    </row>
    <row r="446" spans="1:24" ht="15.75" customHeight="1">
      <c r="A446" s="4" t="s">
        <v>2442</v>
      </c>
      <c r="B446" s="9">
        <v>45601</v>
      </c>
      <c r="C446" s="4" t="s">
        <v>479</v>
      </c>
      <c r="D446" s="4" t="s">
        <v>1776</v>
      </c>
      <c r="E446" s="4" t="s">
        <v>1947</v>
      </c>
      <c r="F446" s="4">
        <v>4</v>
      </c>
      <c r="G446" s="4">
        <v>559.59</v>
      </c>
      <c r="H446" s="4">
        <v>0.19</v>
      </c>
      <c r="I446" s="4" t="s">
        <v>2004</v>
      </c>
      <c r="J446" s="10">
        <v>1813.0716</v>
      </c>
      <c r="K446" s="4" t="str">
        <f t="shared" si="42"/>
        <v>05-11-2024</v>
      </c>
      <c r="L446" s="4" t="str">
        <f>TEXT(Sales_Fact!$B446,"mmm")</f>
        <v>Nov</v>
      </c>
      <c r="M446" s="4">
        <f t="shared" si="43"/>
        <v>4</v>
      </c>
      <c r="N446" s="10">
        <f t="shared" si="44"/>
        <v>559.59</v>
      </c>
      <c r="O446" s="10">
        <f t="shared" si="45"/>
        <v>1813.0716000000002</v>
      </c>
      <c r="P446" s="10">
        <f t="shared" si="46"/>
        <v>2238.36</v>
      </c>
      <c r="Q446" s="3">
        <f t="shared" si="47"/>
        <v>0.18999999999999995</v>
      </c>
      <c r="R446" s="4" t="str">
        <f>IF(Sales_Fact!$O446&gt;1000,"High","Low")</f>
        <v>High</v>
      </c>
      <c r="S446" s="4" t="str">
        <f>VLOOKUP(C446,Customer_Dim!$A:$N,9,FALSE())</f>
        <v>Hayley Pope</v>
      </c>
      <c r="T446" s="4" t="str">
        <f>VLOOKUP(D446,Product_Dim!$A:$M,3,FALSE())</f>
        <v>Sports</v>
      </c>
      <c r="U446" s="11" t="str">
        <f>VLOOKUP(D446,Product_Dim!$A:$M,2,FALSE())</f>
        <v>Foam Roller</v>
      </c>
      <c r="V446" s="11" t="str">
        <f>VLOOKUP(E446,Store_Dim!$A:$E,3,FALSE())</f>
        <v>East</v>
      </c>
      <c r="W446" s="11" t="str">
        <f>VLOOKUP(C446,Customer_Dim!$A:$N,13,FALSE())</f>
        <v>Bronze</v>
      </c>
      <c r="X446" s="11" t="str">
        <f t="shared" si="48"/>
        <v>High</v>
      </c>
    </row>
    <row r="447" spans="1:24" ht="15.75" customHeight="1">
      <c r="A447" s="4" t="s">
        <v>2443</v>
      </c>
      <c r="B447" s="9">
        <v>45458</v>
      </c>
      <c r="C447" s="4" t="s">
        <v>420</v>
      </c>
      <c r="D447" s="4" t="s">
        <v>1687</v>
      </c>
      <c r="E447" s="4" t="s">
        <v>1968</v>
      </c>
      <c r="F447" s="4">
        <v>1</v>
      </c>
      <c r="G447" s="4">
        <v>758.54</v>
      </c>
      <c r="H447" s="4">
        <v>0.28999999999999998</v>
      </c>
      <c r="I447" s="4" t="s">
        <v>1998</v>
      </c>
      <c r="J447" s="10">
        <v>538.5634</v>
      </c>
      <c r="K447" s="4" t="str">
        <f t="shared" si="42"/>
        <v>15-06-2024</v>
      </c>
      <c r="L447" s="4" t="str">
        <f>TEXT(Sales_Fact!$B447,"mmm")</f>
        <v>Jun</v>
      </c>
      <c r="M447" s="4">
        <f t="shared" si="43"/>
        <v>1</v>
      </c>
      <c r="N447" s="10">
        <f t="shared" si="44"/>
        <v>758.54</v>
      </c>
      <c r="O447" s="10">
        <f t="shared" si="45"/>
        <v>538.5634</v>
      </c>
      <c r="P447" s="10">
        <f t="shared" si="46"/>
        <v>758.54</v>
      </c>
      <c r="Q447" s="3">
        <f t="shared" si="47"/>
        <v>0.28999999999999998</v>
      </c>
      <c r="R447" s="4" t="str">
        <f>IF(Sales_Fact!$O447&gt;1000,"High","Low")</f>
        <v>Low</v>
      </c>
      <c r="S447" s="4" t="str">
        <f>VLOOKUP(C447,Customer_Dim!$A:$N,9,FALSE())</f>
        <v>Ryan Hernandez</v>
      </c>
      <c r="T447" s="4" t="str">
        <f>VLOOKUP(D447,Product_Dim!$A:$M,3,FALSE())</f>
        <v>Home</v>
      </c>
      <c r="U447" s="11" t="str">
        <f>VLOOKUP(D447,Product_Dim!$A:$M,2,FALSE())</f>
        <v>Fabric Sofa Throw Blanket</v>
      </c>
      <c r="V447" s="11" t="str">
        <f>VLOOKUP(E447,Store_Dim!$A:$E,3,FALSE())</f>
        <v>East</v>
      </c>
      <c r="W447" s="11" t="str">
        <f>VLOOKUP(C447,Customer_Dim!$A:$N,13,FALSE())</f>
        <v>Bronze</v>
      </c>
      <c r="X447" s="11" t="str">
        <f t="shared" si="48"/>
        <v>Low</v>
      </c>
    </row>
    <row r="448" spans="1:24" ht="15.75" customHeight="1">
      <c r="A448" s="4" t="s">
        <v>2444</v>
      </c>
      <c r="B448" s="9">
        <v>45829</v>
      </c>
      <c r="C448" s="4" t="s">
        <v>1120</v>
      </c>
      <c r="D448" s="4" t="s">
        <v>1671</v>
      </c>
      <c r="E448" s="4" t="s">
        <v>1959</v>
      </c>
      <c r="F448" s="4">
        <v>4</v>
      </c>
      <c r="G448" s="4">
        <v>403.47</v>
      </c>
      <c r="H448" s="4">
        <v>0.28999999999999998</v>
      </c>
      <c r="I448" s="4" t="s">
        <v>1998</v>
      </c>
      <c r="J448" s="10">
        <v>1145.8548000000001</v>
      </c>
      <c r="K448" s="4" t="str">
        <f t="shared" si="42"/>
        <v>21-06-2025</v>
      </c>
      <c r="L448" s="4" t="str">
        <f>TEXT(Sales_Fact!$B448,"mmm")</f>
        <v>Jun</v>
      </c>
      <c r="M448" s="4">
        <f t="shared" si="43"/>
        <v>4</v>
      </c>
      <c r="N448" s="10">
        <f t="shared" si="44"/>
        <v>403.47</v>
      </c>
      <c r="O448" s="10">
        <f t="shared" si="45"/>
        <v>1145.8548000000001</v>
      </c>
      <c r="P448" s="10">
        <f t="shared" si="46"/>
        <v>1613.88</v>
      </c>
      <c r="Q448" s="3">
        <f t="shared" si="47"/>
        <v>0.28999999999999998</v>
      </c>
      <c r="R448" s="4" t="str">
        <f>IF(Sales_Fact!$O448&gt;1000,"High","Low")</f>
        <v>High</v>
      </c>
      <c r="S448" s="4" t="str">
        <f>VLOOKUP(C448,Customer_Dim!$A:$N,9,FALSE())</f>
        <v>Sherry Cabrera</v>
      </c>
      <c r="T448" s="4" t="str">
        <f>VLOOKUP(D448,Product_Dim!$A:$M,3,FALSE())</f>
        <v>Sports</v>
      </c>
      <c r="U448" s="11" t="str">
        <f>VLOOKUP(D448,Product_Dim!$A:$M,2,FALSE())</f>
        <v>Foldable Camping Chair</v>
      </c>
      <c r="V448" s="11" t="str">
        <f>VLOOKUP(E448,Store_Dim!$A:$E,3,FALSE())</f>
        <v>North</v>
      </c>
      <c r="W448" s="11" t="str">
        <f>VLOOKUP(C448,Customer_Dim!$A:$N,13,FALSE())</f>
        <v>Silver</v>
      </c>
      <c r="X448" s="11" t="str">
        <f t="shared" si="48"/>
        <v>High</v>
      </c>
    </row>
    <row r="449" spans="1:24" ht="15.75" customHeight="1">
      <c r="A449" s="4" t="s">
        <v>2445</v>
      </c>
      <c r="B449" s="9">
        <v>45255</v>
      </c>
      <c r="C449" s="4" t="s">
        <v>592</v>
      </c>
      <c r="D449" s="4" t="s">
        <v>1876</v>
      </c>
      <c r="E449" s="4" t="s">
        <v>1931</v>
      </c>
      <c r="F449" s="4">
        <v>2</v>
      </c>
      <c r="G449" s="4">
        <v>478.85</v>
      </c>
      <c r="H449" s="4">
        <v>0.01</v>
      </c>
      <c r="I449" s="4" t="s">
        <v>2004</v>
      </c>
      <c r="J449" s="10">
        <v>948.12300000000005</v>
      </c>
      <c r="K449" s="4" t="str">
        <f t="shared" si="42"/>
        <v>25-11-2023</v>
      </c>
      <c r="L449" s="4" t="str">
        <f>TEXT(Sales_Fact!$B449,"mmm")</f>
        <v>Nov</v>
      </c>
      <c r="M449" s="4">
        <f t="shared" si="43"/>
        <v>2</v>
      </c>
      <c r="N449" s="10">
        <f t="shared" si="44"/>
        <v>478.85</v>
      </c>
      <c r="O449" s="10">
        <f t="shared" si="45"/>
        <v>948.12300000000005</v>
      </c>
      <c r="P449" s="10">
        <f t="shared" si="46"/>
        <v>957.7</v>
      </c>
      <c r="Q449" s="3">
        <f t="shared" si="47"/>
        <v>9.9999999999999985E-3</v>
      </c>
      <c r="R449" s="4" t="str">
        <f>IF(Sales_Fact!$O449&gt;1000,"High","Low")</f>
        <v>Low</v>
      </c>
      <c r="S449" s="4" t="str">
        <f>VLOOKUP(C449,Customer_Dim!$A:$N,9,FALSE())</f>
        <v>Amy Wilson</v>
      </c>
      <c r="T449" s="4" t="str">
        <f>VLOOKUP(D449,Product_Dim!$A:$M,3,FALSE())</f>
        <v>Electronics</v>
      </c>
      <c r="U449" s="11" t="str">
        <f>VLOOKUP(D449,Product_Dim!$A:$M,2,FALSE())</f>
        <v>Gaming Mouse Pad XL</v>
      </c>
      <c r="V449" s="11" t="str">
        <f>VLOOKUP(E449,Store_Dim!$A:$E,3,FALSE())</f>
        <v>North</v>
      </c>
      <c r="W449" s="11" t="str">
        <f>VLOOKUP(C449,Customer_Dim!$A:$N,13,FALSE())</f>
        <v>Platinum</v>
      </c>
      <c r="X449" s="11" t="str">
        <f t="shared" si="48"/>
        <v>Low</v>
      </c>
    </row>
    <row r="450" spans="1:24" ht="15.75" customHeight="1">
      <c r="A450" s="4" t="s">
        <v>2446</v>
      </c>
      <c r="B450" s="9">
        <v>45649</v>
      </c>
      <c r="C450" s="4" t="s">
        <v>1454</v>
      </c>
      <c r="D450" s="4" t="s">
        <v>1846</v>
      </c>
      <c r="E450" s="4" t="s">
        <v>1959</v>
      </c>
      <c r="F450" s="4">
        <v>4</v>
      </c>
      <c r="G450" s="4">
        <v>643.96</v>
      </c>
      <c r="H450" s="4">
        <v>0.16</v>
      </c>
      <c r="I450" s="4" t="s">
        <v>1998</v>
      </c>
      <c r="J450" s="10">
        <v>2163.7055999999998</v>
      </c>
      <c r="K450" s="4" t="str">
        <f t="shared" ref="K450:K513" si="49">TEXT(B450,"dd-mm-yyyy")</f>
        <v>23-12-2024</v>
      </c>
      <c r="L450" s="4" t="str">
        <f>TEXT(Sales_Fact!$B450,"mmm")</f>
        <v>Dec</v>
      </c>
      <c r="M450" s="4">
        <f t="shared" ref="M450:M513" si="50">IF(ISBLANK(F450),1,F450)</f>
        <v>4</v>
      </c>
      <c r="N450" s="10">
        <f t="shared" ref="N450:N513" si="51">ROUNDUP(IF(ISBLANK(G450),AVERAGE(C:C,G450,G:G),G450),2)</f>
        <v>643.96</v>
      </c>
      <c r="O450" s="10">
        <f t="shared" ref="O450:O513" si="52">M450*N450*(1-H450)</f>
        <v>2163.7056000000002</v>
      </c>
      <c r="P450" s="10">
        <f t="shared" ref="P450:P513" si="53">M450*N450</f>
        <v>2575.84</v>
      </c>
      <c r="Q450" s="3">
        <f t="shared" ref="Q450:Q513" si="54">(P450-O450)/P450</f>
        <v>0.15999999999999995</v>
      </c>
      <c r="R450" s="4" t="str">
        <f>IF(Sales_Fact!$O450&gt;1000,"High","Low")</f>
        <v>High</v>
      </c>
      <c r="S450" s="4" t="str">
        <f>VLOOKUP(C450,Customer_Dim!$A:$N,9,FALSE())</f>
        <v>Beth Martin</v>
      </c>
      <c r="T450" s="4" t="str">
        <f>VLOOKUP(D450,Product_Dim!$A:$M,3,FALSE())</f>
        <v>Home</v>
      </c>
      <c r="U450" s="11" t="str">
        <f>VLOOKUP(D450,Product_Dim!$A:$M,2,FALSE())</f>
        <v>Wall-Mounted Spice Rack</v>
      </c>
      <c r="V450" s="11" t="str">
        <f>VLOOKUP(E450,Store_Dim!$A:$E,3,FALSE())</f>
        <v>North</v>
      </c>
      <c r="W450" s="11" t="str">
        <f>VLOOKUP(C450,Customer_Dim!$A:$N,13,FALSE())</f>
        <v>Silver</v>
      </c>
      <c r="X450" s="11" t="str">
        <f t="shared" ref="X450:X513" si="55">IF(F450&gt;3,"High","Low")</f>
        <v>High</v>
      </c>
    </row>
    <row r="451" spans="1:24" ht="15.75" customHeight="1">
      <c r="A451" s="4" t="s">
        <v>2447</v>
      </c>
      <c r="B451" s="9">
        <v>45653</v>
      </c>
      <c r="C451" s="4" t="s">
        <v>807</v>
      </c>
      <c r="D451" s="4" t="s">
        <v>1671</v>
      </c>
      <c r="E451" s="4" t="s">
        <v>1944</v>
      </c>
      <c r="F451" s="4">
        <v>1</v>
      </c>
      <c r="G451" s="4">
        <v>882.73</v>
      </c>
      <c r="H451" s="4">
        <v>0.1</v>
      </c>
      <c r="I451" s="4" t="s">
        <v>1996</v>
      </c>
      <c r="J451" s="10">
        <v>794.45699999999999</v>
      </c>
      <c r="K451" s="4" t="str">
        <f t="shared" si="49"/>
        <v>27-12-2024</v>
      </c>
      <c r="L451" s="4" t="str">
        <f>TEXT(Sales_Fact!$B451,"mmm")</f>
        <v>Dec</v>
      </c>
      <c r="M451" s="4">
        <f t="shared" si="50"/>
        <v>1</v>
      </c>
      <c r="N451" s="10">
        <f t="shared" si="51"/>
        <v>882.73</v>
      </c>
      <c r="O451" s="10">
        <f t="shared" si="52"/>
        <v>794.45699999999999</v>
      </c>
      <c r="P451" s="10">
        <f t="shared" si="53"/>
        <v>882.73</v>
      </c>
      <c r="Q451" s="3">
        <f t="shared" si="54"/>
        <v>0.10000000000000002</v>
      </c>
      <c r="R451" s="4" t="str">
        <f>IF(Sales_Fact!$O451&gt;1000,"High","Low")</f>
        <v>Low</v>
      </c>
      <c r="S451" s="4" t="str">
        <f>VLOOKUP(C451,Customer_Dim!$A:$N,9,FALSE())</f>
        <v>Brian Hammond</v>
      </c>
      <c r="T451" s="4" t="str">
        <f>VLOOKUP(D451,Product_Dim!$A:$M,3,FALSE())</f>
        <v>Sports</v>
      </c>
      <c r="U451" s="11" t="str">
        <f>VLOOKUP(D451,Product_Dim!$A:$M,2,FALSE())</f>
        <v>Foldable Camping Chair</v>
      </c>
      <c r="V451" s="11" t="str">
        <f>VLOOKUP(E451,Store_Dim!$A:$E,3,FALSE())</f>
        <v>South</v>
      </c>
      <c r="W451" s="11" t="str">
        <f>VLOOKUP(C451,Customer_Dim!$A:$N,13,FALSE())</f>
        <v>Gold</v>
      </c>
      <c r="X451" s="11" t="str">
        <f t="shared" si="55"/>
        <v>Low</v>
      </c>
    </row>
    <row r="452" spans="1:24" ht="15.75" customHeight="1">
      <c r="A452" s="4" t="s">
        <v>2448</v>
      </c>
      <c r="B452" s="9">
        <v>45378</v>
      </c>
      <c r="C452" s="4" t="s">
        <v>1051</v>
      </c>
      <c r="D452" s="4" t="s">
        <v>1879</v>
      </c>
      <c r="E452" s="4" t="s">
        <v>1971</v>
      </c>
      <c r="F452" s="4">
        <v>2</v>
      </c>
      <c r="G452" s="4">
        <v>600.03</v>
      </c>
      <c r="H452" s="4">
        <v>0.26</v>
      </c>
      <c r="I452" s="4" t="s">
        <v>1998</v>
      </c>
      <c r="J452" s="10">
        <v>888.0444</v>
      </c>
      <c r="K452" s="4" t="str">
        <f t="shared" si="49"/>
        <v>27-03-2024</v>
      </c>
      <c r="L452" s="4" t="str">
        <f>TEXT(Sales_Fact!$B452,"mmm")</f>
        <v>Mar</v>
      </c>
      <c r="M452" s="4">
        <f t="shared" si="50"/>
        <v>2</v>
      </c>
      <c r="N452" s="10">
        <f t="shared" si="51"/>
        <v>600.03</v>
      </c>
      <c r="O452" s="10">
        <f t="shared" si="52"/>
        <v>888.0444</v>
      </c>
      <c r="P452" s="10">
        <f t="shared" si="53"/>
        <v>1200.06</v>
      </c>
      <c r="Q452" s="3">
        <f t="shared" si="54"/>
        <v>0.25999999999999995</v>
      </c>
      <c r="R452" s="4" t="str">
        <f>IF(Sales_Fact!$O452&gt;1000,"High","Low")</f>
        <v>Low</v>
      </c>
      <c r="S452" s="4" t="str">
        <f>VLOOKUP(C452,Customer_Dim!$A:$N,9,FALSE())</f>
        <v>Andrew Smith</v>
      </c>
      <c r="T452" s="4" t="str">
        <f>VLOOKUP(D452,Product_Dim!$A:$M,3,FALSE())</f>
        <v>Clothing</v>
      </c>
      <c r="U452" s="11" t="str">
        <f>VLOOKUP(D452,Product_Dim!$A:$M,2,FALSE())</f>
        <v>Women's High Heels</v>
      </c>
      <c r="V452" s="11" t="str">
        <f>VLOOKUP(E452,Store_Dim!$A:$E,3,FALSE())</f>
        <v>East</v>
      </c>
      <c r="W452" s="11" t="str">
        <f>VLOOKUP(C452,Customer_Dim!$A:$N,13,FALSE())</f>
        <v>Bronze</v>
      </c>
      <c r="X452" s="11" t="str">
        <f t="shared" si="55"/>
        <v>Low</v>
      </c>
    </row>
    <row r="453" spans="1:24" ht="15.75" customHeight="1">
      <c r="A453" s="4" t="s">
        <v>2449</v>
      </c>
      <c r="B453" s="9">
        <v>45638</v>
      </c>
      <c r="C453" s="4" t="s">
        <v>550</v>
      </c>
      <c r="D453" s="4" t="s">
        <v>1767</v>
      </c>
      <c r="E453" s="4" t="s">
        <v>1931</v>
      </c>
      <c r="F453" s="4">
        <v>2</v>
      </c>
      <c r="G453" s="4">
        <v>628.83000000000004</v>
      </c>
      <c r="H453" s="4">
        <v>7.0000000000000007E-2</v>
      </c>
      <c r="I453" s="4" t="s">
        <v>1998</v>
      </c>
      <c r="J453" s="10">
        <v>1169.6238000000001</v>
      </c>
      <c r="K453" s="4" t="str">
        <f t="shared" si="49"/>
        <v>12-12-2024</v>
      </c>
      <c r="L453" s="4" t="str">
        <f>TEXT(Sales_Fact!$B453,"mmm")</f>
        <v>Dec</v>
      </c>
      <c r="M453" s="4">
        <f t="shared" si="50"/>
        <v>2</v>
      </c>
      <c r="N453" s="10">
        <f t="shared" si="51"/>
        <v>628.83000000000004</v>
      </c>
      <c r="O453" s="10">
        <f t="shared" si="52"/>
        <v>1169.6238000000001</v>
      </c>
      <c r="P453" s="10">
        <f t="shared" si="53"/>
        <v>1257.6600000000001</v>
      </c>
      <c r="Q453" s="3">
        <f t="shared" si="54"/>
        <v>7.0000000000000007E-2</v>
      </c>
      <c r="R453" s="4" t="str">
        <f>IF(Sales_Fact!$O453&gt;1000,"High","Low")</f>
        <v>High</v>
      </c>
      <c r="S453" s="4" t="str">
        <f>VLOOKUP(C453,Customer_Dim!$A:$N,9,FALSE())</f>
        <v>Paul Zamora</v>
      </c>
      <c r="T453" s="4" t="str">
        <f>VLOOKUP(D453,Product_Dim!$A:$M,3,FALSE())</f>
        <v>Sports</v>
      </c>
      <c r="U453" s="11" t="str">
        <f>VLOOKUP(D453,Product_Dim!$A:$M,2,FALSE())</f>
        <v>Sports Stopwatch Pro</v>
      </c>
      <c r="V453" s="11" t="str">
        <f>VLOOKUP(E453,Store_Dim!$A:$E,3,FALSE())</f>
        <v>North</v>
      </c>
      <c r="W453" s="11" t="str">
        <f>VLOOKUP(C453,Customer_Dim!$A:$N,13,FALSE())</f>
        <v>Platinum</v>
      </c>
      <c r="X453" s="11" t="str">
        <f t="shared" si="55"/>
        <v>Low</v>
      </c>
    </row>
    <row r="454" spans="1:24" ht="15.75" customHeight="1">
      <c r="A454" s="4" t="s">
        <v>2450</v>
      </c>
      <c r="B454" s="9">
        <v>45277</v>
      </c>
      <c r="C454" s="4" t="s">
        <v>604</v>
      </c>
      <c r="D454" s="4" t="s">
        <v>1849</v>
      </c>
      <c r="E454" s="4" t="s">
        <v>1944</v>
      </c>
      <c r="F454" s="4">
        <v>3</v>
      </c>
      <c r="G454" s="4">
        <v>113.87</v>
      </c>
      <c r="H454" s="4">
        <v>0.21</v>
      </c>
      <c r="I454" s="4" t="s">
        <v>2004</v>
      </c>
      <c r="J454" s="10">
        <v>269.87189999999998</v>
      </c>
      <c r="K454" s="4" t="str">
        <f t="shared" si="49"/>
        <v>17-12-2023</v>
      </c>
      <c r="L454" s="4" t="str">
        <f>TEXT(Sales_Fact!$B454,"mmm")</f>
        <v>Dec</v>
      </c>
      <c r="M454" s="4">
        <f t="shared" si="50"/>
        <v>3</v>
      </c>
      <c r="N454" s="10">
        <f t="shared" si="51"/>
        <v>113.87</v>
      </c>
      <c r="O454" s="10">
        <f t="shared" si="52"/>
        <v>269.87190000000004</v>
      </c>
      <c r="P454" s="10">
        <f t="shared" si="53"/>
        <v>341.61</v>
      </c>
      <c r="Q454" s="3">
        <f t="shared" si="54"/>
        <v>0.20999999999999991</v>
      </c>
      <c r="R454" s="4" t="str">
        <f>IF(Sales_Fact!$O454&gt;1000,"High","Low")</f>
        <v>Low</v>
      </c>
      <c r="S454" s="4" t="str">
        <f>VLOOKUP(C454,Customer_Dim!$A:$N,9,FALSE())</f>
        <v>Michelle Rogers</v>
      </c>
      <c r="T454" s="4" t="str">
        <f>VLOOKUP(D454,Product_Dim!$A:$M,3,FALSE())</f>
        <v>Sports</v>
      </c>
      <c r="U454" s="11" t="str">
        <f>VLOOKUP(D454,Product_Dim!$A:$M,2,FALSE())</f>
        <v>Badminton Racket Set</v>
      </c>
      <c r="V454" s="11" t="str">
        <f>VLOOKUP(E454,Store_Dim!$A:$E,3,FALSE())</f>
        <v>South</v>
      </c>
      <c r="W454" s="11" t="str">
        <f>VLOOKUP(C454,Customer_Dim!$A:$N,13,FALSE())</f>
        <v>Platinum</v>
      </c>
      <c r="X454" s="11" t="str">
        <f t="shared" si="55"/>
        <v>Low</v>
      </c>
    </row>
    <row r="455" spans="1:24" ht="15.75" customHeight="1">
      <c r="A455" s="4" t="s">
        <v>2451</v>
      </c>
      <c r="B455" s="9">
        <v>45351</v>
      </c>
      <c r="C455" s="4" t="s">
        <v>1327</v>
      </c>
      <c r="D455" s="4" t="s">
        <v>1822</v>
      </c>
      <c r="E455" s="4" t="s">
        <v>1937</v>
      </c>
      <c r="F455" s="4">
        <v>4</v>
      </c>
      <c r="G455" s="4">
        <v>282.07</v>
      </c>
      <c r="H455" s="4">
        <v>0.18</v>
      </c>
      <c r="I455" s="4" t="s">
        <v>1998</v>
      </c>
      <c r="J455" s="10">
        <v>925.18960000000004</v>
      </c>
      <c r="K455" s="4" t="str">
        <f t="shared" si="49"/>
        <v>29-02-2024</v>
      </c>
      <c r="L455" s="4" t="str">
        <f>TEXT(Sales_Fact!$B455,"mmm")</f>
        <v>Feb</v>
      </c>
      <c r="M455" s="4">
        <f t="shared" si="50"/>
        <v>4</v>
      </c>
      <c r="N455" s="10">
        <f t="shared" si="51"/>
        <v>282.07</v>
      </c>
      <c r="O455" s="10">
        <f t="shared" si="52"/>
        <v>925.18960000000004</v>
      </c>
      <c r="P455" s="10">
        <f t="shared" si="53"/>
        <v>1128.28</v>
      </c>
      <c r="Q455" s="3">
        <f t="shared" si="54"/>
        <v>0.17999999999999994</v>
      </c>
      <c r="R455" s="4" t="str">
        <f>IF(Sales_Fact!$O455&gt;1000,"High","Low")</f>
        <v>Low</v>
      </c>
      <c r="S455" s="4" t="str">
        <f>VLOOKUP(C455,Customer_Dim!$A:$N,9,FALSE())</f>
        <v>Luke Parks</v>
      </c>
      <c r="T455" s="4" t="str">
        <f>VLOOKUP(D455,Product_Dim!$A:$M,3,FALSE())</f>
        <v>Sports</v>
      </c>
      <c r="U455" s="11" t="str">
        <f>VLOOKUP(D455,Product_Dim!$A:$M,2,FALSE())</f>
        <v>Professional Jump Rope</v>
      </c>
      <c r="V455" s="11" t="str">
        <f>VLOOKUP(E455,Store_Dim!$A:$E,3,FALSE())</f>
        <v>South</v>
      </c>
      <c r="W455" s="11" t="str">
        <f>VLOOKUP(C455,Customer_Dim!$A:$N,13,FALSE())</f>
        <v>Silver</v>
      </c>
      <c r="X455" s="11" t="str">
        <f t="shared" si="55"/>
        <v>High</v>
      </c>
    </row>
    <row r="456" spans="1:24" ht="15.75" customHeight="1">
      <c r="A456" s="4" t="s">
        <v>2452</v>
      </c>
      <c r="B456" s="9">
        <v>45290</v>
      </c>
      <c r="C456" s="4" t="s">
        <v>547</v>
      </c>
      <c r="D456" s="4" t="s">
        <v>1767</v>
      </c>
      <c r="E456" s="4" t="s">
        <v>1934</v>
      </c>
      <c r="F456" s="4">
        <v>3</v>
      </c>
      <c r="G456" s="4">
        <v>676.77</v>
      </c>
      <c r="H456" s="4">
        <v>0.17</v>
      </c>
      <c r="I456" s="4" t="s">
        <v>1998</v>
      </c>
      <c r="J456" s="10">
        <v>1685.1573000000001</v>
      </c>
      <c r="K456" s="4" t="str">
        <f t="shared" si="49"/>
        <v>30-12-2023</v>
      </c>
      <c r="L456" s="4" t="str">
        <f>TEXT(Sales_Fact!$B456,"mmm")</f>
        <v>Dec</v>
      </c>
      <c r="M456" s="4">
        <f t="shared" si="50"/>
        <v>3</v>
      </c>
      <c r="N456" s="10">
        <f t="shared" si="51"/>
        <v>676.77</v>
      </c>
      <c r="O456" s="10">
        <f t="shared" si="52"/>
        <v>1685.1572999999999</v>
      </c>
      <c r="P456" s="10">
        <f t="shared" si="53"/>
        <v>2030.31</v>
      </c>
      <c r="Q456" s="3">
        <f t="shared" si="54"/>
        <v>0.17000000000000004</v>
      </c>
      <c r="R456" s="4" t="str">
        <f>IF(Sales_Fact!$O456&gt;1000,"High","Low")</f>
        <v>High</v>
      </c>
      <c r="S456" s="4" t="str">
        <f>VLOOKUP(C456,Customer_Dim!$A:$N,9,FALSE())</f>
        <v>Maria Sanchez</v>
      </c>
      <c r="T456" s="4" t="str">
        <f>VLOOKUP(D456,Product_Dim!$A:$M,3,FALSE())</f>
        <v>Sports</v>
      </c>
      <c r="U456" s="11" t="str">
        <f>VLOOKUP(D456,Product_Dim!$A:$M,2,FALSE())</f>
        <v>Sports Stopwatch Pro</v>
      </c>
      <c r="V456" s="11" t="str">
        <f>VLOOKUP(E456,Store_Dim!$A:$E,3,FALSE())</f>
        <v>East</v>
      </c>
      <c r="W456" s="11" t="str">
        <f>VLOOKUP(C456,Customer_Dim!$A:$N,13,FALSE())</f>
        <v>Bronze</v>
      </c>
      <c r="X456" s="11" t="str">
        <f t="shared" si="55"/>
        <v>Low</v>
      </c>
    </row>
    <row r="457" spans="1:24" ht="15.75" customHeight="1">
      <c r="A457" s="4" t="s">
        <v>2453</v>
      </c>
      <c r="B457" s="9">
        <v>45638</v>
      </c>
      <c r="C457" s="4" t="s">
        <v>739</v>
      </c>
      <c r="D457" s="4" t="s">
        <v>1608</v>
      </c>
      <c r="E457" s="4" t="s">
        <v>1962</v>
      </c>
      <c r="F457" s="4">
        <v>2</v>
      </c>
      <c r="G457" s="4">
        <v>362.7</v>
      </c>
      <c r="H457" s="4">
        <v>0.09</v>
      </c>
      <c r="I457" s="4" t="s">
        <v>1996</v>
      </c>
      <c r="J457" s="10">
        <v>660.11400000000003</v>
      </c>
      <c r="K457" s="4" t="str">
        <f t="shared" si="49"/>
        <v>12-12-2024</v>
      </c>
      <c r="L457" s="4" t="str">
        <f>TEXT(Sales_Fact!$B457,"mmm")</f>
        <v>Dec</v>
      </c>
      <c r="M457" s="4">
        <f t="shared" si="50"/>
        <v>2</v>
      </c>
      <c r="N457" s="10">
        <f t="shared" si="51"/>
        <v>362.7</v>
      </c>
      <c r="O457" s="10">
        <f t="shared" si="52"/>
        <v>660.11400000000003</v>
      </c>
      <c r="P457" s="10">
        <f t="shared" si="53"/>
        <v>725.4</v>
      </c>
      <c r="Q457" s="3">
        <f t="shared" si="54"/>
        <v>8.9999999999999927E-2</v>
      </c>
      <c r="R457" s="4" t="str">
        <f>IF(Sales_Fact!$O457&gt;1000,"High","Low")</f>
        <v>Low</v>
      </c>
      <c r="S457" s="4" t="str">
        <f>VLOOKUP(C457,Customer_Dim!$A:$N,9,FALSE())</f>
        <v>George Davis</v>
      </c>
      <c r="T457" s="4" t="str">
        <f>VLOOKUP(D457,Product_Dim!$A:$M,3,FALSE())</f>
        <v>Home</v>
      </c>
      <c r="U457" s="11" t="str">
        <f>VLOOKUP(D457,Product_Dim!$A:$M,2,FALSE())</f>
        <v>LED Table Lamp</v>
      </c>
      <c r="V457" s="11" t="str">
        <f>VLOOKUP(E457,Store_Dim!$A:$E,3,FALSE())</f>
        <v>West</v>
      </c>
      <c r="W457" s="11" t="str">
        <f>VLOOKUP(C457,Customer_Dim!$A:$N,13,FALSE())</f>
        <v>Bronze</v>
      </c>
      <c r="X457" s="11" t="str">
        <f t="shared" si="55"/>
        <v>Low</v>
      </c>
    </row>
    <row r="458" spans="1:24" ht="15.75" customHeight="1">
      <c r="A458" s="4" t="s">
        <v>2454</v>
      </c>
      <c r="B458" s="9">
        <v>45679</v>
      </c>
      <c r="C458" s="4" t="s">
        <v>485</v>
      </c>
      <c r="D458" s="4" t="s">
        <v>1633</v>
      </c>
      <c r="E458" s="4" t="s">
        <v>1919</v>
      </c>
      <c r="F458" s="4">
        <v>1</v>
      </c>
      <c r="G458" s="4">
        <v>908.5</v>
      </c>
      <c r="H458" s="4">
        <v>0.2</v>
      </c>
      <c r="I458" s="4" t="s">
        <v>2004</v>
      </c>
      <c r="J458" s="10">
        <v>726.8</v>
      </c>
      <c r="K458" s="4" t="str">
        <f t="shared" si="49"/>
        <v>22-01-2025</v>
      </c>
      <c r="L458" s="4" t="str">
        <f>TEXT(Sales_Fact!$B458,"mmm")</f>
        <v>Jan</v>
      </c>
      <c r="M458" s="4">
        <f t="shared" si="50"/>
        <v>1</v>
      </c>
      <c r="N458" s="10">
        <f t="shared" si="51"/>
        <v>908.5</v>
      </c>
      <c r="O458" s="10">
        <f t="shared" si="52"/>
        <v>726.80000000000007</v>
      </c>
      <c r="P458" s="10">
        <f t="shared" si="53"/>
        <v>908.5</v>
      </c>
      <c r="Q458" s="3">
        <f t="shared" si="54"/>
        <v>0.19999999999999993</v>
      </c>
      <c r="R458" s="4" t="str">
        <f>IF(Sales_Fact!$O458&gt;1000,"High","Low")</f>
        <v>Low</v>
      </c>
      <c r="S458" s="4" t="str">
        <f>VLOOKUP(C458,Customer_Dim!$A:$N,9,FALSE())</f>
        <v>Matthew Hanna</v>
      </c>
      <c r="T458" s="4" t="str">
        <f>VLOOKUP(D458,Product_Dim!$A:$M,3,FALSE())</f>
        <v>Electronics</v>
      </c>
      <c r="U458" s="11" t="str">
        <f>VLOOKUP(D458,Product_Dim!$A:$M,2,FALSE())</f>
        <v>USB-C Fast Charger</v>
      </c>
      <c r="V458" s="11" t="str">
        <f>VLOOKUP(E458,Store_Dim!$A:$E,3,FALSE())</f>
        <v>South</v>
      </c>
      <c r="W458" s="11" t="str">
        <f>VLOOKUP(C458,Customer_Dim!$A:$N,13,FALSE())</f>
        <v>Platinum</v>
      </c>
      <c r="X458" s="11" t="str">
        <f t="shared" si="55"/>
        <v>Low</v>
      </c>
    </row>
    <row r="459" spans="1:24" ht="15.75" customHeight="1">
      <c r="A459" s="4" t="s">
        <v>2455</v>
      </c>
      <c r="B459" s="9">
        <v>45296</v>
      </c>
      <c r="C459" s="4" t="s">
        <v>268</v>
      </c>
      <c r="D459" s="4" t="s">
        <v>1675</v>
      </c>
      <c r="E459" s="4" t="s">
        <v>1959</v>
      </c>
      <c r="F459" s="4">
        <v>2</v>
      </c>
      <c r="G459" s="4">
        <v>795.37</v>
      </c>
      <c r="H459" s="4">
        <v>0.2</v>
      </c>
      <c r="I459" s="4" t="s">
        <v>2004</v>
      </c>
      <c r="J459" s="10">
        <v>1272.5920000000001</v>
      </c>
      <c r="K459" s="4" t="str">
        <f t="shared" si="49"/>
        <v>05-01-2024</v>
      </c>
      <c r="L459" s="4" t="str">
        <f>TEXT(Sales_Fact!$B459,"mmm")</f>
        <v>Jan</v>
      </c>
      <c r="M459" s="4">
        <f t="shared" si="50"/>
        <v>2</v>
      </c>
      <c r="N459" s="10">
        <f t="shared" si="51"/>
        <v>795.37</v>
      </c>
      <c r="O459" s="10">
        <f t="shared" si="52"/>
        <v>1272.5920000000001</v>
      </c>
      <c r="P459" s="10">
        <f t="shared" si="53"/>
        <v>1590.74</v>
      </c>
      <c r="Q459" s="3">
        <f t="shared" si="54"/>
        <v>0.19999999999999996</v>
      </c>
      <c r="R459" s="4" t="str">
        <f>IF(Sales_Fact!$O459&gt;1000,"High","Low")</f>
        <v>High</v>
      </c>
      <c r="S459" s="4" t="str">
        <f>VLOOKUP(C459,Customer_Dim!$A:$N,9,FALSE())</f>
        <v>Amber Mcclain</v>
      </c>
      <c r="T459" s="4" t="str">
        <f>VLOOKUP(D459,Product_Dim!$A:$M,3,FALSE())</f>
        <v>Clothing</v>
      </c>
      <c r="U459" s="11" t="str">
        <f>VLOOKUP(D459,Product_Dim!$A:$M,2,FALSE())</f>
        <v>Women's Scarf Set</v>
      </c>
      <c r="V459" s="11" t="str">
        <f>VLOOKUP(E459,Store_Dim!$A:$E,3,FALSE())</f>
        <v>North</v>
      </c>
      <c r="W459" s="11" t="str">
        <f>VLOOKUP(C459,Customer_Dim!$A:$N,13,FALSE())</f>
        <v>Silver</v>
      </c>
      <c r="X459" s="11" t="str">
        <f t="shared" si="55"/>
        <v>Low</v>
      </c>
    </row>
    <row r="460" spans="1:24" ht="15.75" customHeight="1">
      <c r="A460" s="4" t="s">
        <v>2456</v>
      </c>
      <c r="B460" s="9">
        <v>45718</v>
      </c>
      <c r="C460" s="4" t="s">
        <v>417</v>
      </c>
      <c r="D460" s="4" t="s">
        <v>1744</v>
      </c>
      <c r="E460" s="4" t="s">
        <v>1910</v>
      </c>
      <c r="F460" s="4">
        <v>1</v>
      </c>
      <c r="G460" s="4">
        <v>503.95</v>
      </c>
      <c r="H460" s="4">
        <v>0.26</v>
      </c>
      <c r="I460" s="4" t="s">
        <v>2004</v>
      </c>
      <c r="J460" s="10">
        <v>372.923</v>
      </c>
      <c r="K460" s="4" t="str">
        <f t="shared" si="49"/>
        <v>02-03-2025</v>
      </c>
      <c r="L460" s="4" t="str">
        <f>TEXT(Sales_Fact!$B460,"mmm")</f>
        <v>Mar</v>
      </c>
      <c r="M460" s="4">
        <f t="shared" si="50"/>
        <v>1</v>
      </c>
      <c r="N460" s="10">
        <f t="shared" si="51"/>
        <v>503.95</v>
      </c>
      <c r="O460" s="10">
        <f t="shared" si="52"/>
        <v>372.923</v>
      </c>
      <c r="P460" s="10">
        <f t="shared" si="53"/>
        <v>503.95</v>
      </c>
      <c r="Q460" s="3">
        <f t="shared" si="54"/>
        <v>0.25999999999999995</v>
      </c>
      <c r="R460" s="4" t="str">
        <f>IF(Sales_Fact!$O460&gt;1000,"High","Low")</f>
        <v>Low</v>
      </c>
      <c r="S460" s="4" t="str">
        <f>VLOOKUP(C460,Customer_Dim!$A:$N,9,FALSE())</f>
        <v>Edward Hall</v>
      </c>
      <c r="T460" s="4" t="str">
        <f>VLOOKUP(D460,Product_Dim!$A:$M,3,FALSE())</f>
        <v>Beauty</v>
      </c>
      <c r="U460" s="11" t="str">
        <f>VLOOKUP(D460,Product_Dim!$A:$M,2,FALSE())</f>
        <v>Makeup Brush Set</v>
      </c>
      <c r="V460" s="11" t="str">
        <f>VLOOKUP(E460,Store_Dim!$A:$E,3,FALSE())</f>
        <v>East</v>
      </c>
      <c r="W460" s="11" t="str">
        <f>VLOOKUP(C460,Customer_Dim!$A:$N,13,FALSE())</f>
        <v>Gold</v>
      </c>
      <c r="X460" s="11" t="str">
        <f t="shared" si="55"/>
        <v>Low</v>
      </c>
    </row>
    <row r="461" spans="1:24" ht="15.75" customHeight="1">
      <c r="A461" s="4" t="s">
        <v>2457</v>
      </c>
      <c r="B461" s="9">
        <v>45760</v>
      </c>
      <c r="C461" s="4" t="s">
        <v>511</v>
      </c>
      <c r="D461" s="4" t="s">
        <v>1706</v>
      </c>
      <c r="E461" s="4" t="s">
        <v>1927</v>
      </c>
      <c r="F461" s="4">
        <v>2</v>
      </c>
      <c r="G461" s="4">
        <v>326.85000000000002</v>
      </c>
      <c r="H461" s="4">
        <v>0.17</v>
      </c>
      <c r="I461" s="4" t="s">
        <v>2004</v>
      </c>
      <c r="J461" s="10">
        <v>542.57100000000003</v>
      </c>
      <c r="K461" s="4" t="str">
        <f t="shared" si="49"/>
        <v>13-04-2025</v>
      </c>
      <c r="L461" s="4" t="str">
        <f>TEXT(Sales_Fact!$B461,"mmm")</f>
        <v>Apr</v>
      </c>
      <c r="M461" s="4">
        <f t="shared" si="50"/>
        <v>2</v>
      </c>
      <c r="N461" s="10">
        <f t="shared" si="51"/>
        <v>326.85000000000002</v>
      </c>
      <c r="O461" s="10">
        <f t="shared" si="52"/>
        <v>542.57100000000003</v>
      </c>
      <c r="P461" s="10">
        <f t="shared" si="53"/>
        <v>653.70000000000005</v>
      </c>
      <c r="Q461" s="3">
        <f t="shared" si="54"/>
        <v>0.17</v>
      </c>
      <c r="R461" s="4" t="str">
        <f>IF(Sales_Fact!$O461&gt;1000,"High","Low")</f>
        <v>Low</v>
      </c>
      <c r="S461" s="4" t="str">
        <f>VLOOKUP(C461,Customer_Dim!$A:$N,9,FALSE())</f>
        <v>Justin Cross</v>
      </c>
      <c r="T461" s="4" t="str">
        <f>VLOOKUP(D461,Product_Dim!$A:$M,3,FALSE())</f>
        <v>Home</v>
      </c>
      <c r="U461" s="11" t="str">
        <f>VLOOKUP(D461,Product_Dim!$A:$M,2,FALSE())</f>
        <v>Bedroom Table Lamp</v>
      </c>
      <c r="V461" s="11" t="str">
        <f>VLOOKUP(E461,Store_Dim!$A:$E,3,FALSE())</f>
        <v>South</v>
      </c>
      <c r="W461" s="11" t="str">
        <f>VLOOKUP(C461,Customer_Dim!$A:$N,13,FALSE())</f>
        <v>Bronze</v>
      </c>
      <c r="X461" s="11" t="str">
        <f t="shared" si="55"/>
        <v>Low</v>
      </c>
    </row>
    <row r="462" spans="1:24" ht="15.75" customHeight="1">
      <c r="A462" s="4" t="s">
        <v>2458</v>
      </c>
      <c r="B462" s="9">
        <v>45603</v>
      </c>
      <c r="C462" s="4" t="s">
        <v>1126</v>
      </c>
      <c r="D462" s="4" t="s">
        <v>1773</v>
      </c>
      <c r="E462" s="4" t="s">
        <v>1957</v>
      </c>
      <c r="F462" s="4">
        <v>3</v>
      </c>
      <c r="G462" s="4">
        <v>169.43</v>
      </c>
      <c r="H462" s="4">
        <v>0.19</v>
      </c>
      <c r="I462" s="4" t="s">
        <v>1996</v>
      </c>
      <c r="J462" s="10">
        <v>411.7149</v>
      </c>
      <c r="K462" s="4" t="str">
        <f t="shared" si="49"/>
        <v>07-11-2024</v>
      </c>
      <c r="L462" s="4" t="str">
        <f>TEXT(Sales_Fact!$B462,"mmm")</f>
        <v>Nov</v>
      </c>
      <c r="M462" s="4">
        <f t="shared" si="50"/>
        <v>3</v>
      </c>
      <c r="N462" s="10">
        <f t="shared" si="51"/>
        <v>169.43</v>
      </c>
      <c r="O462" s="10">
        <f t="shared" si="52"/>
        <v>411.71490000000006</v>
      </c>
      <c r="P462" s="10">
        <f t="shared" si="53"/>
        <v>508.29</v>
      </c>
      <c r="Q462" s="3">
        <f t="shared" si="54"/>
        <v>0.18999999999999992</v>
      </c>
      <c r="R462" s="4" t="str">
        <f>IF(Sales_Fact!$O462&gt;1000,"High","Low")</f>
        <v>Low</v>
      </c>
      <c r="S462" s="4" t="str">
        <f>VLOOKUP(C462,Customer_Dim!$A:$N,9,FALSE())</f>
        <v>Charles Miller</v>
      </c>
      <c r="T462" s="4" t="str">
        <f>VLOOKUP(D462,Product_Dim!$A:$M,3,FALSE())</f>
        <v>Home</v>
      </c>
      <c r="U462" s="11" t="str">
        <f>VLOOKUP(D462,Product_Dim!$A:$M,2,FALSE())</f>
        <v>Premium Blanket Throw</v>
      </c>
      <c r="V462" s="11" t="str">
        <f>VLOOKUP(E462,Store_Dim!$A:$E,3,FALSE())</f>
        <v>South</v>
      </c>
      <c r="W462" s="11" t="str">
        <f>VLOOKUP(C462,Customer_Dim!$A:$N,13,FALSE())</f>
        <v>Silver</v>
      </c>
      <c r="X462" s="11" t="str">
        <f t="shared" si="55"/>
        <v>Low</v>
      </c>
    </row>
    <row r="463" spans="1:24" ht="15.75" customHeight="1">
      <c r="A463" s="4" t="s">
        <v>2459</v>
      </c>
      <c r="B463" s="9">
        <v>45413</v>
      </c>
      <c r="C463" s="4" t="s">
        <v>568</v>
      </c>
      <c r="D463" s="4" t="s">
        <v>1855</v>
      </c>
      <c r="E463" s="4" t="s">
        <v>1934</v>
      </c>
      <c r="F463" s="4">
        <v>1</v>
      </c>
      <c r="G463" s="4">
        <v>254.47</v>
      </c>
      <c r="H463" s="4">
        <v>0.1</v>
      </c>
      <c r="I463" s="4" t="s">
        <v>1996</v>
      </c>
      <c r="J463" s="10">
        <v>229.023</v>
      </c>
      <c r="K463" s="4" t="str">
        <f t="shared" si="49"/>
        <v>01-05-2024</v>
      </c>
      <c r="L463" s="4" t="str">
        <f>TEXT(Sales_Fact!$B463,"mmm")</f>
        <v>May</v>
      </c>
      <c r="M463" s="4">
        <f t="shared" si="50"/>
        <v>1</v>
      </c>
      <c r="N463" s="10">
        <f t="shared" si="51"/>
        <v>254.47</v>
      </c>
      <c r="O463" s="10">
        <f t="shared" si="52"/>
        <v>229.023</v>
      </c>
      <c r="P463" s="10">
        <f t="shared" si="53"/>
        <v>254.47</v>
      </c>
      <c r="Q463" s="3">
        <f t="shared" si="54"/>
        <v>0.1</v>
      </c>
      <c r="R463" s="4" t="str">
        <f>IF(Sales_Fact!$O463&gt;1000,"High","Low")</f>
        <v>Low</v>
      </c>
      <c r="S463" s="4" t="str">
        <f>VLOOKUP(C463,Customer_Dim!$A:$N,9,FALSE())</f>
        <v>Joseph Jones</v>
      </c>
      <c r="T463" s="4" t="str">
        <f>VLOOKUP(D463,Product_Dim!$A:$M,3,FALSE())</f>
        <v>Beauty</v>
      </c>
      <c r="U463" s="11" t="str">
        <f>VLOOKUP(D463,Product_Dim!$A:$M,2,FALSE())</f>
        <v>Hydrating Face Cleanser</v>
      </c>
      <c r="V463" s="11" t="str">
        <f>VLOOKUP(E463,Store_Dim!$A:$E,3,FALSE())</f>
        <v>East</v>
      </c>
      <c r="W463" s="11" t="str">
        <f>VLOOKUP(C463,Customer_Dim!$A:$N,13,FALSE())</f>
        <v>Bronze</v>
      </c>
      <c r="X463" s="11" t="str">
        <f t="shared" si="55"/>
        <v>Low</v>
      </c>
    </row>
    <row r="464" spans="1:24" ht="15.75" customHeight="1">
      <c r="A464" s="4" t="s">
        <v>2460</v>
      </c>
      <c r="B464" s="9">
        <v>45506</v>
      </c>
      <c r="C464" s="4" t="s">
        <v>1327</v>
      </c>
      <c r="D464" s="4" t="s">
        <v>1675</v>
      </c>
      <c r="E464" s="4" t="s">
        <v>1962</v>
      </c>
      <c r="F464" s="4">
        <v>4</v>
      </c>
      <c r="G464" s="4">
        <v>627.73</v>
      </c>
      <c r="H464" s="4">
        <v>0.11</v>
      </c>
      <c r="I464" s="4" t="s">
        <v>2004</v>
      </c>
      <c r="J464" s="10">
        <v>2234.7188000000001</v>
      </c>
      <c r="K464" s="4" t="str">
        <f t="shared" si="49"/>
        <v>02-08-2024</v>
      </c>
      <c r="L464" s="4" t="str">
        <f>TEXT(Sales_Fact!$B464,"mmm")</f>
        <v>Aug</v>
      </c>
      <c r="M464" s="4">
        <f t="shared" si="50"/>
        <v>4</v>
      </c>
      <c r="N464" s="10">
        <f t="shared" si="51"/>
        <v>627.73</v>
      </c>
      <c r="O464" s="10">
        <f t="shared" si="52"/>
        <v>2234.7188000000001</v>
      </c>
      <c r="P464" s="10">
        <f t="shared" si="53"/>
        <v>2510.92</v>
      </c>
      <c r="Q464" s="3">
        <f t="shared" si="54"/>
        <v>0.10999999999999999</v>
      </c>
      <c r="R464" s="4" t="str">
        <f>IF(Sales_Fact!$O464&gt;1000,"High","Low")</f>
        <v>High</v>
      </c>
      <c r="S464" s="4" t="str">
        <f>VLOOKUP(C464,Customer_Dim!$A:$N,9,FALSE())</f>
        <v>Luke Parks</v>
      </c>
      <c r="T464" s="4" t="str">
        <f>VLOOKUP(D464,Product_Dim!$A:$M,3,FALSE())</f>
        <v>Clothing</v>
      </c>
      <c r="U464" s="11" t="str">
        <f>VLOOKUP(D464,Product_Dim!$A:$M,2,FALSE())</f>
        <v>Women's Scarf Set</v>
      </c>
      <c r="V464" s="11" t="str">
        <f>VLOOKUP(E464,Store_Dim!$A:$E,3,FALSE())</f>
        <v>West</v>
      </c>
      <c r="W464" s="11" t="str">
        <f>VLOOKUP(C464,Customer_Dim!$A:$N,13,FALSE())</f>
        <v>Silver</v>
      </c>
      <c r="X464" s="11" t="str">
        <f t="shared" si="55"/>
        <v>High</v>
      </c>
    </row>
    <row r="465" spans="1:24" ht="15.75" customHeight="1">
      <c r="A465" s="4" t="s">
        <v>2461</v>
      </c>
      <c r="B465" s="9">
        <v>45394</v>
      </c>
      <c r="C465" s="4" t="s">
        <v>1189</v>
      </c>
      <c r="D465" s="4" t="s">
        <v>1693</v>
      </c>
      <c r="E465" s="4" t="s">
        <v>1971</v>
      </c>
      <c r="F465" s="4">
        <v>4</v>
      </c>
      <c r="G465" s="4">
        <v>327.25</v>
      </c>
      <c r="H465" s="4">
        <v>0.13</v>
      </c>
      <c r="I465" s="4" t="s">
        <v>2004</v>
      </c>
      <c r="J465" s="10">
        <v>1138.83</v>
      </c>
      <c r="K465" s="4" t="str">
        <f t="shared" si="49"/>
        <v>12-04-2024</v>
      </c>
      <c r="L465" s="4" t="str">
        <f>TEXT(Sales_Fact!$B465,"mmm")</f>
        <v>Apr</v>
      </c>
      <c r="M465" s="4">
        <f t="shared" si="50"/>
        <v>4</v>
      </c>
      <c r="N465" s="10">
        <f t="shared" si="51"/>
        <v>327.25</v>
      </c>
      <c r="O465" s="10">
        <f t="shared" si="52"/>
        <v>1138.83</v>
      </c>
      <c r="P465" s="10">
        <f t="shared" si="53"/>
        <v>1309</v>
      </c>
      <c r="Q465" s="3">
        <f t="shared" si="54"/>
        <v>0.13000000000000006</v>
      </c>
      <c r="R465" s="4" t="str">
        <f>IF(Sales_Fact!$O465&gt;1000,"High","Low")</f>
        <v>High</v>
      </c>
      <c r="S465" s="4" t="str">
        <f>VLOOKUP(C465,Customer_Dim!$A:$N,9,FALSE())</f>
        <v>Michael Garner</v>
      </c>
      <c r="T465" s="4" t="str">
        <f>VLOOKUP(D465,Product_Dim!$A:$M,3,FALSE())</f>
        <v>Sports</v>
      </c>
      <c r="U465" s="11" t="str">
        <f>VLOOKUP(D465,Product_Dim!$A:$M,2,FALSE())</f>
        <v>Basketball</v>
      </c>
      <c r="V465" s="11" t="str">
        <f>VLOOKUP(E465,Store_Dim!$A:$E,3,FALSE())</f>
        <v>East</v>
      </c>
      <c r="W465" s="11" t="str">
        <f>VLOOKUP(C465,Customer_Dim!$A:$N,13,FALSE())</f>
        <v>Platinum</v>
      </c>
      <c r="X465" s="11" t="str">
        <f t="shared" si="55"/>
        <v>High</v>
      </c>
    </row>
    <row r="466" spans="1:24" ht="15.75" customHeight="1">
      <c r="A466" s="4" t="s">
        <v>2462</v>
      </c>
      <c r="B466" s="9">
        <v>45755</v>
      </c>
      <c r="C466" s="4" t="s">
        <v>514</v>
      </c>
      <c r="D466" s="4" t="s">
        <v>1782</v>
      </c>
      <c r="E466" s="4" t="s">
        <v>1950</v>
      </c>
      <c r="F466" s="4">
        <v>4</v>
      </c>
      <c r="G466" s="4">
        <v>511.43</v>
      </c>
      <c r="H466" s="4">
        <v>0.18</v>
      </c>
      <c r="I466" s="4" t="s">
        <v>2004</v>
      </c>
      <c r="J466" s="10">
        <v>1677.4903999999999</v>
      </c>
      <c r="K466" s="4" t="str">
        <f t="shared" si="49"/>
        <v>08-04-2025</v>
      </c>
      <c r="L466" s="4" t="str">
        <f>TEXT(Sales_Fact!$B466,"mmm")</f>
        <v>Apr</v>
      </c>
      <c r="M466" s="4">
        <f t="shared" si="50"/>
        <v>4</v>
      </c>
      <c r="N466" s="10">
        <f t="shared" si="51"/>
        <v>511.43</v>
      </c>
      <c r="O466" s="10">
        <f t="shared" si="52"/>
        <v>1677.4904000000001</v>
      </c>
      <c r="P466" s="10">
        <f t="shared" si="53"/>
        <v>2045.72</v>
      </c>
      <c r="Q466" s="3">
        <f t="shared" si="54"/>
        <v>0.17999999999999994</v>
      </c>
      <c r="R466" s="4" t="str">
        <f>IF(Sales_Fact!$O466&gt;1000,"High","Low")</f>
        <v>High</v>
      </c>
      <c r="S466" s="4" t="str">
        <f>VLOOKUP(C466,Customer_Dim!$A:$N,9,FALSE())</f>
        <v>Cameron Simpson</v>
      </c>
      <c r="T466" s="4" t="str">
        <f>VLOOKUP(D466,Product_Dim!$A:$M,3,FALSE())</f>
        <v>Beauty</v>
      </c>
      <c r="U466" s="11" t="str">
        <f>VLOOKUP(D466,Product_Dim!$A:$M,2,FALSE())</f>
        <v>Men's Hair Styling Gel</v>
      </c>
      <c r="V466" s="11" t="str">
        <f>VLOOKUP(E466,Store_Dim!$A:$E,3,FALSE())</f>
        <v>South</v>
      </c>
      <c r="W466" s="11" t="str">
        <f>VLOOKUP(C466,Customer_Dim!$A:$N,13,FALSE())</f>
        <v>Platinum</v>
      </c>
      <c r="X466" s="11" t="str">
        <f t="shared" si="55"/>
        <v>High</v>
      </c>
    </row>
    <row r="467" spans="1:24" ht="15.75" customHeight="1">
      <c r="A467" s="4" t="s">
        <v>2463</v>
      </c>
      <c r="B467" s="9">
        <v>45473</v>
      </c>
      <c r="C467" s="4" t="s">
        <v>574</v>
      </c>
      <c r="D467" s="4" t="s">
        <v>1794</v>
      </c>
      <c r="E467" s="4" t="s">
        <v>1965</v>
      </c>
      <c r="F467" s="4">
        <v>4</v>
      </c>
      <c r="G467" s="4">
        <v>194.67</v>
      </c>
      <c r="H467" s="4">
        <v>0.23</v>
      </c>
      <c r="I467" s="4" t="s">
        <v>1998</v>
      </c>
      <c r="J467" s="10">
        <v>599.58360000000005</v>
      </c>
      <c r="K467" s="4" t="str">
        <f t="shared" si="49"/>
        <v>30-06-2024</v>
      </c>
      <c r="L467" s="4" t="str">
        <f>TEXT(Sales_Fact!$B467,"mmm")</f>
        <v>Jun</v>
      </c>
      <c r="M467" s="4">
        <f t="shared" si="50"/>
        <v>4</v>
      </c>
      <c r="N467" s="10">
        <f t="shared" si="51"/>
        <v>194.67</v>
      </c>
      <c r="O467" s="10">
        <f t="shared" si="52"/>
        <v>599.58359999999993</v>
      </c>
      <c r="P467" s="10">
        <f t="shared" si="53"/>
        <v>778.68</v>
      </c>
      <c r="Q467" s="3">
        <f t="shared" si="54"/>
        <v>0.23000000000000004</v>
      </c>
      <c r="R467" s="4" t="str">
        <f>IF(Sales_Fact!$O467&gt;1000,"High","Low")</f>
        <v>Low</v>
      </c>
      <c r="S467" s="4" t="str">
        <f>VLOOKUP(C467,Customer_Dim!$A:$N,9,FALSE())</f>
        <v>Jason Wheeler</v>
      </c>
      <c r="T467" s="4" t="str">
        <f>VLOOKUP(D467,Product_Dim!$A:$M,3,FALSE())</f>
        <v>Beauty</v>
      </c>
      <c r="U467" s="11" t="str">
        <f>VLOOKUP(D467,Product_Dim!$A:$M,2,FALSE())</f>
        <v>Organic Sunscreen Lotion</v>
      </c>
      <c r="V467" s="11" t="str">
        <f>VLOOKUP(E467,Store_Dim!$A:$E,3,FALSE())</f>
        <v>North</v>
      </c>
      <c r="W467" s="11" t="str">
        <f>VLOOKUP(C467,Customer_Dim!$A:$N,13,FALSE())</f>
        <v>Platinum</v>
      </c>
      <c r="X467" s="11" t="str">
        <f t="shared" si="55"/>
        <v>High</v>
      </c>
    </row>
    <row r="468" spans="1:24" ht="15.75" customHeight="1">
      <c r="A468" s="4" t="s">
        <v>2464</v>
      </c>
      <c r="B468" s="9">
        <v>45304</v>
      </c>
      <c r="C468" s="4" t="s">
        <v>242</v>
      </c>
      <c r="D468" s="4" t="s">
        <v>1668</v>
      </c>
      <c r="E468" s="4" t="s">
        <v>1915</v>
      </c>
      <c r="F468" s="4">
        <v>2</v>
      </c>
      <c r="G468" s="4">
        <v>54.51</v>
      </c>
      <c r="H468" s="4">
        <v>7.0000000000000007E-2</v>
      </c>
      <c r="I468" s="4" t="s">
        <v>1996</v>
      </c>
      <c r="J468" s="10">
        <v>101.3886</v>
      </c>
      <c r="K468" s="4" t="str">
        <f t="shared" si="49"/>
        <v>13-01-2024</v>
      </c>
      <c r="L468" s="4" t="str">
        <f>TEXT(Sales_Fact!$B468,"mmm")</f>
        <v>Jan</v>
      </c>
      <c r="M468" s="4">
        <f t="shared" si="50"/>
        <v>2</v>
      </c>
      <c r="N468" s="10">
        <f t="shared" si="51"/>
        <v>54.51</v>
      </c>
      <c r="O468" s="10">
        <f t="shared" si="52"/>
        <v>101.38859999999998</v>
      </c>
      <c r="P468" s="10">
        <f t="shared" si="53"/>
        <v>109.02</v>
      </c>
      <c r="Q468" s="3">
        <f t="shared" si="54"/>
        <v>7.0000000000000132E-2</v>
      </c>
      <c r="R468" s="4" t="str">
        <f>IF(Sales_Fact!$O468&gt;1000,"High","Low")</f>
        <v>Low</v>
      </c>
      <c r="S468" s="4" t="str">
        <f>VLOOKUP(C468,Customer_Dim!$A:$N,9,FALSE())</f>
        <v>Alyssa Vargas</v>
      </c>
      <c r="T468" s="4" t="str">
        <f>VLOOKUP(D468,Product_Dim!$A:$M,3,FALSE())</f>
        <v>Clothing</v>
      </c>
      <c r="U468" s="11" t="str">
        <f>VLOOKUP(D468,Product_Dim!$A:$M,2,FALSE())</f>
        <v>Men's Formal Shirt</v>
      </c>
      <c r="V468" s="11" t="str">
        <f>VLOOKUP(E468,Store_Dim!$A:$E,3,FALSE())</f>
        <v>North</v>
      </c>
      <c r="W468" s="11" t="str">
        <f>VLOOKUP(C468,Customer_Dim!$A:$N,13,FALSE())</f>
        <v>Platinum</v>
      </c>
      <c r="X468" s="11" t="str">
        <f t="shared" si="55"/>
        <v>Low</v>
      </c>
    </row>
    <row r="469" spans="1:24" ht="15.75" customHeight="1">
      <c r="A469" s="4" t="s">
        <v>2465</v>
      </c>
      <c r="B469" s="9">
        <v>45557</v>
      </c>
      <c r="C469" s="4" t="s">
        <v>299</v>
      </c>
      <c r="D469" s="4" t="s">
        <v>1791</v>
      </c>
      <c r="E469" s="4" t="s">
        <v>1950</v>
      </c>
      <c r="F469" s="4">
        <v>4</v>
      </c>
      <c r="G469" s="4">
        <v>964</v>
      </c>
      <c r="H469" s="4">
        <v>0.14000000000000001</v>
      </c>
      <c r="I469" s="4" t="s">
        <v>1998</v>
      </c>
      <c r="J469" s="10">
        <v>3316.16</v>
      </c>
      <c r="K469" s="4" t="str">
        <f t="shared" si="49"/>
        <v>22-09-2024</v>
      </c>
      <c r="L469" s="4" t="str">
        <f>TEXT(Sales_Fact!$B469,"mmm")</f>
        <v>Sep</v>
      </c>
      <c r="M469" s="4">
        <f t="shared" si="50"/>
        <v>4</v>
      </c>
      <c r="N469" s="10">
        <f t="shared" si="51"/>
        <v>964</v>
      </c>
      <c r="O469" s="10">
        <f t="shared" si="52"/>
        <v>3316.16</v>
      </c>
      <c r="P469" s="10">
        <f t="shared" si="53"/>
        <v>3856</v>
      </c>
      <c r="Q469" s="3">
        <f t="shared" si="54"/>
        <v>0.14000000000000004</v>
      </c>
      <c r="R469" s="4" t="str">
        <f>IF(Sales_Fact!$O469&gt;1000,"High","Low")</f>
        <v>High</v>
      </c>
      <c r="S469" s="4" t="str">
        <f>VLOOKUP(C469,Customer_Dim!$A:$N,9,FALSE())</f>
        <v>Nathan Campbell</v>
      </c>
      <c r="T469" s="4" t="str">
        <f>VLOOKUP(D469,Product_Dim!$A:$M,3,FALSE())</f>
        <v>Electronics</v>
      </c>
      <c r="U469" s="11" t="str">
        <f>VLOOKUP(D469,Product_Dim!$A:$M,2,FALSE())</f>
        <v>Laptop Cooling Pad</v>
      </c>
      <c r="V469" s="11" t="str">
        <f>VLOOKUP(E469,Store_Dim!$A:$E,3,FALSE())</f>
        <v>South</v>
      </c>
      <c r="W469" s="11" t="str">
        <f>VLOOKUP(C469,Customer_Dim!$A:$N,13,FALSE())</f>
        <v>Gold</v>
      </c>
      <c r="X469" s="11" t="str">
        <f t="shared" si="55"/>
        <v>High</v>
      </c>
    </row>
    <row r="470" spans="1:24" ht="15.75" customHeight="1">
      <c r="A470" s="4" t="s">
        <v>2466</v>
      </c>
      <c r="B470" s="9">
        <v>45527</v>
      </c>
      <c r="C470" s="4" t="s">
        <v>178</v>
      </c>
      <c r="D470" s="4" t="s">
        <v>1873</v>
      </c>
      <c r="E470" s="4" t="s">
        <v>1927</v>
      </c>
      <c r="F470" s="4">
        <v>1</v>
      </c>
      <c r="G470" s="4">
        <v>170.12</v>
      </c>
      <c r="H470" s="4">
        <v>0.26</v>
      </c>
      <c r="I470" s="4" t="s">
        <v>1998</v>
      </c>
      <c r="J470" s="10">
        <v>125.8888</v>
      </c>
      <c r="K470" s="4" t="str">
        <f t="shared" si="49"/>
        <v>23-08-2024</v>
      </c>
      <c r="L470" s="4" t="str">
        <f>TEXT(Sales_Fact!$B470,"mmm")</f>
        <v>Aug</v>
      </c>
      <c r="M470" s="4">
        <f t="shared" si="50"/>
        <v>1</v>
      </c>
      <c r="N470" s="10">
        <f t="shared" si="51"/>
        <v>170.12</v>
      </c>
      <c r="O470" s="10">
        <f t="shared" si="52"/>
        <v>125.8888</v>
      </c>
      <c r="P470" s="10">
        <f t="shared" si="53"/>
        <v>170.12</v>
      </c>
      <c r="Q470" s="3">
        <f t="shared" si="54"/>
        <v>0.26</v>
      </c>
      <c r="R470" s="4" t="str">
        <f>IF(Sales_Fact!$O470&gt;1000,"High","Low")</f>
        <v>Low</v>
      </c>
      <c r="S470" s="4" t="str">
        <f>VLOOKUP(C470,Customer_Dim!$A:$N,9,FALSE())</f>
        <v>Eric Vega</v>
      </c>
      <c r="T470" s="4" t="str">
        <f>VLOOKUP(D470,Product_Dim!$A:$M,3,FALSE())</f>
        <v>Beauty</v>
      </c>
      <c r="U470" s="11" t="str">
        <f>VLOOKUP(D470,Product_Dim!$A:$M,2,FALSE())</f>
        <v>Face Foundation Kit</v>
      </c>
      <c r="V470" s="11" t="str">
        <f>VLOOKUP(E470,Store_Dim!$A:$E,3,FALSE())</f>
        <v>South</v>
      </c>
      <c r="W470" s="11" t="str">
        <f>VLOOKUP(C470,Customer_Dim!$A:$N,13,FALSE())</f>
        <v>Gold</v>
      </c>
      <c r="X470" s="11" t="str">
        <f t="shared" si="55"/>
        <v>Low</v>
      </c>
    </row>
    <row r="471" spans="1:24" ht="15.75" customHeight="1">
      <c r="A471" s="4" t="s">
        <v>2467</v>
      </c>
      <c r="B471" s="9">
        <v>45573</v>
      </c>
      <c r="C471" s="4" t="s">
        <v>1272</v>
      </c>
      <c r="D471" s="4" t="s">
        <v>1803</v>
      </c>
      <c r="E471" s="4" t="s">
        <v>1952</v>
      </c>
      <c r="F471" s="4">
        <v>2</v>
      </c>
      <c r="G471" s="4">
        <v>975.48</v>
      </c>
      <c r="H471" s="4">
        <v>0.26</v>
      </c>
      <c r="I471" s="4" t="s">
        <v>2004</v>
      </c>
      <c r="J471" s="10">
        <v>1443.7103999999999</v>
      </c>
      <c r="K471" s="4" t="str">
        <f t="shared" si="49"/>
        <v>08-10-2024</v>
      </c>
      <c r="L471" s="4" t="str">
        <f>TEXT(Sales_Fact!$B471,"mmm")</f>
        <v>Oct</v>
      </c>
      <c r="M471" s="4">
        <f t="shared" si="50"/>
        <v>2</v>
      </c>
      <c r="N471" s="10">
        <f t="shared" si="51"/>
        <v>975.48</v>
      </c>
      <c r="O471" s="10">
        <f t="shared" si="52"/>
        <v>1443.7103999999999</v>
      </c>
      <c r="P471" s="10">
        <f t="shared" si="53"/>
        <v>1950.96</v>
      </c>
      <c r="Q471" s="3">
        <f t="shared" si="54"/>
        <v>0.26000000000000006</v>
      </c>
      <c r="R471" s="4" t="str">
        <f>IF(Sales_Fact!$O471&gt;1000,"High","Low")</f>
        <v>High</v>
      </c>
      <c r="S471" s="4" t="str">
        <f>VLOOKUP(C471,Customer_Dim!$A:$N,9,FALSE())</f>
        <v>John Donaldson</v>
      </c>
      <c r="T471" s="4" t="str">
        <f>VLOOKUP(D471,Product_Dim!$A:$M,3,FALSE())</f>
        <v>Beauty</v>
      </c>
      <c r="U471" s="11" t="str">
        <f>VLOOKUP(D471,Product_Dim!$A:$M,2,FALSE())</f>
        <v>Women's Hair Dryer Brush</v>
      </c>
      <c r="V471" s="11" t="str">
        <f>VLOOKUP(E471,Store_Dim!$A:$E,3,FALSE())</f>
        <v>North</v>
      </c>
      <c r="W471" s="11" t="str">
        <f>VLOOKUP(C471,Customer_Dim!$A:$N,13,FALSE())</f>
        <v>Bronze</v>
      </c>
      <c r="X471" s="11" t="str">
        <f t="shared" si="55"/>
        <v>Low</v>
      </c>
    </row>
    <row r="472" spans="1:24" ht="15.75" customHeight="1">
      <c r="A472" s="4" t="s">
        <v>2468</v>
      </c>
      <c r="B472" s="9">
        <v>45875</v>
      </c>
      <c r="C472" s="4" t="s">
        <v>535</v>
      </c>
      <c r="D472" s="4" t="s">
        <v>1764</v>
      </c>
      <c r="E472" s="4" t="s">
        <v>1971</v>
      </c>
      <c r="F472" s="4">
        <v>2</v>
      </c>
      <c r="G472" s="4">
        <v>664.5</v>
      </c>
      <c r="H472" s="4">
        <v>0.23</v>
      </c>
      <c r="I472" s="4" t="s">
        <v>1996</v>
      </c>
      <c r="J472" s="10">
        <v>1023.33</v>
      </c>
      <c r="K472" s="4" t="str">
        <f t="shared" si="49"/>
        <v>06-08-2025</v>
      </c>
      <c r="L472" s="4" t="str">
        <f>TEXT(Sales_Fact!$B472,"mmm")</f>
        <v>Aug</v>
      </c>
      <c r="M472" s="4">
        <f t="shared" si="50"/>
        <v>2</v>
      </c>
      <c r="N472" s="10">
        <f t="shared" si="51"/>
        <v>664.5</v>
      </c>
      <c r="O472" s="10">
        <f t="shared" si="52"/>
        <v>1023.33</v>
      </c>
      <c r="P472" s="10">
        <f t="shared" si="53"/>
        <v>1329</v>
      </c>
      <c r="Q472" s="3">
        <f t="shared" si="54"/>
        <v>0.22999999999999998</v>
      </c>
      <c r="R472" s="4" t="str">
        <f>IF(Sales_Fact!$O472&gt;1000,"High","Low")</f>
        <v>High</v>
      </c>
      <c r="S472" s="4" t="str">
        <f>VLOOKUP(C472,Customer_Dim!$A:$N,9,FALSE())</f>
        <v>Patrick Roberts</v>
      </c>
      <c r="T472" s="4" t="str">
        <f>VLOOKUP(D472,Product_Dim!$A:$M,3,FALSE())</f>
        <v>Clothing</v>
      </c>
      <c r="U472" s="11" t="str">
        <f>VLOOKUP(D472,Product_Dim!$A:$M,2,FALSE())</f>
        <v>Men's Track Pants</v>
      </c>
      <c r="V472" s="11" t="str">
        <f>VLOOKUP(E472,Store_Dim!$A:$E,3,FALSE())</f>
        <v>East</v>
      </c>
      <c r="W472" s="11" t="str">
        <f>VLOOKUP(C472,Customer_Dim!$A:$N,13,FALSE())</f>
        <v>Platinum</v>
      </c>
      <c r="X472" s="11" t="str">
        <f t="shared" si="55"/>
        <v>Low</v>
      </c>
    </row>
    <row r="473" spans="1:24" ht="15.75" customHeight="1">
      <c r="A473" s="4" t="s">
        <v>2469</v>
      </c>
      <c r="B473" s="9">
        <v>45936</v>
      </c>
      <c r="C473" s="4" t="s">
        <v>1189</v>
      </c>
      <c r="D473" s="4" t="s">
        <v>1738</v>
      </c>
      <c r="E473" s="4" t="s">
        <v>1947</v>
      </c>
      <c r="F473" s="4">
        <v>4</v>
      </c>
      <c r="G473" s="4">
        <v>557.51</v>
      </c>
      <c r="H473" s="4">
        <v>0.11</v>
      </c>
      <c r="I473" s="4" t="s">
        <v>1996</v>
      </c>
      <c r="J473" s="10">
        <v>1984.7356</v>
      </c>
      <c r="K473" s="4" t="str">
        <f t="shared" si="49"/>
        <v>06-10-2025</v>
      </c>
      <c r="L473" s="4" t="str">
        <f>TEXT(Sales_Fact!$B473,"mmm")</f>
        <v>Oct</v>
      </c>
      <c r="M473" s="4">
        <f t="shared" si="50"/>
        <v>4</v>
      </c>
      <c r="N473" s="10">
        <f t="shared" si="51"/>
        <v>557.51</v>
      </c>
      <c r="O473" s="10">
        <f t="shared" si="52"/>
        <v>1984.7356</v>
      </c>
      <c r="P473" s="10">
        <f t="shared" si="53"/>
        <v>2230.04</v>
      </c>
      <c r="Q473" s="3">
        <f t="shared" si="54"/>
        <v>0.11</v>
      </c>
      <c r="R473" s="4" t="str">
        <f>IF(Sales_Fact!$O473&gt;1000,"High","Low")</f>
        <v>High</v>
      </c>
      <c r="S473" s="4" t="str">
        <f>VLOOKUP(C473,Customer_Dim!$A:$N,9,FALSE())</f>
        <v>Michael Garner</v>
      </c>
      <c r="T473" s="4" t="str">
        <f>VLOOKUP(D473,Product_Dim!$A:$M,3,FALSE())</f>
        <v>Sports</v>
      </c>
      <c r="U473" s="11" t="str">
        <f>VLOOKUP(D473,Product_Dim!$A:$M,2,FALSE())</f>
        <v>High-Grip Football</v>
      </c>
      <c r="V473" s="11" t="str">
        <f>VLOOKUP(E473,Store_Dim!$A:$E,3,FALSE())</f>
        <v>East</v>
      </c>
      <c r="W473" s="11" t="str">
        <f>VLOOKUP(C473,Customer_Dim!$A:$N,13,FALSE())</f>
        <v>Platinum</v>
      </c>
      <c r="X473" s="11" t="str">
        <f t="shared" si="55"/>
        <v>High</v>
      </c>
    </row>
    <row r="474" spans="1:24" ht="15.75" customHeight="1">
      <c r="A474" s="4" t="s">
        <v>2470</v>
      </c>
      <c r="B474" s="9">
        <v>45807</v>
      </c>
      <c r="C474" s="4" t="s">
        <v>1267</v>
      </c>
      <c r="D474" s="4" t="s">
        <v>1876</v>
      </c>
      <c r="E474" s="4" t="s">
        <v>1915</v>
      </c>
      <c r="F474" s="4">
        <v>2</v>
      </c>
      <c r="G474" s="4">
        <v>410</v>
      </c>
      <c r="H474" s="4">
        <v>0.13</v>
      </c>
      <c r="I474" s="4" t="s">
        <v>2004</v>
      </c>
      <c r="J474" s="10">
        <v>713.4</v>
      </c>
      <c r="K474" s="4" t="str">
        <f t="shared" si="49"/>
        <v>30-05-2025</v>
      </c>
      <c r="L474" s="4" t="str">
        <f>TEXT(Sales_Fact!$B474,"mmm")</f>
        <v>May</v>
      </c>
      <c r="M474" s="4">
        <f t="shared" si="50"/>
        <v>2</v>
      </c>
      <c r="N474" s="10">
        <f t="shared" si="51"/>
        <v>410</v>
      </c>
      <c r="O474" s="10">
        <f t="shared" si="52"/>
        <v>713.4</v>
      </c>
      <c r="P474" s="10">
        <f t="shared" si="53"/>
        <v>820</v>
      </c>
      <c r="Q474" s="3">
        <f t="shared" si="54"/>
        <v>0.13000000000000003</v>
      </c>
      <c r="R474" s="4" t="str">
        <f>IF(Sales_Fact!$O474&gt;1000,"High","Low")</f>
        <v>Low</v>
      </c>
      <c r="S474" s="4" t="str">
        <f>VLOOKUP(C474,Customer_Dim!$A:$N,9,FALSE())</f>
        <v>Charles Norman Phd</v>
      </c>
      <c r="T474" s="4" t="str">
        <f>VLOOKUP(D474,Product_Dim!$A:$M,3,FALSE())</f>
        <v>Electronics</v>
      </c>
      <c r="U474" s="11" t="str">
        <f>VLOOKUP(D474,Product_Dim!$A:$M,2,FALSE())</f>
        <v>Gaming Mouse Pad XL</v>
      </c>
      <c r="V474" s="11" t="str">
        <f>VLOOKUP(E474,Store_Dim!$A:$E,3,FALSE())</f>
        <v>North</v>
      </c>
      <c r="W474" s="11" t="str">
        <f>VLOOKUP(C474,Customer_Dim!$A:$N,13,FALSE())</f>
        <v>Platinum</v>
      </c>
      <c r="X474" s="11" t="str">
        <f t="shared" si="55"/>
        <v>Low</v>
      </c>
    </row>
    <row r="475" spans="1:24" ht="15.75" customHeight="1">
      <c r="A475" s="4" t="s">
        <v>2471</v>
      </c>
      <c r="B475" s="9">
        <v>45473</v>
      </c>
      <c r="C475" s="4" t="s">
        <v>994</v>
      </c>
      <c r="D475" s="4" t="s">
        <v>1855</v>
      </c>
      <c r="E475" s="4" t="s">
        <v>1931</v>
      </c>
      <c r="F475" s="4">
        <v>2</v>
      </c>
      <c r="G475" s="4">
        <v>879.93</v>
      </c>
      <c r="H475" s="4">
        <v>0.28999999999999998</v>
      </c>
      <c r="I475" s="4" t="s">
        <v>2004</v>
      </c>
      <c r="J475" s="10">
        <v>1249.5006000000001</v>
      </c>
      <c r="K475" s="4" t="str">
        <f t="shared" si="49"/>
        <v>30-06-2024</v>
      </c>
      <c r="L475" s="4" t="str">
        <f>TEXT(Sales_Fact!$B475,"mmm")</f>
        <v>Jun</v>
      </c>
      <c r="M475" s="4">
        <f t="shared" si="50"/>
        <v>2</v>
      </c>
      <c r="N475" s="10">
        <f t="shared" si="51"/>
        <v>879.93</v>
      </c>
      <c r="O475" s="10">
        <f t="shared" si="52"/>
        <v>1249.5005999999998</v>
      </c>
      <c r="P475" s="10">
        <f t="shared" si="53"/>
        <v>1759.86</v>
      </c>
      <c r="Q475" s="3">
        <f t="shared" si="54"/>
        <v>0.29000000000000004</v>
      </c>
      <c r="R475" s="4" t="str">
        <f>IF(Sales_Fact!$O475&gt;1000,"High","Low")</f>
        <v>High</v>
      </c>
      <c r="S475" s="4" t="str">
        <f>VLOOKUP(C475,Customer_Dim!$A:$N,9,FALSE())</f>
        <v>Angela Robinson</v>
      </c>
      <c r="T475" s="4" t="str">
        <f>VLOOKUP(D475,Product_Dim!$A:$M,3,FALSE())</f>
        <v>Beauty</v>
      </c>
      <c r="U475" s="11" t="str">
        <f>VLOOKUP(D475,Product_Dim!$A:$M,2,FALSE())</f>
        <v>Hydrating Face Cleanser</v>
      </c>
      <c r="V475" s="11" t="str">
        <f>VLOOKUP(E475,Store_Dim!$A:$E,3,FALSE())</f>
        <v>North</v>
      </c>
      <c r="W475" s="11" t="str">
        <f>VLOOKUP(C475,Customer_Dim!$A:$N,13,FALSE())</f>
        <v>Platinum</v>
      </c>
      <c r="X475" s="11" t="str">
        <f t="shared" si="55"/>
        <v>Low</v>
      </c>
    </row>
    <row r="476" spans="1:24" ht="15.75" customHeight="1">
      <c r="A476" s="4" t="s">
        <v>2472</v>
      </c>
      <c r="B476" s="9">
        <v>45664</v>
      </c>
      <c r="C476" s="4" t="s">
        <v>59</v>
      </c>
      <c r="D476" s="4" t="s">
        <v>1633</v>
      </c>
      <c r="E476" s="4" t="s">
        <v>1968</v>
      </c>
      <c r="F476" s="4">
        <v>1</v>
      </c>
      <c r="G476" s="4">
        <v>350.58</v>
      </c>
      <c r="H476" s="4">
        <v>0.03</v>
      </c>
      <c r="I476" s="4" t="s">
        <v>2004</v>
      </c>
      <c r="J476" s="10">
        <v>340.06259999999997</v>
      </c>
      <c r="K476" s="4" t="str">
        <f t="shared" si="49"/>
        <v>07-01-2025</v>
      </c>
      <c r="L476" s="4" t="str">
        <f>TEXT(Sales_Fact!$B476,"mmm")</f>
        <v>Jan</v>
      </c>
      <c r="M476" s="4">
        <f t="shared" si="50"/>
        <v>1</v>
      </c>
      <c r="N476" s="10">
        <f t="shared" si="51"/>
        <v>350.58</v>
      </c>
      <c r="O476" s="10">
        <f t="shared" si="52"/>
        <v>340.06259999999997</v>
      </c>
      <c r="P476" s="10">
        <f t="shared" si="53"/>
        <v>350.58</v>
      </c>
      <c r="Q476" s="3">
        <f t="shared" si="54"/>
        <v>3.0000000000000027E-2</v>
      </c>
      <c r="R476" s="4" t="str">
        <f>IF(Sales_Fact!$O476&gt;1000,"High","Low")</f>
        <v>Low</v>
      </c>
      <c r="S476" s="4" t="str">
        <f>VLOOKUP(C476,Customer_Dim!$A:$N,9,FALSE())</f>
        <v>Daniel Boyd</v>
      </c>
      <c r="T476" s="4" t="str">
        <f>VLOOKUP(D476,Product_Dim!$A:$M,3,FALSE())</f>
        <v>Electronics</v>
      </c>
      <c r="U476" s="11" t="str">
        <f>VLOOKUP(D476,Product_Dim!$A:$M,2,FALSE())</f>
        <v>USB-C Fast Charger</v>
      </c>
      <c r="V476" s="11" t="str">
        <f>VLOOKUP(E476,Store_Dim!$A:$E,3,FALSE())</f>
        <v>East</v>
      </c>
      <c r="W476" s="11" t="str">
        <f>VLOOKUP(C476,Customer_Dim!$A:$N,13,FALSE())</f>
        <v>Bronze</v>
      </c>
      <c r="X476" s="11" t="str">
        <f t="shared" si="55"/>
        <v>Low</v>
      </c>
    </row>
    <row r="477" spans="1:24" ht="15.75" customHeight="1">
      <c r="A477" s="4" t="s">
        <v>2473</v>
      </c>
      <c r="B477" s="9">
        <v>45633</v>
      </c>
      <c r="C477" s="4" t="s">
        <v>1126</v>
      </c>
      <c r="D477" s="4" t="s">
        <v>1779</v>
      </c>
      <c r="E477" s="4" t="s">
        <v>1924</v>
      </c>
      <c r="F477" s="4">
        <v>4</v>
      </c>
      <c r="G477" s="4">
        <v>348.58</v>
      </c>
      <c r="H477" s="4">
        <v>0.16</v>
      </c>
      <c r="I477" s="4" t="s">
        <v>1996</v>
      </c>
      <c r="J477" s="10">
        <v>1171.2288000000001</v>
      </c>
      <c r="K477" s="4" t="str">
        <f t="shared" si="49"/>
        <v>07-12-2024</v>
      </c>
      <c r="L477" s="4" t="str">
        <f>TEXT(Sales_Fact!$B477,"mmm")</f>
        <v>Dec</v>
      </c>
      <c r="M477" s="4">
        <f t="shared" si="50"/>
        <v>4</v>
      </c>
      <c r="N477" s="10">
        <f t="shared" si="51"/>
        <v>348.58</v>
      </c>
      <c r="O477" s="10">
        <f t="shared" si="52"/>
        <v>1171.2287999999999</v>
      </c>
      <c r="P477" s="10">
        <f t="shared" si="53"/>
        <v>1394.32</v>
      </c>
      <c r="Q477" s="3">
        <f t="shared" si="54"/>
        <v>0.16000000000000006</v>
      </c>
      <c r="R477" s="4" t="str">
        <f>IF(Sales_Fact!$O477&gt;1000,"High","Low")</f>
        <v>High</v>
      </c>
      <c r="S477" s="4" t="str">
        <f>VLOOKUP(C477,Customer_Dim!$A:$N,9,FALSE())</f>
        <v>Charles Miller</v>
      </c>
      <c r="T477" s="4" t="str">
        <f>VLOOKUP(D477,Product_Dim!$A:$M,3,FALSE())</f>
        <v>Clothing</v>
      </c>
      <c r="U477" s="11" t="str">
        <f>VLOOKUP(D477,Product_Dim!$A:$M,2,FALSE())</f>
        <v>Womens Cotton Scarf</v>
      </c>
      <c r="V477" s="11" t="str">
        <f>VLOOKUP(E477,Store_Dim!$A:$E,3,FALSE())</f>
        <v>North</v>
      </c>
      <c r="W477" s="11" t="str">
        <f>VLOOKUP(C477,Customer_Dim!$A:$N,13,FALSE())</f>
        <v>Silver</v>
      </c>
      <c r="X477" s="11" t="str">
        <f t="shared" si="55"/>
        <v>High</v>
      </c>
    </row>
    <row r="478" spans="1:24" ht="15.75" customHeight="1">
      <c r="A478" s="4" t="s">
        <v>2474</v>
      </c>
      <c r="B478" s="9">
        <v>45548</v>
      </c>
      <c r="C478" s="4" t="s">
        <v>1446</v>
      </c>
      <c r="D478" s="4" t="s">
        <v>1675</v>
      </c>
      <c r="E478" s="4" t="s">
        <v>1924</v>
      </c>
      <c r="F478" s="4">
        <v>3</v>
      </c>
      <c r="G478" s="4">
        <v>247.66</v>
      </c>
      <c r="H478" s="4">
        <v>0.02</v>
      </c>
      <c r="I478" s="4" t="s">
        <v>2004</v>
      </c>
      <c r="J478" s="10">
        <v>728.12040000000002</v>
      </c>
      <c r="K478" s="4" t="str">
        <f t="shared" si="49"/>
        <v>13-09-2024</v>
      </c>
      <c r="L478" s="4" t="str">
        <f>TEXT(Sales_Fact!$B478,"mmm")</f>
        <v>Sep</v>
      </c>
      <c r="M478" s="4">
        <f t="shared" si="50"/>
        <v>3</v>
      </c>
      <c r="N478" s="10">
        <f t="shared" si="51"/>
        <v>247.66</v>
      </c>
      <c r="O478" s="10">
        <f t="shared" si="52"/>
        <v>728.12040000000002</v>
      </c>
      <c r="P478" s="10">
        <f t="shared" si="53"/>
        <v>742.98</v>
      </c>
      <c r="Q478" s="3">
        <f t="shared" si="54"/>
        <v>0.02</v>
      </c>
      <c r="R478" s="4" t="str">
        <f>IF(Sales_Fact!$O478&gt;1000,"High","Low")</f>
        <v>Low</v>
      </c>
      <c r="S478" s="4" t="str">
        <f>VLOOKUP(C478,Customer_Dim!$A:$N,9,FALSE())</f>
        <v>John Perez</v>
      </c>
      <c r="T478" s="4" t="str">
        <f>VLOOKUP(D478,Product_Dim!$A:$M,3,FALSE())</f>
        <v>Clothing</v>
      </c>
      <c r="U478" s="11" t="str">
        <f>VLOOKUP(D478,Product_Dim!$A:$M,2,FALSE())</f>
        <v>Women's Scarf Set</v>
      </c>
      <c r="V478" s="11" t="str">
        <f>VLOOKUP(E478,Store_Dim!$A:$E,3,FALSE())</f>
        <v>North</v>
      </c>
      <c r="W478" s="11" t="str">
        <f>VLOOKUP(C478,Customer_Dim!$A:$N,13,FALSE())</f>
        <v>Gold</v>
      </c>
      <c r="X478" s="11" t="str">
        <f t="shared" si="55"/>
        <v>Low</v>
      </c>
    </row>
    <row r="479" spans="1:24" ht="15.75" customHeight="1">
      <c r="A479" s="4" t="s">
        <v>2475</v>
      </c>
      <c r="B479" s="9">
        <v>45244</v>
      </c>
      <c r="C479" s="4" t="s">
        <v>1240</v>
      </c>
      <c r="D479" s="4" t="s">
        <v>1719</v>
      </c>
      <c r="E479" s="4" t="s">
        <v>1959</v>
      </c>
      <c r="F479" s="4">
        <v>3</v>
      </c>
      <c r="G479" s="4">
        <v>836.27</v>
      </c>
      <c r="H479" s="4">
        <v>0.16</v>
      </c>
      <c r="I479" s="4" t="s">
        <v>1996</v>
      </c>
      <c r="J479" s="10">
        <v>2107.4004</v>
      </c>
      <c r="K479" s="4" t="str">
        <f t="shared" si="49"/>
        <v>14-11-2023</v>
      </c>
      <c r="L479" s="4" t="str">
        <f>TEXT(Sales_Fact!$B479,"mmm")</f>
        <v>Nov</v>
      </c>
      <c r="M479" s="4">
        <f t="shared" si="50"/>
        <v>3</v>
      </c>
      <c r="N479" s="10">
        <f t="shared" si="51"/>
        <v>836.27</v>
      </c>
      <c r="O479" s="10">
        <f t="shared" si="52"/>
        <v>2107.4004</v>
      </c>
      <c r="P479" s="10">
        <f t="shared" si="53"/>
        <v>2508.81</v>
      </c>
      <c r="Q479" s="3">
        <f t="shared" si="54"/>
        <v>0.15999999999999998</v>
      </c>
      <c r="R479" s="4" t="str">
        <f>IF(Sales_Fact!$O479&gt;1000,"High","Low")</f>
        <v>High</v>
      </c>
      <c r="S479" s="4" t="str">
        <f>VLOOKUP(C479,Customer_Dim!$A:$N,9,FALSE())</f>
        <v>Timothy Valenzuela</v>
      </c>
      <c r="T479" s="4" t="str">
        <f>VLOOKUP(D479,Product_Dim!$A:$M,3,FALSE())</f>
        <v>Electronics</v>
      </c>
      <c r="U479" s="11" t="str">
        <f>VLOOKUP(D479,Product_Dim!$A:$M,2,FALSE())</f>
        <v>Portable Power Bank</v>
      </c>
      <c r="V479" s="11" t="str">
        <f>VLOOKUP(E479,Store_Dim!$A:$E,3,FALSE())</f>
        <v>North</v>
      </c>
      <c r="W479" s="11" t="str">
        <f>VLOOKUP(C479,Customer_Dim!$A:$N,13,FALSE())</f>
        <v>Platinum</v>
      </c>
      <c r="X479" s="11" t="str">
        <f t="shared" si="55"/>
        <v>Low</v>
      </c>
    </row>
    <row r="480" spans="1:24" ht="15.75" customHeight="1">
      <c r="A480" s="4" t="s">
        <v>2476</v>
      </c>
      <c r="B480" s="9">
        <v>45753</v>
      </c>
      <c r="C480" s="4" t="s">
        <v>665</v>
      </c>
      <c r="D480" s="4" t="s">
        <v>1636</v>
      </c>
      <c r="E480" s="4" t="s">
        <v>1947</v>
      </c>
      <c r="F480" s="4">
        <v>3</v>
      </c>
      <c r="G480" s="4">
        <v>696.74</v>
      </c>
      <c r="H480" s="4">
        <v>0.13</v>
      </c>
      <c r="I480" s="4" t="s">
        <v>2004</v>
      </c>
      <c r="J480" s="10">
        <v>1818.4914000000001</v>
      </c>
      <c r="K480" s="4" t="str">
        <f t="shared" si="49"/>
        <v>06-04-2025</v>
      </c>
      <c r="L480" s="4" t="str">
        <f>TEXT(Sales_Fact!$B480,"mmm")</f>
        <v>Apr</v>
      </c>
      <c r="M480" s="4">
        <f t="shared" si="50"/>
        <v>3</v>
      </c>
      <c r="N480" s="10">
        <f t="shared" si="51"/>
        <v>696.74</v>
      </c>
      <c r="O480" s="10">
        <f t="shared" si="52"/>
        <v>1818.4914000000001</v>
      </c>
      <c r="P480" s="10">
        <f t="shared" si="53"/>
        <v>2090.2200000000003</v>
      </c>
      <c r="Q480" s="3">
        <f t="shared" si="54"/>
        <v>0.13000000000000006</v>
      </c>
      <c r="R480" s="4" t="str">
        <f>IF(Sales_Fact!$O480&gt;1000,"High","Low")</f>
        <v>High</v>
      </c>
      <c r="S480" s="4" t="str">
        <f>VLOOKUP(C480,Customer_Dim!$A:$N,9,FALSE())</f>
        <v>Anthony Garcia</v>
      </c>
      <c r="T480" s="4" t="str">
        <f>VLOOKUP(D480,Product_Dim!$A:$M,3,FALSE())</f>
        <v>Home</v>
      </c>
      <c r="U480" s="11" t="str">
        <f>VLOOKUP(D480,Product_Dim!$A:$M,2,FALSE())</f>
        <v>Decorative Wall Mirror</v>
      </c>
      <c r="V480" s="11" t="str">
        <f>VLOOKUP(E480,Store_Dim!$A:$E,3,FALSE())</f>
        <v>East</v>
      </c>
      <c r="W480" s="11" t="str">
        <f>VLOOKUP(C480,Customer_Dim!$A:$N,13,FALSE())</f>
        <v>Silver</v>
      </c>
      <c r="X480" s="11" t="str">
        <f t="shared" si="55"/>
        <v>Low</v>
      </c>
    </row>
    <row r="481" spans="1:24" ht="15.75" customHeight="1">
      <c r="A481" s="4" t="s">
        <v>2477</v>
      </c>
      <c r="B481" s="9">
        <v>45804</v>
      </c>
      <c r="C481" s="4" t="s">
        <v>813</v>
      </c>
      <c r="D481" s="4" t="s">
        <v>1888</v>
      </c>
      <c r="E481" s="4" t="s">
        <v>1955</v>
      </c>
      <c r="F481" s="4">
        <v>2</v>
      </c>
      <c r="G481" s="4">
        <v>822.59</v>
      </c>
      <c r="H481" s="4">
        <v>0.22</v>
      </c>
      <c r="I481" s="4" t="s">
        <v>1998</v>
      </c>
      <c r="J481" s="10">
        <v>1283.2403999999999</v>
      </c>
      <c r="K481" s="4" t="str">
        <f t="shared" si="49"/>
        <v>27-05-2025</v>
      </c>
      <c r="L481" s="4" t="str">
        <f>TEXT(Sales_Fact!$B481,"mmm")</f>
        <v>May</v>
      </c>
      <c r="M481" s="4">
        <f t="shared" si="50"/>
        <v>2</v>
      </c>
      <c r="N481" s="10">
        <f t="shared" si="51"/>
        <v>822.59</v>
      </c>
      <c r="O481" s="10">
        <f t="shared" si="52"/>
        <v>1283.2404000000001</v>
      </c>
      <c r="P481" s="10">
        <f t="shared" si="53"/>
        <v>1645.18</v>
      </c>
      <c r="Q481" s="3">
        <f t="shared" si="54"/>
        <v>0.21999999999999995</v>
      </c>
      <c r="R481" s="4" t="str">
        <f>IF(Sales_Fact!$O481&gt;1000,"High","Low")</f>
        <v>High</v>
      </c>
      <c r="S481" s="4" t="str">
        <f>VLOOKUP(C481,Customer_Dim!$A:$N,9,FALSE())</f>
        <v>Laura Soto</v>
      </c>
      <c r="T481" s="4" t="str">
        <f>VLOOKUP(D481,Product_Dim!$A:$M,3,FALSE())</f>
        <v>Beauty</v>
      </c>
      <c r="U481" s="11" t="str">
        <f>VLOOKUP(D481,Product_Dim!$A:$M,2,FALSE())</f>
        <v>Vitamin E Body Lotion</v>
      </c>
      <c r="V481" s="11" t="str">
        <f>VLOOKUP(E481,Store_Dim!$A:$E,3,FALSE())</f>
        <v>East</v>
      </c>
      <c r="W481" s="11" t="str">
        <f>VLOOKUP(C481,Customer_Dim!$A:$N,13,FALSE())</f>
        <v>Platinum</v>
      </c>
      <c r="X481" s="11" t="str">
        <f t="shared" si="55"/>
        <v>Low</v>
      </c>
    </row>
    <row r="482" spans="1:24" ht="15.75" customHeight="1">
      <c r="A482" s="4" t="s">
        <v>2478</v>
      </c>
      <c r="B482" s="9">
        <v>45884</v>
      </c>
      <c r="C482" s="4" t="s">
        <v>1278</v>
      </c>
      <c r="D482" s="4" t="s">
        <v>1703</v>
      </c>
      <c r="E482" s="4" t="s">
        <v>1962</v>
      </c>
      <c r="F482" s="4">
        <v>4</v>
      </c>
      <c r="G482" s="4">
        <v>450.12</v>
      </c>
      <c r="H482" s="4">
        <v>0.28999999999999998</v>
      </c>
      <c r="I482" s="4" t="s">
        <v>2004</v>
      </c>
      <c r="J482" s="10">
        <v>1278.3407999999999</v>
      </c>
      <c r="K482" s="4" t="str">
        <f t="shared" si="49"/>
        <v>15-08-2025</v>
      </c>
      <c r="L482" s="4" t="str">
        <f>TEXT(Sales_Fact!$B482,"mmm")</f>
        <v>Aug</v>
      </c>
      <c r="M482" s="4">
        <f t="shared" si="50"/>
        <v>4</v>
      </c>
      <c r="N482" s="10">
        <f t="shared" si="51"/>
        <v>450.12</v>
      </c>
      <c r="O482" s="10">
        <f t="shared" si="52"/>
        <v>1278.3407999999999</v>
      </c>
      <c r="P482" s="10">
        <f t="shared" si="53"/>
        <v>1800.48</v>
      </c>
      <c r="Q482" s="3">
        <f t="shared" si="54"/>
        <v>0.29000000000000004</v>
      </c>
      <c r="R482" s="4" t="str">
        <f>IF(Sales_Fact!$O482&gt;1000,"High","Low")</f>
        <v>High</v>
      </c>
      <c r="S482" s="4" t="str">
        <f>VLOOKUP(C482,Customer_Dim!$A:$N,9,FALSE())</f>
        <v>Terry Moses</v>
      </c>
      <c r="T482" s="4" t="str">
        <f>VLOOKUP(D482,Product_Dim!$A:$M,3,FALSE())</f>
        <v>Electronics</v>
      </c>
      <c r="U482" s="11" t="str">
        <f>VLOOKUP(D482,Product_Dim!$A:$M,2,FALSE())</f>
        <v>Gaming Mechanical Keyboard</v>
      </c>
      <c r="V482" s="11" t="str">
        <f>VLOOKUP(E482,Store_Dim!$A:$E,3,FALSE())</f>
        <v>West</v>
      </c>
      <c r="W482" s="11" t="str">
        <f>VLOOKUP(C482,Customer_Dim!$A:$N,13,FALSE())</f>
        <v>Platinum</v>
      </c>
      <c r="X482" s="11" t="str">
        <f t="shared" si="55"/>
        <v>High</v>
      </c>
    </row>
    <row r="483" spans="1:24" ht="15.75" customHeight="1">
      <c r="A483" s="4" t="s">
        <v>2479</v>
      </c>
      <c r="B483" s="9">
        <v>45263</v>
      </c>
      <c r="C483" s="4" t="s">
        <v>746</v>
      </c>
      <c r="D483" s="4" t="s">
        <v>1843</v>
      </c>
      <c r="E483" s="4" t="s">
        <v>1919</v>
      </c>
      <c r="F483" s="4">
        <v>1</v>
      </c>
      <c r="G483" s="4">
        <v>462.23</v>
      </c>
      <c r="H483" s="4">
        <v>0.3</v>
      </c>
      <c r="I483" s="4" t="s">
        <v>1998</v>
      </c>
      <c r="J483" s="10">
        <v>323.56099999999998</v>
      </c>
      <c r="K483" s="4" t="str">
        <f t="shared" si="49"/>
        <v>03-12-2023</v>
      </c>
      <c r="L483" s="4" t="str">
        <f>TEXT(Sales_Fact!$B483,"mmm")</f>
        <v>Dec</v>
      </c>
      <c r="M483" s="4">
        <f t="shared" si="50"/>
        <v>1</v>
      </c>
      <c r="N483" s="10">
        <f t="shared" si="51"/>
        <v>462.23</v>
      </c>
      <c r="O483" s="10">
        <f t="shared" si="52"/>
        <v>323.56099999999998</v>
      </c>
      <c r="P483" s="10">
        <f t="shared" si="53"/>
        <v>462.23</v>
      </c>
      <c r="Q483" s="3">
        <f t="shared" si="54"/>
        <v>0.3000000000000001</v>
      </c>
      <c r="R483" s="4" t="str">
        <f>IF(Sales_Fact!$O483&gt;1000,"High","Low")</f>
        <v>Low</v>
      </c>
      <c r="S483" s="4" t="str">
        <f>VLOOKUP(C483,Customer_Dim!$A:$N,9,FALSE())</f>
        <v>Alejandro Doyle</v>
      </c>
      <c r="T483" s="4" t="str">
        <f>VLOOKUP(D483,Product_Dim!$A:$M,3,FALSE())</f>
        <v>Home</v>
      </c>
      <c r="U483" s="11" t="str">
        <f>VLOOKUP(D483,Product_Dim!$A:$M,2,FALSE())</f>
        <v>Decorative Lamp Shade</v>
      </c>
      <c r="V483" s="11" t="str">
        <f>VLOOKUP(E483,Store_Dim!$A:$E,3,FALSE())</f>
        <v>South</v>
      </c>
      <c r="W483" s="11" t="str">
        <f>VLOOKUP(C483,Customer_Dim!$A:$N,13,FALSE())</f>
        <v>Platinum</v>
      </c>
      <c r="X483" s="11" t="str">
        <f t="shared" si="55"/>
        <v>Low</v>
      </c>
    </row>
    <row r="484" spans="1:24" ht="15.75" customHeight="1">
      <c r="A484" s="4" t="s">
        <v>2480</v>
      </c>
      <c r="B484" s="9">
        <v>45906</v>
      </c>
      <c r="C484" s="4" t="s">
        <v>1412</v>
      </c>
      <c r="D484" s="4" t="s">
        <v>1729</v>
      </c>
      <c r="E484" s="4" t="s">
        <v>1965</v>
      </c>
      <c r="F484" s="4">
        <v>1</v>
      </c>
      <c r="G484" s="4">
        <v>361.09</v>
      </c>
      <c r="H484" s="4">
        <v>0.06</v>
      </c>
      <c r="I484" s="4" t="s">
        <v>1998</v>
      </c>
      <c r="J484" s="10">
        <v>339.4246</v>
      </c>
      <c r="K484" s="4" t="str">
        <f t="shared" si="49"/>
        <v>06-09-2025</v>
      </c>
      <c r="L484" s="4" t="str">
        <f>TEXT(Sales_Fact!$B484,"mmm")</f>
        <v>Sep</v>
      </c>
      <c r="M484" s="4">
        <f t="shared" si="50"/>
        <v>1</v>
      </c>
      <c r="N484" s="10">
        <f t="shared" si="51"/>
        <v>361.09</v>
      </c>
      <c r="O484" s="10">
        <f t="shared" si="52"/>
        <v>339.42459999999994</v>
      </c>
      <c r="P484" s="10">
        <f t="shared" si="53"/>
        <v>361.09</v>
      </c>
      <c r="Q484" s="3">
        <f t="shared" si="54"/>
        <v>6.0000000000000095E-2</v>
      </c>
      <c r="R484" s="4" t="str">
        <f>IF(Sales_Fact!$O484&gt;1000,"High","Low")</f>
        <v>Low</v>
      </c>
      <c r="S484" s="4" t="str">
        <f>VLOOKUP(C484,Customer_Dim!$A:$N,9,FALSE())</f>
        <v>Monica Wright</v>
      </c>
      <c r="T484" s="4" t="str">
        <f>VLOOKUP(D484,Product_Dim!$A:$M,3,FALSE())</f>
        <v>Electronics</v>
      </c>
      <c r="U484" s="11" t="str">
        <f>VLOOKUP(D484,Product_Dim!$A:$M,2,FALSE())</f>
        <v>Smart Home WiFi Camera</v>
      </c>
      <c r="V484" s="11" t="str">
        <f>VLOOKUP(E484,Store_Dim!$A:$E,3,FALSE())</f>
        <v>North</v>
      </c>
      <c r="W484" s="11" t="str">
        <f>VLOOKUP(C484,Customer_Dim!$A:$N,13,FALSE())</f>
        <v>Gold</v>
      </c>
      <c r="X484" s="11" t="str">
        <f t="shared" si="55"/>
        <v>Low</v>
      </c>
    </row>
    <row r="485" spans="1:24" ht="15.75" customHeight="1">
      <c r="A485" s="4" t="s">
        <v>2481</v>
      </c>
      <c r="B485" s="9">
        <v>45243</v>
      </c>
      <c r="C485" s="4" t="s">
        <v>1225</v>
      </c>
      <c r="D485" s="4" t="s">
        <v>1825</v>
      </c>
      <c r="E485" s="4" t="s">
        <v>1971</v>
      </c>
      <c r="F485" s="4">
        <v>3</v>
      </c>
      <c r="G485" s="4">
        <v>59.37</v>
      </c>
      <c r="H485" s="4">
        <v>0.03</v>
      </c>
      <c r="I485" s="4" t="s">
        <v>1998</v>
      </c>
      <c r="J485" s="10">
        <v>172.76669999999999</v>
      </c>
      <c r="K485" s="4" t="str">
        <f t="shared" si="49"/>
        <v>13-11-2023</v>
      </c>
      <c r="L485" s="4" t="str">
        <f>TEXT(Sales_Fact!$B485,"mmm")</f>
        <v>Nov</v>
      </c>
      <c r="M485" s="4">
        <f t="shared" si="50"/>
        <v>3</v>
      </c>
      <c r="N485" s="10">
        <f t="shared" si="51"/>
        <v>59.37</v>
      </c>
      <c r="O485" s="10">
        <f t="shared" si="52"/>
        <v>172.76669999999999</v>
      </c>
      <c r="P485" s="10">
        <f t="shared" si="53"/>
        <v>178.10999999999999</v>
      </c>
      <c r="Q485" s="3">
        <f t="shared" si="54"/>
        <v>0.03</v>
      </c>
      <c r="R485" s="4" t="str">
        <f>IF(Sales_Fact!$O485&gt;1000,"High","Low")</f>
        <v>Low</v>
      </c>
      <c r="S485" s="4" t="str">
        <f>VLOOKUP(C485,Customer_Dim!$A:$N,9,FALSE())</f>
        <v>Kristine Higgins</v>
      </c>
      <c r="T485" s="4" t="str">
        <f>VLOOKUP(D485,Product_Dim!$A:$M,3,FALSE())</f>
        <v>Sports</v>
      </c>
      <c r="U485" s="11" t="str">
        <f>VLOOKUP(D485,Product_Dim!$A:$M,2,FALSE())</f>
        <v>Shin Guards – Adult</v>
      </c>
      <c r="V485" s="11" t="str">
        <f>VLOOKUP(E485,Store_Dim!$A:$E,3,FALSE())</f>
        <v>East</v>
      </c>
      <c r="W485" s="11" t="str">
        <f>VLOOKUP(C485,Customer_Dim!$A:$N,13,FALSE())</f>
        <v>Silver</v>
      </c>
      <c r="X485" s="11" t="str">
        <f t="shared" si="55"/>
        <v>Low</v>
      </c>
    </row>
    <row r="486" spans="1:24" ht="15.75" customHeight="1">
      <c r="A486" s="4" t="s">
        <v>2482</v>
      </c>
      <c r="B486" s="9">
        <v>45686</v>
      </c>
      <c r="C486" s="4" t="s">
        <v>165</v>
      </c>
      <c r="D486" s="4" t="s">
        <v>1723</v>
      </c>
      <c r="E486" s="4" t="s">
        <v>1915</v>
      </c>
      <c r="F486" s="4">
        <v>3</v>
      </c>
      <c r="G486" s="4">
        <v>765.21</v>
      </c>
      <c r="H486" s="4">
        <v>0.14000000000000001</v>
      </c>
      <c r="I486" s="4" t="s">
        <v>2004</v>
      </c>
      <c r="J486" s="10">
        <v>1974.2418</v>
      </c>
      <c r="K486" s="4" t="str">
        <f t="shared" si="49"/>
        <v>29-01-2025</v>
      </c>
      <c r="L486" s="4" t="str">
        <f>TEXT(Sales_Fact!$B486,"mmm")</f>
        <v>Jan</v>
      </c>
      <c r="M486" s="4">
        <f t="shared" si="50"/>
        <v>3</v>
      </c>
      <c r="N486" s="10">
        <f t="shared" si="51"/>
        <v>765.21</v>
      </c>
      <c r="O486" s="10">
        <f t="shared" si="52"/>
        <v>1974.2418</v>
      </c>
      <c r="P486" s="10">
        <f t="shared" si="53"/>
        <v>2295.63</v>
      </c>
      <c r="Q486" s="3">
        <f t="shared" si="54"/>
        <v>0.14000000000000004</v>
      </c>
      <c r="R486" s="4" t="str">
        <f>IF(Sales_Fact!$O486&gt;1000,"High","Low")</f>
        <v>High</v>
      </c>
      <c r="S486" s="4" t="str">
        <f>VLOOKUP(C486,Customer_Dim!$A:$N,9,FALSE())</f>
        <v>Thomas Phillips</v>
      </c>
      <c r="T486" s="4" t="str">
        <f>VLOOKUP(D486,Product_Dim!$A:$M,3,FALSE())</f>
        <v>Electronics</v>
      </c>
      <c r="U486" s="11" t="str">
        <f>VLOOKUP(D486,Product_Dim!$A:$M,2,FALSE())</f>
        <v>Noise-Canceling Headphones</v>
      </c>
      <c r="V486" s="11" t="str">
        <f>VLOOKUP(E486,Store_Dim!$A:$E,3,FALSE())</f>
        <v>North</v>
      </c>
      <c r="W486" s="11" t="str">
        <f>VLOOKUP(C486,Customer_Dim!$A:$N,13,FALSE())</f>
        <v>Gold</v>
      </c>
      <c r="X486" s="11" t="str">
        <f t="shared" si="55"/>
        <v>Low</v>
      </c>
    </row>
    <row r="487" spans="1:24" ht="15.75" customHeight="1">
      <c r="A487" s="4" t="s">
        <v>2483</v>
      </c>
      <c r="B487" s="9">
        <v>45472</v>
      </c>
      <c r="C487" s="4" t="s">
        <v>807</v>
      </c>
      <c r="D487" s="4" t="s">
        <v>1697</v>
      </c>
      <c r="E487" s="4" t="s">
        <v>1952</v>
      </c>
      <c r="F487" s="4">
        <v>4</v>
      </c>
      <c r="G487" s="4">
        <v>303.56</v>
      </c>
      <c r="H487" s="4">
        <v>0.2</v>
      </c>
      <c r="I487" s="4" t="s">
        <v>2004</v>
      </c>
      <c r="J487" s="10">
        <v>971.39200000000005</v>
      </c>
      <c r="K487" s="4" t="str">
        <f t="shared" si="49"/>
        <v>29-06-2024</v>
      </c>
      <c r="L487" s="4" t="str">
        <f>TEXT(Sales_Fact!$B487,"mmm")</f>
        <v>Jun</v>
      </c>
      <c r="M487" s="4">
        <f t="shared" si="50"/>
        <v>4</v>
      </c>
      <c r="N487" s="10">
        <f t="shared" si="51"/>
        <v>303.56</v>
      </c>
      <c r="O487" s="10">
        <f t="shared" si="52"/>
        <v>971.39200000000005</v>
      </c>
      <c r="P487" s="10">
        <f t="shared" si="53"/>
        <v>1214.24</v>
      </c>
      <c r="Q487" s="3">
        <f t="shared" si="54"/>
        <v>0.19999999999999996</v>
      </c>
      <c r="R487" s="4" t="str">
        <f>IF(Sales_Fact!$O487&gt;1000,"High","Low")</f>
        <v>Low</v>
      </c>
      <c r="S487" s="4" t="str">
        <f>VLOOKUP(C487,Customer_Dim!$A:$N,9,FALSE())</f>
        <v>Brian Hammond</v>
      </c>
      <c r="T487" s="4" t="str">
        <f>VLOOKUP(D487,Product_Dim!$A:$M,3,FALSE())</f>
        <v>Beauty</v>
      </c>
      <c r="U487" s="11" t="str">
        <f>VLOOKUP(D487,Product_Dim!$A:$M,2,FALSE())</f>
        <v>Vitamin C Face Serum</v>
      </c>
      <c r="V487" s="11" t="str">
        <f>VLOOKUP(E487,Store_Dim!$A:$E,3,FALSE())</f>
        <v>North</v>
      </c>
      <c r="W487" s="11" t="str">
        <f>VLOOKUP(C487,Customer_Dim!$A:$N,13,FALSE())</f>
        <v>Gold</v>
      </c>
      <c r="X487" s="11" t="str">
        <f t="shared" si="55"/>
        <v>High</v>
      </c>
    </row>
    <row r="488" spans="1:24" ht="15.75" customHeight="1">
      <c r="A488" s="4" t="s">
        <v>2484</v>
      </c>
      <c r="B488" s="9">
        <v>45779</v>
      </c>
      <c r="C488" s="4" t="s">
        <v>1400</v>
      </c>
      <c r="D488" s="4" t="s">
        <v>1681</v>
      </c>
      <c r="E488" s="4" t="s">
        <v>1910</v>
      </c>
      <c r="F488" s="4">
        <v>1</v>
      </c>
      <c r="G488" s="4">
        <v>640.92999999999995</v>
      </c>
      <c r="H488" s="4">
        <v>0.19</v>
      </c>
      <c r="I488" s="4" t="s">
        <v>1998</v>
      </c>
      <c r="J488" s="10">
        <v>519.15329999999994</v>
      </c>
      <c r="K488" s="4" t="str">
        <f t="shared" si="49"/>
        <v>02-05-2025</v>
      </c>
      <c r="L488" s="4" t="str">
        <f>TEXT(Sales_Fact!$B488,"mmm")</f>
        <v>May</v>
      </c>
      <c r="M488" s="4">
        <f t="shared" si="50"/>
        <v>1</v>
      </c>
      <c r="N488" s="10">
        <f t="shared" si="51"/>
        <v>640.92999999999995</v>
      </c>
      <c r="O488" s="10">
        <f t="shared" si="52"/>
        <v>519.15329999999994</v>
      </c>
      <c r="P488" s="10">
        <f t="shared" si="53"/>
        <v>640.92999999999995</v>
      </c>
      <c r="Q488" s="3">
        <f t="shared" si="54"/>
        <v>0.19000000000000003</v>
      </c>
      <c r="R488" s="4" t="str">
        <f>IF(Sales_Fact!$O488&gt;1000,"High","Low")</f>
        <v>Low</v>
      </c>
      <c r="S488" s="4" t="str">
        <f>VLOOKUP(C488,Customer_Dim!$A:$N,9,FALSE())</f>
        <v>Adam Castro</v>
      </c>
      <c r="T488" s="4" t="str">
        <f>VLOOKUP(D488,Product_Dim!$A:$M,3,FALSE())</f>
        <v>Home</v>
      </c>
      <c r="U488" s="11" t="str">
        <f>VLOOKUP(D488,Product_Dim!$A:$M,2,FALSE())</f>
        <v>Decorative Floor Vase</v>
      </c>
      <c r="V488" s="11" t="str">
        <f>VLOOKUP(E488,Store_Dim!$A:$E,3,FALSE())</f>
        <v>East</v>
      </c>
      <c r="W488" s="11" t="str">
        <f>VLOOKUP(C488,Customer_Dim!$A:$N,13,FALSE())</f>
        <v>Silver</v>
      </c>
      <c r="X488" s="11" t="str">
        <f t="shared" si="55"/>
        <v>Low</v>
      </c>
    </row>
    <row r="489" spans="1:24" ht="15.75" customHeight="1">
      <c r="A489" s="4" t="s">
        <v>2485</v>
      </c>
      <c r="B489" s="9">
        <v>45830</v>
      </c>
      <c r="C489" s="4" t="s">
        <v>601</v>
      </c>
      <c r="D489" s="4" t="s">
        <v>1864</v>
      </c>
      <c r="E489" s="4" t="s">
        <v>1947</v>
      </c>
      <c r="F489" s="4">
        <v>2</v>
      </c>
      <c r="G489" s="4">
        <v>611.25</v>
      </c>
      <c r="H489" s="4">
        <v>0.22</v>
      </c>
      <c r="I489" s="4" t="s">
        <v>1996</v>
      </c>
      <c r="J489" s="10">
        <v>953.55</v>
      </c>
      <c r="K489" s="4" t="str">
        <f t="shared" si="49"/>
        <v>22-06-2025</v>
      </c>
      <c r="L489" s="4" t="str">
        <f>TEXT(Sales_Fact!$B489,"mmm")</f>
        <v>Jun</v>
      </c>
      <c r="M489" s="4">
        <f t="shared" si="50"/>
        <v>2</v>
      </c>
      <c r="N489" s="10">
        <f t="shared" si="51"/>
        <v>611.25</v>
      </c>
      <c r="O489" s="10">
        <f t="shared" si="52"/>
        <v>953.55000000000007</v>
      </c>
      <c r="P489" s="10">
        <f t="shared" si="53"/>
        <v>1222.5</v>
      </c>
      <c r="Q489" s="3">
        <f t="shared" si="54"/>
        <v>0.21999999999999995</v>
      </c>
      <c r="R489" s="4" t="str">
        <f>IF(Sales_Fact!$O489&gt;1000,"High","Low")</f>
        <v>Low</v>
      </c>
      <c r="S489" s="4" t="str">
        <f>VLOOKUP(C489,Customer_Dim!$A:$N,9,FALSE())</f>
        <v>Maria Davis</v>
      </c>
      <c r="T489" s="4" t="str">
        <f>VLOOKUP(D489,Product_Dim!$A:$M,3,FALSE())</f>
        <v>Home</v>
      </c>
      <c r="U489" s="11" t="str">
        <f>VLOOKUP(D489,Product_Dim!$A:$M,2,FALSE())</f>
        <v>Kitchen Cutting Board</v>
      </c>
      <c r="V489" s="11" t="str">
        <f>VLOOKUP(E489,Store_Dim!$A:$E,3,FALSE())</f>
        <v>East</v>
      </c>
      <c r="W489" s="11" t="str">
        <f>VLOOKUP(C489,Customer_Dim!$A:$N,13,FALSE())</f>
        <v>Gold</v>
      </c>
      <c r="X489" s="11" t="str">
        <f t="shared" si="55"/>
        <v>Low</v>
      </c>
    </row>
    <row r="490" spans="1:24" ht="15.75" customHeight="1">
      <c r="A490" s="4" t="s">
        <v>2486</v>
      </c>
      <c r="B490" s="9">
        <v>45756</v>
      </c>
      <c r="C490" s="4" t="s">
        <v>1451</v>
      </c>
      <c r="D490" s="4" t="s">
        <v>1803</v>
      </c>
      <c r="E490" s="4" t="s">
        <v>1915</v>
      </c>
      <c r="F490" s="4">
        <v>1</v>
      </c>
      <c r="G490" s="4">
        <v>209.93</v>
      </c>
      <c r="H490" s="4">
        <v>0.21</v>
      </c>
      <c r="I490" s="4" t="s">
        <v>1996</v>
      </c>
      <c r="J490" s="10">
        <v>165.84469999999999</v>
      </c>
      <c r="K490" s="4" t="str">
        <f t="shared" si="49"/>
        <v>09-04-2025</v>
      </c>
      <c r="L490" s="4" t="str">
        <f>TEXT(Sales_Fact!$B490,"mmm")</f>
        <v>Apr</v>
      </c>
      <c r="M490" s="4">
        <f t="shared" si="50"/>
        <v>1</v>
      </c>
      <c r="N490" s="10">
        <f t="shared" si="51"/>
        <v>209.93</v>
      </c>
      <c r="O490" s="10">
        <f t="shared" si="52"/>
        <v>165.84470000000002</v>
      </c>
      <c r="P490" s="10">
        <f t="shared" si="53"/>
        <v>209.93</v>
      </c>
      <c r="Q490" s="3">
        <f t="shared" si="54"/>
        <v>0.20999999999999994</v>
      </c>
      <c r="R490" s="4" t="str">
        <f>IF(Sales_Fact!$O490&gt;1000,"High","Low")</f>
        <v>Low</v>
      </c>
      <c r="S490" s="4" t="str">
        <f>VLOOKUP(C490,Customer_Dim!$A:$N,9,FALSE())</f>
        <v>Paul Cox</v>
      </c>
      <c r="T490" s="4" t="str">
        <f>VLOOKUP(D490,Product_Dim!$A:$M,3,FALSE())</f>
        <v>Beauty</v>
      </c>
      <c r="U490" s="11" t="str">
        <f>VLOOKUP(D490,Product_Dim!$A:$M,2,FALSE())</f>
        <v>Women's Hair Dryer Brush</v>
      </c>
      <c r="V490" s="11" t="str">
        <f>VLOOKUP(E490,Store_Dim!$A:$E,3,FALSE())</f>
        <v>North</v>
      </c>
      <c r="W490" s="11" t="str">
        <f>VLOOKUP(C490,Customer_Dim!$A:$N,13,FALSE())</f>
        <v>Silver</v>
      </c>
      <c r="X490" s="11" t="str">
        <f t="shared" si="55"/>
        <v>Low</v>
      </c>
    </row>
    <row r="491" spans="1:24" ht="15.75" customHeight="1">
      <c r="A491" s="4" t="s">
        <v>2487</v>
      </c>
      <c r="B491" s="9">
        <v>45847</v>
      </c>
      <c r="C491" s="4" t="s">
        <v>408</v>
      </c>
      <c r="D491" s="4" t="s">
        <v>1903</v>
      </c>
      <c r="E491" s="4" t="s">
        <v>1947</v>
      </c>
      <c r="F491" s="4">
        <v>3</v>
      </c>
      <c r="G491" s="4">
        <v>130.38999999999999</v>
      </c>
      <c r="H491" s="4">
        <v>0.24</v>
      </c>
      <c r="I491" s="4" t="s">
        <v>1998</v>
      </c>
      <c r="J491" s="10">
        <v>297.28919999999999</v>
      </c>
      <c r="K491" s="4" t="str">
        <f t="shared" si="49"/>
        <v>09-07-2025</v>
      </c>
      <c r="L491" s="4" t="str">
        <f>TEXT(Sales_Fact!$B491,"mmm")</f>
        <v>Jul</v>
      </c>
      <c r="M491" s="4">
        <f t="shared" si="50"/>
        <v>3</v>
      </c>
      <c r="N491" s="10">
        <f t="shared" si="51"/>
        <v>130.38999999999999</v>
      </c>
      <c r="O491" s="10">
        <f t="shared" si="52"/>
        <v>297.28919999999999</v>
      </c>
      <c r="P491" s="10">
        <f t="shared" si="53"/>
        <v>391.16999999999996</v>
      </c>
      <c r="Q491" s="3">
        <f t="shared" si="54"/>
        <v>0.23999999999999994</v>
      </c>
      <c r="R491" s="4" t="str">
        <f>IF(Sales_Fact!$O491&gt;1000,"High","Low")</f>
        <v>Low</v>
      </c>
      <c r="S491" s="4" t="str">
        <f>VLOOKUP(C491,Customer_Dim!$A:$N,9,FALSE())</f>
        <v>Ashley Griffin</v>
      </c>
      <c r="T491" s="4" t="str">
        <f>VLOOKUP(D491,Product_Dim!$A:$M,3,FALSE())</f>
        <v>Home</v>
      </c>
      <c r="U491" s="11" t="str">
        <f>VLOOKUP(D491,Product_Dim!$A:$M,2,FALSE())</f>
        <v>Stainless Steel Cookware Set</v>
      </c>
      <c r="V491" s="11" t="str">
        <f>VLOOKUP(E491,Store_Dim!$A:$E,3,FALSE())</f>
        <v>East</v>
      </c>
      <c r="W491" s="11" t="str">
        <f>VLOOKUP(C491,Customer_Dim!$A:$N,13,FALSE())</f>
        <v>Gold</v>
      </c>
      <c r="X491" s="11" t="str">
        <f t="shared" si="55"/>
        <v>Low</v>
      </c>
    </row>
    <row r="492" spans="1:24" ht="15.75" customHeight="1">
      <c r="A492" s="4" t="s">
        <v>2488</v>
      </c>
      <c r="B492" s="9">
        <v>45322</v>
      </c>
      <c r="C492" s="4" t="s">
        <v>951</v>
      </c>
      <c r="D492" s="4" t="s">
        <v>1885</v>
      </c>
      <c r="E492" s="4" t="s">
        <v>1937</v>
      </c>
      <c r="F492" s="4">
        <v>2</v>
      </c>
      <c r="G492" s="4">
        <v>846.18</v>
      </c>
      <c r="H492" s="4">
        <v>0.1</v>
      </c>
      <c r="I492" s="4" t="s">
        <v>2004</v>
      </c>
      <c r="J492" s="10">
        <v>1523.124</v>
      </c>
      <c r="K492" s="4" t="str">
        <f t="shared" si="49"/>
        <v>31-01-2024</v>
      </c>
      <c r="L492" s="4" t="str">
        <f>TEXT(Sales_Fact!$B492,"mmm")</f>
        <v>Jan</v>
      </c>
      <c r="M492" s="4">
        <f t="shared" si="50"/>
        <v>2</v>
      </c>
      <c r="N492" s="10">
        <f t="shared" si="51"/>
        <v>846.18</v>
      </c>
      <c r="O492" s="10">
        <f t="shared" si="52"/>
        <v>1523.124</v>
      </c>
      <c r="P492" s="10">
        <f t="shared" si="53"/>
        <v>1692.36</v>
      </c>
      <c r="Q492" s="3">
        <f t="shared" si="54"/>
        <v>9.9999999999999936E-2</v>
      </c>
      <c r="R492" s="4" t="str">
        <f>IF(Sales_Fact!$O492&gt;1000,"High","Low")</f>
        <v>High</v>
      </c>
      <c r="S492" s="4" t="str">
        <f>VLOOKUP(C492,Customer_Dim!$A:$N,9,FALSE())</f>
        <v>James Powell</v>
      </c>
      <c r="T492" s="4" t="str">
        <f>VLOOKUP(D492,Product_Dim!$A:$M,3,FALSE())</f>
        <v>Electronics</v>
      </c>
      <c r="U492" s="11" t="str">
        <f>VLOOKUP(D492,Product_Dim!$A:$M,2,FALSE())</f>
        <v>USB-C Laptop Charger</v>
      </c>
      <c r="V492" s="11" t="str">
        <f>VLOOKUP(E492,Store_Dim!$A:$E,3,FALSE())</f>
        <v>South</v>
      </c>
      <c r="W492" s="11" t="str">
        <f>VLOOKUP(C492,Customer_Dim!$A:$N,13,FALSE())</f>
        <v>Bronze</v>
      </c>
      <c r="X492" s="11" t="str">
        <f t="shared" si="55"/>
        <v>Low</v>
      </c>
    </row>
    <row r="493" spans="1:24" ht="15.75" customHeight="1">
      <c r="A493" s="4" t="s">
        <v>2489</v>
      </c>
      <c r="B493" s="9">
        <v>45448</v>
      </c>
      <c r="C493" s="4" t="s">
        <v>1378</v>
      </c>
      <c r="D493" s="4" t="s">
        <v>1709</v>
      </c>
      <c r="E493" s="4" t="s">
        <v>1940</v>
      </c>
      <c r="F493" s="4">
        <v>3</v>
      </c>
      <c r="G493" s="4">
        <v>237.24</v>
      </c>
      <c r="H493" s="4">
        <v>0.24</v>
      </c>
      <c r="I493" s="4" t="s">
        <v>1998</v>
      </c>
      <c r="J493" s="10">
        <v>540.90719999999999</v>
      </c>
      <c r="K493" s="4" t="str">
        <f t="shared" si="49"/>
        <v>05-06-2024</v>
      </c>
      <c r="L493" s="4" t="str">
        <f>TEXT(Sales_Fact!$B493,"mmm")</f>
        <v>Jun</v>
      </c>
      <c r="M493" s="4">
        <f t="shared" si="50"/>
        <v>3</v>
      </c>
      <c r="N493" s="10">
        <f t="shared" si="51"/>
        <v>237.24</v>
      </c>
      <c r="O493" s="10">
        <f t="shared" si="52"/>
        <v>540.90719999999999</v>
      </c>
      <c r="P493" s="10">
        <f t="shared" si="53"/>
        <v>711.72</v>
      </c>
      <c r="Q493" s="3">
        <f t="shared" si="54"/>
        <v>0.24000000000000005</v>
      </c>
      <c r="R493" s="4" t="str">
        <f>IF(Sales_Fact!$O493&gt;1000,"High","Low")</f>
        <v>Low</v>
      </c>
      <c r="S493" s="4" t="str">
        <f>VLOOKUP(C493,Customer_Dim!$A:$N,9,FALSE())</f>
        <v>Lindsay Beasley</v>
      </c>
      <c r="T493" s="4" t="str">
        <f>VLOOKUP(D493,Product_Dim!$A:$M,3,FALSE())</f>
        <v>Clothing</v>
      </c>
      <c r="U493" s="11" t="str">
        <f>VLOOKUP(D493,Product_Dim!$A:$M,2,FALSE())</f>
        <v>Women's Summer Dress</v>
      </c>
      <c r="V493" s="11" t="str">
        <f>VLOOKUP(E493,Store_Dim!$A:$E,3,FALSE())</f>
        <v>West</v>
      </c>
      <c r="W493" s="11" t="str">
        <f>VLOOKUP(C493,Customer_Dim!$A:$N,13,FALSE())</f>
        <v>Silver</v>
      </c>
      <c r="X493" s="11" t="str">
        <f t="shared" si="55"/>
        <v>Low</v>
      </c>
    </row>
    <row r="494" spans="1:24" ht="15.75" customHeight="1">
      <c r="A494" s="4" t="s">
        <v>2490</v>
      </c>
      <c r="B494" s="9">
        <v>45829</v>
      </c>
      <c r="C494" s="4" t="s">
        <v>1138</v>
      </c>
      <c r="D494" s="4" t="s">
        <v>1816</v>
      </c>
      <c r="E494" s="4" t="s">
        <v>1957</v>
      </c>
      <c r="F494" s="4">
        <v>2</v>
      </c>
      <c r="G494" s="4">
        <v>424.53</v>
      </c>
      <c r="H494" s="4">
        <v>0.14000000000000001</v>
      </c>
      <c r="I494" s="4" t="s">
        <v>2004</v>
      </c>
      <c r="J494" s="10">
        <v>730.19159999999999</v>
      </c>
      <c r="K494" s="4" t="str">
        <f t="shared" si="49"/>
        <v>21-06-2025</v>
      </c>
      <c r="L494" s="4" t="str">
        <f>TEXT(Sales_Fact!$B494,"mmm")</f>
        <v>Jun</v>
      </c>
      <c r="M494" s="4">
        <f t="shared" si="50"/>
        <v>2</v>
      </c>
      <c r="N494" s="10">
        <f t="shared" si="51"/>
        <v>424.53</v>
      </c>
      <c r="O494" s="10">
        <f t="shared" si="52"/>
        <v>730.19159999999999</v>
      </c>
      <c r="P494" s="10">
        <f t="shared" si="53"/>
        <v>849.06</v>
      </c>
      <c r="Q494" s="3">
        <f t="shared" si="54"/>
        <v>0.13999999999999996</v>
      </c>
      <c r="R494" s="4" t="str">
        <f>IF(Sales_Fact!$O494&gt;1000,"High","Low")</f>
        <v>Low</v>
      </c>
      <c r="S494" s="4" t="str">
        <f>VLOOKUP(C494,Customer_Dim!$A:$N,9,FALSE())</f>
        <v>Ryan Torres</v>
      </c>
      <c r="T494" s="4" t="str">
        <f>VLOOKUP(D494,Product_Dim!$A:$M,3,FALSE())</f>
        <v>Home</v>
      </c>
      <c r="U494" s="11" t="str">
        <f>VLOOKUP(D494,Product_Dim!$A:$M,2,FALSE())</f>
        <v>Kitchen Storage Rack</v>
      </c>
      <c r="V494" s="11" t="str">
        <f>VLOOKUP(E494,Store_Dim!$A:$E,3,FALSE())</f>
        <v>South</v>
      </c>
      <c r="W494" s="11" t="str">
        <f>VLOOKUP(C494,Customer_Dim!$A:$N,13,FALSE())</f>
        <v>Silver</v>
      </c>
      <c r="X494" s="11" t="str">
        <f t="shared" si="55"/>
        <v>Low</v>
      </c>
    </row>
    <row r="495" spans="1:24" ht="15.75" customHeight="1">
      <c r="A495" s="4" t="s">
        <v>2491</v>
      </c>
      <c r="B495" s="9">
        <v>45539</v>
      </c>
      <c r="C495" s="4" t="s">
        <v>852</v>
      </c>
      <c r="D495" s="4" t="s">
        <v>1870</v>
      </c>
      <c r="E495" s="4" t="s">
        <v>1957</v>
      </c>
      <c r="F495" s="4">
        <v>4</v>
      </c>
      <c r="G495" s="4">
        <v>450.42</v>
      </c>
      <c r="H495" s="4">
        <v>0.08</v>
      </c>
      <c r="I495" s="4" t="s">
        <v>2004</v>
      </c>
      <c r="J495" s="10">
        <v>1657.5455999999999</v>
      </c>
      <c r="K495" s="4" t="str">
        <f t="shared" si="49"/>
        <v>04-09-2024</v>
      </c>
      <c r="L495" s="4" t="str">
        <f>TEXT(Sales_Fact!$B495,"mmm")</f>
        <v>Sep</v>
      </c>
      <c r="M495" s="4">
        <f t="shared" si="50"/>
        <v>4</v>
      </c>
      <c r="N495" s="10">
        <f t="shared" si="51"/>
        <v>450.42</v>
      </c>
      <c r="O495" s="10">
        <f t="shared" si="52"/>
        <v>1657.5456000000001</v>
      </c>
      <c r="P495" s="10">
        <f t="shared" si="53"/>
        <v>1801.68</v>
      </c>
      <c r="Q495" s="3">
        <f t="shared" si="54"/>
        <v>7.9999999999999946E-2</v>
      </c>
      <c r="R495" s="4" t="str">
        <f>IF(Sales_Fact!$O495&gt;1000,"High","Low")</f>
        <v>High</v>
      </c>
      <c r="S495" s="4" t="str">
        <f>VLOOKUP(C495,Customer_Dim!$A:$N,9,FALSE())</f>
        <v>Sarah Stewart</v>
      </c>
      <c r="T495" s="4" t="str">
        <f>VLOOKUP(D495,Product_Dim!$A:$M,3,FALSE())</f>
        <v>Sports</v>
      </c>
      <c r="U495" s="11" t="str">
        <f>VLOOKUP(D495,Product_Dim!$A:$M,2,FALSE())</f>
        <v>Sports Wrist Sweatbands</v>
      </c>
      <c r="V495" s="11" t="str">
        <f>VLOOKUP(E495,Store_Dim!$A:$E,3,FALSE())</f>
        <v>South</v>
      </c>
      <c r="W495" s="11" t="str">
        <f>VLOOKUP(C495,Customer_Dim!$A:$N,13,FALSE())</f>
        <v>Platinum</v>
      </c>
      <c r="X495" s="11" t="str">
        <f t="shared" si="55"/>
        <v>High</v>
      </c>
    </row>
    <row r="496" spans="1:24" ht="15.75" customHeight="1">
      <c r="A496" s="4" t="s">
        <v>2492</v>
      </c>
      <c r="B496" s="9">
        <v>45893</v>
      </c>
      <c r="C496" s="4" t="s">
        <v>547</v>
      </c>
      <c r="D496" s="4" t="s">
        <v>1678</v>
      </c>
      <c r="E496" s="4" t="s">
        <v>1944</v>
      </c>
      <c r="F496" s="4">
        <v>4</v>
      </c>
      <c r="G496" s="4">
        <v>896.91</v>
      </c>
      <c r="H496" s="4">
        <v>0.1</v>
      </c>
      <c r="I496" s="4" t="s">
        <v>1996</v>
      </c>
      <c r="J496" s="10">
        <v>3228.8760000000002</v>
      </c>
      <c r="K496" s="4" t="str">
        <f t="shared" si="49"/>
        <v>24-08-2025</v>
      </c>
      <c r="L496" s="4" t="str">
        <f>TEXT(Sales_Fact!$B496,"mmm")</f>
        <v>Aug</v>
      </c>
      <c r="M496" s="4">
        <f t="shared" si="50"/>
        <v>4</v>
      </c>
      <c r="N496" s="10">
        <f t="shared" si="51"/>
        <v>896.91</v>
      </c>
      <c r="O496" s="10">
        <f t="shared" si="52"/>
        <v>3228.8759999999997</v>
      </c>
      <c r="P496" s="10">
        <f t="shared" si="53"/>
        <v>3587.64</v>
      </c>
      <c r="Q496" s="3">
        <f t="shared" si="54"/>
        <v>0.10000000000000003</v>
      </c>
      <c r="R496" s="4" t="str">
        <f>IF(Sales_Fact!$O496&gt;1000,"High","Low")</f>
        <v>High</v>
      </c>
      <c r="S496" s="4" t="str">
        <f>VLOOKUP(C496,Customer_Dim!$A:$N,9,FALSE())</f>
        <v>Maria Sanchez</v>
      </c>
      <c r="T496" s="4" t="str">
        <f>VLOOKUP(D496,Product_Dim!$A:$M,3,FALSE())</f>
        <v>Electronics</v>
      </c>
      <c r="U496" s="11" t="str">
        <f>VLOOKUP(D496,Product_Dim!$A:$M,2,FALSE())</f>
        <v>Wireless Bluetooth Speaker</v>
      </c>
      <c r="V496" s="11" t="str">
        <f>VLOOKUP(E496,Store_Dim!$A:$E,3,FALSE())</f>
        <v>South</v>
      </c>
      <c r="W496" s="11" t="str">
        <f>VLOOKUP(C496,Customer_Dim!$A:$N,13,FALSE())</f>
        <v>Bronze</v>
      </c>
      <c r="X496" s="11" t="str">
        <f t="shared" si="55"/>
        <v>High</v>
      </c>
    </row>
    <row r="497" spans="1:24" ht="15.75" customHeight="1">
      <c r="A497" s="4" t="s">
        <v>2493</v>
      </c>
      <c r="B497" s="9">
        <v>45814</v>
      </c>
      <c r="C497" s="4" t="s">
        <v>1521</v>
      </c>
      <c r="D497" s="4" t="s">
        <v>1897</v>
      </c>
      <c r="E497" s="4" t="s">
        <v>1947</v>
      </c>
      <c r="F497" s="4">
        <v>3</v>
      </c>
      <c r="G497" s="4">
        <v>679.38</v>
      </c>
      <c r="H497" s="4">
        <v>0.3</v>
      </c>
      <c r="I497" s="4" t="s">
        <v>2004</v>
      </c>
      <c r="J497" s="10">
        <v>1426.6980000000001</v>
      </c>
      <c r="K497" s="4" t="str">
        <f t="shared" si="49"/>
        <v>06-06-2025</v>
      </c>
      <c r="L497" s="4" t="str">
        <f>TEXT(Sales_Fact!$B497,"mmm")</f>
        <v>Jun</v>
      </c>
      <c r="M497" s="4">
        <f t="shared" si="50"/>
        <v>3</v>
      </c>
      <c r="N497" s="10">
        <f t="shared" si="51"/>
        <v>679.38</v>
      </c>
      <c r="O497" s="10">
        <f t="shared" si="52"/>
        <v>1426.6979999999999</v>
      </c>
      <c r="P497" s="10">
        <f t="shared" si="53"/>
        <v>2038.1399999999999</v>
      </c>
      <c r="Q497" s="3">
        <f t="shared" si="54"/>
        <v>0.30000000000000004</v>
      </c>
      <c r="R497" s="4" t="str">
        <f>IF(Sales_Fact!$O497&gt;1000,"High","Low")</f>
        <v>High</v>
      </c>
      <c r="S497" s="4" t="str">
        <f>VLOOKUP(C497,Customer_Dim!$A:$N,9,FALSE())</f>
        <v>Sara Ingram</v>
      </c>
      <c r="T497" s="4" t="str">
        <f>VLOOKUP(D497,Product_Dim!$A:$M,3,FALSE())</f>
        <v>Sports</v>
      </c>
      <c r="U497" s="11" t="str">
        <f>VLOOKUP(D497,Product_Dim!$A:$M,2,FALSE())</f>
        <v>Cricket Bat</v>
      </c>
      <c r="V497" s="11" t="str">
        <f>VLOOKUP(E497,Store_Dim!$A:$E,3,FALSE())</f>
        <v>East</v>
      </c>
      <c r="W497" s="11" t="str">
        <f>VLOOKUP(C497,Customer_Dim!$A:$N,13,FALSE())</f>
        <v>Bronze</v>
      </c>
      <c r="X497" s="11" t="str">
        <f t="shared" si="55"/>
        <v>Low</v>
      </c>
    </row>
    <row r="498" spans="1:24" ht="15.75" customHeight="1">
      <c r="A498" s="4" t="s">
        <v>2494</v>
      </c>
      <c r="B498" s="9">
        <v>45571</v>
      </c>
      <c r="C498" s="4" t="s">
        <v>95</v>
      </c>
      <c r="D498" s="4" t="s">
        <v>1846</v>
      </c>
      <c r="E498" s="4" t="s">
        <v>1962</v>
      </c>
      <c r="F498" s="4">
        <v>3</v>
      </c>
      <c r="G498" s="4">
        <v>483.63</v>
      </c>
      <c r="H498" s="4">
        <v>0</v>
      </c>
      <c r="I498" s="4" t="s">
        <v>1996</v>
      </c>
      <c r="J498" s="10">
        <v>1450.89</v>
      </c>
      <c r="K498" s="4" t="str">
        <f t="shared" si="49"/>
        <v>06-10-2024</v>
      </c>
      <c r="L498" s="4" t="str">
        <f>TEXT(Sales_Fact!$B498,"mmm")</f>
        <v>Oct</v>
      </c>
      <c r="M498" s="4">
        <f t="shared" si="50"/>
        <v>3</v>
      </c>
      <c r="N498" s="10">
        <f t="shared" si="51"/>
        <v>483.63</v>
      </c>
      <c r="O498" s="10">
        <f t="shared" si="52"/>
        <v>1450.8899999999999</v>
      </c>
      <c r="P498" s="10">
        <f t="shared" si="53"/>
        <v>1450.8899999999999</v>
      </c>
      <c r="Q498" s="3">
        <f t="shared" si="54"/>
        <v>0</v>
      </c>
      <c r="R498" s="4" t="str">
        <f>IF(Sales_Fact!$O498&gt;1000,"High","Low")</f>
        <v>High</v>
      </c>
      <c r="S498" s="4" t="str">
        <f>VLOOKUP(C498,Customer_Dim!$A:$N,9,FALSE())</f>
        <v>John Scott</v>
      </c>
      <c r="T498" s="4" t="str">
        <f>VLOOKUP(D498,Product_Dim!$A:$M,3,FALSE())</f>
        <v>Home</v>
      </c>
      <c r="U498" s="11" t="str">
        <f>VLOOKUP(D498,Product_Dim!$A:$M,2,FALSE())</f>
        <v>Wall-Mounted Spice Rack</v>
      </c>
      <c r="V498" s="11" t="str">
        <f>VLOOKUP(E498,Store_Dim!$A:$E,3,FALSE())</f>
        <v>West</v>
      </c>
      <c r="W498" s="11" t="str">
        <f>VLOOKUP(C498,Customer_Dim!$A:$N,13,FALSE())</f>
        <v>Bronze</v>
      </c>
      <c r="X498" s="11" t="str">
        <f t="shared" si="55"/>
        <v>Low</v>
      </c>
    </row>
    <row r="499" spans="1:24" ht="15.75" customHeight="1">
      <c r="A499" s="4" t="s">
        <v>2495</v>
      </c>
      <c r="B499" s="9">
        <v>45542</v>
      </c>
      <c r="C499" s="4" t="s">
        <v>145</v>
      </c>
      <c r="D499" s="4" t="s">
        <v>1719</v>
      </c>
      <c r="E499" s="4" t="s">
        <v>1910</v>
      </c>
      <c r="F499" s="4">
        <v>3</v>
      </c>
      <c r="G499" s="4">
        <v>158.27000000000001</v>
      </c>
      <c r="H499" s="4">
        <v>0.24</v>
      </c>
      <c r="I499" s="4" t="s">
        <v>2004</v>
      </c>
      <c r="J499" s="10">
        <v>360.85559999999998</v>
      </c>
      <c r="K499" s="4" t="str">
        <f t="shared" si="49"/>
        <v>07-09-2024</v>
      </c>
      <c r="L499" s="4" t="str">
        <f>TEXT(Sales_Fact!$B499,"mmm")</f>
        <v>Sep</v>
      </c>
      <c r="M499" s="4">
        <f t="shared" si="50"/>
        <v>3</v>
      </c>
      <c r="N499" s="10">
        <f t="shared" si="51"/>
        <v>158.27000000000001</v>
      </c>
      <c r="O499" s="10">
        <f t="shared" si="52"/>
        <v>360.85560000000004</v>
      </c>
      <c r="P499" s="10">
        <f t="shared" si="53"/>
        <v>474.81000000000006</v>
      </c>
      <c r="Q499" s="3">
        <f t="shared" si="54"/>
        <v>0.24000000000000002</v>
      </c>
      <c r="R499" s="4" t="str">
        <f>IF(Sales_Fact!$O499&gt;1000,"High","Low")</f>
        <v>Low</v>
      </c>
      <c r="S499" s="4" t="str">
        <f>VLOOKUP(C499,Customer_Dim!$A:$N,9,FALSE())</f>
        <v>Jessica Acevedo</v>
      </c>
      <c r="T499" s="4" t="str">
        <f>VLOOKUP(D499,Product_Dim!$A:$M,3,FALSE())</f>
        <v>Electronics</v>
      </c>
      <c r="U499" s="11" t="str">
        <f>VLOOKUP(D499,Product_Dim!$A:$M,2,FALSE())</f>
        <v>Portable Power Bank</v>
      </c>
      <c r="V499" s="11" t="str">
        <f>VLOOKUP(E499,Store_Dim!$A:$E,3,FALSE())</f>
        <v>East</v>
      </c>
      <c r="W499" s="11" t="str">
        <f>VLOOKUP(C499,Customer_Dim!$A:$N,13,FALSE())</f>
        <v>Bronze</v>
      </c>
      <c r="X499" s="11" t="str">
        <f t="shared" si="55"/>
        <v>Low</v>
      </c>
    </row>
    <row r="500" spans="1:24" ht="15.75" customHeight="1">
      <c r="A500" s="4" t="s">
        <v>2496</v>
      </c>
      <c r="B500" s="9">
        <v>45758</v>
      </c>
      <c r="C500" s="4" t="s">
        <v>423</v>
      </c>
      <c r="D500" s="4" t="s">
        <v>1588</v>
      </c>
      <c r="E500" s="4" t="s">
        <v>1959</v>
      </c>
      <c r="F500" s="4">
        <v>4</v>
      </c>
      <c r="G500" s="4">
        <v>601.5</v>
      </c>
      <c r="H500" s="4">
        <v>0.18</v>
      </c>
      <c r="I500" s="4" t="s">
        <v>1996</v>
      </c>
      <c r="J500" s="10">
        <v>1972.92</v>
      </c>
      <c r="K500" s="4" t="str">
        <f t="shared" si="49"/>
        <v>11-04-2025</v>
      </c>
      <c r="L500" s="4" t="str">
        <f>TEXT(Sales_Fact!$B500,"mmm")</f>
        <v>Apr</v>
      </c>
      <c r="M500" s="4">
        <f t="shared" si="50"/>
        <v>4</v>
      </c>
      <c r="N500" s="10">
        <f t="shared" si="51"/>
        <v>601.5</v>
      </c>
      <c r="O500" s="10">
        <f t="shared" si="52"/>
        <v>1972.92</v>
      </c>
      <c r="P500" s="10">
        <f t="shared" si="53"/>
        <v>2406</v>
      </c>
      <c r="Q500" s="3">
        <f t="shared" si="54"/>
        <v>0.17999999999999997</v>
      </c>
      <c r="R500" s="4" t="str">
        <f>IF(Sales_Fact!$O500&gt;1000,"High","Low")</f>
        <v>High</v>
      </c>
      <c r="S500" s="4" t="str">
        <f>VLOOKUP(C500,Customer_Dim!$A:$N,9,FALSE())</f>
        <v>Tyler Conrad</v>
      </c>
      <c r="T500" s="4" t="str">
        <f>VLOOKUP(D500,Product_Dim!$A:$M,3,FALSE())</f>
        <v>Clothing</v>
      </c>
      <c r="U500" s="11" t="str">
        <f>VLOOKUP(D500,Product_Dim!$A:$M,2,FALSE())</f>
        <v>Women's Casual Hoodie</v>
      </c>
      <c r="V500" s="11" t="str">
        <f>VLOOKUP(E500,Store_Dim!$A:$E,3,FALSE())</f>
        <v>North</v>
      </c>
      <c r="W500" s="11" t="str">
        <f>VLOOKUP(C500,Customer_Dim!$A:$N,13,FALSE())</f>
        <v>Platinum</v>
      </c>
      <c r="X500" s="11" t="str">
        <f t="shared" si="55"/>
        <v>High</v>
      </c>
    </row>
    <row r="501" spans="1:24" ht="15.75" customHeight="1">
      <c r="A501" s="4" t="s">
        <v>2497</v>
      </c>
      <c r="B501" s="9">
        <v>45709</v>
      </c>
      <c r="C501" s="4" t="s">
        <v>276</v>
      </c>
      <c r="D501" s="4" t="s">
        <v>1693</v>
      </c>
      <c r="E501" s="4" t="s">
        <v>1968</v>
      </c>
      <c r="F501" s="4">
        <v>2</v>
      </c>
      <c r="G501" s="4">
        <v>46.39</v>
      </c>
      <c r="H501" s="4">
        <v>7.0000000000000007E-2</v>
      </c>
      <c r="I501" s="4" t="s">
        <v>1996</v>
      </c>
      <c r="J501" s="10">
        <v>86.285399999999996</v>
      </c>
      <c r="K501" s="4" t="str">
        <f t="shared" si="49"/>
        <v>21-02-2025</v>
      </c>
      <c r="L501" s="4" t="str">
        <f>TEXT(Sales_Fact!$B501,"mmm")</f>
        <v>Feb</v>
      </c>
      <c r="M501" s="4">
        <f t="shared" si="50"/>
        <v>2</v>
      </c>
      <c r="N501" s="10">
        <f t="shared" si="51"/>
        <v>46.39</v>
      </c>
      <c r="O501" s="10">
        <f t="shared" si="52"/>
        <v>86.285399999999996</v>
      </c>
      <c r="P501" s="10">
        <f t="shared" si="53"/>
        <v>92.78</v>
      </c>
      <c r="Q501" s="3">
        <f t="shared" si="54"/>
        <v>7.0000000000000062E-2</v>
      </c>
      <c r="R501" s="4" t="str">
        <f>IF(Sales_Fact!$O501&gt;1000,"High","Low")</f>
        <v>Low</v>
      </c>
      <c r="S501" s="4" t="str">
        <f>VLOOKUP(C501,Customer_Dim!$A:$N,9,FALSE())</f>
        <v>Roy Cole</v>
      </c>
      <c r="T501" s="4" t="str">
        <f>VLOOKUP(D501,Product_Dim!$A:$M,3,FALSE())</f>
        <v>Sports</v>
      </c>
      <c r="U501" s="11" t="str">
        <f>VLOOKUP(D501,Product_Dim!$A:$M,2,FALSE())</f>
        <v>Basketball</v>
      </c>
      <c r="V501" s="11" t="str">
        <f>VLOOKUP(E501,Store_Dim!$A:$E,3,FALSE())</f>
        <v>East</v>
      </c>
      <c r="W501" s="11" t="str">
        <f>VLOOKUP(C501,Customer_Dim!$A:$N,13,FALSE())</f>
        <v>Platinum</v>
      </c>
      <c r="X501" s="11" t="str">
        <f t="shared" si="55"/>
        <v>Low</v>
      </c>
    </row>
    <row r="502" spans="1:24" ht="15.75" customHeight="1">
      <c r="A502" s="4" t="s">
        <v>2498</v>
      </c>
      <c r="B502" s="9">
        <v>45587</v>
      </c>
      <c r="C502" s="4" t="s">
        <v>435</v>
      </c>
      <c r="D502" s="4" t="s">
        <v>1852</v>
      </c>
      <c r="E502" s="4" t="s">
        <v>1940</v>
      </c>
      <c r="F502" s="4">
        <v>4</v>
      </c>
      <c r="G502" s="4">
        <v>892.28</v>
      </c>
      <c r="H502" s="4">
        <v>0.23</v>
      </c>
      <c r="I502" s="4" t="s">
        <v>1996</v>
      </c>
      <c r="J502" s="10">
        <v>2748.2224000000001</v>
      </c>
      <c r="K502" s="4" t="str">
        <f t="shared" si="49"/>
        <v>22-10-2024</v>
      </c>
      <c r="L502" s="4" t="str">
        <f>TEXT(Sales_Fact!$B502,"mmm")</f>
        <v>Oct</v>
      </c>
      <c r="M502" s="4">
        <f t="shared" si="50"/>
        <v>4</v>
      </c>
      <c r="N502" s="10">
        <f t="shared" si="51"/>
        <v>892.28</v>
      </c>
      <c r="O502" s="10">
        <f t="shared" si="52"/>
        <v>2748.2224000000001</v>
      </c>
      <c r="P502" s="10">
        <f t="shared" si="53"/>
        <v>3569.12</v>
      </c>
      <c r="Q502" s="3">
        <f t="shared" si="54"/>
        <v>0.22999999999999995</v>
      </c>
      <c r="R502" s="4" t="str">
        <f>IF(Sales_Fact!$O502&gt;1000,"High","Low")</f>
        <v>High</v>
      </c>
      <c r="S502" s="4" t="str">
        <f>VLOOKUP(C502,Customer_Dim!$A:$N,9,FALSE())</f>
        <v>Michael Jones</v>
      </c>
      <c r="T502" s="4" t="str">
        <f>VLOOKUP(D502,Product_Dim!$A:$M,3,FALSE())</f>
        <v>Sports</v>
      </c>
      <c r="U502" s="11" t="str">
        <f>VLOOKUP(D502,Product_Dim!$A:$M,2,FALSE())</f>
        <v>Fitness Resistance Bands</v>
      </c>
      <c r="V502" s="11" t="str">
        <f>VLOOKUP(E502,Store_Dim!$A:$E,3,FALSE())</f>
        <v>West</v>
      </c>
      <c r="W502" s="11" t="str">
        <f>VLOOKUP(C502,Customer_Dim!$A:$N,13,FALSE())</f>
        <v>Bronze</v>
      </c>
      <c r="X502" s="11" t="str">
        <f t="shared" si="55"/>
        <v>High</v>
      </c>
    </row>
    <row r="503" spans="1:24" ht="15.75" customHeight="1">
      <c r="A503" s="4" t="s">
        <v>2499</v>
      </c>
      <c r="B503" s="9">
        <v>45494</v>
      </c>
      <c r="C503" s="4" t="s">
        <v>743</v>
      </c>
      <c r="D503" s="4" t="s">
        <v>1622</v>
      </c>
      <c r="E503" s="4" t="s">
        <v>1937</v>
      </c>
      <c r="F503" s="4">
        <v>2</v>
      </c>
      <c r="G503" s="4">
        <v>164.23</v>
      </c>
      <c r="H503" s="4">
        <v>0.17</v>
      </c>
      <c r="I503" s="4" t="s">
        <v>1996</v>
      </c>
      <c r="J503" s="10">
        <v>272.62180000000001</v>
      </c>
      <c r="K503" s="4" t="str">
        <f t="shared" si="49"/>
        <v>21-07-2024</v>
      </c>
      <c r="L503" s="4" t="str">
        <f>TEXT(Sales_Fact!$B503,"mmm")</f>
        <v>Jul</v>
      </c>
      <c r="M503" s="4">
        <f t="shared" si="50"/>
        <v>2</v>
      </c>
      <c r="N503" s="10">
        <f t="shared" si="51"/>
        <v>164.23</v>
      </c>
      <c r="O503" s="10">
        <f t="shared" si="52"/>
        <v>272.62179999999995</v>
      </c>
      <c r="P503" s="10">
        <f t="shared" si="53"/>
        <v>328.46</v>
      </c>
      <c r="Q503" s="3">
        <f t="shared" si="54"/>
        <v>0.1700000000000001</v>
      </c>
      <c r="R503" s="4" t="str">
        <f>IF(Sales_Fact!$O503&gt;1000,"High","Low")</f>
        <v>Low</v>
      </c>
      <c r="S503" s="4" t="str">
        <f>VLOOKUP(C503,Customer_Dim!$A:$N,9,FALSE())</f>
        <v>Lisa Young</v>
      </c>
      <c r="T503" s="4" t="str">
        <f>VLOOKUP(D503,Product_Dim!$A:$M,3,FALSE())</f>
        <v>Home</v>
      </c>
      <c r="U503" s="11" t="str">
        <f>VLOOKUP(D503,Product_Dim!$A:$M,2,FALSE())</f>
        <v>Ceramic Kitchen Bowl Set</v>
      </c>
      <c r="V503" s="11" t="str">
        <f>VLOOKUP(E503,Store_Dim!$A:$E,3,FALSE())</f>
        <v>South</v>
      </c>
      <c r="W503" s="11" t="str">
        <f>VLOOKUP(C503,Customer_Dim!$A:$N,13,FALSE())</f>
        <v>Platinum</v>
      </c>
      <c r="X503" s="11" t="str">
        <f t="shared" si="55"/>
        <v>Low</v>
      </c>
    </row>
    <row r="504" spans="1:24" ht="15.75" customHeight="1">
      <c r="A504" s="4" t="s">
        <v>2500</v>
      </c>
      <c r="B504" s="9">
        <v>45522</v>
      </c>
      <c r="C504" s="4" t="s">
        <v>1446</v>
      </c>
      <c r="D504" s="4" t="s">
        <v>1767</v>
      </c>
      <c r="E504" s="4" t="s">
        <v>1959</v>
      </c>
      <c r="F504" s="4">
        <v>2</v>
      </c>
      <c r="G504" s="4">
        <v>536.84</v>
      </c>
      <c r="H504" s="4">
        <v>0.09</v>
      </c>
      <c r="I504" s="4" t="s">
        <v>2004</v>
      </c>
      <c r="J504" s="10">
        <v>977.04880000000003</v>
      </c>
      <c r="K504" s="4" t="str">
        <f t="shared" si="49"/>
        <v>18-08-2024</v>
      </c>
      <c r="L504" s="4" t="str">
        <f>TEXT(Sales_Fact!$B504,"mmm")</f>
        <v>Aug</v>
      </c>
      <c r="M504" s="4">
        <f t="shared" si="50"/>
        <v>2</v>
      </c>
      <c r="N504" s="10">
        <f t="shared" si="51"/>
        <v>536.84</v>
      </c>
      <c r="O504" s="10">
        <f t="shared" si="52"/>
        <v>977.04880000000014</v>
      </c>
      <c r="P504" s="10">
        <f t="shared" si="53"/>
        <v>1073.68</v>
      </c>
      <c r="Q504" s="3">
        <f t="shared" si="54"/>
        <v>8.9999999999999927E-2</v>
      </c>
      <c r="R504" s="4" t="str">
        <f>IF(Sales_Fact!$O504&gt;1000,"High","Low")</f>
        <v>Low</v>
      </c>
      <c r="S504" s="4" t="str">
        <f>VLOOKUP(C504,Customer_Dim!$A:$N,9,FALSE())</f>
        <v>John Perez</v>
      </c>
      <c r="T504" s="4" t="str">
        <f>VLOOKUP(D504,Product_Dim!$A:$M,3,FALSE())</f>
        <v>Sports</v>
      </c>
      <c r="U504" s="11" t="str">
        <f>VLOOKUP(D504,Product_Dim!$A:$M,2,FALSE())</f>
        <v>Sports Stopwatch Pro</v>
      </c>
      <c r="V504" s="11" t="str">
        <f>VLOOKUP(E504,Store_Dim!$A:$E,3,FALSE())</f>
        <v>North</v>
      </c>
      <c r="W504" s="11" t="str">
        <f>VLOOKUP(C504,Customer_Dim!$A:$N,13,FALSE())</f>
        <v>Gold</v>
      </c>
      <c r="X504" s="11" t="str">
        <f t="shared" si="55"/>
        <v>Low</v>
      </c>
    </row>
    <row r="505" spans="1:24" ht="15.75" customHeight="1">
      <c r="A505" s="4" t="s">
        <v>2501</v>
      </c>
      <c r="B505" s="9">
        <v>45305</v>
      </c>
      <c r="C505" s="4" t="s">
        <v>1426</v>
      </c>
      <c r="D505" s="4" t="s">
        <v>1617</v>
      </c>
      <c r="E505" s="4" t="s">
        <v>1937</v>
      </c>
      <c r="F505" s="4">
        <v>1</v>
      </c>
      <c r="G505" s="4">
        <v>484.23</v>
      </c>
      <c r="H505" s="4">
        <v>0.12</v>
      </c>
      <c r="I505" s="4" t="s">
        <v>2004</v>
      </c>
      <c r="J505" s="10">
        <v>426.12240000000003</v>
      </c>
      <c r="K505" s="4" t="str">
        <f t="shared" si="49"/>
        <v>14-01-2024</v>
      </c>
      <c r="L505" s="4" t="str">
        <f>TEXT(Sales_Fact!$B505,"mmm")</f>
        <v>Jan</v>
      </c>
      <c r="M505" s="4">
        <f t="shared" si="50"/>
        <v>1</v>
      </c>
      <c r="N505" s="10">
        <f t="shared" si="51"/>
        <v>484.23</v>
      </c>
      <c r="O505" s="10">
        <f t="shared" si="52"/>
        <v>426.12240000000003</v>
      </c>
      <c r="P505" s="10">
        <f t="shared" si="53"/>
        <v>484.23</v>
      </c>
      <c r="Q505" s="3">
        <f t="shared" si="54"/>
        <v>0.11999999999999998</v>
      </c>
      <c r="R505" s="4" t="str">
        <f>IF(Sales_Fact!$O505&gt;1000,"High","Low")</f>
        <v>Low</v>
      </c>
      <c r="S505" s="4" t="str">
        <f>VLOOKUP(C505,Customer_Dim!$A:$N,9,FALSE())</f>
        <v>Jeffery Wolf</v>
      </c>
      <c r="T505" s="4" t="str">
        <f>VLOOKUP(D505,Product_Dim!$A:$M,3,FALSE())</f>
        <v>Sports</v>
      </c>
      <c r="U505" s="11" t="str">
        <f>VLOOKUP(D505,Product_Dim!$A:$M,2,FALSE())</f>
        <v>Adjustable Dumbbell Set</v>
      </c>
      <c r="V505" s="11" t="str">
        <f>VLOOKUP(E505,Store_Dim!$A:$E,3,FALSE())</f>
        <v>South</v>
      </c>
      <c r="W505" s="11" t="str">
        <f>VLOOKUP(C505,Customer_Dim!$A:$N,13,FALSE())</f>
        <v>Bronze</v>
      </c>
      <c r="X505" s="11" t="str">
        <f t="shared" si="55"/>
        <v>Low</v>
      </c>
    </row>
    <row r="506" spans="1:24" ht="15.75" customHeight="1">
      <c r="A506" s="4" t="s">
        <v>2502</v>
      </c>
      <c r="B506" s="9">
        <v>45383</v>
      </c>
      <c r="C506" s="4" t="s">
        <v>51</v>
      </c>
      <c r="D506" s="4" t="s">
        <v>1706</v>
      </c>
      <c r="E506" s="4" t="s">
        <v>1968</v>
      </c>
      <c r="F506" s="4">
        <v>3</v>
      </c>
      <c r="G506" s="4">
        <v>341.51</v>
      </c>
      <c r="H506" s="4">
        <v>0.22</v>
      </c>
      <c r="I506" s="4" t="s">
        <v>2004</v>
      </c>
      <c r="J506" s="10">
        <v>799.13340000000005</v>
      </c>
      <c r="K506" s="4" t="str">
        <f t="shared" si="49"/>
        <v>01-04-2024</v>
      </c>
      <c r="L506" s="4" t="str">
        <f>TEXT(Sales_Fact!$B506,"mmm")</f>
        <v>Apr</v>
      </c>
      <c r="M506" s="4">
        <f t="shared" si="50"/>
        <v>3</v>
      </c>
      <c r="N506" s="10">
        <f t="shared" si="51"/>
        <v>341.51</v>
      </c>
      <c r="O506" s="10">
        <f t="shared" si="52"/>
        <v>799.13340000000005</v>
      </c>
      <c r="P506" s="10">
        <f t="shared" si="53"/>
        <v>1024.53</v>
      </c>
      <c r="Q506" s="3">
        <f t="shared" si="54"/>
        <v>0.21999999999999992</v>
      </c>
      <c r="R506" s="4" t="str">
        <f>IF(Sales_Fact!$O506&gt;1000,"High","Low")</f>
        <v>Low</v>
      </c>
      <c r="S506" s="4" t="str">
        <f>VLOOKUP(C506,Customer_Dim!$A:$N,9,FALSE())</f>
        <v>Christine Vaughn</v>
      </c>
      <c r="T506" s="4" t="str">
        <f>VLOOKUP(D506,Product_Dim!$A:$M,3,FALSE())</f>
        <v>Home</v>
      </c>
      <c r="U506" s="11" t="str">
        <f>VLOOKUP(D506,Product_Dim!$A:$M,2,FALSE())</f>
        <v>Bedroom Table Lamp</v>
      </c>
      <c r="V506" s="11" t="str">
        <f>VLOOKUP(E506,Store_Dim!$A:$E,3,FALSE())</f>
        <v>East</v>
      </c>
      <c r="W506" s="11" t="str">
        <f>VLOOKUP(C506,Customer_Dim!$A:$N,13,FALSE())</f>
        <v>Bronze</v>
      </c>
      <c r="X506" s="11" t="str">
        <f t="shared" si="55"/>
        <v>Low</v>
      </c>
    </row>
    <row r="507" spans="1:24" ht="15.75" customHeight="1">
      <c r="A507" s="4" t="s">
        <v>2503</v>
      </c>
      <c r="B507" s="9">
        <v>45788</v>
      </c>
      <c r="C507" s="4" t="s">
        <v>405</v>
      </c>
      <c r="D507" s="4" t="s">
        <v>1900</v>
      </c>
      <c r="E507" s="4" t="s">
        <v>1955</v>
      </c>
      <c r="F507" s="4">
        <v>3</v>
      </c>
      <c r="G507" s="4">
        <v>758.87</v>
      </c>
      <c r="H507" s="4">
        <v>0.11</v>
      </c>
      <c r="I507" s="4" t="s">
        <v>1998</v>
      </c>
      <c r="J507" s="10">
        <v>2026.1829</v>
      </c>
      <c r="K507" s="4" t="str">
        <f t="shared" si="49"/>
        <v>11-05-2025</v>
      </c>
      <c r="L507" s="4" t="str">
        <f>TEXT(Sales_Fact!$B507,"mmm")</f>
        <v>May</v>
      </c>
      <c r="M507" s="4">
        <f t="shared" si="50"/>
        <v>3</v>
      </c>
      <c r="N507" s="10">
        <f t="shared" si="51"/>
        <v>758.87</v>
      </c>
      <c r="O507" s="10">
        <f t="shared" si="52"/>
        <v>2026.1829000000002</v>
      </c>
      <c r="P507" s="10">
        <f t="shared" si="53"/>
        <v>2276.61</v>
      </c>
      <c r="Q507" s="3">
        <f t="shared" si="54"/>
        <v>0.10999999999999995</v>
      </c>
      <c r="R507" s="4" t="str">
        <f>IF(Sales_Fact!$O507&gt;1000,"High","Low")</f>
        <v>High</v>
      </c>
      <c r="S507" s="4" t="str">
        <f>VLOOKUP(C507,Customer_Dim!$A:$N,9,FALSE())</f>
        <v>Amy Walker</v>
      </c>
      <c r="T507" s="4" t="str">
        <f>VLOOKUP(D507,Product_Dim!$A:$M,3,FALSE())</f>
        <v>Electronics</v>
      </c>
      <c r="U507" s="11" t="str">
        <f>VLOOKUP(D507,Product_Dim!$A:$M,2,FALSE())</f>
        <v>Portable Bluetooth Speaker</v>
      </c>
      <c r="V507" s="11" t="str">
        <f>VLOOKUP(E507,Store_Dim!$A:$E,3,FALSE())</f>
        <v>East</v>
      </c>
      <c r="W507" s="11" t="str">
        <f>VLOOKUP(C507,Customer_Dim!$A:$N,13,FALSE())</f>
        <v>Silver</v>
      </c>
      <c r="X507" s="11" t="str">
        <f t="shared" si="55"/>
        <v>Low</v>
      </c>
    </row>
    <row r="508" spans="1:24" ht="15.75" customHeight="1">
      <c r="A508" s="4" t="s">
        <v>2504</v>
      </c>
      <c r="B508" s="9">
        <v>45855</v>
      </c>
      <c r="C508" s="4" t="s">
        <v>1478</v>
      </c>
      <c r="D508" s="4" t="s">
        <v>1773</v>
      </c>
      <c r="E508" s="4" t="s">
        <v>1952</v>
      </c>
      <c r="F508" s="4">
        <v>3</v>
      </c>
      <c r="G508" s="4">
        <v>560.52</v>
      </c>
      <c r="H508" s="4">
        <v>0.17</v>
      </c>
      <c r="I508" s="4" t="s">
        <v>1996</v>
      </c>
      <c r="J508" s="10">
        <v>1395.6948</v>
      </c>
      <c r="K508" s="4" t="str">
        <f t="shared" si="49"/>
        <v>17-07-2025</v>
      </c>
      <c r="L508" s="4" t="str">
        <f>TEXT(Sales_Fact!$B508,"mmm")</f>
        <v>Jul</v>
      </c>
      <c r="M508" s="4">
        <f t="shared" si="50"/>
        <v>3</v>
      </c>
      <c r="N508" s="10">
        <f t="shared" si="51"/>
        <v>560.52</v>
      </c>
      <c r="O508" s="10">
        <f t="shared" si="52"/>
        <v>1395.6948</v>
      </c>
      <c r="P508" s="10">
        <f t="shared" si="53"/>
        <v>1681.56</v>
      </c>
      <c r="Q508" s="3">
        <f t="shared" si="54"/>
        <v>0.16999999999999998</v>
      </c>
      <c r="R508" s="4" t="str">
        <f>IF(Sales_Fact!$O508&gt;1000,"High","Low")</f>
        <v>High</v>
      </c>
      <c r="S508" s="4" t="str">
        <f>VLOOKUP(C508,Customer_Dim!$A:$N,9,FALSE())</f>
        <v>Manuel Fisher</v>
      </c>
      <c r="T508" s="4" t="str">
        <f>VLOOKUP(D508,Product_Dim!$A:$M,3,FALSE())</f>
        <v>Home</v>
      </c>
      <c r="U508" s="11" t="str">
        <f>VLOOKUP(D508,Product_Dim!$A:$M,2,FALSE())</f>
        <v>Premium Blanket Throw</v>
      </c>
      <c r="V508" s="11" t="str">
        <f>VLOOKUP(E508,Store_Dim!$A:$E,3,FALSE())</f>
        <v>North</v>
      </c>
      <c r="W508" s="11" t="str">
        <f>VLOOKUP(C508,Customer_Dim!$A:$N,13,FALSE())</f>
        <v>Gold</v>
      </c>
      <c r="X508" s="11" t="str">
        <f t="shared" si="55"/>
        <v>Low</v>
      </c>
    </row>
    <row r="509" spans="1:24" ht="15.75" customHeight="1">
      <c r="A509" s="4" t="s">
        <v>2505</v>
      </c>
      <c r="B509" s="9">
        <v>45533</v>
      </c>
      <c r="C509" s="4" t="s">
        <v>1129</v>
      </c>
      <c r="D509" s="4" t="s">
        <v>1894</v>
      </c>
      <c r="E509" s="4" t="s">
        <v>1965</v>
      </c>
      <c r="F509" s="4">
        <v>2</v>
      </c>
      <c r="G509" s="4">
        <v>977.18</v>
      </c>
      <c r="H509" s="4">
        <v>0.19</v>
      </c>
      <c r="I509" s="4" t="s">
        <v>1996</v>
      </c>
      <c r="J509" s="10">
        <v>1583.0316</v>
      </c>
      <c r="K509" s="4" t="str">
        <f t="shared" si="49"/>
        <v>29-08-2024</v>
      </c>
      <c r="L509" s="4" t="str">
        <f>TEXT(Sales_Fact!$B509,"mmm")</f>
        <v>Aug</v>
      </c>
      <c r="M509" s="4">
        <f t="shared" si="50"/>
        <v>2</v>
      </c>
      <c r="N509" s="10">
        <f t="shared" si="51"/>
        <v>977.18</v>
      </c>
      <c r="O509" s="10">
        <f t="shared" si="52"/>
        <v>1583.0316</v>
      </c>
      <c r="P509" s="10">
        <f t="shared" si="53"/>
        <v>1954.36</v>
      </c>
      <c r="Q509" s="3">
        <f t="shared" si="54"/>
        <v>0.18999999999999995</v>
      </c>
      <c r="R509" s="4" t="str">
        <f>IF(Sales_Fact!$O509&gt;1000,"High","Low")</f>
        <v>High</v>
      </c>
      <c r="S509" s="4" t="str">
        <f>VLOOKUP(C509,Customer_Dim!$A:$N,9,FALSE())</f>
        <v>Jeffrey Mccarthy</v>
      </c>
      <c r="T509" s="4" t="str">
        <f>VLOOKUP(D509,Product_Dim!$A:$M,3,FALSE())</f>
        <v>Clothing</v>
      </c>
      <c r="U509" s="11" t="str">
        <f>VLOOKUP(D509,Product_Dim!$A:$M,2,FALSE())</f>
        <v>Women's Formal Blazer</v>
      </c>
      <c r="V509" s="11" t="str">
        <f>VLOOKUP(E509,Store_Dim!$A:$E,3,FALSE())</f>
        <v>North</v>
      </c>
      <c r="W509" s="11" t="str">
        <f>VLOOKUP(C509,Customer_Dim!$A:$N,13,FALSE())</f>
        <v>Bronze</v>
      </c>
      <c r="X509" s="11" t="str">
        <f t="shared" si="55"/>
        <v>Low</v>
      </c>
    </row>
    <row r="510" spans="1:24" ht="15.75" customHeight="1">
      <c r="A510" s="4" t="s">
        <v>2506</v>
      </c>
      <c r="B510" s="9">
        <v>45763</v>
      </c>
      <c r="C510" s="4" t="s">
        <v>786</v>
      </c>
      <c r="D510" s="4" t="s">
        <v>1644</v>
      </c>
      <c r="E510" s="4" t="s">
        <v>1957</v>
      </c>
      <c r="F510" s="4">
        <v>4</v>
      </c>
      <c r="G510" s="4">
        <v>761.35</v>
      </c>
      <c r="H510" s="4">
        <v>0.08</v>
      </c>
      <c r="I510" s="4" t="s">
        <v>1996</v>
      </c>
      <c r="J510" s="10">
        <v>2801.768</v>
      </c>
      <c r="K510" s="4" t="str">
        <f t="shared" si="49"/>
        <v>16-04-2025</v>
      </c>
      <c r="L510" s="4" t="str">
        <f>TEXT(Sales_Fact!$B510,"mmm")</f>
        <v>Apr</v>
      </c>
      <c r="M510" s="4">
        <f t="shared" si="50"/>
        <v>4</v>
      </c>
      <c r="N510" s="10">
        <f t="shared" si="51"/>
        <v>761.35</v>
      </c>
      <c r="O510" s="10">
        <f t="shared" si="52"/>
        <v>2801.768</v>
      </c>
      <c r="P510" s="10">
        <f t="shared" si="53"/>
        <v>3045.4</v>
      </c>
      <c r="Q510" s="3">
        <f t="shared" si="54"/>
        <v>8.0000000000000016E-2</v>
      </c>
      <c r="R510" s="4" t="str">
        <f>IF(Sales_Fact!$O510&gt;1000,"High","Low")</f>
        <v>High</v>
      </c>
      <c r="S510" s="4" t="str">
        <f>VLOOKUP(C510,Customer_Dim!$A:$N,9,FALSE())</f>
        <v>Joshua Wilson</v>
      </c>
      <c r="T510" s="4" t="str">
        <f>VLOOKUP(D510,Product_Dim!$A:$M,3,FALSE())</f>
        <v>Beauty</v>
      </c>
      <c r="U510" s="11" t="str">
        <f>VLOOKUP(D510,Product_Dim!$A:$M,2,FALSE())</f>
        <v>Beard Grooming Kit</v>
      </c>
      <c r="V510" s="11" t="str">
        <f>VLOOKUP(E510,Store_Dim!$A:$E,3,FALSE())</f>
        <v>South</v>
      </c>
      <c r="W510" s="11" t="str">
        <f>VLOOKUP(C510,Customer_Dim!$A:$N,13,FALSE())</f>
        <v>Bronze</v>
      </c>
      <c r="X510" s="11" t="str">
        <f t="shared" si="55"/>
        <v>High</v>
      </c>
    </row>
    <row r="511" spans="1:24" ht="15.75" customHeight="1">
      <c r="A511" s="4" t="s">
        <v>2507</v>
      </c>
      <c r="B511" s="9">
        <v>45900</v>
      </c>
      <c r="C511" s="4" t="s">
        <v>617</v>
      </c>
      <c r="D511" s="4" t="s">
        <v>1806</v>
      </c>
      <c r="E511" s="4" t="s">
        <v>1968</v>
      </c>
      <c r="F511" s="4">
        <v>2</v>
      </c>
      <c r="G511" s="4">
        <v>947.56</v>
      </c>
      <c r="H511" s="4">
        <v>0.02</v>
      </c>
      <c r="I511" s="4" t="s">
        <v>2004</v>
      </c>
      <c r="J511" s="10">
        <v>1857.2175999999999</v>
      </c>
      <c r="K511" s="4" t="str">
        <f t="shared" si="49"/>
        <v>31-08-2025</v>
      </c>
      <c r="L511" s="4" t="str">
        <f>TEXT(Sales_Fact!$B511,"mmm")</f>
        <v>Aug</v>
      </c>
      <c r="M511" s="4">
        <f t="shared" si="50"/>
        <v>2</v>
      </c>
      <c r="N511" s="10">
        <f t="shared" si="51"/>
        <v>947.56</v>
      </c>
      <c r="O511" s="10">
        <f t="shared" si="52"/>
        <v>1857.2175999999999</v>
      </c>
      <c r="P511" s="10">
        <f t="shared" si="53"/>
        <v>1895.12</v>
      </c>
      <c r="Q511" s="3">
        <f t="shared" si="54"/>
        <v>1.9999999999999973E-2</v>
      </c>
      <c r="R511" s="4" t="str">
        <f>IF(Sales_Fact!$O511&gt;1000,"High","Low")</f>
        <v>High</v>
      </c>
      <c r="S511" s="4" t="str">
        <f>VLOOKUP(C511,Customer_Dim!$A:$N,9,FALSE())</f>
        <v>Nicholas Bradshaw</v>
      </c>
      <c r="T511" s="4" t="str">
        <f>VLOOKUP(D511,Product_Dim!$A:$M,3,FALSE())</f>
        <v>Electronics</v>
      </c>
      <c r="U511" s="11" t="str">
        <f>VLOOKUP(D511,Product_Dim!$A:$M,2,FALSE())</f>
        <v>Smart LED Light Strip</v>
      </c>
      <c r="V511" s="11" t="str">
        <f>VLOOKUP(E511,Store_Dim!$A:$E,3,FALSE())</f>
        <v>East</v>
      </c>
      <c r="W511" s="11" t="str">
        <f>VLOOKUP(C511,Customer_Dim!$A:$N,13,FALSE())</f>
        <v>Silver</v>
      </c>
      <c r="X511" s="11" t="str">
        <f t="shared" si="55"/>
        <v>Low</v>
      </c>
    </row>
    <row r="512" spans="1:24" ht="15.75" customHeight="1">
      <c r="A512" s="4" t="s">
        <v>2508</v>
      </c>
      <c r="B512" s="9">
        <v>45943</v>
      </c>
      <c r="C512" s="4" t="s">
        <v>792</v>
      </c>
      <c r="D512" s="4" t="s">
        <v>1732</v>
      </c>
      <c r="E512" s="4" t="s">
        <v>1968</v>
      </c>
      <c r="F512" s="4">
        <v>4</v>
      </c>
      <c r="G512" s="4">
        <v>975.47</v>
      </c>
      <c r="H512" s="4">
        <v>0.04</v>
      </c>
      <c r="I512" s="4" t="s">
        <v>1996</v>
      </c>
      <c r="J512" s="10">
        <v>3745.8047999999999</v>
      </c>
      <c r="K512" s="4" t="str">
        <f t="shared" si="49"/>
        <v>13-10-2025</v>
      </c>
      <c r="L512" s="4" t="str">
        <f>TEXT(Sales_Fact!$B512,"mmm")</f>
        <v>Oct</v>
      </c>
      <c r="M512" s="4">
        <f t="shared" si="50"/>
        <v>4</v>
      </c>
      <c r="N512" s="10">
        <f t="shared" si="51"/>
        <v>975.47</v>
      </c>
      <c r="O512" s="10">
        <f t="shared" si="52"/>
        <v>3745.8047999999999</v>
      </c>
      <c r="P512" s="10">
        <f t="shared" si="53"/>
        <v>3901.88</v>
      </c>
      <c r="Q512" s="3">
        <f t="shared" si="54"/>
        <v>4.0000000000000056E-2</v>
      </c>
      <c r="R512" s="4" t="str">
        <f>IF(Sales_Fact!$O512&gt;1000,"High","Low")</f>
        <v>High</v>
      </c>
      <c r="S512" s="4" t="str">
        <f>VLOOKUP(C512,Customer_Dim!$A:$N,9,FALSE())</f>
        <v>Steven Smith</v>
      </c>
      <c r="T512" s="4" t="str">
        <f>VLOOKUP(D512,Product_Dim!$A:$M,3,FALSE())</f>
        <v>Electronics</v>
      </c>
      <c r="U512" s="11" t="str">
        <f>VLOOKUP(D512,Product_Dim!$A:$M,2,FALSE())</f>
        <v>USB External Hard Drive</v>
      </c>
      <c r="V512" s="11" t="str">
        <f>VLOOKUP(E512,Store_Dim!$A:$E,3,FALSE())</f>
        <v>East</v>
      </c>
      <c r="W512" s="11" t="str">
        <f>VLOOKUP(C512,Customer_Dim!$A:$N,13,FALSE())</f>
        <v>Platinum</v>
      </c>
      <c r="X512" s="11" t="str">
        <f t="shared" si="55"/>
        <v>High</v>
      </c>
    </row>
    <row r="513" spans="1:24" ht="15.75" customHeight="1">
      <c r="A513" s="4" t="s">
        <v>2509</v>
      </c>
      <c r="B513" s="9">
        <v>45448</v>
      </c>
      <c r="C513" s="4" t="s">
        <v>1498</v>
      </c>
      <c r="D513" s="4" t="s">
        <v>1633</v>
      </c>
      <c r="E513" s="4" t="s">
        <v>1944</v>
      </c>
      <c r="F513" s="4">
        <v>3</v>
      </c>
      <c r="G513" s="4">
        <v>769.06</v>
      </c>
      <c r="H513" s="4">
        <v>0.23</v>
      </c>
      <c r="I513" s="4" t="s">
        <v>2004</v>
      </c>
      <c r="J513" s="10">
        <v>1776.5286000000001</v>
      </c>
      <c r="K513" s="4" t="str">
        <f t="shared" si="49"/>
        <v>05-06-2024</v>
      </c>
      <c r="L513" s="4" t="str">
        <f>TEXT(Sales_Fact!$B513,"mmm")</f>
        <v>Jun</v>
      </c>
      <c r="M513" s="4">
        <f t="shared" si="50"/>
        <v>3</v>
      </c>
      <c r="N513" s="10">
        <f t="shared" si="51"/>
        <v>769.06</v>
      </c>
      <c r="O513" s="10">
        <f t="shared" si="52"/>
        <v>1776.5285999999999</v>
      </c>
      <c r="P513" s="10">
        <f t="shared" si="53"/>
        <v>2307.1799999999998</v>
      </c>
      <c r="Q513" s="3">
        <f t="shared" si="54"/>
        <v>0.23</v>
      </c>
      <c r="R513" s="4" t="str">
        <f>IF(Sales_Fact!$O513&gt;1000,"High","Low")</f>
        <v>High</v>
      </c>
      <c r="S513" s="4" t="str">
        <f>VLOOKUP(C513,Customer_Dim!$A:$N,9,FALSE())</f>
        <v>Andrea Harris</v>
      </c>
      <c r="T513" s="4" t="str">
        <f>VLOOKUP(D513,Product_Dim!$A:$M,3,FALSE())</f>
        <v>Electronics</v>
      </c>
      <c r="U513" s="11" t="str">
        <f>VLOOKUP(D513,Product_Dim!$A:$M,2,FALSE())</f>
        <v>USB-C Fast Charger</v>
      </c>
      <c r="V513" s="11" t="str">
        <f>VLOOKUP(E513,Store_Dim!$A:$E,3,FALSE())</f>
        <v>South</v>
      </c>
      <c r="W513" s="11" t="str">
        <f>VLOOKUP(C513,Customer_Dim!$A:$N,13,FALSE())</f>
        <v>Platinum</v>
      </c>
      <c r="X513" s="11" t="str">
        <f t="shared" si="55"/>
        <v>Low</v>
      </c>
    </row>
    <row r="514" spans="1:24" ht="15.75" customHeight="1">
      <c r="A514" s="4" t="s">
        <v>2510</v>
      </c>
      <c r="B514" s="9">
        <v>45929</v>
      </c>
      <c r="C514" s="4" t="s">
        <v>1524</v>
      </c>
      <c r="D514" s="4" t="s">
        <v>1719</v>
      </c>
      <c r="E514" s="4" t="s">
        <v>1919</v>
      </c>
      <c r="F514" s="4">
        <v>3</v>
      </c>
      <c r="G514" s="4">
        <v>824.75</v>
      </c>
      <c r="H514" s="4">
        <v>0.23</v>
      </c>
      <c r="I514" s="4" t="s">
        <v>1996</v>
      </c>
      <c r="J514" s="10">
        <v>1905.1724999999999</v>
      </c>
      <c r="K514" s="4" t="str">
        <f t="shared" ref="K514:K577" si="56">TEXT(B514,"dd-mm-yyyy")</f>
        <v>29-09-2025</v>
      </c>
      <c r="L514" s="4" t="str">
        <f>TEXT(Sales_Fact!$B514,"mmm")</f>
        <v>Sep</v>
      </c>
      <c r="M514" s="4">
        <f t="shared" ref="M514:M577" si="57">IF(ISBLANK(F514),1,F514)</f>
        <v>3</v>
      </c>
      <c r="N514" s="10">
        <f t="shared" ref="N514:N577" si="58">ROUNDUP(IF(ISBLANK(G514),AVERAGE(C:C,G514,G:G),G514),2)</f>
        <v>824.75</v>
      </c>
      <c r="O514" s="10">
        <f t="shared" ref="O514:O577" si="59">M514*N514*(1-H514)</f>
        <v>1905.1725000000001</v>
      </c>
      <c r="P514" s="10">
        <f t="shared" ref="P514:P577" si="60">M514*N514</f>
        <v>2474.25</v>
      </c>
      <c r="Q514" s="3">
        <f t="shared" ref="Q514:Q577" si="61">(P514-O514)/P514</f>
        <v>0.22999999999999995</v>
      </c>
      <c r="R514" s="4" t="str">
        <f>IF(Sales_Fact!$O514&gt;1000,"High","Low")</f>
        <v>High</v>
      </c>
      <c r="S514" s="4" t="str">
        <f>VLOOKUP(C514,Customer_Dim!$A:$N,9,FALSE())</f>
        <v>Eric Lee</v>
      </c>
      <c r="T514" s="4" t="str">
        <f>VLOOKUP(D514,Product_Dim!$A:$M,3,FALSE())</f>
        <v>Electronics</v>
      </c>
      <c r="U514" s="11" t="str">
        <f>VLOOKUP(D514,Product_Dim!$A:$M,2,FALSE())</f>
        <v>Portable Power Bank</v>
      </c>
      <c r="V514" s="11" t="str">
        <f>VLOOKUP(E514,Store_Dim!$A:$E,3,FALSE())</f>
        <v>South</v>
      </c>
      <c r="W514" s="11" t="str">
        <f>VLOOKUP(C514,Customer_Dim!$A:$N,13,FALSE())</f>
        <v>Bronze</v>
      </c>
      <c r="X514" s="11" t="str">
        <f t="shared" ref="X514:X577" si="62">IF(F514&gt;3,"High","Low")</f>
        <v>Low</v>
      </c>
    </row>
    <row r="515" spans="1:24" ht="15.75" customHeight="1">
      <c r="A515" s="4" t="s">
        <v>2511</v>
      </c>
      <c r="B515" s="9">
        <v>45626</v>
      </c>
      <c r="C515" s="4" t="s">
        <v>1400</v>
      </c>
      <c r="D515" s="4" t="s">
        <v>1709</v>
      </c>
      <c r="E515" s="4" t="s">
        <v>1971</v>
      </c>
      <c r="F515" s="4">
        <v>3</v>
      </c>
      <c r="G515" s="4">
        <v>584.41</v>
      </c>
      <c r="H515" s="4">
        <v>0</v>
      </c>
      <c r="I515" s="4" t="s">
        <v>2004</v>
      </c>
      <c r="J515" s="10">
        <v>1753.23</v>
      </c>
      <c r="K515" s="4" t="str">
        <f t="shared" si="56"/>
        <v>30-11-2024</v>
      </c>
      <c r="L515" s="4" t="str">
        <f>TEXT(Sales_Fact!$B515,"mmm")</f>
        <v>Nov</v>
      </c>
      <c r="M515" s="4">
        <f t="shared" si="57"/>
        <v>3</v>
      </c>
      <c r="N515" s="10">
        <f t="shared" si="58"/>
        <v>584.41</v>
      </c>
      <c r="O515" s="10">
        <f t="shared" si="59"/>
        <v>1753.23</v>
      </c>
      <c r="P515" s="10">
        <f t="shared" si="60"/>
        <v>1753.23</v>
      </c>
      <c r="Q515" s="3">
        <f t="shared" si="61"/>
        <v>0</v>
      </c>
      <c r="R515" s="4" t="str">
        <f>IF(Sales_Fact!$O515&gt;1000,"High","Low")</f>
        <v>High</v>
      </c>
      <c r="S515" s="4" t="str">
        <f>VLOOKUP(C515,Customer_Dim!$A:$N,9,FALSE())</f>
        <v>Adam Castro</v>
      </c>
      <c r="T515" s="4" t="str">
        <f>VLOOKUP(D515,Product_Dim!$A:$M,3,FALSE())</f>
        <v>Clothing</v>
      </c>
      <c r="U515" s="11" t="str">
        <f>VLOOKUP(D515,Product_Dim!$A:$M,2,FALSE())</f>
        <v>Women's Summer Dress</v>
      </c>
      <c r="V515" s="11" t="str">
        <f>VLOOKUP(E515,Store_Dim!$A:$E,3,FALSE())</f>
        <v>East</v>
      </c>
      <c r="W515" s="11" t="str">
        <f>VLOOKUP(C515,Customer_Dim!$A:$N,13,FALSE())</f>
        <v>Silver</v>
      </c>
      <c r="X515" s="11" t="str">
        <f t="shared" si="62"/>
        <v>Low</v>
      </c>
    </row>
    <row r="516" spans="1:24" ht="15.75" customHeight="1">
      <c r="A516" s="4" t="s">
        <v>2512</v>
      </c>
      <c r="B516" s="9">
        <v>45478</v>
      </c>
      <c r="C516" s="4" t="s">
        <v>1278</v>
      </c>
      <c r="D516" s="4" t="s">
        <v>1809</v>
      </c>
      <c r="E516" s="4" t="s">
        <v>1927</v>
      </c>
      <c r="F516" s="4">
        <v>2</v>
      </c>
      <c r="G516" s="4">
        <v>821.35</v>
      </c>
      <c r="H516" s="4">
        <v>0.11</v>
      </c>
      <c r="I516" s="4" t="s">
        <v>1998</v>
      </c>
      <c r="J516" s="10">
        <v>1462.0029999999999</v>
      </c>
      <c r="K516" s="4" t="str">
        <f t="shared" si="56"/>
        <v>05-07-2024</v>
      </c>
      <c r="L516" s="4" t="str">
        <f>TEXT(Sales_Fact!$B516,"mmm")</f>
        <v>Jul</v>
      </c>
      <c r="M516" s="4">
        <f t="shared" si="57"/>
        <v>2</v>
      </c>
      <c r="N516" s="10">
        <f t="shared" si="58"/>
        <v>821.35</v>
      </c>
      <c r="O516" s="10">
        <f t="shared" si="59"/>
        <v>1462.0030000000002</v>
      </c>
      <c r="P516" s="10">
        <f t="shared" si="60"/>
        <v>1642.7</v>
      </c>
      <c r="Q516" s="3">
        <f t="shared" si="61"/>
        <v>0.10999999999999993</v>
      </c>
      <c r="R516" s="4" t="str">
        <f>IF(Sales_Fact!$O516&gt;1000,"High","Low")</f>
        <v>High</v>
      </c>
      <c r="S516" s="4" t="str">
        <f>VLOOKUP(C516,Customer_Dim!$A:$N,9,FALSE())</f>
        <v>Terry Moses</v>
      </c>
      <c r="T516" s="4" t="str">
        <f>VLOOKUP(D516,Product_Dim!$A:$M,3,FALSE())</f>
        <v>Home</v>
      </c>
      <c r="U516" s="11" t="str">
        <f>VLOOKUP(D516,Product_Dim!$A:$M,2,FALSE())</f>
        <v>Wooden Nightstand</v>
      </c>
      <c r="V516" s="11" t="str">
        <f>VLOOKUP(E516,Store_Dim!$A:$E,3,FALSE())</f>
        <v>South</v>
      </c>
      <c r="W516" s="11" t="str">
        <f>VLOOKUP(C516,Customer_Dim!$A:$N,13,FALSE())</f>
        <v>Platinum</v>
      </c>
      <c r="X516" s="11" t="str">
        <f t="shared" si="62"/>
        <v>Low</v>
      </c>
    </row>
    <row r="517" spans="1:24" ht="15.75" customHeight="1">
      <c r="A517" s="4" t="s">
        <v>2513</v>
      </c>
      <c r="B517" s="9">
        <v>45723</v>
      </c>
      <c r="C517" s="4" t="s">
        <v>1289</v>
      </c>
      <c r="D517" s="4" t="s">
        <v>1633</v>
      </c>
      <c r="E517" s="4" t="s">
        <v>1947</v>
      </c>
      <c r="F517" s="4">
        <v>1</v>
      </c>
      <c r="G517" s="4">
        <v>120.57</v>
      </c>
      <c r="H517" s="4">
        <v>0.06</v>
      </c>
      <c r="I517" s="4" t="s">
        <v>1998</v>
      </c>
      <c r="J517" s="10">
        <v>113.33580000000001</v>
      </c>
      <c r="K517" s="4" t="str">
        <f t="shared" si="56"/>
        <v>07-03-2025</v>
      </c>
      <c r="L517" s="4" t="str">
        <f>TEXT(Sales_Fact!$B517,"mmm")</f>
        <v>Mar</v>
      </c>
      <c r="M517" s="4">
        <f t="shared" si="57"/>
        <v>1</v>
      </c>
      <c r="N517" s="10">
        <f t="shared" si="58"/>
        <v>120.57</v>
      </c>
      <c r="O517" s="10">
        <f t="shared" si="59"/>
        <v>113.33579999999999</v>
      </c>
      <c r="P517" s="10">
        <f t="shared" si="60"/>
        <v>120.57</v>
      </c>
      <c r="Q517" s="3">
        <f t="shared" si="61"/>
        <v>6.0000000000000012E-2</v>
      </c>
      <c r="R517" s="4" t="str">
        <f>IF(Sales_Fact!$O517&gt;1000,"High","Low")</f>
        <v>Low</v>
      </c>
      <c r="S517" s="4" t="str">
        <f>VLOOKUP(C517,Customer_Dim!$A:$N,9,FALSE())</f>
        <v>Eric Wolfe</v>
      </c>
      <c r="T517" s="4" t="str">
        <f>VLOOKUP(D517,Product_Dim!$A:$M,3,FALSE())</f>
        <v>Electronics</v>
      </c>
      <c r="U517" s="11" t="str">
        <f>VLOOKUP(D517,Product_Dim!$A:$M,2,FALSE())</f>
        <v>USB-C Fast Charger</v>
      </c>
      <c r="V517" s="11" t="str">
        <f>VLOOKUP(E517,Store_Dim!$A:$E,3,FALSE())</f>
        <v>East</v>
      </c>
      <c r="W517" s="11" t="str">
        <f>VLOOKUP(C517,Customer_Dim!$A:$N,13,FALSE())</f>
        <v>Gold</v>
      </c>
      <c r="X517" s="11" t="str">
        <f t="shared" si="62"/>
        <v>Low</v>
      </c>
    </row>
    <row r="518" spans="1:24" ht="15.75" customHeight="1">
      <c r="A518" s="4" t="s">
        <v>2514</v>
      </c>
      <c r="B518" s="9">
        <v>45240</v>
      </c>
      <c r="C518" s="4" t="s">
        <v>1081</v>
      </c>
      <c r="D518" s="4" t="s">
        <v>1873</v>
      </c>
      <c r="E518" s="4" t="s">
        <v>1915</v>
      </c>
      <c r="F518" s="4">
        <v>1</v>
      </c>
      <c r="G518" s="4">
        <v>122.27</v>
      </c>
      <c r="H518" s="4">
        <v>0.26</v>
      </c>
      <c r="I518" s="4" t="s">
        <v>1998</v>
      </c>
      <c r="J518" s="10">
        <v>90.479799999999997</v>
      </c>
      <c r="K518" s="4" t="str">
        <f t="shared" si="56"/>
        <v>10-11-2023</v>
      </c>
      <c r="L518" s="4" t="str">
        <f>TEXT(Sales_Fact!$B518,"mmm")</f>
        <v>Nov</v>
      </c>
      <c r="M518" s="4">
        <f t="shared" si="57"/>
        <v>1</v>
      </c>
      <c r="N518" s="10">
        <f t="shared" si="58"/>
        <v>122.27</v>
      </c>
      <c r="O518" s="10">
        <f t="shared" si="59"/>
        <v>90.479799999999997</v>
      </c>
      <c r="P518" s="10">
        <f t="shared" si="60"/>
        <v>122.27</v>
      </c>
      <c r="Q518" s="3">
        <f t="shared" si="61"/>
        <v>0.26</v>
      </c>
      <c r="R518" s="4" t="str">
        <f>IF(Sales_Fact!$O518&gt;1000,"High","Low")</f>
        <v>Low</v>
      </c>
      <c r="S518" s="4" t="str">
        <f>VLOOKUP(C518,Customer_Dim!$A:$N,9,FALSE())</f>
        <v>Jennifer Woods</v>
      </c>
      <c r="T518" s="4" t="str">
        <f>VLOOKUP(D518,Product_Dim!$A:$M,3,FALSE())</f>
        <v>Beauty</v>
      </c>
      <c r="U518" s="11" t="str">
        <f>VLOOKUP(D518,Product_Dim!$A:$M,2,FALSE())</f>
        <v>Face Foundation Kit</v>
      </c>
      <c r="V518" s="11" t="str">
        <f>VLOOKUP(E518,Store_Dim!$A:$E,3,FALSE())</f>
        <v>North</v>
      </c>
      <c r="W518" s="11" t="str">
        <f>VLOOKUP(C518,Customer_Dim!$A:$N,13,FALSE())</f>
        <v>Platinum</v>
      </c>
      <c r="X518" s="11" t="str">
        <f t="shared" si="62"/>
        <v>Low</v>
      </c>
    </row>
    <row r="519" spans="1:24" ht="15.75" customHeight="1">
      <c r="A519" s="4" t="s">
        <v>2515</v>
      </c>
      <c r="B519" s="9">
        <v>45890</v>
      </c>
      <c r="C519" s="4" t="s">
        <v>589</v>
      </c>
      <c r="D519" s="4" t="s">
        <v>1678</v>
      </c>
      <c r="E519" s="4" t="s">
        <v>1919</v>
      </c>
      <c r="F519" s="4">
        <v>2</v>
      </c>
      <c r="G519" s="4">
        <v>182.89</v>
      </c>
      <c r="H519" s="4">
        <v>0.11</v>
      </c>
      <c r="I519" s="4" t="s">
        <v>1996</v>
      </c>
      <c r="J519" s="10">
        <v>325.54419999999999</v>
      </c>
      <c r="K519" s="4" t="str">
        <f t="shared" si="56"/>
        <v>21-08-2025</v>
      </c>
      <c r="L519" s="4" t="str">
        <f>TEXT(Sales_Fact!$B519,"mmm")</f>
        <v>Aug</v>
      </c>
      <c r="M519" s="4">
        <f t="shared" si="57"/>
        <v>2</v>
      </c>
      <c r="N519" s="10">
        <f t="shared" si="58"/>
        <v>182.89</v>
      </c>
      <c r="O519" s="10">
        <f t="shared" si="59"/>
        <v>325.54419999999999</v>
      </c>
      <c r="P519" s="10">
        <f t="shared" si="60"/>
        <v>365.78</v>
      </c>
      <c r="Q519" s="3">
        <f t="shared" si="61"/>
        <v>0.10999999999999996</v>
      </c>
      <c r="R519" s="4" t="str">
        <f>IF(Sales_Fact!$O519&gt;1000,"High","Low")</f>
        <v>Low</v>
      </c>
      <c r="S519" s="4" t="str">
        <f>VLOOKUP(C519,Customer_Dim!$A:$N,9,FALSE())</f>
        <v>Christopher Garcia Dds</v>
      </c>
      <c r="T519" s="4" t="str">
        <f>VLOOKUP(D519,Product_Dim!$A:$M,3,FALSE())</f>
        <v>Electronics</v>
      </c>
      <c r="U519" s="11" t="str">
        <f>VLOOKUP(D519,Product_Dim!$A:$M,2,FALSE())</f>
        <v>Wireless Bluetooth Speaker</v>
      </c>
      <c r="V519" s="11" t="str">
        <f>VLOOKUP(E519,Store_Dim!$A:$E,3,FALSE())</f>
        <v>South</v>
      </c>
      <c r="W519" s="11" t="str">
        <f>VLOOKUP(C519,Customer_Dim!$A:$N,13,FALSE())</f>
        <v>Gold</v>
      </c>
      <c r="X519" s="11" t="str">
        <f t="shared" si="62"/>
        <v>Low</v>
      </c>
    </row>
    <row r="520" spans="1:24" ht="15.75" customHeight="1">
      <c r="A520" s="4" t="s">
        <v>2516</v>
      </c>
      <c r="B520" s="9">
        <v>45796</v>
      </c>
      <c r="C520" s="4" t="s">
        <v>1189</v>
      </c>
      <c r="D520" s="4" t="s">
        <v>1741</v>
      </c>
      <c r="E520" s="4" t="s">
        <v>1927</v>
      </c>
      <c r="F520" s="4">
        <v>1</v>
      </c>
      <c r="G520" s="4">
        <v>695.26</v>
      </c>
      <c r="H520" s="4">
        <v>0.23</v>
      </c>
      <c r="I520" s="4" t="s">
        <v>1998</v>
      </c>
      <c r="J520" s="10">
        <v>535.35019999999997</v>
      </c>
      <c r="K520" s="4" t="str">
        <f t="shared" si="56"/>
        <v>19-05-2025</v>
      </c>
      <c r="L520" s="4" t="str">
        <f>TEXT(Sales_Fact!$B520,"mmm")</f>
        <v>May</v>
      </c>
      <c r="M520" s="4">
        <f t="shared" si="57"/>
        <v>1</v>
      </c>
      <c r="N520" s="10">
        <f t="shared" si="58"/>
        <v>695.26</v>
      </c>
      <c r="O520" s="10">
        <f t="shared" si="59"/>
        <v>535.35019999999997</v>
      </c>
      <c r="P520" s="10">
        <f t="shared" si="60"/>
        <v>695.26</v>
      </c>
      <c r="Q520" s="3">
        <f t="shared" si="61"/>
        <v>0.23000000000000004</v>
      </c>
      <c r="R520" s="4" t="str">
        <f>IF(Sales_Fact!$O520&gt;1000,"High","Low")</f>
        <v>Low</v>
      </c>
      <c r="S520" s="4" t="str">
        <f>VLOOKUP(C520,Customer_Dim!$A:$N,9,FALSE())</f>
        <v>Michael Garner</v>
      </c>
      <c r="T520" s="4" t="str">
        <f>VLOOKUP(D520,Product_Dim!$A:$M,3,FALSE())</f>
        <v>Clothing</v>
      </c>
      <c r="U520" s="11" t="str">
        <f>VLOOKUP(D520,Product_Dim!$A:$M,2,FALSE())</f>
        <v>Men's Winter Jacket</v>
      </c>
      <c r="V520" s="11" t="str">
        <f>VLOOKUP(E520,Store_Dim!$A:$E,3,FALSE())</f>
        <v>South</v>
      </c>
      <c r="W520" s="11" t="str">
        <f>VLOOKUP(C520,Customer_Dim!$A:$N,13,FALSE())</f>
        <v>Platinum</v>
      </c>
      <c r="X520" s="11" t="str">
        <f t="shared" si="62"/>
        <v>Low</v>
      </c>
    </row>
    <row r="521" spans="1:24" ht="15.75" customHeight="1">
      <c r="A521" s="4" t="s">
        <v>2517</v>
      </c>
      <c r="B521" s="9">
        <v>45895</v>
      </c>
      <c r="C521" s="4" t="s">
        <v>135</v>
      </c>
      <c r="D521" s="4" t="s">
        <v>1687</v>
      </c>
      <c r="E521" s="4" t="s">
        <v>1934</v>
      </c>
      <c r="F521" s="4">
        <v>2</v>
      </c>
      <c r="G521" s="4">
        <v>408.8</v>
      </c>
      <c r="H521" s="4">
        <v>0.17</v>
      </c>
      <c r="I521" s="4" t="s">
        <v>2004</v>
      </c>
      <c r="J521" s="10">
        <v>678.60799999999995</v>
      </c>
      <c r="K521" s="4" t="str">
        <f t="shared" si="56"/>
        <v>26-08-2025</v>
      </c>
      <c r="L521" s="4" t="str">
        <f>TEXT(Sales_Fact!$B521,"mmm")</f>
        <v>Aug</v>
      </c>
      <c r="M521" s="4">
        <f t="shared" si="57"/>
        <v>2</v>
      </c>
      <c r="N521" s="10">
        <f t="shared" si="58"/>
        <v>408.8</v>
      </c>
      <c r="O521" s="10">
        <f t="shared" si="59"/>
        <v>678.60799999999995</v>
      </c>
      <c r="P521" s="10">
        <f t="shared" si="60"/>
        <v>817.6</v>
      </c>
      <c r="Q521" s="3">
        <f t="shared" si="61"/>
        <v>0.1700000000000001</v>
      </c>
      <c r="R521" s="4" t="str">
        <f>IF(Sales_Fact!$O521&gt;1000,"High","Low")</f>
        <v>Low</v>
      </c>
      <c r="S521" s="4" t="str">
        <f>VLOOKUP(C521,Customer_Dim!$A:$N,9,FALSE())</f>
        <v>Leslie Johnson</v>
      </c>
      <c r="T521" s="4" t="str">
        <f>VLOOKUP(D521,Product_Dim!$A:$M,3,FALSE())</f>
        <v>Home</v>
      </c>
      <c r="U521" s="11" t="str">
        <f>VLOOKUP(D521,Product_Dim!$A:$M,2,FALSE())</f>
        <v>Fabric Sofa Throw Blanket</v>
      </c>
      <c r="V521" s="11" t="str">
        <f>VLOOKUP(E521,Store_Dim!$A:$E,3,FALSE())</f>
        <v>East</v>
      </c>
      <c r="W521" s="11" t="str">
        <f>VLOOKUP(C521,Customer_Dim!$A:$N,13,FALSE())</f>
        <v>Standard</v>
      </c>
      <c r="X521" s="11" t="str">
        <f t="shared" si="62"/>
        <v>Low</v>
      </c>
    </row>
    <row r="522" spans="1:24" ht="15.75" customHeight="1">
      <c r="A522" s="4" t="s">
        <v>2518</v>
      </c>
      <c r="B522" s="9">
        <v>45676</v>
      </c>
      <c r="C522" s="4" t="s">
        <v>758</v>
      </c>
      <c r="D522" s="4" t="s">
        <v>1751</v>
      </c>
      <c r="E522" s="4" t="s">
        <v>1940</v>
      </c>
      <c r="F522" s="4">
        <v>3</v>
      </c>
      <c r="G522" s="4">
        <v>512.15</v>
      </c>
      <c r="H522" s="4">
        <v>0.12</v>
      </c>
      <c r="I522" s="4" t="s">
        <v>1996</v>
      </c>
      <c r="J522" s="10">
        <v>1352.076</v>
      </c>
      <c r="K522" s="4" t="str">
        <f t="shared" si="56"/>
        <v>19-01-2025</v>
      </c>
      <c r="L522" s="4" t="str">
        <f>TEXT(Sales_Fact!$B522,"mmm")</f>
        <v>Jan</v>
      </c>
      <c r="M522" s="4">
        <f t="shared" si="57"/>
        <v>3</v>
      </c>
      <c r="N522" s="10">
        <f t="shared" si="58"/>
        <v>512.15</v>
      </c>
      <c r="O522" s="10">
        <f t="shared" si="59"/>
        <v>1352.0759999999998</v>
      </c>
      <c r="P522" s="10">
        <f t="shared" si="60"/>
        <v>1536.4499999999998</v>
      </c>
      <c r="Q522" s="3">
        <f t="shared" si="61"/>
        <v>0.12000000000000002</v>
      </c>
      <c r="R522" s="4" t="str">
        <f>IF(Sales_Fact!$O522&gt;1000,"High","Low")</f>
        <v>High</v>
      </c>
      <c r="S522" s="4" t="str">
        <f>VLOOKUP(C522,Customer_Dim!$A:$N,9,FALSE())</f>
        <v>Alexis Castaneda</v>
      </c>
      <c r="T522" s="4" t="str">
        <f>VLOOKUP(D522,Product_Dim!$A:$M,3,FALSE())</f>
        <v>Beauty</v>
      </c>
      <c r="U522" s="11" t="str">
        <f>VLOOKUP(D522,Product_Dim!$A:$M,2,FALSE())</f>
        <v>Men's Roll-On Perfume</v>
      </c>
      <c r="V522" s="11" t="str">
        <f>VLOOKUP(E522,Store_Dim!$A:$E,3,FALSE())</f>
        <v>West</v>
      </c>
      <c r="W522" s="11" t="str">
        <f>VLOOKUP(C522,Customer_Dim!$A:$N,13,FALSE())</f>
        <v>Gold</v>
      </c>
      <c r="X522" s="11" t="str">
        <f t="shared" si="62"/>
        <v>Low</v>
      </c>
    </row>
    <row r="523" spans="1:24" ht="15.75" customHeight="1">
      <c r="A523" s="4" t="s">
        <v>2519</v>
      </c>
      <c r="B523" s="9">
        <v>45568</v>
      </c>
      <c r="C523" s="4" t="s">
        <v>1301</v>
      </c>
      <c r="D523" s="4" t="s">
        <v>1617</v>
      </c>
      <c r="E523" s="4" t="s">
        <v>1940</v>
      </c>
      <c r="F523" s="4">
        <v>3</v>
      </c>
      <c r="G523" s="4">
        <v>136.4</v>
      </c>
      <c r="H523" s="4">
        <v>0.15</v>
      </c>
      <c r="I523" s="4" t="s">
        <v>1998</v>
      </c>
      <c r="J523" s="10">
        <v>347.82</v>
      </c>
      <c r="K523" s="4" t="str">
        <f t="shared" si="56"/>
        <v>03-10-2024</v>
      </c>
      <c r="L523" s="4" t="str">
        <f>TEXT(Sales_Fact!$B523,"mmm")</f>
        <v>Oct</v>
      </c>
      <c r="M523" s="4">
        <f t="shared" si="57"/>
        <v>3</v>
      </c>
      <c r="N523" s="10">
        <f t="shared" si="58"/>
        <v>136.4</v>
      </c>
      <c r="O523" s="10">
        <f t="shared" si="59"/>
        <v>347.82000000000005</v>
      </c>
      <c r="P523" s="10">
        <f t="shared" si="60"/>
        <v>409.20000000000005</v>
      </c>
      <c r="Q523" s="3">
        <f t="shared" si="61"/>
        <v>0.14999999999999997</v>
      </c>
      <c r="R523" s="4" t="str">
        <f>IF(Sales_Fact!$O523&gt;1000,"High","Low")</f>
        <v>Low</v>
      </c>
      <c r="S523" s="4" t="str">
        <f>VLOOKUP(C523,Customer_Dim!$A:$N,9,FALSE())</f>
        <v>Sarah Smith</v>
      </c>
      <c r="T523" s="4" t="str">
        <f>VLOOKUP(D523,Product_Dim!$A:$M,3,FALSE())</f>
        <v>Sports</v>
      </c>
      <c r="U523" s="11" t="str">
        <f>VLOOKUP(D523,Product_Dim!$A:$M,2,FALSE())</f>
        <v>Adjustable Dumbbell Set</v>
      </c>
      <c r="V523" s="11" t="str">
        <f>VLOOKUP(E523,Store_Dim!$A:$E,3,FALSE())</f>
        <v>West</v>
      </c>
      <c r="W523" s="11" t="str">
        <f>VLOOKUP(C523,Customer_Dim!$A:$N,13,FALSE())</f>
        <v>Gold</v>
      </c>
      <c r="X523" s="11" t="str">
        <f t="shared" si="62"/>
        <v>Low</v>
      </c>
    </row>
    <row r="524" spans="1:24" ht="15.75" customHeight="1">
      <c r="A524" s="4" t="s">
        <v>2520</v>
      </c>
      <c r="B524" s="9">
        <v>45272</v>
      </c>
      <c r="C524" s="4" t="s">
        <v>604</v>
      </c>
      <c r="D524" s="4" t="s">
        <v>1603</v>
      </c>
      <c r="E524" s="4" t="s">
        <v>1924</v>
      </c>
      <c r="F524" s="4">
        <v>2</v>
      </c>
      <c r="G524" s="4">
        <v>42.51</v>
      </c>
      <c r="H524" s="4">
        <v>0.04</v>
      </c>
      <c r="I524" s="4" t="s">
        <v>2004</v>
      </c>
      <c r="J524" s="10">
        <v>81.619200000000006</v>
      </c>
      <c r="K524" s="4" t="str">
        <f t="shared" si="56"/>
        <v>12-12-2023</v>
      </c>
      <c r="L524" s="4" t="str">
        <f>TEXT(Sales_Fact!$B524,"mmm")</f>
        <v>Dec</v>
      </c>
      <c r="M524" s="4">
        <f t="shared" si="57"/>
        <v>2</v>
      </c>
      <c r="N524" s="10">
        <f t="shared" si="58"/>
        <v>42.51</v>
      </c>
      <c r="O524" s="10">
        <f t="shared" si="59"/>
        <v>81.619199999999992</v>
      </c>
      <c r="P524" s="10">
        <f t="shared" si="60"/>
        <v>85.02</v>
      </c>
      <c r="Q524" s="3">
        <f t="shared" si="61"/>
        <v>4.0000000000000049E-2</v>
      </c>
      <c r="R524" s="4" t="str">
        <f>IF(Sales_Fact!$O524&gt;1000,"High","Low")</f>
        <v>Low</v>
      </c>
      <c r="S524" s="4" t="str">
        <f>VLOOKUP(C524,Customer_Dim!$A:$N,9,FALSE())</f>
        <v>Michelle Rogers</v>
      </c>
      <c r="T524" s="4" t="str">
        <f>VLOOKUP(D524,Product_Dim!$A:$M,3,FALSE())</f>
        <v>Beauty</v>
      </c>
      <c r="U524" s="11" t="str">
        <f>VLOOKUP(D524,Product_Dim!$A:$M,2,FALSE())</f>
        <v>Herbal Face Moisturizer</v>
      </c>
      <c r="V524" s="11" t="str">
        <f>VLOOKUP(E524,Store_Dim!$A:$E,3,FALSE())</f>
        <v>North</v>
      </c>
      <c r="W524" s="11" t="str">
        <f>VLOOKUP(C524,Customer_Dim!$A:$N,13,FALSE())</f>
        <v>Platinum</v>
      </c>
      <c r="X524" s="11" t="str">
        <f t="shared" si="62"/>
        <v>Low</v>
      </c>
    </row>
    <row r="525" spans="1:24" ht="15.75" customHeight="1">
      <c r="A525" s="4" t="s">
        <v>2521</v>
      </c>
      <c r="B525" s="9">
        <v>45718</v>
      </c>
      <c r="C525" s="4" t="s">
        <v>1153</v>
      </c>
      <c r="D525" s="4" t="s">
        <v>1831</v>
      </c>
      <c r="E525" s="4" t="s">
        <v>1937</v>
      </c>
      <c r="F525" s="4">
        <v>3</v>
      </c>
      <c r="G525" s="4">
        <v>582.1</v>
      </c>
      <c r="H525" s="4">
        <v>0.12</v>
      </c>
      <c r="I525" s="4" t="s">
        <v>1998</v>
      </c>
      <c r="J525" s="10">
        <v>1536.7439999999999</v>
      </c>
      <c r="K525" s="4" t="str">
        <f t="shared" si="56"/>
        <v>02-03-2025</v>
      </c>
      <c r="L525" s="4" t="str">
        <f>TEXT(Sales_Fact!$B525,"mmm")</f>
        <v>Mar</v>
      </c>
      <c r="M525" s="4">
        <f t="shared" si="57"/>
        <v>3</v>
      </c>
      <c r="N525" s="10">
        <f t="shared" si="58"/>
        <v>582.1</v>
      </c>
      <c r="O525" s="10">
        <f t="shared" si="59"/>
        <v>1536.7440000000001</v>
      </c>
      <c r="P525" s="10">
        <f t="shared" si="60"/>
        <v>1746.3000000000002</v>
      </c>
      <c r="Q525" s="3">
        <f t="shared" si="61"/>
        <v>0.12000000000000001</v>
      </c>
      <c r="R525" s="4" t="str">
        <f>IF(Sales_Fact!$O525&gt;1000,"High","Low")</f>
        <v>High</v>
      </c>
      <c r="S525" s="4" t="str">
        <f>VLOOKUP(C525,Customer_Dim!$A:$N,9,FALSE())</f>
        <v>Melanie Lam</v>
      </c>
      <c r="T525" s="4" t="str">
        <f>VLOOKUP(D525,Product_Dim!$A:$M,3,FALSE())</f>
        <v>Clothing</v>
      </c>
      <c r="U525" s="11" t="str">
        <f>VLOOKUP(D525,Product_Dim!$A:$M,2,FALSE())</f>
        <v>Women's Ankle Boots</v>
      </c>
      <c r="V525" s="11" t="str">
        <f>VLOOKUP(E525,Store_Dim!$A:$E,3,FALSE())</f>
        <v>South</v>
      </c>
      <c r="W525" s="11" t="str">
        <f>VLOOKUP(C525,Customer_Dim!$A:$N,13,FALSE())</f>
        <v>Silver</v>
      </c>
      <c r="X525" s="11" t="str">
        <f t="shared" si="62"/>
        <v>Low</v>
      </c>
    </row>
    <row r="526" spans="1:24" ht="15.75" customHeight="1">
      <c r="A526" s="4" t="s">
        <v>2522</v>
      </c>
      <c r="B526" s="9">
        <v>45617</v>
      </c>
      <c r="C526" s="4" t="s">
        <v>960</v>
      </c>
      <c r="D526" s="4" t="s">
        <v>1852</v>
      </c>
      <c r="E526" s="4" t="s">
        <v>1971</v>
      </c>
      <c r="F526" s="4">
        <v>1</v>
      </c>
      <c r="G526" s="4">
        <v>653.87</v>
      </c>
      <c r="H526" s="4">
        <v>0.14000000000000001</v>
      </c>
      <c r="I526" s="4" t="s">
        <v>1998</v>
      </c>
      <c r="J526" s="10">
        <v>562.32820000000004</v>
      </c>
      <c r="K526" s="4" t="str">
        <f t="shared" si="56"/>
        <v>21-11-2024</v>
      </c>
      <c r="L526" s="4" t="str">
        <f>TEXT(Sales_Fact!$B526,"mmm")</f>
        <v>Nov</v>
      </c>
      <c r="M526" s="4">
        <f t="shared" si="57"/>
        <v>1</v>
      </c>
      <c r="N526" s="10">
        <f t="shared" si="58"/>
        <v>653.87</v>
      </c>
      <c r="O526" s="10">
        <f t="shared" si="59"/>
        <v>562.32820000000004</v>
      </c>
      <c r="P526" s="10">
        <f t="shared" si="60"/>
        <v>653.87</v>
      </c>
      <c r="Q526" s="3">
        <f t="shared" si="61"/>
        <v>0.13999999999999996</v>
      </c>
      <c r="R526" s="4" t="str">
        <f>IF(Sales_Fact!$O526&gt;1000,"High","Low")</f>
        <v>Low</v>
      </c>
      <c r="S526" s="4" t="str">
        <f>VLOOKUP(C526,Customer_Dim!$A:$N,9,FALSE())</f>
        <v>Lisa Chandler</v>
      </c>
      <c r="T526" s="4" t="str">
        <f>VLOOKUP(D526,Product_Dim!$A:$M,3,FALSE())</f>
        <v>Sports</v>
      </c>
      <c r="U526" s="11" t="str">
        <f>VLOOKUP(D526,Product_Dim!$A:$M,2,FALSE())</f>
        <v>Fitness Resistance Bands</v>
      </c>
      <c r="V526" s="11" t="str">
        <f>VLOOKUP(E526,Store_Dim!$A:$E,3,FALSE())</f>
        <v>East</v>
      </c>
      <c r="W526" s="11" t="str">
        <f>VLOOKUP(C526,Customer_Dim!$A:$N,13,FALSE())</f>
        <v>Platinum</v>
      </c>
      <c r="X526" s="11" t="str">
        <f t="shared" si="62"/>
        <v>Low</v>
      </c>
    </row>
    <row r="527" spans="1:24" ht="15.75" customHeight="1">
      <c r="A527" s="4" t="s">
        <v>2523</v>
      </c>
      <c r="B527" s="9">
        <v>45356</v>
      </c>
      <c r="C527" s="4" t="s">
        <v>736</v>
      </c>
      <c r="D527" s="4" t="s">
        <v>1852</v>
      </c>
      <c r="E527" s="4" t="s">
        <v>1965</v>
      </c>
      <c r="F527" s="4">
        <v>4</v>
      </c>
      <c r="G527" s="4">
        <v>461.52</v>
      </c>
      <c r="H527" s="4">
        <v>0</v>
      </c>
      <c r="I527" s="4" t="s">
        <v>2004</v>
      </c>
      <c r="J527" s="10">
        <v>1846.08</v>
      </c>
      <c r="K527" s="4" t="str">
        <f t="shared" si="56"/>
        <v>05-03-2024</v>
      </c>
      <c r="L527" s="4" t="str">
        <f>TEXT(Sales_Fact!$B527,"mmm")</f>
        <v>Mar</v>
      </c>
      <c r="M527" s="4">
        <f t="shared" si="57"/>
        <v>4</v>
      </c>
      <c r="N527" s="10">
        <f t="shared" si="58"/>
        <v>461.52</v>
      </c>
      <c r="O527" s="10">
        <f t="shared" si="59"/>
        <v>1846.08</v>
      </c>
      <c r="P527" s="10">
        <f t="shared" si="60"/>
        <v>1846.08</v>
      </c>
      <c r="Q527" s="3">
        <f t="shared" si="61"/>
        <v>0</v>
      </c>
      <c r="R527" s="4" t="str">
        <f>IF(Sales_Fact!$O527&gt;1000,"High","Low")</f>
        <v>High</v>
      </c>
      <c r="S527" s="4" t="str">
        <f>VLOOKUP(C527,Customer_Dim!$A:$N,9,FALSE())</f>
        <v>Jordan Wells</v>
      </c>
      <c r="T527" s="4" t="str">
        <f>VLOOKUP(D527,Product_Dim!$A:$M,3,FALSE())</f>
        <v>Sports</v>
      </c>
      <c r="U527" s="11" t="str">
        <f>VLOOKUP(D527,Product_Dim!$A:$M,2,FALSE())</f>
        <v>Fitness Resistance Bands</v>
      </c>
      <c r="V527" s="11" t="str">
        <f>VLOOKUP(E527,Store_Dim!$A:$E,3,FALSE())</f>
        <v>North</v>
      </c>
      <c r="W527" s="11" t="str">
        <f>VLOOKUP(C527,Customer_Dim!$A:$N,13,FALSE())</f>
        <v>Gold</v>
      </c>
      <c r="X527" s="11" t="str">
        <f t="shared" si="62"/>
        <v>High</v>
      </c>
    </row>
    <row r="528" spans="1:24" ht="15.75" customHeight="1">
      <c r="A528" s="4" t="s">
        <v>2524</v>
      </c>
      <c r="B528" s="9">
        <v>45552</v>
      </c>
      <c r="C528" s="4" t="s">
        <v>1553</v>
      </c>
      <c r="D528" s="4" t="s">
        <v>1644</v>
      </c>
      <c r="E528" s="4" t="s">
        <v>1950</v>
      </c>
      <c r="F528" s="4">
        <v>1</v>
      </c>
      <c r="G528" s="4">
        <v>558.41999999999996</v>
      </c>
      <c r="H528" s="4">
        <v>0.03</v>
      </c>
      <c r="I528" s="4" t="s">
        <v>1996</v>
      </c>
      <c r="J528" s="10">
        <v>541.66740000000004</v>
      </c>
      <c r="K528" s="4" t="str">
        <f t="shared" si="56"/>
        <v>17-09-2024</v>
      </c>
      <c r="L528" s="4" t="str">
        <f>TEXT(Sales_Fact!$B528,"mmm")</f>
        <v>Sep</v>
      </c>
      <c r="M528" s="4">
        <f t="shared" si="57"/>
        <v>1</v>
      </c>
      <c r="N528" s="10">
        <f t="shared" si="58"/>
        <v>558.41999999999996</v>
      </c>
      <c r="O528" s="10">
        <f t="shared" si="59"/>
        <v>541.66739999999993</v>
      </c>
      <c r="P528" s="10">
        <f t="shared" si="60"/>
        <v>558.41999999999996</v>
      </c>
      <c r="Q528" s="3">
        <f t="shared" si="61"/>
        <v>3.0000000000000054E-2</v>
      </c>
      <c r="R528" s="4" t="str">
        <f>IF(Sales_Fact!$O528&gt;1000,"High","Low")</f>
        <v>Low</v>
      </c>
      <c r="S528" s="4" t="str">
        <f>VLOOKUP(C528,Customer_Dim!$A:$N,9,FALSE())</f>
        <v>Christopher Ford</v>
      </c>
      <c r="T528" s="4" t="str">
        <f>VLOOKUP(D528,Product_Dim!$A:$M,3,FALSE())</f>
        <v>Beauty</v>
      </c>
      <c r="U528" s="11" t="str">
        <f>VLOOKUP(D528,Product_Dim!$A:$M,2,FALSE())</f>
        <v>Beard Grooming Kit</v>
      </c>
      <c r="V528" s="11" t="str">
        <f>VLOOKUP(E528,Store_Dim!$A:$E,3,FALSE())</f>
        <v>South</v>
      </c>
      <c r="W528" s="11" t="str">
        <f>VLOOKUP(C528,Customer_Dim!$A:$N,13,FALSE())</f>
        <v>Bronze</v>
      </c>
      <c r="X528" s="11" t="str">
        <f t="shared" si="62"/>
        <v>Low</v>
      </c>
    </row>
    <row r="529" spans="1:24" ht="15.75" customHeight="1">
      <c r="A529" s="4" t="s">
        <v>2525</v>
      </c>
      <c r="B529" s="9">
        <v>45288</v>
      </c>
      <c r="C529" s="4" t="s">
        <v>867</v>
      </c>
      <c r="D529" s="4" t="s">
        <v>1629</v>
      </c>
      <c r="E529" s="4" t="s">
        <v>1968</v>
      </c>
      <c r="F529" s="4">
        <v>4</v>
      </c>
      <c r="G529" s="4">
        <v>700.98</v>
      </c>
      <c r="H529" s="4">
        <v>0.12</v>
      </c>
      <c r="I529" s="4" t="s">
        <v>1998</v>
      </c>
      <c r="J529" s="10">
        <v>2467.4495999999999</v>
      </c>
      <c r="K529" s="4" t="str">
        <f t="shared" si="56"/>
        <v>28-12-2023</v>
      </c>
      <c r="L529" s="4" t="str">
        <f>TEXT(Sales_Fact!$B529,"mmm")</f>
        <v>Dec</v>
      </c>
      <c r="M529" s="4">
        <f t="shared" si="57"/>
        <v>4</v>
      </c>
      <c r="N529" s="10">
        <f t="shared" si="58"/>
        <v>700.98</v>
      </c>
      <c r="O529" s="10">
        <f t="shared" si="59"/>
        <v>2467.4495999999999</v>
      </c>
      <c r="P529" s="10">
        <f t="shared" si="60"/>
        <v>2803.92</v>
      </c>
      <c r="Q529" s="3">
        <f t="shared" si="61"/>
        <v>0.12000000000000005</v>
      </c>
      <c r="R529" s="4" t="str">
        <f>IF(Sales_Fact!$O529&gt;1000,"High","Low")</f>
        <v>High</v>
      </c>
      <c r="S529" s="4" t="str">
        <f>VLOOKUP(C529,Customer_Dim!$A:$N,9,FALSE())</f>
        <v>Crystal Davis</v>
      </c>
      <c r="T529" s="4" t="str">
        <f>VLOOKUP(D529,Product_Dim!$A:$M,3,FALSE())</f>
        <v>Beauty</v>
      </c>
      <c r="U529" s="11" t="str">
        <f>VLOOKUP(D529,Product_Dim!$A:$M,2,FALSE())</f>
        <v>Hair Strengthening Shampoo</v>
      </c>
      <c r="V529" s="11" t="str">
        <f>VLOOKUP(E529,Store_Dim!$A:$E,3,FALSE())</f>
        <v>East</v>
      </c>
      <c r="W529" s="11" t="str">
        <f>VLOOKUP(C529,Customer_Dim!$A:$N,13,FALSE())</f>
        <v>Bronze</v>
      </c>
      <c r="X529" s="11" t="str">
        <f t="shared" si="62"/>
        <v>High</v>
      </c>
    </row>
    <row r="530" spans="1:24" ht="15.75" customHeight="1">
      <c r="A530" s="4" t="s">
        <v>2526</v>
      </c>
      <c r="B530" s="9">
        <v>45605</v>
      </c>
      <c r="C530" s="4" t="s">
        <v>1289</v>
      </c>
      <c r="D530" s="4" t="s">
        <v>1861</v>
      </c>
      <c r="E530" s="4" t="s">
        <v>1968</v>
      </c>
      <c r="F530" s="4">
        <v>2</v>
      </c>
      <c r="G530" s="4">
        <v>227.97</v>
      </c>
      <c r="H530" s="4">
        <v>0.08</v>
      </c>
      <c r="I530" s="4" t="s">
        <v>2004</v>
      </c>
      <c r="J530" s="10">
        <v>419.46480000000003</v>
      </c>
      <c r="K530" s="4" t="str">
        <f t="shared" si="56"/>
        <v>09-11-2024</v>
      </c>
      <c r="L530" s="4" t="str">
        <f>TEXT(Sales_Fact!$B530,"mmm")</f>
        <v>Nov</v>
      </c>
      <c r="M530" s="4">
        <f t="shared" si="57"/>
        <v>2</v>
      </c>
      <c r="N530" s="10">
        <f t="shared" si="58"/>
        <v>227.97</v>
      </c>
      <c r="O530" s="10">
        <f t="shared" si="59"/>
        <v>419.46480000000003</v>
      </c>
      <c r="P530" s="10">
        <f t="shared" si="60"/>
        <v>455.94</v>
      </c>
      <c r="Q530" s="3">
        <f t="shared" si="61"/>
        <v>7.9999999999999946E-2</v>
      </c>
      <c r="R530" s="4" t="str">
        <f>IF(Sales_Fact!$O530&gt;1000,"High","Low")</f>
        <v>Low</v>
      </c>
      <c r="S530" s="4" t="str">
        <f>VLOOKUP(C530,Customer_Dim!$A:$N,9,FALSE())</f>
        <v>Eric Wolfe</v>
      </c>
      <c r="T530" s="4" t="str">
        <f>VLOOKUP(D530,Product_Dim!$A:$M,3,FALSE())</f>
        <v>Clothing</v>
      </c>
      <c r="U530" s="11" t="str">
        <f>VLOOKUP(D530,Product_Dim!$A:$M,2,FALSE())</f>
        <v>Women's Beanie Hat</v>
      </c>
      <c r="V530" s="11" t="str">
        <f>VLOOKUP(E530,Store_Dim!$A:$E,3,FALSE())</f>
        <v>East</v>
      </c>
      <c r="W530" s="11" t="str">
        <f>VLOOKUP(C530,Customer_Dim!$A:$N,13,FALSE())</f>
        <v>Gold</v>
      </c>
      <c r="X530" s="11" t="str">
        <f t="shared" si="62"/>
        <v>Low</v>
      </c>
    </row>
    <row r="531" spans="1:24" ht="15.75" customHeight="1">
      <c r="A531" s="4" t="s">
        <v>2527</v>
      </c>
      <c r="B531" s="9">
        <v>45516</v>
      </c>
      <c r="C531" s="4" t="s">
        <v>1490</v>
      </c>
      <c r="D531" s="4" t="s">
        <v>1719</v>
      </c>
      <c r="E531" s="4" t="s">
        <v>1950</v>
      </c>
      <c r="F531" s="4">
        <v>4</v>
      </c>
      <c r="G531" s="4">
        <v>278.70999999999998</v>
      </c>
      <c r="H531" s="4">
        <v>0.2</v>
      </c>
      <c r="I531" s="4" t="s">
        <v>1998</v>
      </c>
      <c r="J531" s="10">
        <v>891.87199999999996</v>
      </c>
      <c r="K531" s="4" t="str">
        <f t="shared" si="56"/>
        <v>12-08-2024</v>
      </c>
      <c r="L531" s="4" t="str">
        <f>TEXT(Sales_Fact!$B531,"mmm")</f>
        <v>Aug</v>
      </c>
      <c r="M531" s="4">
        <f t="shared" si="57"/>
        <v>4</v>
      </c>
      <c r="N531" s="10">
        <f t="shared" si="58"/>
        <v>278.70999999999998</v>
      </c>
      <c r="O531" s="10">
        <f t="shared" si="59"/>
        <v>891.87199999999996</v>
      </c>
      <c r="P531" s="10">
        <f t="shared" si="60"/>
        <v>1114.8399999999999</v>
      </c>
      <c r="Q531" s="3">
        <f t="shared" si="61"/>
        <v>0.19999999999999998</v>
      </c>
      <c r="R531" s="4" t="str">
        <f>IF(Sales_Fact!$O531&gt;1000,"High","Low")</f>
        <v>Low</v>
      </c>
      <c r="S531" s="4" t="str">
        <f>VLOOKUP(C531,Customer_Dim!$A:$N,9,FALSE())</f>
        <v>Joshua Howard</v>
      </c>
      <c r="T531" s="4" t="str">
        <f>VLOOKUP(D531,Product_Dim!$A:$M,3,FALSE())</f>
        <v>Electronics</v>
      </c>
      <c r="U531" s="11" t="str">
        <f>VLOOKUP(D531,Product_Dim!$A:$M,2,FALSE())</f>
        <v>Portable Power Bank</v>
      </c>
      <c r="V531" s="11" t="str">
        <f>VLOOKUP(E531,Store_Dim!$A:$E,3,FALSE())</f>
        <v>South</v>
      </c>
      <c r="W531" s="11" t="str">
        <f>VLOOKUP(C531,Customer_Dim!$A:$N,13,FALSE())</f>
        <v>Platinum</v>
      </c>
      <c r="X531" s="11" t="str">
        <f t="shared" si="62"/>
        <v>High</v>
      </c>
    </row>
    <row r="532" spans="1:24" ht="15.75" customHeight="1">
      <c r="A532" s="4" t="s">
        <v>2528</v>
      </c>
      <c r="B532" s="9">
        <v>45379</v>
      </c>
      <c r="C532" s="4" t="s">
        <v>855</v>
      </c>
      <c r="D532" s="4" t="s">
        <v>1903</v>
      </c>
      <c r="E532" s="4" t="s">
        <v>1940</v>
      </c>
      <c r="F532" s="4">
        <v>2</v>
      </c>
      <c r="G532" s="4">
        <v>916.12</v>
      </c>
      <c r="H532" s="4">
        <v>0.05</v>
      </c>
      <c r="I532" s="4" t="s">
        <v>1998</v>
      </c>
      <c r="J532" s="10">
        <v>1740.6279999999999</v>
      </c>
      <c r="K532" s="4" t="str">
        <f t="shared" si="56"/>
        <v>28-03-2024</v>
      </c>
      <c r="L532" s="4" t="str">
        <f>TEXT(Sales_Fact!$B532,"mmm")</f>
        <v>Mar</v>
      </c>
      <c r="M532" s="4">
        <f t="shared" si="57"/>
        <v>2</v>
      </c>
      <c r="N532" s="10">
        <f t="shared" si="58"/>
        <v>916.12</v>
      </c>
      <c r="O532" s="10">
        <f t="shared" si="59"/>
        <v>1740.6279999999999</v>
      </c>
      <c r="P532" s="10">
        <f t="shared" si="60"/>
        <v>1832.24</v>
      </c>
      <c r="Q532" s="3">
        <f t="shared" si="61"/>
        <v>5.0000000000000044E-2</v>
      </c>
      <c r="R532" s="4" t="str">
        <f>IF(Sales_Fact!$O532&gt;1000,"High","Low")</f>
        <v>High</v>
      </c>
      <c r="S532" s="4" t="str">
        <f>VLOOKUP(C532,Customer_Dim!$A:$N,9,FALSE())</f>
        <v>Beth Allen</v>
      </c>
      <c r="T532" s="4" t="str">
        <f>VLOOKUP(D532,Product_Dim!$A:$M,3,FALSE())</f>
        <v>Home</v>
      </c>
      <c r="U532" s="11" t="str">
        <f>VLOOKUP(D532,Product_Dim!$A:$M,2,FALSE())</f>
        <v>Stainless Steel Cookware Set</v>
      </c>
      <c r="V532" s="11" t="str">
        <f>VLOOKUP(E532,Store_Dim!$A:$E,3,FALSE())</f>
        <v>West</v>
      </c>
      <c r="W532" s="11" t="str">
        <f>VLOOKUP(C532,Customer_Dim!$A:$N,13,FALSE())</f>
        <v>Silver</v>
      </c>
      <c r="X532" s="11" t="str">
        <f t="shared" si="62"/>
        <v>Low</v>
      </c>
    </row>
    <row r="533" spans="1:24" ht="15.75" customHeight="1">
      <c r="A533" s="4" t="s">
        <v>2529</v>
      </c>
      <c r="B533" s="9">
        <v>45567</v>
      </c>
      <c r="C533" s="4" t="s">
        <v>479</v>
      </c>
      <c r="D533" s="4" t="s">
        <v>1622</v>
      </c>
      <c r="E533" s="4" t="s">
        <v>1952</v>
      </c>
      <c r="F533" s="4">
        <v>4</v>
      </c>
      <c r="G533" s="4">
        <v>228.98</v>
      </c>
      <c r="H533" s="4">
        <v>0.22</v>
      </c>
      <c r="I533" s="4" t="s">
        <v>1998</v>
      </c>
      <c r="J533" s="10">
        <v>714.41759999999999</v>
      </c>
      <c r="K533" s="4" t="str">
        <f t="shared" si="56"/>
        <v>02-10-2024</v>
      </c>
      <c r="L533" s="4" t="str">
        <f>TEXT(Sales_Fact!$B533,"mmm")</f>
        <v>Oct</v>
      </c>
      <c r="M533" s="4">
        <f t="shared" si="57"/>
        <v>4</v>
      </c>
      <c r="N533" s="10">
        <f t="shared" si="58"/>
        <v>228.98</v>
      </c>
      <c r="O533" s="10">
        <f t="shared" si="59"/>
        <v>714.41759999999999</v>
      </c>
      <c r="P533" s="10">
        <f t="shared" si="60"/>
        <v>915.92</v>
      </c>
      <c r="Q533" s="3">
        <f t="shared" si="61"/>
        <v>0.21999999999999997</v>
      </c>
      <c r="R533" s="4" t="str">
        <f>IF(Sales_Fact!$O533&gt;1000,"High","Low")</f>
        <v>Low</v>
      </c>
      <c r="S533" s="4" t="str">
        <f>VLOOKUP(C533,Customer_Dim!$A:$N,9,FALSE())</f>
        <v>Hayley Pope</v>
      </c>
      <c r="T533" s="4" t="str">
        <f>VLOOKUP(D533,Product_Dim!$A:$M,3,FALSE())</f>
        <v>Home</v>
      </c>
      <c r="U533" s="11" t="str">
        <f>VLOOKUP(D533,Product_Dim!$A:$M,2,FALSE())</f>
        <v>Ceramic Kitchen Bowl Set</v>
      </c>
      <c r="V533" s="11" t="str">
        <f>VLOOKUP(E533,Store_Dim!$A:$E,3,FALSE())</f>
        <v>North</v>
      </c>
      <c r="W533" s="11" t="str">
        <f>VLOOKUP(C533,Customer_Dim!$A:$N,13,FALSE())</f>
        <v>Bronze</v>
      </c>
      <c r="X533" s="11" t="str">
        <f t="shared" si="62"/>
        <v>High</v>
      </c>
    </row>
    <row r="534" spans="1:24" ht="15.75" customHeight="1">
      <c r="A534" s="4" t="s">
        <v>2530</v>
      </c>
      <c r="B534" s="9">
        <v>45510</v>
      </c>
      <c r="C534" s="4" t="s">
        <v>780</v>
      </c>
      <c r="D534" s="4" t="s">
        <v>1873</v>
      </c>
      <c r="E534" s="4" t="s">
        <v>1959</v>
      </c>
      <c r="F534" s="4">
        <v>4</v>
      </c>
      <c r="G534" s="4">
        <v>904.82</v>
      </c>
      <c r="H534" s="4">
        <v>0.09</v>
      </c>
      <c r="I534" s="4" t="s">
        <v>1998</v>
      </c>
      <c r="J534" s="10">
        <v>3293.5448000000001</v>
      </c>
      <c r="K534" s="4" t="str">
        <f t="shared" si="56"/>
        <v>06-08-2024</v>
      </c>
      <c r="L534" s="4" t="str">
        <f>TEXT(Sales_Fact!$B534,"mmm")</f>
        <v>Aug</v>
      </c>
      <c r="M534" s="4">
        <f t="shared" si="57"/>
        <v>4</v>
      </c>
      <c r="N534" s="10">
        <f t="shared" si="58"/>
        <v>904.82</v>
      </c>
      <c r="O534" s="10">
        <f t="shared" si="59"/>
        <v>3293.5448000000001</v>
      </c>
      <c r="P534" s="10">
        <f t="shared" si="60"/>
        <v>3619.28</v>
      </c>
      <c r="Q534" s="3">
        <f t="shared" si="61"/>
        <v>9.0000000000000011E-2</v>
      </c>
      <c r="R534" s="4" t="str">
        <f>IF(Sales_Fact!$O534&gt;1000,"High","Low")</f>
        <v>High</v>
      </c>
      <c r="S534" s="4" t="str">
        <f>VLOOKUP(C534,Customer_Dim!$A:$N,9,FALSE())</f>
        <v>Nathaniel Hill</v>
      </c>
      <c r="T534" s="4" t="str">
        <f>VLOOKUP(D534,Product_Dim!$A:$M,3,FALSE())</f>
        <v>Beauty</v>
      </c>
      <c r="U534" s="11" t="str">
        <f>VLOOKUP(D534,Product_Dim!$A:$M,2,FALSE())</f>
        <v>Face Foundation Kit</v>
      </c>
      <c r="V534" s="11" t="str">
        <f>VLOOKUP(E534,Store_Dim!$A:$E,3,FALSE())</f>
        <v>North</v>
      </c>
      <c r="W534" s="11" t="str">
        <f>VLOOKUP(C534,Customer_Dim!$A:$N,13,FALSE())</f>
        <v>Gold</v>
      </c>
      <c r="X534" s="11" t="str">
        <f t="shared" si="62"/>
        <v>High</v>
      </c>
    </row>
    <row r="535" spans="1:24" ht="15.75" customHeight="1">
      <c r="A535" s="4" t="s">
        <v>2531</v>
      </c>
      <c r="B535" s="9">
        <v>45806</v>
      </c>
      <c r="C535" s="4" t="s">
        <v>316</v>
      </c>
      <c r="D535" s="4" t="s">
        <v>1668</v>
      </c>
      <c r="E535" s="4" t="s">
        <v>1950</v>
      </c>
      <c r="F535" s="4">
        <v>1</v>
      </c>
      <c r="G535" s="4">
        <v>588.61</v>
      </c>
      <c r="H535" s="4">
        <v>0.1</v>
      </c>
      <c r="I535" s="4" t="s">
        <v>1998</v>
      </c>
      <c r="J535" s="10">
        <v>529.74900000000002</v>
      </c>
      <c r="K535" s="4" t="str">
        <f t="shared" si="56"/>
        <v>29-05-2025</v>
      </c>
      <c r="L535" s="4" t="str">
        <f>TEXT(Sales_Fact!$B535,"mmm")</f>
        <v>May</v>
      </c>
      <c r="M535" s="4">
        <f t="shared" si="57"/>
        <v>1</v>
      </c>
      <c r="N535" s="10">
        <f t="shared" si="58"/>
        <v>588.61</v>
      </c>
      <c r="O535" s="10">
        <f t="shared" si="59"/>
        <v>529.74900000000002</v>
      </c>
      <c r="P535" s="10">
        <f t="shared" si="60"/>
        <v>588.61</v>
      </c>
      <c r="Q535" s="3">
        <f t="shared" si="61"/>
        <v>9.9999999999999978E-2</v>
      </c>
      <c r="R535" s="4" t="str">
        <f>IF(Sales_Fact!$O535&gt;1000,"High","Low")</f>
        <v>Low</v>
      </c>
      <c r="S535" s="4" t="str">
        <f>VLOOKUP(C535,Customer_Dim!$A:$N,9,FALSE())</f>
        <v>Krystal Ford</v>
      </c>
      <c r="T535" s="4" t="str">
        <f>VLOOKUP(D535,Product_Dim!$A:$M,3,FALSE())</f>
        <v>Clothing</v>
      </c>
      <c r="U535" s="11" t="str">
        <f>VLOOKUP(D535,Product_Dim!$A:$M,2,FALSE())</f>
        <v>Men's Formal Shirt</v>
      </c>
      <c r="V535" s="11" t="str">
        <f>VLOOKUP(E535,Store_Dim!$A:$E,3,FALSE())</f>
        <v>South</v>
      </c>
      <c r="W535" s="11" t="str">
        <f>VLOOKUP(C535,Customer_Dim!$A:$N,13,FALSE())</f>
        <v>Platinum</v>
      </c>
      <c r="X535" s="11" t="str">
        <f t="shared" si="62"/>
        <v>Low</v>
      </c>
    </row>
    <row r="536" spans="1:24" ht="15.75" customHeight="1">
      <c r="A536" s="4" t="s">
        <v>2532</v>
      </c>
      <c r="B536" s="9">
        <v>45240</v>
      </c>
      <c r="C536" s="4" t="s">
        <v>417</v>
      </c>
      <c r="D536" s="4" t="s">
        <v>1700</v>
      </c>
      <c r="E536" s="4" t="s">
        <v>1924</v>
      </c>
      <c r="F536" s="4">
        <v>4</v>
      </c>
      <c r="G536" s="4">
        <v>695.97</v>
      </c>
      <c r="H536" s="4">
        <v>0.02</v>
      </c>
      <c r="I536" s="4" t="s">
        <v>1996</v>
      </c>
      <c r="J536" s="10">
        <v>2728.2024000000001</v>
      </c>
      <c r="K536" s="4" t="str">
        <f t="shared" si="56"/>
        <v>10-11-2023</v>
      </c>
      <c r="L536" s="4" t="str">
        <f>TEXT(Sales_Fact!$B536,"mmm")</f>
        <v>Nov</v>
      </c>
      <c r="M536" s="4">
        <f t="shared" si="57"/>
        <v>4</v>
      </c>
      <c r="N536" s="10">
        <f t="shared" si="58"/>
        <v>695.97</v>
      </c>
      <c r="O536" s="10">
        <f t="shared" si="59"/>
        <v>2728.2024000000001</v>
      </c>
      <c r="P536" s="10">
        <f t="shared" si="60"/>
        <v>2783.88</v>
      </c>
      <c r="Q536" s="3">
        <f t="shared" si="61"/>
        <v>1.9999999999999993E-2</v>
      </c>
      <c r="R536" s="4" t="str">
        <f>IF(Sales_Fact!$O536&gt;1000,"High","Low")</f>
        <v>High</v>
      </c>
      <c r="S536" s="4" t="str">
        <f>VLOOKUP(C536,Customer_Dim!$A:$N,9,FALSE())</f>
        <v>Edward Hall</v>
      </c>
      <c r="T536" s="4" t="str">
        <f>VLOOKUP(D536,Product_Dim!$A:$M,3,FALSE())</f>
        <v>Home</v>
      </c>
      <c r="U536" s="11" t="str">
        <f>VLOOKUP(D536,Product_Dim!$A:$M,2,FALSE())</f>
        <v>Modern Wall Clock</v>
      </c>
      <c r="V536" s="11" t="str">
        <f>VLOOKUP(E536,Store_Dim!$A:$E,3,FALSE())</f>
        <v>North</v>
      </c>
      <c r="W536" s="11" t="str">
        <f>VLOOKUP(C536,Customer_Dim!$A:$N,13,FALSE())</f>
        <v>Gold</v>
      </c>
      <c r="X536" s="11" t="str">
        <f t="shared" si="62"/>
        <v>High</v>
      </c>
    </row>
    <row r="537" spans="1:24" ht="15.75" customHeight="1">
      <c r="A537" s="4" t="s">
        <v>2533</v>
      </c>
      <c r="B537" s="9">
        <v>45878</v>
      </c>
      <c r="C537" s="4" t="s">
        <v>1545</v>
      </c>
      <c r="D537" s="4" t="s">
        <v>1867</v>
      </c>
      <c r="E537" s="4" t="s">
        <v>1910</v>
      </c>
      <c r="F537" s="4">
        <v>1</v>
      </c>
      <c r="G537" s="4">
        <v>652.03</v>
      </c>
      <c r="H537" s="4">
        <v>0.27</v>
      </c>
      <c r="I537" s="4" t="s">
        <v>1996</v>
      </c>
      <c r="J537" s="10">
        <v>475.9819</v>
      </c>
      <c r="K537" s="4" t="str">
        <f t="shared" si="56"/>
        <v>09-08-2025</v>
      </c>
      <c r="L537" s="4" t="str">
        <f>TEXT(Sales_Fact!$B537,"mmm")</f>
        <v>Aug</v>
      </c>
      <c r="M537" s="4">
        <f t="shared" si="57"/>
        <v>1</v>
      </c>
      <c r="N537" s="10">
        <f t="shared" si="58"/>
        <v>652.03</v>
      </c>
      <c r="O537" s="10">
        <f t="shared" si="59"/>
        <v>475.9819</v>
      </c>
      <c r="P537" s="10">
        <f t="shared" si="60"/>
        <v>652.03</v>
      </c>
      <c r="Q537" s="3">
        <f t="shared" si="61"/>
        <v>0.26999999999999996</v>
      </c>
      <c r="R537" s="4" t="str">
        <f>IF(Sales_Fact!$O537&gt;1000,"High","Low")</f>
        <v>Low</v>
      </c>
      <c r="S537" s="4" t="str">
        <f>VLOOKUP(C537,Customer_Dim!$A:$N,9,FALSE())</f>
        <v>Amanda Powell</v>
      </c>
      <c r="T537" s="4" t="str">
        <f>VLOOKUP(D537,Product_Dim!$A:$M,3,FALSE())</f>
        <v>Home</v>
      </c>
      <c r="U537" s="11" t="str">
        <f>VLOOKUP(D537,Product_Dim!$A:$M,2,FALSE())</f>
        <v>LED Bedside Lamp</v>
      </c>
      <c r="V537" s="11" t="str">
        <f>VLOOKUP(E537,Store_Dim!$A:$E,3,FALSE())</f>
        <v>East</v>
      </c>
      <c r="W537" s="11" t="str">
        <f>VLOOKUP(C537,Customer_Dim!$A:$N,13,FALSE())</f>
        <v>Silver</v>
      </c>
      <c r="X537" s="11" t="str">
        <f t="shared" si="62"/>
        <v>Low</v>
      </c>
    </row>
    <row r="538" spans="1:24" ht="15.75" customHeight="1">
      <c r="A538" s="4" t="s">
        <v>2534</v>
      </c>
      <c r="B538" s="9">
        <v>45309</v>
      </c>
      <c r="C538" s="4" t="s">
        <v>979</v>
      </c>
      <c r="D538" s="4" t="s">
        <v>1897</v>
      </c>
      <c r="E538" s="4" t="s">
        <v>1950</v>
      </c>
      <c r="F538" s="4">
        <v>2</v>
      </c>
      <c r="G538" s="4">
        <v>181.42</v>
      </c>
      <c r="H538" s="4">
        <v>0.08</v>
      </c>
      <c r="I538" s="4" t="s">
        <v>1998</v>
      </c>
      <c r="J538" s="10">
        <v>333.81279999999998</v>
      </c>
      <c r="K538" s="4" t="str">
        <f t="shared" si="56"/>
        <v>18-01-2024</v>
      </c>
      <c r="L538" s="4" t="str">
        <f>TEXT(Sales_Fact!$B538,"mmm")</f>
        <v>Jan</v>
      </c>
      <c r="M538" s="4">
        <f t="shared" si="57"/>
        <v>2</v>
      </c>
      <c r="N538" s="10">
        <f t="shared" si="58"/>
        <v>181.42</v>
      </c>
      <c r="O538" s="10">
        <f t="shared" si="59"/>
        <v>333.81279999999998</v>
      </c>
      <c r="P538" s="10">
        <f t="shared" si="60"/>
        <v>362.84</v>
      </c>
      <c r="Q538" s="3">
        <f t="shared" si="61"/>
        <v>7.9999999999999988E-2</v>
      </c>
      <c r="R538" s="4" t="str">
        <f>IF(Sales_Fact!$O538&gt;1000,"High","Low")</f>
        <v>Low</v>
      </c>
      <c r="S538" s="4" t="str">
        <f>VLOOKUP(C538,Customer_Dim!$A:$N,9,FALSE())</f>
        <v>Ryan Kane</v>
      </c>
      <c r="T538" s="4" t="str">
        <f>VLOOKUP(D538,Product_Dim!$A:$M,3,FALSE())</f>
        <v>Sports</v>
      </c>
      <c r="U538" s="11" t="str">
        <f>VLOOKUP(D538,Product_Dim!$A:$M,2,FALSE())</f>
        <v>Cricket Bat</v>
      </c>
      <c r="V538" s="11" t="str">
        <f>VLOOKUP(E538,Store_Dim!$A:$E,3,FALSE())</f>
        <v>South</v>
      </c>
      <c r="W538" s="11" t="str">
        <f>VLOOKUP(C538,Customer_Dim!$A:$N,13,FALSE())</f>
        <v>Gold</v>
      </c>
      <c r="X538" s="11" t="str">
        <f t="shared" si="62"/>
        <v>Low</v>
      </c>
    </row>
    <row r="539" spans="1:24" ht="15.75" customHeight="1">
      <c r="A539" s="4" t="s">
        <v>2535</v>
      </c>
      <c r="B539" s="9">
        <v>45375</v>
      </c>
      <c r="C539" s="4" t="s">
        <v>121</v>
      </c>
      <c r="D539" s="4" t="s">
        <v>1897</v>
      </c>
      <c r="E539" s="4" t="s">
        <v>1955</v>
      </c>
      <c r="F539" s="4">
        <v>1</v>
      </c>
      <c r="G539" s="4">
        <v>439.55</v>
      </c>
      <c r="H539" s="4">
        <v>0.28999999999999998</v>
      </c>
      <c r="I539" s="4" t="s">
        <v>2004</v>
      </c>
      <c r="J539" s="10">
        <v>312.08049999999997</v>
      </c>
      <c r="K539" s="4" t="str">
        <f t="shared" si="56"/>
        <v>24-03-2024</v>
      </c>
      <c r="L539" s="4" t="str">
        <f>TEXT(Sales_Fact!$B539,"mmm")</f>
        <v>Mar</v>
      </c>
      <c r="M539" s="4">
        <f t="shared" si="57"/>
        <v>1</v>
      </c>
      <c r="N539" s="10">
        <f t="shared" si="58"/>
        <v>439.55</v>
      </c>
      <c r="O539" s="10">
        <f t="shared" si="59"/>
        <v>312.08049999999997</v>
      </c>
      <c r="P539" s="10">
        <f t="shared" si="60"/>
        <v>439.55</v>
      </c>
      <c r="Q539" s="3">
        <f t="shared" si="61"/>
        <v>0.29000000000000009</v>
      </c>
      <c r="R539" s="4" t="str">
        <f>IF(Sales_Fact!$O539&gt;1000,"High","Low")</f>
        <v>Low</v>
      </c>
      <c r="S539" s="4" t="str">
        <f>VLOOKUP(C539,Customer_Dim!$A:$N,9,FALSE())</f>
        <v>Jonathan Steele</v>
      </c>
      <c r="T539" s="4" t="str">
        <f>VLOOKUP(D539,Product_Dim!$A:$M,3,FALSE())</f>
        <v>Sports</v>
      </c>
      <c r="U539" s="11" t="str">
        <f>VLOOKUP(D539,Product_Dim!$A:$M,2,FALSE())</f>
        <v>Cricket Bat</v>
      </c>
      <c r="V539" s="11" t="str">
        <f>VLOOKUP(E539,Store_Dim!$A:$E,3,FALSE())</f>
        <v>East</v>
      </c>
      <c r="W539" s="11" t="str">
        <f>VLOOKUP(C539,Customer_Dim!$A:$N,13,FALSE())</f>
        <v>Silver</v>
      </c>
      <c r="X539" s="11" t="str">
        <f t="shared" si="62"/>
        <v>Low</v>
      </c>
    </row>
    <row r="540" spans="1:24" ht="15.75" customHeight="1">
      <c r="A540" s="4" t="s">
        <v>2536</v>
      </c>
      <c r="B540" s="9">
        <v>45733</v>
      </c>
      <c r="C540" s="4" t="s">
        <v>420</v>
      </c>
      <c r="D540" s="4" t="s">
        <v>1770</v>
      </c>
      <c r="E540" s="4" t="s">
        <v>1968</v>
      </c>
      <c r="F540" s="4">
        <v>3</v>
      </c>
      <c r="G540" s="4">
        <v>471.27</v>
      </c>
      <c r="H540" s="4">
        <v>0.27</v>
      </c>
      <c r="I540" s="4" t="s">
        <v>2004</v>
      </c>
      <c r="J540" s="10">
        <v>1032.0813000000001</v>
      </c>
      <c r="K540" s="4" t="str">
        <f t="shared" si="56"/>
        <v>17-03-2025</v>
      </c>
      <c r="L540" s="4" t="str">
        <f>TEXT(Sales_Fact!$B540,"mmm")</f>
        <v>Mar</v>
      </c>
      <c r="M540" s="4">
        <f t="shared" si="57"/>
        <v>3</v>
      </c>
      <c r="N540" s="10">
        <f t="shared" si="58"/>
        <v>471.27</v>
      </c>
      <c r="O540" s="10">
        <f t="shared" si="59"/>
        <v>1032.0812999999998</v>
      </c>
      <c r="P540" s="10">
        <f t="shared" si="60"/>
        <v>1413.81</v>
      </c>
      <c r="Q540" s="3">
        <f t="shared" si="61"/>
        <v>0.27000000000000007</v>
      </c>
      <c r="R540" s="4" t="str">
        <f>IF(Sales_Fact!$O540&gt;1000,"High","Low")</f>
        <v>High</v>
      </c>
      <c r="S540" s="4" t="str">
        <f>VLOOKUP(C540,Customer_Dim!$A:$N,9,FALSE())</f>
        <v>Ryan Hernandez</v>
      </c>
      <c r="T540" s="4" t="str">
        <f>VLOOKUP(D540,Product_Dim!$A:$M,3,FALSE())</f>
        <v>Home</v>
      </c>
      <c r="U540" s="11" t="str">
        <f>VLOOKUP(D540,Product_Dim!$A:$M,2,FALSE())</f>
        <v>Ceramic Plant Pot</v>
      </c>
      <c r="V540" s="11" t="str">
        <f>VLOOKUP(E540,Store_Dim!$A:$E,3,FALSE())</f>
        <v>East</v>
      </c>
      <c r="W540" s="11" t="str">
        <f>VLOOKUP(C540,Customer_Dim!$A:$N,13,FALSE())</f>
        <v>Bronze</v>
      </c>
      <c r="X540" s="11" t="str">
        <f t="shared" si="62"/>
        <v>Low</v>
      </c>
    </row>
    <row r="541" spans="1:24" ht="15.75" customHeight="1">
      <c r="A541" s="4" t="s">
        <v>2537</v>
      </c>
      <c r="B541" s="9">
        <v>45435</v>
      </c>
      <c r="C541" s="4" t="s">
        <v>193</v>
      </c>
      <c r="D541" s="4" t="s">
        <v>1782</v>
      </c>
      <c r="E541" s="4" t="s">
        <v>1952</v>
      </c>
      <c r="F541" s="4">
        <v>1</v>
      </c>
      <c r="G541" s="4">
        <v>758.89</v>
      </c>
      <c r="H541" s="4">
        <v>0.1</v>
      </c>
      <c r="I541" s="4" t="s">
        <v>1996</v>
      </c>
      <c r="J541" s="10">
        <v>683.00099999999998</v>
      </c>
      <c r="K541" s="4" t="str">
        <f t="shared" si="56"/>
        <v>23-05-2024</v>
      </c>
      <c r="L541" s="4" t="str">
        <f>TEXT(Sales_Fact!$B541,"mmm")</f>
        <v>May</v>
      </c>
      <c r="M541" s="4">
        <f t="shared" si="57"/>
        <v>1</v>
      </c>
      <c r="N541" s="10">
        <f t="shared" si="58"/>
        <v>758.89</v>
      </c>
      <c r="O541" s="10">
        <f t="shared" si="59"/>
        <v>683.00099999999998</v>
      </c>
      <c r="P541" s="10">
        <f t="shared" si="60"/>
        <v>758.89</v>
      </c>
      <c r="Q541" s="3">
        <f t="shared" si="61"/>
        <v>0.10000000000000002</v>
      </c>
      <c r="R541" s="4" t="str">
        <f>IF(Sales_Fact!$O541&gt;1000,"High","Low")</f>
        <v>Low</v>
      </c>
      <c r="S541" s="4" t="str">
        <f>VLOOKUP(C541,Customer_Dim!$A:$N,9,FALSE())</f>
        <v>Denise Williams</v>
      </c>
      <c r="T541" s="4" t="str">
        <f>VLOOKUP(D541,Product_Dim!$A:$M,3,FALSE())</f>
        <v>Beauty</v>
      </c>
      <c r="U541" s="11" t="str">
        <f>VLOOKUP(D541,Product_Dim!$A:$M,2,FALSE())</f>
        <v>Men's Hair Styling Gel</v>
      </c>
      <c r="V541" s="11" t="str">
        <f>VLOOKUP(E541,Store_Dim!$A:$E,3,FALSE())</f>
        <v>North</v>
      </c>
      <c r="W541" s="11" t="str">
        <f>VLOOKUP(C541,Customer_Dim!$A:$N,13,FALSE())</f>
        <v>Bronze</v>
      </c>
      <c r="X541" s="11" t="str">
        <f t="shared" si="62"/>
        <v>Low</v>
      </c>
    </row>
    <row r="542" spans="1:24" ht="15.75" customHeight="1">
      <c r="A542" s="4" t="s">
        <v>2538</v>
      </c>
      <c r="B542" s="9">
        <v>45864</v>
      </c>
      <c r="C542" s="4" t="s">
        <v>1521</v>
      </c>
      <c r="D542" s="4" t="s">
        <v>1891</v>
      </c>
      <c r="E542" s="4" t="s">
        <v>1959</v>
      </c>
      <c r="F542" s="4">
        <v>4</v>
      </c>
      <c r="G542" s="4">
        <v>918.1</v>
      </c>
      <c r="H542" s="4">
        <v>0.19</v>
      </c>
      <c r="I542" s="4" t="s">
        <v>2004</v>
      </c>
      <c r="J542" s="10">
        <v>2974.6439999999998</v>
      </c>
      <c r="K542" s="4" t="str">
        <f t="shared" si="56"/>
        <v>26-07-2025</v>
      </c>
      <c r="L542" s="4" t="str">
        <f>TEXT(Sales_Fact!$B542,"mmm")</f>
        <v>Jul</v>
      </c>
      <c r="M542" s="4">
        <f t="shared" si="57"/>
        <v>4</v>
      </c>
      <c r="N542" s="10">
        <f t="shared" si="58"/>
        <v>918.1</v>
      </c>
      <c r="O542" s="10">
        <f t="shared" si="59"/>
        <v>2974.6440000000002</v>
      </c>
      <c r="P542" s="10">
        <f t="shared" si="60"/>
        <v>3672.4</v>
      </c>
      <c r="Q542" s="3">
        <f t="shared" si="61"/>
        <v>0.18999999999999995</v>
      </c>
      <c r="R542" s="4" t="str">
        <f>IF(Sales_Fact!$O542&gt;1000,"High","Low")</f>
        <v>High</v>
      </c>
      <c r="S542" s="4" t="str">
        <f>VLOOKUP(C542,Customer_Dim!$A:$N,9,FALSE())</f>
        <v>Sara Ingram</v>
      </c>
      <c r="T542" s="4" t="str">
        <f>VLOOKUP(D542,Product_Dim!$A:$M,3,FALSE())</f>
        <v>Sports</v>
      </c>
      <c r="U542" s="11" t="str">
        <f>VLOOKUP(D542,Product_Dim!$A:$M,2,FALSE())</f>
        <v>Sports Stopwatch Basic</v>
      </c>
      <c r="V542" s="11" t="str">
        <f>VLOOKUP(E542,Store_Dim!$A:$E,3,FALSE())</f>
        <v>North</v>
      </c>
      <c r="W542" s="11" t="str">
        <f>VLOOKUP(C542,Customer_Dim!$A:$N,13,FALSE())</f>
        <v>Bronze</v>
      </c>
      <c r="X542" s="11" t="str">
        <f t="shared" si="62"/>
        <v>High</v>
      </c>
    </row>
    <row r="543" spans="1:24" ht="15.75" customHeight="1">
      <c r="A543" s="4" t="s">
        <v>2539</v>
      </c>
      <c r="B543" s="9">
        <v>45569</v>
      </c>
      <c r="C543" s="4" t="s">
        <v>855</v>
      </c>
      <c r="D543" s="4" t="s">
        <v>1888</v>
      </c>
      <c r="E543" s="4" t="s">
        <v>1950</v>
      </c>
      <c r="F543" s="4">
        <v>1</v>
      </c>
      <c r="G543" s="4">
        <v>861.5</v>
      </c>
      <c r="H543" s="4">
        <v>0.05</v>
      </c>
      <c r="I543" s="4" t="s">
        <v>2004</v>
      </c>
      <c r="J543" s="10">
        <v>818.42499999999995</v>
      </c>
      <c r="K543" s="4" t="str">
        <f t="shared" si="56"/>
        <v>04-10-2024</v>
      </c>
      <c r="L543" s="4" t="str">
        <f>TEXT(Sales_Fact!$B543,"mmm")</f>
        <v>Oct</v>
      </c>
      <c r="M543" s="4">
        <f t="shared" si="57"/>
        <v>1</v>
      </c>
      <c r="N543" s="10">
        <f t="shared" si="58"/>
        <v>861.5</v>
      </c>
      <c r="O543" s="10">
        <f t="shared" si="59"/>
        <v>818.42499999999995</v>
      </c>
      <c r="P543" s="10">
        <f t="shared" si="60"/>
        <v>861.5</v>
      </c>
      <c r="Q543" s="3">
        <f t="shared" si="61"/>
        <v>5.0000000000000051E-2</v>
      </c>
      <c r="R543" s="4" t="str">
        <f>IF(Sales_Fact!$O543&gt;1000,"High","Low")</f>
        <v>Low</v>
      </c>
      <c r="S543" s="4" t="str">
        <f>VLOOKUP(C543,Customer_Dim!$A:$N,9,FALSE())</f>
        <v>Beth Allen</v>
      </c>
      <c r="T543" s="4" t="str">
        <f>VLOOKUP(D543,Product_Dim!$A:$M,3,FALSE())</f>
        <v>Beauty</v>
      </c>
      <c r="U543" s="11" t="str">
        <f>VLOOKUP(D543,Product_Dim!$A:$M,2,FALSE())</f>
        <v>Vitamin E Body Lotion</v>
      </c>
      <c r="V543" s="11" t="str">
        <f>VLOOKUP(E543,Store_Dim!$A:$E,3,FALSE())</f>
        <v>South</v>
      </c>
      <c r="W543" s="11" t="str">
        <f>VLOOKUP(C543,Customer_Dim!$A:$N,13,FALSE())</f>
        <v>Silver</v>
      </c>
      <c r="X543" s="11" t="str">
        <f t="shared" si="62"/>
        <v>Low</v>
      </c>
    </row>
    <row r="544" spans="1:24" ht="15.75" customHeight="1">
      <c r="A544" s="4" t="s">
        <v>2540</v>
      </c>
      <c r="B544" s="9">
        <v>45664</v>
      </c>
      <c r="C544" s="4" t="s">
        <v>1454</v>
      </c>
      <c r="D544" s="4" t="s">
        <v>1665</v>
      </c>
      <c r="E544" s="4" t="s">
        <v>1957</v>
      </c>
      <c r="F544" s="4">
        <v>1</v>
      </c>
      <c r="G544" s="4">
        <v>588.29999999999995</v>
      </c>
      <c r="H544" s="4">
        <v>0.26</v>
      </c>
      <c r="I544" s="4" t="s">
        <v>2004</v>
      </c>
      <c r="J544" s="10">
        <v>435.34199999999998</v>
      </c>
      <c r="K544" s="4" t="str">
        <f t="shared" si="56"/>
        <v>07-01-2025</v>
      </c>
      <c r="L544" s="4" t="str">
        <f>TEXT(Sales_Fact!$B544,"mmm")</f>
        <v>Jan</v>
      </c>
      <c r="M544" s="4">
        <f t="shared" si="57"/>
        <v>1</v>
      </c>
      <c r="N544" s="10">
        <f t="shared" si="58"/>
        <v>588.29999999999995</v>
      </c>
      <c r="O544" s="10">
        <f t="shared" si="59"/>
        <v>435.34199999999998</v>
      </c>
      <c r="P544" s="10">
        <f t="shared" si="60"/>
        <v>588.29999999999995</v>
      </c>
      <c r="Q544" s="3">
        <f t="shared" si="61"/>
        <v>0.25999999999999995</v>
      </c>
      <c r="R544" s="4" t="str">
        <f>IF(Sales_Fact!$O544&gt;1000,"High","Low")</f>
        <v>Low</v>
      </c>
      <c r="S544" s="4" t="str">
        <f>VLOOKUP(C544,Customer_Dim!$A:$N,9,FALSE())</f>
        <v>Beth Martin</v>
      </c>
      <c r="T544" s="4" t="str">
        <f>VLOOKUP(D544,Product_Dim!$A:$M,3,FALSE())</f>
        <v>Sports</v>
      </c>
      <c r="U544" s="11" t="str">
        <f>VLOOKUP(D544,Product_Dim!$A:$M,2,FALSE())</f>
        <v>Carbon Fiber Tennis Racket</v>
      </c>
      <c r="V544" s="11" t="str">
        <f>VLOOKUP(E544,Store_Dim!$A:$E,3,FALSE())</f>
        <v>South</v>
      </c>
      <c r="W544" s="11" t="str">
        <f>VLOOKUP(C544,Customer_Dim!$A:$N,13,FALSE())</f>
        <v>Silver</v>
      </c>
      <c r="X544" s="11" t="str">
        <f t="shared" si="62"/>
        <v>Low</v>
      </c>
    </row>
    <row r="545" spans="1:24" ht="15.75" customHeight="1">
      <c r="A545" s="4" t="s">
        <v>2541</v>
      </c>
      <c r="B545" s="9">
        <v>45645</v>
      </c>
      <c r="C545" s="4" t="s">
        <v>1454</v>
      </c>
      <c r="D545" s="4" t="s">
        <v>1770</v>
      </c>
      <c r="E545" s="4" t="s">
        <v>1937</v>
      </c>
      <c r="F545" s="4">
        <v>1</v>
      </c>
      <c r="G545" s="4">
        <v>917.26</v>
      </c>
      <c r="H545" s="4">
        <v>0.05</v>
      </c>
      <c r="I545" s="4" t="s">
        <v>1998</v>
      </c>
      <c r="J545" s="10">
        <v>871.39700000000005</v>
      </c>
      <c r="K545" s="4" t="str">
        <f t="shared" si="56"/>
        <v>19-12-2024</v>
      </c>
      <c r="L545" s="4" t="str">
        <f>TEXT(Sales_Fact!$B545,"mmm")</f>
        <v>Dec</v>
      </c>
      <c r="M545" s="4">
        <f t="shared" si="57"/>
        <v>1</v>
      </c>
      <c r="N545" s="10">
        <f t="shared" si="58"/>
        <v>917.26</v>
      </c>
      <c r="O545" s="10">
        <f t="shared" si="59"/>
        <v>871.39699999999993</v>
      </c>
      <c r="P545" s="10">
        <f t="shared" si="60"/>
        <v>917.26</v>
      </c>
      <c r="Q545" s="3">
        <f t="shared" si="61"/>
        <v>5.0000000000000065E-2</v>
      </c>
      <c r="R545" s="4" t="str">
        <f>IF(Sales_Fact!$O545&gt;1000,"High","Low")</f>
        <v>Low</v>
      </c>
      <c r="S545" s="4" t="str">
        <f>VLOOKUP(C545,Customer_Dim!$A:$N,9,FALSE())</f>
        <v>Beth Martin</v>
      </c>
      <c r="T545" s="4" t="str">
        <f>VLOOKUP(D545,Product_Dim!$A:$M,3,FALSE())</f>
        <v>Home</v>
      </c>
      <c r="U545" s="11" t="str">
        <f>VLOOKUP(D545,Product_Dim!$A:$M,2,FALSE())</f>
        <v>Ceramic Plant Pot</v>
      </c>
      <c r="V545" s="11" t="str">
        <f>VLOOKUP(E545,Store_Dim!$A:$E,3,FALSE())</f>
        <v>South</v>
      </c>
      <c r="W545" s="11" t="str">
        <f>VLOOKUP(C545,Customer_Dim!$A:$N,13,FALSE())</f>
        <v>Silver</v>
      </c>
      <c r="X545" s="11" t="str">
        <f t="shared" si="62"/>
        <v>Low</v>
      </c>
    </row>
    <row r="546" spans="1:24" ht="15.75" customHeight="1">
      <c r="A546" s="4" t="s">
        <v>2542</v>
      </c>
      <c r="B546" s="9">
        <v>45449</v>
      </c>
      <c r="C546" s="4" t="s">
        <v>777</v>
      </c>
      <c r="D546" s="4" t="s">
        <v>1603</v>
      </c>
      <c r="E546" s="4" t="s">
        <v>1968</v>
      </c>
      <c r="F546" s="4">
        <v>4</v>
      </c>
      <c r="G546" s="4">
        <v>96.78</v>
      </c>
      <c r="H546" s="4">
        <v>0.11</v>
      </c>
      <c r="I546" s="4" t="s">
        <v>1998</v>
      </c>
      <c r="J546" s="10">
        <v>344.53680000000003</v>
      </c>
      <c r="K546" s="4" t="str">
        <f t="shared" si="56"/>
        <v>06-06-2024</v>
      </c>
      <c r="L546" s="4" t="str">
        <f>TEXT(Sales_Fact!$B546,"mmm")</f>
        <v>Jun</v>
      </c>
      <c r="M546" s="4">
        <f t="shared" si="57"/>
        <v>4</v>
      </c>
      <c r="N546" s="10">
        <f t="shared" si="58"/>
        <v>96.78</v>
      </c>
      <c r="O546" s="10">
        <f t="shared" si="59"/>
        <v>344.53680000000003</v>
      </c>
      <c r="P546" s="10">
        <f t="shared" si="60"/>
        <v>387.12</v>
      </c>
      <c r="Q546" s="3">
        <f t="shared" si="61"/>
        <v>0.10999999999999995</v>
      </c>
      <c r="R546" s="4" t="str">
        <f>IF(Sales_Fact!$O546&gt;1000,"High","Low")</f>
        <v>Low</v>
      </c>
      <c r="S546" s="4" t="str">
        <f>VLOOKUP(C546,Customer_Dim!$A:$N,9,FALSE())</f>
        <v>Michelle Gonzalez</v>
      </c>
      <c r="T546" s="4" t="str">
        <f>VLOOKUP(D546,Product_Dim!$A:$M,3,FALSE())</f>
        <v>Beauty</v>
      </c>
      <c r="U546" s="11" t="str">
        <f>VLOOKUP(D546,Product_Dim!$A:$M,2,FALSE())</f>
        <v>Herbal Face Moisturizer</v>
      </c>
      <c r="V546" s="11" t="str">
        <f>VLOOKUP(E546,Store_Dim!$A:$E,3,FALSE())</f>
        <v>East</v>
      </c>
      <c r="W546" s="11" t="str">
        <f>VLOOKUP(C546,Customer_Dim!$A:$N,13,FALSE())</f>
        <v>Silver</v>
      </c>
      <c r="X546" s="11" t="str">
        <f t="shared" si="62"/>
        <v>High</v>
      </c>
    </row>
    <row r="547" spans="1:24" ht="15.75" customHeight="1">
      <c r="A547" s="4" t="s">
        <v>2543</v>
      </c>
      <c r="B547" s="9">
        <v>45629</v>
      </c>
      <c r="C547" s="4" t="s">
        <v>1501</v>
      </c>
      <c r="D547" s="4" t="s">
        <v>1684</v>
      </c>
      <c r="E547" s="4" t="s">
        <v>1927</v>
      </c>
      <c r="F547" s="4">
        <v>3</v>
      </c>
      <c r="G547" s="4">
        <v>199.41</v>
      </c>
      <c r="H547" s="4">
        <v>0.16</v>
      </c>
      <c r="I547" s="4" t="s">
        <v>2004</v>
      </c>
      <c r="J547" s="10">
        <v>502.51319999999998</v>
      </c>
      <c r="K547" s="4" t="str">
        <f t="shared" si="56"/>
        <v>03-12-2024</v>
      </c>
      <c r="L547" s="4" t="str">
        <f>TEXT(Sales_Fact!$B547,"mmm")</f>
        <v>Dec</v>
      </c>
      <c r="M547" s="4">
        <f t="shared" si="57"/>
        <v>3</v>
      </c>
      <c r="N547" s="10">
        <f t="shared" si="58"/>
        <v>199.41</v>
      </c>
      <c r="O547" s="10">
        <f t="shared" si="59"/>
        <v>502.51319999999998</v>
      </c>
      <c r="P547" s="10">
        <f t="shared" si="60"/>
        <v>598.23</v>
      </c>
      <c r="Q547" s="3">
        <f t="shared" si="61"/>
        <v>0.16000000000000006</v>
      </c>
      <c r="R547" s="4" t="str">
        <f>IF(Sales_Fact!$O547&gt;1000,"High","Low")</f>
        <v>Low</v>
      </c>
      <c r="S547" s="4" t="str">
        <f>VLOOKUP(C547,Customer_Dim!$A:$N,9,FALSE())</f>
        <v>Earl Smith Dds</v>
      </c>
      <c r="T547" s="4" t="str">
        <f>VLOOKUP(D547,Product_Dim!$A:$M,3,FALSE())</f>
        <v>Sports</v>
      </c>
      <c r="U547" s="11" t="str">
        <f>VLOOKUP(D547,Product_Dim!$A:$M,2,FALSE())</f>
        <v>Sports Stopwatch Timer</v>
      </c>
      <c r="V547" s="11" t="str">
        <f>VLOOKUP(E547,Store_Dim!$A:$E,3,FALSE())</f>
        <v>South</v>
      </c>
      <c r="W547" s="11" t="str">
        <f>VLOOKUP(C547,Customer_Dim!$A:$N,13,FALSE())</f>
        <v>Gold</v>
      </c>
      <c r="X547" s="11" t="str">
        <f t="shared" si="62"/>
        <v>Low</v>
      </c>
    </row>
    <row r="548" spans="1:24" ht="15.75" customHeight="1">
      <c r="A548" s="4" t="s">
        <v>2544</v>
      </c>
      <c r="B548" s="9">
        <v>45502</v>
      </c>
      <c r="C548" s="4" t="s">
        <v>356</v>
      </c>
      <c r="D548" s="4" t="s">
        <v>1599</v>
      </c>
      <c r="E548" s="4" t="s">
        <v>1952</v>
      </c>
      <c r="F548" s="4">
        <v>3</v>
      </c>
      <c r="G548" s="4">
        <v>513.36</v>
      </c>
      <c r="H548" s="4">
        <v>7.0000000000000007E-2</v>
      </c>
      <c r="I548" s="4" t="s">
        <v>2004</v>
      </c>
      <c r="J548" s="10">
        <v>1432.2744</v>
      </c>
      <c r="K548" s="4" t="str">
        <f t="shared" si="56"/>
        <v>29-07-2024</v>
      </c>
      <c r="L548" s="4" t="str">
        <f>TEXT(Sales_Fact!$B548,"mmm")</f>
        <v>Jul</v>
      </c>
      <c r="M548" s="4">
        <f t="shared" si="57"/>
        <v>3</v>
      </c>
      <c r="N548" s="10">
        <f t="shared" si="58"/>
        <v>513.36</v>
      </c>
      <c r="O548" s="10">
        <f t="shared" si="59"/>
        <v>1432.2743999999998</v>
      </c>
      <c r="P548" s="10">
        <f t="shared" si="60"/>
        <v>1540.08</v>
      </c>
      <c r="Q548" s="3">
        <f t="shared" si="61"/>
        <v>7.000000000000009E-2</v>
      </c>
      <c r="R548" s="4" t="str">
        <f>IF(Sales_Fact!$O548&gt;1000,"High","Low")</f>
        <v>High</v>
      </c>
      <c r="S548" s="4" t="str">
        <f>VLOOKUP(C548,Customer_Dim!$A:$N,9,FALSE())</f>
        <v>Christy Vasquez</v>
      </c>
      <c r="T548" s="4" t="str">
        <f>VLOOKUP(D548,Product_Dim!$A:$M,3,FALSE())</f>
        <v>Clothing</v>
      </c>
      <c r="U548" s="11" t="str">
        <f>VLOOKUP(D548,Product_Dim!$A:$M,2,FALSE())</f>
        <v>Men's Leather Belt</v>
      </c>
      <c r="V548" s="11" t="str">
        <f>VLOOKUP(E548,Store_Dim!$A:$E,3,FALSE())</f>
        <v>North</v>
      </c>
      <c r="W548" s="11" t="str">
        <f>VLOOKUP(C548,Customer_Dim!$A:$N,13,FALSE())</f>
        <v>Gold</v>
      </c>
      <c r="X548" s="11" t="str">
        <f t="shared" si="62"/>
        <v>Low</v>
      </c>
    </row>
    <row r="549" spans="1:24" ht="15.75" customHeight="1">
      <c r="A549" s="4" t="s">
        <v>2545</v>
      </c>
      <c r="B549" s="9">
        <v>45739</v>
      </c>
      <c r="C549" s="4" t="s">
        <v>105</v>
      </c>
      <c r="D549" s="4" t="s">
        <v>1767</v>
      </c>
      <c r="E549" s="4" t="s">
        <v>1944</v>
      </c>
      <c r="F549" s="4">
        <v>1</v>
      </c>
      <c r="G549" s="4">
        <v>687.91</v>
      </c>
      <c r="H549" s="4">
        <v>0.25</v>
      </c>
      <c r="I549" s="4" t="s">
        <v>1996</v>
      </c>
      <c r="J549" s="10">
        <v>515.9325</v>
      </c>
      <c r="K549" s="4" t="str">
        <f t="shared" si="56"/>
        <v>23-03-2025</v>
      </c>
      <c r="L549" s="4" t="str">
        <f>TEXT(Sales_Fact!$B549,"mmm")</f>
        <v>Mar</v>
      </c>
      <c r="M549" s="4">
        <f t="shared" si="57"/>
        <v>1</v>
      </c>
      <c r="N549" s="10">
        <f t="shared" si="58"/>
        <v>687.91</v>
      </c>
      <c r="O549" s="10">
        <f t="shared" si="59"/>
        <v>515.9325</v>
      </c>
      <c r="P549" s="10">
        <f t="shared" si="60"/>
        <v>687.91</v>
      </c>
      <c r="Q549" s="3">
        <f t="shared" si="61"/>
        <v>0.24999999999999997</v>
      </c>
      <c r="R549" s="4" t="str">
        <f>IF(Sales_Fact!$O549&gt;1000,"High","Low")</f>
        <v>Low</v>
      </c>
      <c r="S549" s="4" t="str">
        <f>VLOOKUP(C549,Customer_Dim!$A:$N,9,FALSE())</f>
        <v>Michael Torres</v>
      </c>
      <c r="T549" s="4" t="str">
        <f>VLOOKUP(D549,Product_Dim!$A:$M,3,FALSE())</f>
        <v>Sports</v>
      </c>
      <c r="U549" s="11" t="str">
        <f>VLOOKUP(D549,Product_Dim!$A:$M,2,FALSE())</f>
        <v>Sports Stopwatch Pro</v>
      </c>
      <c r="V549" s="11" t="str">
        <f>VLOOKUP(E549,Store_Dim!$A:$E,3,FALSE())</f>
        <v>South</v>
      </c>
      <c r="W549" s="11" t="str">
        <f>VLOOKUP(C549,Customer_Dim!$A:$N,13,FALSE())</f>
        <v>Platinum</v>
      </c>
      <c r="X549" s="11" t="str">
        <f t="shared" si="62"/>
        <v>Low</v>
      </c>
    </row>
    <row r="550" spans="1:24" ht="15.75" customHeight="1">
      <c r="A550" s="4" t="s">
        <v>2546</v>
      </c>
      <c r="B550" s="9">
        <v>45849</v>
      </c>
      <c r="C550" s="4" t="s">
        <v>174</v>
      </c>
      <c r="D550" s="4" t="s">
        <v>1819</v>
      </c>
      <c r="E550" s="4" t="s">
        <v>1919</v>
      </c>
      <c r="F550" s="4">
        <v>3</v>
      </c>
      <c r="G550" s="4">
        <v>769.62</v>
      </c>
      <c r="H550" s="4">
        <v>0.09</v>
      </c>
      <c r="I550" s="4" t="s">
        <v>1998</v>
      </c>
      <c r="J550" s="10">
        <v>2101.0626000000002</v>
      </c>
      <c r="K550" s="4" t="str">
        <f t="shared" si="56"/>
        <v>11-07-2025</v>
      </c>
      <c r="L550" s="4" t="str">
        <f>TEXT(Sales_Fact!$B550,"mmm")</f>
        <v>Jul</v>
      </c>
      <c r="M550" s="4">
        <f t="shared" si="57"/>
        <v>3</v>
      </c>
      <c r="N550" s="10">
        <f t="shared" si="58"/>
        <v>769.62</v>
      </c>
      <c r="O550" s="10">
        <f t="shared" si="59"/>
        <v>2101.0626000000002</v>
      </c>
      <c r="P550" s="10">
        <f t="shared" si="60"/>
        <v>2308.86</v>
      </c>
      <c r="Q550" s="3">
        <f t="shared" si="61"/>
        <v>8.9999999999999969E-2</v>
      </c>
      <c r="R550" s="4" t="str">
        <f>IF(Sales_Fact!$O550&gt;1000,"High","Low")</f>
        <v>High</v>
      </c>
      <c r="S550" s="4" t="str">
        <f>VLOOKUP(C550,Customer_Dim!$A:$N,9,FALSE())</f>
        <v>Tonya Reynolds</v>
      </c>
      <c r="T550" s="4" t="str">
        <f>VLOOKUP(D550,Product_Dim!$A:$M,3,FALSE())</f>
        <v>Beauty</v>
      </c>
      <c r="U550" s="11" t="str">
        <f>VLOOKUP(D550,Product_Dim!$A:$M,2,FALSE())</f>
        <v>Hair Repair Oil Treatment</v>
      </c>
      <c r="V550" s="11" t="str">
        <f>VLOOKUP(E550,Store_Dim!$A:$E,3,FALSE())</f>
        <v>South</v>
      </c>
      <c r="W550" s="11" t="str">
        <f>VLOOKUP(C550,Customer_Dim!$A:$N,13,FALSE())</f>
        <v>Gold</v>
      </c>
      <c r="X550" s="11" t="str">
        <f t="shared" si="62"/>
        <v>Low</v>
      </c>
    </row>
    <row r="551" spans="1:24" ht="15.75" customHeight="1">
      <c r="A551" s="4" t="s">
        <v>2547</v>
      </c>
      <c r="B551" s="9">
        <v>45230</v>
      </c>
      <c r="C551" s="4" t="s">
        <v>739</v>
      </c>
      <c r="D551" s="4" t="s">
        <v>1595</v>
      </c>
      <c r="E551" s="4" t="s">
        <v>1924</v>
      </c>
      <c r="F551" s="4">
        <v>1</v>
      </c>
      <c r="G551" s="4">
        <v>492.05</v>
      </c>
      <c r="H551" s="4">
        <v>0.27</v>
      </c>
      <c r="I551" s="4" t="s">
        <v>1996</v>
      </c>
      <c r="J551" s="10">
        <v>359.19650000000001</v>
      </c>
      <c r="K551" s="4" t="str">
        <f t="shared" si="56"/>
        <v>31-10-2023</v>
      </c>
      <c r="L551" s="4" t="str">
        <f>TEXT(Sales_Fact!$B551,"mmm")</f>
        <v>Oct</v>
      </c>
      <c r="M551" s="4">
        <f t="shared" si="57"/>
        <v>1</v>
      </c>
      <c r="N551" s="10">
        <f t="shared" si="58"/>
        <v>492.05</v>
      </c>
      <c r="O551" s="10">
        <f t="shared" si="59"/>
        <v>359.19650000000001</v>
      </c>
      <c r="P551" s="10">
        <f t="shared" si="60"/>
        <v>492.05</v>
      </c>
      <c r="Q551" s="3">
        <f t="shared" si="61"/>
        <v>0.26999999999999996</v>
      </c>
      <c r="R551" s="4" t="str">
        <f>IF(Sales_Fact!$O551&gt;1000,"High","Low")</f>
        <v>Low</v>
      </c>
      <c r="S551" s="4" t="str">
        <f>VLOOKUP(C551,Customer_Dim!$A:$N,9,FALSE())</f>
        <v>George Davis</v>
      </c>
      <c r="T551" s="4" t="str">
        <f>VLOOKUP(D551,Product_Dim!$A:$M,3,FALSE())</f>
        <v>Clothing</v>
      </c>
      <c r="U551" s="11" t="str">
        <f>VLOOKUP(D551,Product_Dim!$A:$M,2,FALSE())</f>
        <v>Women's Yoga Pants</v>
      </c>
      <c r="V551" s="11" t="str">
        <f>VLOOKUP(E551,Store_Dim!$A:$E,3,FALSE())</f>
        <v>North</v>
      </c>
      <c r="W551" s="11" t="str">
        <f>VLOOKUP(C551,Customer_Dim!$A:$N,13,FALSE())</f>
        <v>Bronze</v>
      </c>
      <c r="X551" s="11" t="str">
        <f t="shared" si="62"/>
        <v>Low</v>
      </c>
    </row>
    <row r="552" spans="1:24" ht="15.75" customHeight="1">
      <c r="A552" s="4" t="s">
        <v>2548</v>
      </c>
      <c r="B552" s="9">
        <v>45292</v>
      </c>
      <c r="C552" s="4" t="s">
        <v>390</v>
      </c>
      <c r="D552" s="4" t="s">
        <v>1648</v>
      </c>
      <c r="E552" s="4" t="s">
        <v>1952</v>
      </c>
      <c r="F552" s="4">
        <v>2</v>
      </c>
      <c r="G552" s="4">
        <v>428.55</v>
      </c>
      <c r="H552" s="4">
        <v>0</v>
      </c>
      <c r="I552" s="4" t="s">
        <v>1998</v>
      </c>
      <c r="J552" s="10">
        <v>857.1</v>
      </c>
      <c r="K552" s="4" t="str">
        <f t="shared" si="56"/>
        <v>01-01-2024</v>
      </c>
      <c r="L552" s="4" t="str">
        <f>TEXT(Sales_Fact!$B552,"mmm")</f>
        <v>Jan</v>
      </c>
      <c r="M552" s="4">
        <f t="shared" si="57"/>
        <v>2</v>
      </c>
      <c r="N552" s="10">
        <f t="shared" si="58"/>
        <v>428.55</v>
      </c>
      <c r="O552" s="10">
        <f t="shared" si="59"/>
        <v>857.1</v>
      </c>
      <c r="P552" s="10">
        <f t="shared" si="60"/>
        <v>857.1</v>
      </c>
      <c r="Q552" s="3">
        <f t="shared" si="61"/>
        <v>0</v>
      </c>
      <c r="R552" s="4" t="str">
        <f>IF(Sales_Fact!$O552&gt;1000,"High","Low")</f>
        <v>Low</v>
      </c>
      <c r="S552" s="4" t="str">
        <f>VLOOKUP(C552,Customer_Dim!$A:$N,9,FALSE())</f>
        <v>Christopher Lester</v>
      </c>
      <c r="T552" s="4" t="str">
        <f>VLOOKUP(D552,Product_Dim!$A:$M,3,FALSE())</f>
        <v>Sports</v>
      </c>
      <c r="U552" s="11" t="str">
        <f>VLOOKUP(D552,Product_Dim!$A:$M,2,FALSE())</f>
        <v>Soccer Training Cone Set</v>
      </c>
      <c r="V552" s="11" t="str">
        <f>VLOOKUP(E552,Store_Dim!$A:$E,3,FALSE())</f>
        <v>North</v>
      </c>
      <c r="W552" s="11" t="str">
        <f>VLOOKUP(C552,Customer_Dim!$A:$N,13,FALSE())</f>
        <v>Silver</v>
      </c>
      <c r="X552" s="11" t="str">
        <f t="shared" si="62"/>
        <v>Low</v>
      </c>
    </row>
    <row r="553" spans="1:24" ht="15.75" customHeight="1">
      <c r="A553" s="4" t="s">
        <v>2549</v>
      </c>
      <c r="B553" s="9">
        <v>45251</v>
      </c>
      <c r="C553" s="4" t="s">
        <v>765</v>
      </c>
      <c r="D553" s="4" t="s">
        <v>1622</v>
      </c>
      <c r="E553" s="4" t="s">
        <v>1959</v>
      </c>
      <c r="F553" s="4">
        <v>4</v>
      </c>
      <c r="G553" s="4">
        <v>316.18</v>
      </c>
      <c r="H553" s="4">
        <v>0.12</v>
      </c>
      <c r="I553" s="4" t="s">
        <v>1996</v>
      </c>
      <c r="J553" s="10">
        <v>1112.9536000000001</v>
      </c>
      <c r="K553" s="4" t="str">
        <f t="shared" si="56"/>
        <v>21-11-2023</v>
      </c>
      <c r="L553" s="4" t="str">
        <f>TEXT(Sales_Fact!$B553,"mmm")</f>
        <v>Nov</v>
      </c>
      <c r="M553" s="4">
        <f t="shared" si="57"/>
        <v>4</v>
      </c>
      <c r="N553" s="10">
        <f t="shared" si="58"/>
        <v>316.18</v>
      </c>
      <c r="O553" s="10">
        <f t="shared" si="59"/>
        <v>1112.9536000000001</v>
      </c>
      <c r="P553" s="10">
        <f t="shared" si="60"/>
        <v>1264.72</v>
      </c>
      <c r="Q553" s="3">
        <f t="shared" si="61"/>
        <v>0.11999999999999998</v>
      </c>
      <c r="R553" s="4" t="str">
        <f>IF(Sales_Fact!$O553&gt;1000,"High","Low")</f>
        <v>High</v>
      </c>
      <c r="S553" s="4" t="str">
        <f>VLOOKUP(C553,Customer_Dim!$A:$N,9,FALSE())</f>
        <v>Tanner Thompson</v>
      </c>
      <c r="T553" s="4" t="str">
        <f>VLOOKUP(D553,Product_Dim!$A:$M,3,FALSE())</f>
        <v>Home</v>
      </c>
      <c r="U553" s="11" t="str">
        <f>VLOOKUP(D553,Product_Dim!$A:$M,2,FALSE())</f>
        <v>Ceramic Kitchen Bowl Set</v>
      </c>
      <c r="V553" s="11" t="str">
        <f>VLOOKUP(E553,Store_Dim!$A:$E,3,FALSE())</f>
        <v>North</v>
      </c>
      <c r="W553" s="11" t="str">
        <f>VLOOKUP(C553,Customer_Dim!$A:$N,13,FALSE())</f>
        <v>Bronze</v>
      </c>
      <c r="X553" s="11" t="str">
        <f t="shared" si="62"/>
        <v>High</v>
      </c>
    </row>
    <row r="554" spans="1:24" ht="15.75" customHeight="1">
      <c r="A554" s="4" t="s">
        <v>2550</v>
      </c>
      <c r="B554" s="9">
        <v>45555</v>
      </c>
      <c r="C554" s="4" t="s">
        <v>59</v>
      </c>
      <c r="D554" s="4" t="s">
        <v>1633</v>
      </c>
      <c r="E554" s="4" t="s">
        <v>1924</v>
      </c>
      <c r="F554" s="4">
        <v>3</v>
      </c>
      <c r="G554" s="4">
        <v>162.16999999999999</v>
      </c>
      <c r="H554" s="4">
        <v>0.15</v>
      </c>
      <c r="I554" s="4" t="s">
        <v>1998</v>
      </c>
      <c r="J554" s="10">
        <v>413.5335</v>
      </c>
      <c r="K554" s="4" t="str">
        <f t="shared" si="56"/>
        <v>20-09-2024</v>
      </c>
      <c r="L554" s="4" t="str">
        <f>TEXT(Sales_Fact!$B554,"mmm")</f>
        <v>Sep</v>
      </c>
      <c r="M554" s="4">
        <f t="shared" si="57"/>
        <v>3</v>
      </c>
      <c r="N554" s="10">
        <f t="shared" si="58"/>
        <v>162.16999999999999</v>
      </c>
      <c r="O554" s="10">
        <f t="shared" si="59"/>
        <v>413.5335</v>
      </c>
      <c r="P554" s="10">
        <f t="shared" si="60"/>
        <v>486.51</v>
      </c>
      <c r="Q554" s="3">
        <f t="shared" si="61"/>
        <v>0.14999999999999997</v>
      </c>
      <c r="R554" s="4" t="str">
        <f>IF(Sales_Fact!$O554&gt;1000,"High","Low")</f>
        <v>Low</v>
      </c>
      <c r="S554" s="4" t="str">
        <f>VLOOKUP(C554,Customer_Dim!$A:$N,9,FALSE())</f>
        <v>Daniel Boyd</v>
      </c>
      <c r="T554" s="4" t="str">
        <f>VLOOKUP(D554,Product_Dim!$A:$M,3,FALSE())</f>
        <v>Electronics</v>
      </c>
      <c r="U554" s="11" t="str">
        <f>VLOOKUP(D554,Product_Dim!$A:$M,2,FALSE())</f>
        <v>USB-C Fast Charger</v>
      </c>
      <c r="V554" s="11" t="str">
        <f>VLOOKUP(E554,Store_Dim!$A:$E,3,FALSE())</f>
        <v>North</v>
      </c>
      <c r="W554" s="11" t="str">
        <f>VLOOKUP(C554,Customer_Dim!$A:$N,13,FALSE())</f>
        <v>Bronze</v>
      </c>
      <c r="X554" s="11" t="str">
        <f t="shared" si="62"/>
        <v>Low</v>
      </c>
    </row>
    <row r="555" spans="1:24" ht="15.75" customHeight="1">
      <c r="A555" s="4" t="s">
        <v>2551</v>
      </c>
      <c r="B555" s="9">
        <v>45385</v>
      </c>
      <c r="C555" s="4" t="s">
        <v>1069</v>
      </c>
      <c r="D555" s="4" t="s">
        <v>1595</v>
      </c>
      <c r="E555" s="4" t="s">
        <v>1924</v>
      </c>
      <c r="F555" s="4">
        <v>3</v>
      </c>
      <c r="G555" s="4">
        <v>698.14</v>
      </c>
      <c r="H555" s="4">
        <v>0.04</v>
      </c>
      <c r="I555" s="4" t="s">
        <v>1998</v>
      </c>
      <c r="J555" s="10">
        <v>2010.6432</v>
      </c>
      <c r="K555" s="4" t="str">
        <f t="shared" si="56"/>
        <v>03-04-2024</v>
      </c>
      <c r="L555" s="4" t="str">
        <f>TEXT(Sales_Fact!$B555,"mmm")</f>
        <v>Apr</v>
      </c>
      <c r="M555" s="4">
        <f t="shared" si="57"/>
        <v>3</v>
      </c>
      <c r="N555" s="10">
        <f t="shared" si="58"/>
        <v>698.14</v>
      </c>
      <c r="O555" s="10">
        <f t="shared" si="59"/>
        <v>2010.6432</v>
      </c>
      <c r="P555" s="10">
        <f t="shared" si="60"/>
        <v>2094.42</v>
      </c>
      <c r="Q555" s="3">
        <f t="shared" si="61"/>
        <v>4.0000000000000042E-2</v>
      </c>
      <c r="R555" s="4" t="str">
        <f>IF(Sales_Fact!$O555&gt;1000,"High","Low")</f>
        <v>High</v>
      </c>
      <c r="S555" s="4" t="str">
        <f>VLOOKUP(C555,Customer_Dim!$A:$N,9,FALSE())</f>
        <v>Maria Phillips</v>
      </c>
      <c r="T555" s="4" t="str">
        <f>VLOOKUP(D555,Product_Dim!$A:$M,3,FALSE())</f>
        <v>Clothing</v>
      </c>
      <c r="U555" s="11" t="str">
        <f>VLOOKUP(D555,Product_Dim!$A:$M,2,FALSE())</f>
        <v>Women's Yoga Pants</v>
      </c>
      <c r="V555" s="11" t="str">
        <f>VLOOKUP(E555,Store_Dim!$A:$E,3,FALSE())</f>
        <v>North</v>
      </c>
      <c r="W555" s="11" t="str">
        <f>VLOOKUP(C555,Customer_Dim!$A:$N,13,FALSE())</f>
        <v>Bronze</v>
      </c>
      <c r="X555" s="11" t="str">
        <f t="shared" si="62"/>
        <v>Low</v>
      </c>
    </row>
    <row r="556" spans="1:24" ht="15.75" customHeight="1">
      <c r="A556" s="4" t="s">
        <v>2552</v>
      </c>
      <c r="B556" s="9">
        <v>45787</v>
      </c>
      <c r="C556" s="4" t="s">
        <v>1006</v>
      </c>
      <c r="D556" s="4" t="s">
        <v>1828</v>
      </c>
      <c r="E556" s="4" t="s">
        <v>1968</v>
      </c>
      <c r="F556" s="4">
        <v>1</v>
      </c>
      <c r="G556" s="4">
        <v>478.08</v>
      </c>
      <c r="H556" s="4">
        <v>7.0000000000000007E-2</v>
      </c>
      <c r="I556" s="4" t="s">
        <v>2004</v>
      </c>
      <c r="J556" s="10">
        <v>444.61439999999999</v>
      </c>
      <c r="K556" s="4" t="str">
        <f t="shared" si="56"/>
        <v>10-05-2025</v>
      </c>
      <c r="L556" s="4" t="str">
        <f>TEXT(Sales_Fact!$B556,"mmm")</f>
        <v>May</v>
      </c>
      <c r="M556" s="4">
        <f t="shared" si="57"/>
        <v>1</v>
      </c>
      <c r="N556" s="10">
        <f t="shared" si="58"/>
        <v>478.08</v>
      </c>
      <c r="O556" s="10">
        <f t="shared" si="59"/>
        <v>444.61439999999993</v>
      </c>
      <c r="P556" s="10">
        <f t="shared" si="60"/>
        <v>478.08</v>
      </c>
      <c r="Q556" s="3">
        <f t="shared" si="61"/>
        <v>7.0000000000000104E-2</v>
      </c>
      <c r="R556" s="4" t="str">
        <f>IF(Sales_Fact!$O556&gt;1000,"High","Low")</f>
        <v>Low</v>
      </c>
      <c r="S556" s="4" t="str">
        <f>VLOOKUP(C556,Customer_Dim!$A:$N,9,FALSE())</f>
        <v>Kara Dodson</v>
      </c>
      <c r="T556" s="4" t="str">
        <f>VLOOKUP(D556,Product_Dim!$A:$M,3,FALSE())</f>
        <v>Electronics</v>
      </c>
      <c r="U556" s="11" t="str">
        <f>VLOOKUP(D556,Product_Dim!$A:$M,2,FALSE())</f>
        <v>Bluetooth Car Audio System</v>
      </c>
      <c r="V556" s="11" t="str">
        <f>VLOOKUP(E556,Store_Dim!$A:$E,3,FALSE())</f>
        <v>East</v>
      </c>
      <c r="W556" s="11" t="str">
        <f>VLOOKUP(C556,Customer_Dim!$A:$N,13,FALSE())</f>
        <v>Silver</v>
      </c>
      <c r="X556" s="11" t="str">
        <f t="shared" si="62"/>
        <v>Low</v>
      </c>
    </row>
    <row r="557" spans="1:24" ht="15.75" customHeight="1">
      <c r="A557" s="4" t="s">
        <v>2553</v>
      </c>
      <c r="B557" s="9">
        <v>45822</v>
      </c>
      <c r="C557" s="4" t="s">
        <v>703</v>
      </c>
      <c r="D557" s="4" t="s">
        <v>1782</v>
      </c>
      <c r="E557" s="4" t="s">
        <v>1937</v>
      </c>
      <c r="F557" s="4">
        <v>2</v>
      </c>
      <c r="G557" s="4">
        <v>958.64</v>
      </c>
      <c r="H557" s="4">
        <v>0.2</v>
      </c>
      <c r="I557" s="4" t="s">
        <v>1998</v>
      </c>
      <c r="J557" s="10">
        <v>1533.8240000000001</v>
      </c>
      <c r="K557" s="4" t="str">
        <f t="shared" si="56"/>
        <v>14-06-2025</v>
      </c>
      <c r="L557" s="4" t="str">
        <f>TEXT(Sales_Fact!$B557,"mmm")</f>
        <v>Jun</v>
      </c>
      <c r="M557" s="4">
        <f t="shared" si="57"/>
        <v>2</v>
      </c>
      <c r="N557" s="10">
        <f t="shared" si="58"/>
        <v>958.64</v>
      </c>
      <c r="O557" s="10">
        <f t="shared" si="59"/>
        <v>1533.8240000000001</v>
      </c>
      <c r="P557" s="10">
        <f t="shared" si="60"/>
        <v>1917.28</v>
      </c>
      <c r="Q557" s="3">
        <f t="shared" si="61"/>
        <v>0.19999999999999996</v>
      </c>
      <c r="R557" s="4" t="str">
        <f>IF(Sales_Fact!$O557&gt;1000,"High","Low")</f>
        <v>High</v>
      </c>
      <c r="S557" s="4" t="str">
        <f>VLOOKUP(C557,Customer_Dim!$A:$N,9,FALSE())</f>
        <v>John Perez</v>
      </c>
      <c r="T557" s="4" t="str">
        <f>VLOOKUP(D557,Product_Dim!$A:$M,3,FALSE())</f>
        <v>Beauty</v>
      </c>
      <c r="U557" s="11" t="str">
        <f>VLOOKUP(D557,Product_Dim!$A:$M,2,FALSE())</f>
        <v>Men's Hair Styling Gel</v>
      </c>
      <c r="V557" s="11" t="str">
        <f>VLOOKUP(E557,Store_Dim!$A:$E,3,FALSE())</f>
        <v>South</v>
      </c>
      <c r="W557" s="11" t="str">
        <f>VLOOKUP(C557,Customer_Dim!$A:$N,13,FALSE())</f>
        <v>Platinum</v>
      </c>
      <c r="X557" s="11" t="str">
        <f t="shared" si="62"/>
        <v>Low</v>
      </c>
    </row>
    <row r="558" spans="1:24" ht="15.75" customHeight="1">
      <c r="A558" s="4" t="s">
        <v>2554</v>
      </c>
      <c r="B558" s="9">
        <v>45590</v>
      </c>
      <c r="C558" s="4" t="s">
        <v>1460</v>
      </c>
      <c r="D558" s="4" t="s">
        <v>1726</v>
      </c>
      <c r="E558" s="4" t="s">
        <v>1952</v>
      </c>
      <c r="F558" s="4">
        <v>2</v>
      </c>
      <c r="G558" s="4">
        <v>581.19000000000005</v>
      </c>
      <c r="H558" s="4">
        <v>7.0000000000000007E-2</v>
      </c>
      <c r="I558" s="4" t="s">
        <v>2004</v>
      </c>
      <c r="J558" s="10">
        <v>1081.0134</v>
      </c>
      <c r="K558" s="4" t="str">
        <f t="shared" si="56"/>
        <v>25-10-2024</v>
      </c>
      <c r="L558" s="4" t="str">
        <f>TEXT(Sales_Fact!$B558,"mmm")</f>
        <v>Oct</v>
      </c>
      <c r="M558" s="4">
        <f t="shared" si="57"/>
        <v>2</v>
      </c>
      <c r="N558" s="10">
        <f t="shared" si="58"/>
        <v>581.19000000000005</v>
      </c>
      <c r="O558" s="10">
        <f t="shared" si="59"/>
        <v>1081.0134</v>
      </c>
      <c r="P558" s="10">
        <f t="shared" si="60"/>
        <v>1162.3800000000001</v>
      </c>
      <c r="Q558" s="3">
        <f t="shared" si="61"/>
        <v>7.0000000000000048E-2</v>
      </c>
      <c r="R558" s="4" t="str">
        <f>IF(Sales_Fact!$O558&gt;1000,"High","Low")</f>
        <v>High</v>
      </c>
      <c r="S558" s="4" t="str">
        <f>VLOOKUP(C558,Customer_Dim!$A:$N,9,FALSE())</f>
        <v>David Pierce</v>
      </c>
      <c r="T558" s="4" t="str">
        <f>VLOOKUP(D558,Product_Dim!$A:$M,3,FALSE())</f>
        <v>Sports</v>
      </c>
      <c r="U558" s="11" t="str">
        <f>VLOOKUP(D558,Product_Dim!$A:$M,2,FALSE())</f>
        <v>Yoga Exercise Mat</v>
      </c>
      <c r="V558" s="11" t="str">
        <f>VLOOKUP(E558,Store_Dim!$A:$E,3,FALSE())</f>
        <v>North</v>
      </c>
      <c r="W558" s="11" t="str">
        <f>VLOOKUP(C558,Customer_Dim!$A:$N,13,FALSE())</f>
        <v>Platinum</v>
      </c>
      <c r="X558" s="11" t="str">
        <f t="shared" si="62"/>
        <v>Low</v>
      </c>
    </row>
    <row r="559" spans="1:24" ht="15.75" customHeight="1">
      <c r="A559" s="4" t="s">
        <v>2555</v>
      </c>
      <c r="B559" s="9">
        <v>45636</v>
      </c>
      <c r="C559" s="4" t="s">
        <v>1378</v>
      </c>
      <c r="D559" s="4" t="s">
        <v>1709</v>
      </c>
      <c r="E559" s="4" t="s">
        <v>1944</v>
      </c>
      <c r="F559" s="4"/>
      <c r="G559" s="4">
        <v>871.34</v>
      </c>
      <c r="H559" s="4">
        <v>0.04</v>
      </c>
      <c r="I559" s="4" t="s">
        <v>2004</v>
      </c>
      <c r="J559" s="10">
        <v>2509.4591999999998</v>
      </c>
      <c r="K559" s="4" t="str">
        <f t="shared" si="56"/>
        <v>10-12-2024</v>
      </c>
      <c r="L559" s="4" t="str">
        <f>TEXT(Sales_Fact!$B559,"mmm")</f>
        <v>Dec</v>
      </c>
      <c r="M559" s="4">
        <f t="shared" si="57"/>
        <v>1</v>
      </c>
      <c r="N559" s="10">
        <f t="shared" si="58"/>
        <v>871.34</v>
      </c>
      <c r="O559" s="10">
        <f t="shared" si="59"/>
        <v>836.4864</v>
      </c>
      <c r="P559" s="10">
        <f t="shared" si="60"/>
        <v>871.34</v>
      </c>
      <c r="Q559" s="3">
        <f t="shared" si="61"/>
        <v>4.0000000000000029E-2</v>
      </c>
      <c r="R559" s="4" t="str">
        <f>IF(Sales_Fact!$O559&gt;1000,"High","Low")</f>
        <v>Low</v>
      </c>
      <c r="S559" s="4" t="str">
        <f>VLOOKUP(C559,Customer_Dim!$A:$N,9,FALSE())</f>
        <v>Lindsay Beasley</v>
      </c>
      <c r="T559" s="4" t="str">
        <f>VLOOKUP(D559,Product_Dim!$A:$M,3,FALSE())</f>
        <v>Clothing</v>
      </c>
      <c r="U559" s="11" t="str">
        <f>VLOOKUP(D559,Product_Dim!$A:$M,2,FALSE())</f>
        <v>Women's Summer Dress</v>
      </c>
      <c r="V559" s="11" t="str">
        <f>VLOOKUP(E559,Store_Dim!$A:$E,3,FALSE())</f>
        <v>South</v>
      </c>
      <c r="W559" s="11" t="str">
        <f>VLOOKUP(C559,Customer_Dim!$A:$N,13,FALSE())</f>
        <v>Silver</v>
      </c>
      <c r="X559" s="11" t="str">
        <f t="shared" si="62"/>
        <v>Low</v>
      </c>
    </row>
    <row r="560" spans="1:24" ht="15.75" customHeight="1">
      <c r="A560" s="4" t="s">
        <v>2556</v>
      </c>
      <c r="B560" s="9">
        <v>45433</v>
      </c>
      <c r="C560" s="4" t="s">
        <v>272</v>
      </c>
      <c r="D560" s="4" t="s">
        <v>1761</v>
      </c>
      <c r="E560" s="4" t="s">
        <v>1931</v>
      </c>
      <c r="F560" s="4">
        <v>4</v>
      </c>
      <c r="G560" s="4">
        <v>355.64</v>
      </c>
      <c r="H560" s="4">
        <v>0.16</v>
      </c>
      <c r="I560" s="4" t="s">
        <v>2004</v>
      </c>
      <c r="J560" s="10">
        <v>1194.9503999999999</v>
      </c>
      <c r="K560" s="4" t="str">
        <f t="shared" si="56"/>
        <v>21-05-2024</v>
      </c>
      <c r="L560" s="4" t="str">
        <f>TEXT(Sales_Fact!$B560,"mmm")</f>
        <v>May</v>
      </c>
      <c r="M560" s="4">
        <f t="shared" si="57"/>
        <v>4</v>
      </c>
      <c r="N560" s="10">
        <f t="shared" si="58"/>
        <v>355.64</v>
      </c>
      <c r="O560" s="10">
        <f t="shared" si="59"/>
        <v>1194.9503999999999</v>
      </c>
      <c r="P560" s="10">
        <f t="shared" si="60"/>
        <v>1422.56</v>
      </c>
      <c r="Q560" s="3">
        <f t="shared" si="61"/>
        <v>0.16</v>
      </c>
      <c r="R560" s="4" t="str">
        <f>IF(Sales_Fact!$O560&gt;1000,"High","Low")</f>
        <v>High</v>
      </c>
      <c r="S560" s="4" t="str">
        <f>VLOOKUP(C560,Customer_Dim!$A:$N,9,FALSE())</f>
        <v>Mr. Mark Beasley</v>
      </c>
      <c r="T560" s="4" t="str">
        <f>VLOOKUP(D560,Product_Dim!$A:$M,3,FALSE())</f>
        <v>Sports</v>
      </c>
      <c r="U560" s="11" t="str">
        <f>VLOOKUP(D560,Product_Dim!$A:$M,2,FALSE())</f>
        <v>Rugby Ball</v>
      </c>
      <c r="V560" s="11" t="str">
        <f>VLOOKUP(E560,Store_Dim!$A:$E,3,FALSE())</f>
        <v>North</v>
      </c>
      <c r="W560" s="11" t="str">
        <f>VLOOKUP(C560,Customer_Dim!$A:$N,13,FALSE())</f>
        <v>Silver</v>
      </c>
      <c r="X560" s="11" t="str">
        <f t="shared" si="62"/>
        <v>High</v>
      </c>
    </row>
    <row r="561" spans="1:24" ht="15.75" customHeight="1">
      <c r="A561" s="4" t="s">
        <v>2557</v>
      </c>
      <c r="B561" s="9">
        <v>45618</v>
      </c>
      <c r="C561" s="4" t="s">
        <v>414</v>
      </c>
      <c r="D561" s="4" t="s">
        <v>1903</v>
      </c>
      <c r="E561" s="4" t="s">
        <v>1950</v>
      </c>
      <c r="F561" s="4">
        <v>1</v>
      </c>
      <c r="G561" s="4">
        <v>736.54</v>
      </c>
      <c r="H561" s="4">
        <v>0.16</v>
      </c>
      <c r="I561" s="4" t="s">
        <v>1998</v>
      </c>
      <c r="J561" s="10">
        <v>618.69359999999995</v>
      </c>
      <c r="K561" s="4" t="str">
        <f t="shared" si="56"/>
        <v>22-11-2024</v>
      </c>
      <c r="L561" s="4" t="str">
        <f>TEXT(Sales_Fact!$B561,"mmm")</f>
        <v>Nov</v>
      </c>
      <c r="M561" s="4">
        <f t="shared" si="57"/>
        <v>1</v>
      </c>
      <c r="N561" s="10">
        <f t="shared" si="58"/>
        <v>736.54</v>
      </c>
      <c r="O561" s="10">
        <f t="shared" si="59"/>
        <v>618.69359999999995</v>
      </c>
      <c r="P561" s="10">
        <f t="shared" si="60"/>
        <v>736.54</v>
      </c>
      <c r="Q561" s="3">
        <f t="shared" si="61"/>
        <v>0.16000000000000003</v>
      </c>
      <c r="R561" s="4" t="str">
        <f>IF(Sales_Fact!$O561&gt;1000,"High","Low")</f>
        <v>Low</v>
      </c>
      <c r="S561" s="4" t="str">
        <f>VLOOKUP(C561,Customer_Dim!$A:$N,9,FALSE())</f>
        <v>David Cole</v>
      </c>
      <c r="T561" s="4" t="str">
        <f>VLOOKUP(D561,Product_Dim!$A:$M,3,FALSE())</f>
        <v>Home</v>
      </c>
      <c r="U561" s="11" t="str">
        <f>VLOOKUP(D561,Product_Dim!$A:$M,2,FALSE())</f>
        <v>Stainless Steel Cookware Set</v>
      </c>
      <c r="V561" s="11" t="str">
        <f>VLOOKUP(E561,Store_Dim!$A:$E,3,FALSE())</f>
        <v>South</v>
      </c>
      <c r="W561" s="11" t="str">
        <f>VLOOKUP(C561,Customer_Dim!$A:$N,13,FALSE())</f>
        <v>Silver</v>
      </c>
      <c r="X561" s="11" t="str">
        <f t="shared" si="62"/>
        <v>Low</v>
      </c>
    </row>
    <row r="562" spans="1:24" ht="15.75" customHeight="1">
      <c r="A562" s="4" t="s">
        <v>2558</v>
      </c>
      <c r="B562" s="9">
        <v>45586</v>
      </c>
      <c r="C562" s="4" t="s">
        <v>1278</v>
      </c>
      <c r="D562" s="4" t="s">
        <v>1800</v>
      </c>
      <c r="E562" s="4" t="s">
        <v>1959</v>
      </c>
      <c r="F562" s="4">
        <v>1</v>
      </c>
      <c r="G562" s="4">
        <v>524</v>
      </c>
      <c r="H562" s="4">
        <v>0.28000000000000003</v>
      </c>
      <c r="I562" s="4" t="s">
        <v>1996</v>
      </c>
      <c r="J562" s="10">
        <v>377.28</v>
      </c>
      <c r="K562" s="4" t="str">
        <f t="shared" si="56"/>
        <v>21-10-2024</v>
      </c>
      <c r="L562" s="4" t="str">
        <f>TEXT(Sales_Fact!$B562,"mmm")</f>
        <v>Oct</v>
      </c>
      <c r="M562" s="4">
        <f t="shared" si="57"/>
        <v>1</v>
      </c>
      <c r="N562" s="10">
        <f t="shared" si="58"/>
        <v>524</v>
      </c>
      <c r="O562" s="10">
        <f t="shared" si="59"/>
        <v>377.28</v>
      </c>
      <c r="P562" s="10">
        <f t="shared" si="60"/>
        <v>524</v>
      </c>
      <c r="Q562" s="3">
        <f t="shared" si="61"/>
        <v>0.28000000000000003</v>
      </c>
      <c r="R562" s="4" t="str">
        <f>IF(Sales_Fact!$O562&gt;1000,"High","Low")</f>
        <v>Low</v>
      </c>
      <c r="S562" s="4" t="str">
        <f>VLOOKUP(C562,Customer_Dim!$A:$N,9,FALSE())</f>
        <v>Terry Moses</v>
      </c>
      <c r="T562" s="4" t="str">
        <f>VLOOKUP(D562,Product_Dim!$A:$M,3,FALSE())</f>
        <v>Sports</v>
      </c>
      <c r="U562" s="11" t="str">
        <f>VLOOKUP(D562,Product_Dim!$A:$M,2,FALSE())</f>
        <v>Adjustable Dumbbells 20kg</v>
      </c>
      <c r="V562" s="11" t="str">
        <f>VLOOKUP(E562,Store_Dim!$A:$E,3,FALSE())</f>
        <v>North</v>
      </c>
      <c r="W562" s="11" t="str">
        <f>VLOOKUP(C562,Customer_Dim!$A:$N,13,FALSE())</f>
        <v>Platinum</v>
      </c>
      <c r="X562" s="11" t="str">
        <f t="shared" si="62"/>
        <v>Low</v>
      </c>
    </row>
    <row r="563" spans="1:24" ht="15.75" customHeight="1">
      <c r="A563" s="4" t="s">
        <v>2559</v>
      </c>
      <c r="B563" s="9">
        <v>45548</v>
      </c>
      <c r="C563" s="4" t="s">
        <v>199</v>
      </c>
      <c r="D563" s="4" t="s">
        <v>1684</v>
      </c>
      <c r="E563" s="4" t="s">
        <v>1924</v>
      </c>
      <c r="F563" s="4">
        <v>4</v>
      </c>
      <c r="G563" s="4">
        <v>566.09</v>
      </c>
      <c r="H563" s="4">
        <v>0.28000000000000003</v>
      </c>
      <c r="I563" s="4" t="s">
        <v>2004</v>
      </c>
      <c r="J563" s="10">
        <v>1630.3391999999999</v>
      </c>
      <c r="K563" s="4" t="str">
        <f t="shared" si="56"/>
        <v>13-09-2024</v>
      </c>
      <c r="L563" s="4" t="str">
        <f>TEXT(Sales_Fact!$B563,"mmm")</f>
        <v>Sep</v>
      </c>
      <c r="M563" s="4">
        <f t="shared" si="57"/>
        <v>4</v>
      </c>
      <c r="N563" s="10">
        <f t="shared" si="58"/>
        <v>566.09</v>
      </c>
      <c r="O563" s="10">
        <f t="shared" si="59"/>
        <v>1630.3392000000001</v>
      </c>
      <c r="P563" s="10">
        <f t="shared" si="60"/>
        <v>2264.36</v>
      </c>
      <c r="Q563" s="3">
        <f t="shared" si="61"/>
        <v>0.27999999999999997</v>
      </c>
      <c r="R563" s="4" t="str">
        <f>IF(Sales_Fact!$O563&gt;1000,"High","Low")</f>
        <v>High</v>
      </c>
      <c r="S563" s="4" t="str">
        <f>VLOOKUP(C563,Customer_Dim!$A:$N,9,FALSE())</f>
        <v>Michelle Garcia Dds</v>
      </c>
      <c r="T563" s="4" t="str">
        <f>VLOOKUP(D563,Product_Dim!$A:$M,3,FALSE())</f>
        <v>Sports</v>
      </c>
      <c r="U563" s="11" t="str">
        <f>VLOOKUP(D563,Product_Dim!$A:$M,2,FALSE())</f>
        <v>Sports Stopwatch Timer</v>
      </c>
      <c r="V563" s="11" t="str">
        <f>VLOOKUP(E563,Store_Dim!$A:$E,3,FALSE())</f>
        <v>North</v>
      </c>
      <c r="W563" s="11" t="str">
        <f>VLOOKUP(C563,Customer_Dim!$A:$N,13,FALSE())</f>
        <v>Platinum</v>
      </c>
      <c r="X563" s="11" t="str">
        <f t="shared" si="62"/>
        <v>High</v>
      </c>
    </row>
    <row r="564" spans="1:24" ht="15.75" customHeight="1">
      <c r="A564" s="4" t="s">
        <v>2560</v>
      </c>
      <c r="B564" s="9">
        <v>45772</v>
      </c>
      <c r="C564" s="4" t="s">
        <v>855</v>
      </c>
      <c r="D564" s="4" t="s">
        <v>1661</v>
      </c>
      <c r="E564" s="4" t="s">
        <v>1947</v>
      </c>
      <c r="F564" s="4">
        <v>1</v>
      </c>
      <c r="G564" s="4">
        <v>251.99</v>
      </c>
      <c r="H564" s="4">
        <v>0.09</v>
      </c>
      <c r="I564" s="4" t="s">
        <v>1996</v>
      </c>
      <c r="J564" s="10">
        <v>229.3109</v>
      </c>
      <c r="K564" s="4" t="str">
        <f t="shared" si="56"/>
        <v>25-04-2025</v>
      </c>
      <c r="L564" s="4" t="str">
        <f>TEXT(Sales_Fact!$B564,"mmm")</f>
        <v>Apr</v>
      </c>
      <c r="M564" s="4">
        <f t="shared" si="57"/>
        <v>1</v>
      </c>
      <c r="N564" s="10">
        <f t="shared" si="58"/>
        <v>251.99</v>
      </c>
      <c r="O564" s="10">
        <f t="shared" si="59"/>
        <v>229.3109</v>
      </c>
      <c r="P564" s="10">
        <f t="shared" si="60"/>
        <v>251.99</v>
      </c>
      <c r="Q564" s="3">
        <f t="shared" si="61"/>
        <v>9.0000000000000024E-2</v>
      </c>
      <c r="R564" s="4" t="str">
        <f>IF(Sales_Fact!$O564&gt;1000,"High","Low")</f>
        <v>Low</v>
      </c>
      <c r="S564" s="4" t="str">
        <f>VLOOKUP(C564,Customer_Dim!$A:$N,9,FALSE())</f>
        <v>Beth Allen</v>
      </c>
      <c r="T564" s="4" t="str">
        <f>VLOOKUP(D564,Product_Dim!$A:$M,3,FALSE())</f>
        <v>Home</v>
      </c>
      <c r="U564" s="11" t="str">
        <f>VLOOKUP(D564,Product_Dim!$A:$M,2,FALSE())</f>
        <v>Multi-Purpose Storage Box</v>
      </c>
      <c r="V564" s="11" t="str">
        <f>VLOOKUP(E564,Store_Dim!$A:$E,3,FALSE())</f>
        <v>East</v>
      </c>
      <c r="W564" s="11" t="str">
        <f>VLOOKUP(C564,Customer_Dim!$A:$N,13,FALSE())</f>
        <v>Silver</v>
      </c>
      <c r="X564" s="11" t="str">
        <f t="shared" si="62"/>
        <v>Low</v>
      </c>
    </row>
    <row r="565" spans="1:24" ht="15.75" customHeight="1">
      <c r="A565" s="4" t="s">
        <v>2561</v>
      </c>
      <c r="B565" s="9">
        <v>45361</v>
      </c>
      <c r="C565" s="4" t="s">
        <v>743</v>
      </c>
      <c r="D565" s="4" t="s">
        <v>1648</v>
      </c>
      <c r="E565" s="4" t="s">
        <v>1971</v>
      </c>
      <c r="F565" s="4">
        <v>1</v>
      </c>
      <c r="G565" s="4">
        <v>259.2</v>
      </c>
      <c r="H565" s="4">
        <v>0.27</v>
      </c>
      <c r="I565" s="4" t="s">
        <v>2004</v>
      </c>
      <c r="J565" s="10">
        <v>189.21600000000001</v>
      </c>
      <c r="K565" s="4" t="str">
        <f t="shared" si="56"/>
        <v>10-03-2024</v>
      </c>
      <c r="L565" s="4" t="str">
        <f>TEXT(Sales_Fact!$B565,"mmm")</f>
        <v>Mar</v>
      </c>
      <c r="M565" s="4">
        <f t="shared" si="57"/>
        <v>1</v>
      </c>
      <c r="N565" s="10">
        <f t="shared" si="58"/>
        <v>259.2</v>
      </c>
      <c r="O565" s="10">
        <f t="shared" si="59"/>
        <v>189.21599999999998</v>
      </c>
      <c r="P565" s="10">
        <f t="shared" si="60"/>
        <v>259.2</v>
      </c>
      <c r="Q565" s="3">
        <f t="shared" si="61"/>
        <v>0.27000000000000007</v>
      </c>
      <c r="R565" s="4" t="str">
        <f>IF(Sales_Fact!$O565&gt;1000,"High","Low")</f>
        <v>Low</v>
      </c>
      <c r="S565" s="4" t="str">
        <f>VLOOKUP(C565,Customer_Dim!$A:$N,9,FALSE())</f>
        <v>Lisa Young</v>
      </c>
      <c r="T565" s="4" t="str">
        <f>VLOOKUP(D565,Product_Dim!$A:$M,3,FALSE())</f>
        <v>Sports</v>
      </c>
      <c r="U565" s="11" t="str">
        <f>VLOOKUP(D565,Product_Dim!$A:$M,2,FALSE())</f>
        <v>Soccer Training Cone Set</v>
      </c>
      <c r="V565" s="11" t="str">
        <f>VLOOKUP(E565,Store_Dim!$A:$E,3,FALSE())</f>
        <v>East</v>
      </c>
      <c r="W565" s="11" t="str">
        <f>VLOOKUP(C565,Customer_Dim!$A:$N,13,FALSE())</f>
        <v>Platinum</v>
      </c>
      <c r="X565" s="11" t="str">
        <f t="shared" si="62"/>
        <v>Low</v>
      </c>
    </row>
    <row r="566" spans="1:24" ht="15.75" customHeight="1">
      <c r="A566" s="4" t="s">
        <v>2562</v>
      </c>
      <c r="B566" s="9">
        <v>45235</v>
      </c>
      <c r="C566" s="4" t="s">
        <v>1409</v>
      </c>
      <c r="D566" s="4" t="s">
        <v>1782</v>
      </c>
      <c r="E566" s="4" t="s">
        <v>1959</v>
      </c>
      <c r="F566" s="4">
        <v>1</v>
      </c>
      <c r="G566" s="4">
        <v>935.66</v>
      </c>
      <c r="H566" s="4">
        <v>0.26</v>
      </c>
      <c r="I566" s="4" t="s">
        <v>1998</v>
      </c>
      <c r="J566" s="10">
        <v>692.38840000000005</v>
      </c>
      <c r="K566" s="4" t="str">
        <f t="shared" si="56"/>
        <v>05-11-2023</v>
      </c>
      <c r="L566" s="4" t="str">
        <f>TEXT(Sales_Fact!$B566,"mmm")</f>
        <v>Nov</v>
      </c>
      <c r="M566" s="4">
        <f t="shared" si="57"/>
        <v>1</v>
      </c>
      <c r="N566" s="10">
        <f t="shared" si="58"/>
        <v>935.66</v>
      </c>
      <c r="O566" s="10">
        <f t="shared" si="59"/>
        <v>692.38839999999993</v>
      </c>
      <c r="P566" s="10">
        <f t="shared" si="60"/>
        <v>935.66</v>
      </c>
      <c r="Q566" s="3">
        <f t="shared" si="61"/>
        <v>0.26000000000000006</v>
      </c>
      <c r="R566" s="4" t="str">
        <f>IF(Sales_Fact!$O566&gt;1000,"High","Low")</f>
        <v>Low</v>
      </c>
      <c r="S566" s="4" t="str">
        <f>VLOOKUP(C566,Customer_Dim!$A:$N,9,FALSE())</f>
        <v>Shannon Turner</v>
      </c>
      <c r="T566" s="4" t="str">
        <f>VLOOKUP(D566,Product_Dim!$A:$M,3,FALSE())</f>
        <v>Beauty</v>
      </c>
      <c r="U566" s="11" t="str">
        <f>VLOOKUP(D566,Product_Dim!$A:$M,2,FALSE())</f>
        <v>Men's Hair Styling Gel</v>
      </c>
      <c r="V566" s="11" t="str">
        <f>VLOOKUP(E566,Store_Dim!$A:$E,3,FALSE())</f>
        <v>North</v>
      </c>
      <c r="W566" s="11" t="str">
        <f>VLOOKUP(C566,Customer_Dim!$A:$N,13,FALSE())</f>
        <v>Silver</v>
      </c>
      <c r="X566" s="11" t="str">
        <f t="shared" si="62"/>
        <v>Low</v>
      </c>
    </row>
    <row r="567" spans="1:24" ht="15.75" customHeight="1">
      <c r="A567" s="4" t="s">
        <v>2563</v>
      </c>
      <c r="B567" s="9">
        <v>45864</v>
      </c>
      <c r="C567" s="4" t="s">
        <v>1475</v>
      </c>
      <c r="D567" s="4" t="s">
        <v>1706</v>
      </c>
      <c r="E567" s="4" t="s">
        <v>1940</v>
      </c>
      <c r="F567" s="4">
        <v>4</v>
      </c>
      <c r="G567" s="4">
        <v>480.75</v>
      </c>
      <c r="H567" s="4">
        <v>0.02</v>
      </c>
      <c r="I567" s="4" t="s">
        <v>1996</v>
      </c>
      <c r="J567" s="10">
        <v>1884.54</v>
      </c>
      <c r="K567" s="4" t="str">
        <f t="shared" si="56"/>
        <v>26-07-2025</v>
      </c>
      <c r="L567" s="4" t="str">
        <f>TEXT(Sales_Fact!$B567,"mmm")</f>
        <v>Jul</v>
      </c>
      <c r="M567" s="4">
        <f t="shared" si="57"/>
        <v>4</v>
      </c>
      <c r="N567" s="10">
        <f t="shared" si="58"/>
        <v>480.75</v>
      </c>
      <c r="O567" s="10">
        <f t="shared" si="59"/>
        <v>1884.54</v>
      </c>
      <c r="P567" s="10">
        <f t="shared" si="60"/>
        <v>1923</v>
      </c>
      <c r="Q567" s="3">
        <f t="shared" si="61"/>
        <v>2.0000000000000018E-2</v>
      </c>
      <c r="R567" s="4" t="str">
        <f>IF(Sales_Fact!$O567&gt;1000,"High","Low")</f>
        <v>High</v>
      </c>
      <c r="S567" s="4" t="str">
        <f>VLOOKUP(C567,Customer_Dim!$A:$N,9,FALSE())</f>
        <v>James Foster</v>
      </c>
      <c r="T567" s="4" t="str">
        <f>VLOOKUP(D567,Product_Dim!$A:$M,3,FALSE())</f>
        <v>Home</v>
      </c>
      <c r="U567" s="11" t="str">
        <f>VLOOKUP(D567,Product_Dim!$A:$M,2,FALSE())</f>
        <v>Bedroom Table Lamp</v>
      </c>
      <c r="V567" s="11" t="str">
        <f>VLOOKUP(E567,Store_Dim!$A:$E,3,FALSE())</f>
        <v>West</v>
      </c>
      <c r="W567" s="11" t="str">
        <f>VLOOKUP(C567,Customer_Dim!$A:$N,13,FALSE())</f>
        <v>Gold</v>
      </c>
      <c r="X567" s="11" t="str">
        <f t="shared" si="62"/>
        <v>High</v>
      </c>
    </row>
    <row r="568" spans="1:24" ht="15.75" customHeight="1">
      <c r="A568" s="4" t="s">
        <v>2564</v>
      </c>
      <c r="B568" s="9">
        <v>45681</v>
      </c>
      <c r="C568" s="4" t="s">
        <v>1183</v>
      </c>
      <c r="D568" s="4" t="s">
        <v>1849</v>
      </c>
      <c r="E568" s="4" t="s">
        <v>1959</v>
      </c>
      <c r="F568" s="4">
        <v>2</v>
      </c>
      <c r="G568" s="4">
        <v>457.83</v>
      </c>
      <c r="H568" s="4">
        <v>0.01</v>
      </c>
      <c r="I568" s="4" t="s">
        <v>2004</v>
      </c>
      <c r="J568" s="10">
        <v>906.50340000000006</v>
      </c>
      <c r="K568" s="4" t="str">
        <f t="shared" si="56"/>
        <v>24-01-2025</v>
      </c>
      <c r="L568" s="4" t="str">
        <f>TEXT(Sales_Fact!$B568,"mmm")</f>
        <v>Jan</v>
      </c>
      <c r="M568" s="4">
        <f t="shared" si="57"/>
        <v>2</v>
      </c>
      <c r="N568" s="10">
        <f t="shared" si="58"/>
        <v>457.83</v>
      </c>
      <c r="O568" s="10">
        <f t="shared" si="59"/>
        <v>906.50339999999994</v>
      </c>
      <c r="P568" s="10">
        <f t="shared" si="60"/>
        <v>915.66</v>
      </c>
      <c r="Q568" s="3">
        <f t="shared" si="61"/>
        <v>1.0000000000000028E-2</v>
      </c>
      <c r="R568" s="4" t="str">
        <f>IF(Sales_Fact!$O568&gt;1000,"High","Low")</f>
        <v>Low</v>
      </c>
      <c r="S568" s="4" t="str">
        <f>VLOOKUP(C568,Customer_Dim!$A:$N,9,FALSE())</f>
        <v>Gregory Allen</v>
      </c>
      <c r="T568" s="4" t="str">
        <f>VLOOKUP(D568,Product_Dim!$A:$M,3,FALSE())</f>
        <v>Sports</v>
      </c>
      <c r="U568" s="11" t="str">
        <f>VLOOKUP(D568,Product_Dim!$A:$M,2,FALSE())</f>
        <v>Badminton Racket Set</v>
      </c>
      <c r="V568" s="11" t="str">
        <f>VLOOKUP(E568,Store_Dim!$A:$E,3,FALSE())</f>
        <v>North</v>
      </c>
      <c r="W568" s="11" t="str">
        <f>VLOOKUP(C568,Customer_Dim!$A:$N,13,FALSE())</f>
        <v>Platinum</v>
      </c>
      <c r="X568" s="11" t="str">
        <f t="shared" si="62"/>
        <v>Low</v>
      </c>
    </row>
    <row r="569" spans="1:24" ht="15.75" customHeight="1">
      <c r="A569" s="4" t="s">
        <v>2565</v>
      </c>
      <c r="B569" s="9">
        <v>45905</v>
      </c>
      <c r="C569" s="4" t="s">
        <v>571</v>
      </c>
      <c r="D569" s="4" t="s">
        <v>1748</v>
      </c>
      <c r="E569" s="4" t="s">
        <v>1957</v>
      </c>
      <c r="F569" s="4">
        <v>1</v>
      </c>
      <c r="G569" s="4">
        <v>994.63</v>
      </c>
      <c r="H569" s="4">
        <v>0.28000000000000003</v>
      </c>
      <c r="I569" s="4" t="s">
        <v>1996</v>
      </c>
      <c r="J569" s="10">
        <v>716.1336</v>
      </c>
      <c r="K569" s="4" t="str">
        <f t="shared" si="56"/>
        <v>05-09-2025</v>
      </c>
      <c r="L569" s="4" t="str">
        <f>TEXT(Sales_Fact!$B569,"mmm")</f>
        <v>Sep</v>
      </c>
      <c r="M569" s="4">
        <f t="shared" si="57"/>
        <v>1</v>
      </c>
      <c r="N569" s="10">
        <f t="shared" si="58"/>
        <v>994.63</v>
      </c>
      <c r="O569" s="10">
        <f t="shared" si="59"/>
        <v>716.1336</v>
      </c>
      <c r="P569" s="10">
        <f t="shared" si="60"/>
        <v>994.63</v>
      </c>
      <c r="Q569" s="3">
        <f t="shared" si="61"/>
        <v>0.27999999999999997</v>
      </c>
      <c r="R569" s="4" t="str">
        <f>IF(Sales_Fact!$O569&gt;1000,"High","Low")</f>
        <v>Low</v>
      </c>
      <c r="S569" s="4" t="str">
        <f>VLOOKUP(C569,Customer_Dim!$A:$N,9,FALSE())</f>
        <v>Daniel Rivas</v>
      </c>
      <c r="T569" s="4" t="str">
        <f>VLOOKUP(D569,Product_Dim!$A:$M,3,FALSE())</f>
        <v>Electronics</v>
      </c>
      <c r="U569" s="11" t="str">
        <f>VLOOKUP(D569,Product_Dim!$A:$M,2,FALSE())</f>
        <v>Car Dashboard Phone Holder</v>
      </c>
      <c r="V569" s="11" t="str">
        <f>VLOOKUP(E569,Store_Dim!$A:$E,3,FALSE())</f>
        <v>South</v>
      </c>
      <c r="W569" s="11" t="str">
        <f>VLOOKUP(C569,Customer_Dim!$A:$N,13,FALSE())</f>
        <v>Silver</v>
      </c>
      <c r="X569" s="11" t="str">
        <f t="shared" si="62"/>
        <v>Low</v>
      </c>
    </row>
    <row r="570" spans="1:24" ht="15.75" customHeight="1">
      <c r="A570" s="4" t="s">
        <v>2566</v>
      </c>
      <c r="B570" s="9">
        <v>45765</v>
      </c>
      <c r="C570" s="4" t="s">
        <v>813</v>
      </c>
      <c r="D570" s="4" t="s">
        <v>1876</v>
      </c>
      <c r="E570" s="4" t="s">
        <v>1910</v>
      </c>
      <c r="F570" s="4">
        <v>3</v>
      </c>
      <c r="G570" s="4">
        <v>65.569999999999993</v>
      </c>
      <c r="H570" s="4">
        <v>0.3</v>
      </c>
      <c r="I570" s="4" t="s">
        <v>2004</v>
      </c>
      <c r="J570" s="10">
        <v>137.697</v>
      </c>
      <c r="K570" s="4" t="str">
        <f t="shared" si="56"/>
        <v>18-04-2025</v>
      </c>
      <c r="L570" s="4" t="str">
        <f>TEXT(Sales_Fact!$B570,"mmm")</f>
        <v>Apr</v>
      </c>
      <c r="M570" s="4">
        <f t="shared" si="57"/>
        <v>3</v>
      </c>
      <c r="N570" s="10">
        <f t="shared" si="58"/>
        <v>65.569999999999993</v>
      </c>
      <c r="O570" s="10">
        <f t="shared" si="59"/>
        <v>137.69699999999997</v>
      </c>
      <c r="P570" s="10">
        <f t="shared" si="60"/>
        <v>196.70999999999998</v>
      </c>
      <c r="Q570" s="3">
        <f t="shared" si="61"/>
        <v>0.30000000000000004</v>
      </c>
      <c r="R570" s="4" t="str">
        <f>IF(Sales_Fact!$O570&gt;1000,"High","Low")</f>
        <v>Low</v>
      </c>
      <c r="S570" s="4" t="str">
        <f>VLOOKUP(C570,Customer_Dim!$A:$N,9,FALSE())</f>
        <v>Laura Soto</v>
      </c>
      <c r="T570" s="4" t="str">
        <f>VLOOKUP(D570,Product_Dim!$A:$M,3,FALSE())</f>
        <v>Electronics</v>
      </c>
      <c r="U570" s="11" t="str">
        <f>VLOOKUP(D570,Product_Dim!$A:$M,2,FALSE())</f>
        <v>Gaming Mouse Pad XL</v>
      </c>
      <c r="V570" s="11" t="str">
        <f>VLOOKUP(E570,Store_Dim!$A:$E,3,FALSE())</f>
        <v>East</v>
      </c>
      <c r="W570" s="11" t="str">
        <f>VLOOKUP(C570,Customer_Dim!$A:$N,13,FALSE())</f>
        <v>Platinum</v>
      </c>
      <c r="X570" s="11" t="str">
        <f t="shared" si="62"/>
        <v>Low</v>
      </c>
    </row>
    <row r="571" spans="1:24" ht="15.75" customHeight="1">
      <c r="A571" s="4" t="s">
        <v>2567</v>
      </c>
      <c r="B571" s="9">
        <v>45594</v>
      </c>
      <c r="C571" s="4" t="s">
        <v>117</v>
      </c>
      <c r="D571" s="4" t="s">
        <v>1633</v>
      </c>
      <c r="E571" s="4" t="s">
        <v>1940</v>
      </c>
      <c r="F571" s="4">
        <v>4</v>
      </c>
      <c r="G571" s="4">
        <v>535.4</v>
      </c>
      <c r="H571" s="4">
        <v>0.26</v>
      </c>
      <c r="I571" s="4" t="s">
        <v>1998</v>
      </c>
      <c r="J571" s="10">
        <v>1584.7840000000001</v>
      </c>
      <c r="K571" s="4" t="str">
        <f t="shared" si="56"/>
        <v>29-10-2024</v>
      </c>
      <c r="L571" s="4" t="str">
        <f>TEXT(Sales_Fact!$B571,"mmm")</f>
        <v>Oct</v>
      </c>
      <c r="M571" s="4">
        <f t="shared" si="57"/>
        <v>4</v>
      </c>
      <c r="N571" s="10">
        <f t="shared" si="58"/>
        <v>535.4</v>
      </c>
      <c r="O571" s="10">
        <f t="shared" si="59"/>
        <v>1584.7839999999999</v>
      </c>
      <c r="P571" s="10">
        <f t="shared" si="60"/>
        <v>2141.6</v>
      </c>
      <c r="Q571" s="3">
        <f t="shared" si="61"/>
        <v>0.26</v>
      </c>
      <c r="R571" s="4" t="str">
        <f>IF(Sales_Fact!$O571&gt;1000,"High","Low")</f>
        <v>High</v>
      </c>
      <c r="S571" s="4" t="str">
        <f>VLOOKUP(C571,Customer_Dim!$A:$N,9,FALSE())</f>
        <v>Paul Fox</v>
      </c>
      <c r="T571" s="4" t="str">
        <f>VLOOKUP(D571,Product_Dim!$A:$M,3,FALSE())</f>
        <v>Electronics</v>
      </c>
      <c r="U571" s="11" t="str">
        <f>VLOOKUP(D571,Product_Dim!$A:$M,2,FALSE())</f>
        <v>USB-C Fast Charger</v>
      </c>
      <c r="V571" s="11" t="str">
        <f>VLOOKUP(E571,Store_Dim!$A:$E,3,FALSE())</f>
        <v>West</v>
      </c>
      <c r="W571" s="11" t="str">
        <f>VLOOKUP(C571,Customer_Dim!$A:$N,13,FALSE())</f>
        <v>Silver</v>
      </c>
      <c r="X571" s="11" t="str">
        <f t="shared" si="62"/>
        <v>High</v>
      </c>
    </row>
    <row r="572" spans="1:24" ht="15.75" customHeight="1">
      <c r="A572" s="4" t="s">
        <v>2568</v>
      </c>
      <c r="B572" s="9">
        <v>45821</v>
      </c>
      <c r="C572" s="4" t="s">
        <v>559</v>
      </c>
      <c r="D572" s="4" t="s">
        <v>1779</v>
      </c>
      <c r="E572" s="4" t="s">
        <v>1965</v>
      </c>
      <c r="F572" s="4">
        <v>3</v>
      </c>
      <c r="G572" s="4">
        <v>622.98</v>
      </c>
      <c r="H572" s="4">
        <v>0.28000000000000003</v>
      </c>
      <c r="I572" s="4" t="s">
        <v>1998</v>
      </c>
      <c r="J572" s="10">
        <v>1345.6368</v>
      </c>
      <c r="K572" s="4" t="str">
        <f t="shared" si="56"/>
        <v>13-06-2025</v>
      </c>
      <c r="L572" s="4" t="str">
        <f>TEXT(Sales_Fact!$B572,"mmm")</f>
        <v>Jun</v>
      </c>
      <c r="M572" s="4">
        <f t="shared" si="57"/>
        <v>3</v>
      </c>
      <c r="N572" s="10">
        <f t="shared" si="58"/>
        <v>622.98</v>
      </c>
      <c r="O572" s="10">
        <f t="shared" si="59"/>
        <v>1345.6368</v>
      </c>
      <c r="P572" s="10">
        <f t="shared" si="60"/>
        <v>1868.94</v>
      </c>
      <c r="Q572" s="3">
        <f t="shared" si="61"/>
        <v>0.28000000000000003</v>
      </c>
      <c r="R572" s="4" t="str">
        <f>IF(Sales_Fact!$O572&gt;1000,"High","Low")</f>
        <v>High</v>
      </c>
      <c r="S572" s="4" t="str">
        <f>VLOOKUP(C572,Customer_Dim!$A:$N,9,FALSE())</f>
        <v>John Lawson</v>
      </c>
      <c r="T572" s="4" t="str">
        <f>VLOOKUP(D572,Product_Dim!$A:$M,3,FALSE())</f>
        <v>Clothing</v>
      </c>
      <c r="U572" s="11" t="str">
        <f>VLOOKUP(D572,Product_Dim!$A:$M,2,FALSE())</f>
        <v>Womens Cotton Scarf</v>
      </c>
      <c r="V572" s="11" t="str">
        <f>VLOOKUP(E572,Store_Dim!$A:$E,3,FALSE())</f>
        <v>North</v>
      </c>
      <c r="W572" s="11" t="str">
        <f>VLOOKUP(C572,Customer_Dim!$A:$N,13,FALSE())</f>
        <v>Platinum</v>
      </c>
      <c r="X572" s="11" t="str">
        <f t="shared" si="62"/>
        <v>Low</v>
      </c>
    </row>
    <row r="573" spans="1:24" ht="15.75" customHeight="1">
      <c r="A573" s="4" t="s">
        <v>2569</v>
      </c>
      <c r="B573" s="9">
        <v>45691</v>
      </c>
      <c r="C573" s="4" t="s">
        <v>828</v>
      </c>
      <c r="D573" s="4" t="s">
        <v>1770</v>
      </c>
      <c r="E573" s="4" t="s">
        <v>1955</v>
      </c>
      <c r="F573" s="4">
        <v>1</v>
      </c>
      <c r="G573" s="4">
        <v>170.68</v>
      </c>
      <c r="H573" s="4">
        <v>0.13</v>
      </c>
      <c r="I573" s="4" t="s">
        <v>1998</v>
      </c>
      <c r="J573" s="10">
        <v>148.49160000000001</v>
      </c>
      <c r="K573" s="4" t="str">
        <f t="shared" si="56"/>
        <v>03-02-2025</v>
      </c>
      <c r="L573" s="4" t="str">
        <f>TEXT(Sales_Fact!$B573,"mmm")</f>
        <v>Feb</v>
      </c>
      <c r="M573" s="4">
        <f t="shared" si="57"/>
        <v>1</v>
      </c>
      <c r="N573" s="10">
        <f t="shared" si="58"/>
        <v>170.68</v>
      </c>
      <c r="O573" s="10">
        <f t="shared" si="59"/>
        <v>148.49160000000001</v>
      </c>
      <c r="P573" s="10">
        <f t="shared" si="60"/>
        <v>170.68</v>
      </c>
      <c r="Q573" s="3">
        <f t="shared" si="61"/>
        <v>0.13</v>
      </c>
      <c r="R573" s="4" t="str">
        <f>IF(Sales_Fact!$O573&gt;1000,"High","Low")</f>
        <v>Low</v>
      </c>
      <c r="S573" s="4" t="str">
        <f>VLOOKUP(C573,Customer_Dim!$A:$N,9,FALSE())</f>
        <v>Veronica Newman</v>
      </c>
      <c r="T573" s="4" t="str">
        <f>VLOOKUP(D573,Product_Dim!$A:$M,3,FALSE())</f>
        <v>Home</v>
      </c>
      <c r="U573" s="11" t="str">
        <f>VLOOKUP(D573,Product_Dim!$A:$M,2,FALSE())</f>
        <v>Ceramic Plant Pot</v>
      </c>
      <c r="V573" s="11" t="str">
        <f>VLOOKUP(E573,Store_Dim!$A:$E,3,FALSE())</f>
        <v>East</v>
      </c>
      <c r="W573" s="11" t="str">
        <f>VLOOKUP(C573,Customer_Dim!$A:$N,13,FALSE())</f>
        <v>Platinum</v>
      </c>
      <c r="X573" s="11" t="str">
        <f t="shared" si="62"/>
        <v>Low</v>
      </c>
    </row>
    <row r="574" spans="1:24" ht="15.75" customHeight="1">
      <c r="A574" s="4" t="s">
        <v>2570</v>
      </c>
      <c r="B574" s="9">
        <v>45860</v>
      </c>
      <c r="C574" s="4" t="s">
        <v>365</v>
      </c>
      <c r="D574" s="4" t="s">
        <v>1608</v>
      </c>
      <c r="E574" s="4" t="s">
        <v>1940</v>
      </c>
      <c r="F574" s="4">
        <v>4</v>
      </c>
      <c r="G574" s="4">
        <v>797.83</v>
      </c>
      <c r="H574" s="4">
        <v>0.08</v>
      </c>
      <c r="I574" s="4" t="s">
        <v>1996</v>
      </c>
      <c r="J574" s="10">
        <v>2936.0144</v>
      </c>
      <c r="K574" s="4" t="str">
        <f t="shared" si="56"/>
        <v>22-07-2025</v>
      </c>
      <c r="L574" s="4" t="str">
        <f>TEXT(Sales_Fact!$B574,"mmm")</f>
        <v>Jul</v>
      </c>
      <c r="M574" s="4">
        <f t="shared" si="57"/>
        <v>4</v>
      </c>
      <c r="N574" s="10">
        <f t="shared" si="58"/>
        <v>797.83</v>
      </c>
      <c r="O574" s="10">
        <f t="shared" si="59"/>
        <v>2936.0144000000005</v>
      </c>
      <c r="P574" s="10">
        <f t="shared" si="60"/>
        <v>3191.32</v>
      </c>
      <c r="Q574" s="3">
        <f t="shared" si="61"/>
        <v>7.9999999999999891E-2</v>
      </c>
      <c r="R574" s="4" t="str">
        <f>IF(Sales_Fact!$O574&gt;1000,"High","Low")</f>
        <v>High</v>
      </c>
      <c r="S574" s="4" t="str">
        <f>VLOOKUP(C574,Customer_Dim!$A:$N,9,FALSE())</f>
        <v>Samantha Walker</v>
      </c>
      <c r="T574" s="4" t="str">
        <f>VLOOKUP(D574,Product_Dim!$A:$M,3,FALSE())</f>
        <v>Home</v>
      </c>
      <c r="U574" s="11" t="str">
        <f>VLOOKUP(D574,Product_Dim!$A:$M,2,FALSE())</f>
        <v>LED Table Lamp</v>
      </c>
      <c r="V574" s="11" t="str">
        <f>VLOOKUP(E574,Store_Dim!$A:$E,3,FALSE())</f>
        <v>West</v>
      </c>
      <c r="W574" s="11" t="str">
        <f>VLOOKUP(C574,Customer_Dim!$A:$N,13,FALSE())</f>
        <v>Platinum</v>
      </c>
      <c r="X574" s="11" t="str">
        <f t="shared" si="62"/>
        <v>High</v>
      </c>
    </row>
    <row r="575" spans="1:24" ht="15.75" customHeight="1">
      <c r="A575" s="4" t="s">
        <v>2571</v>
      </c>
      <c r="B575" s="9">
        <v>45922</v>
      </c>
      <c r="C575" s="4" t="s">
        <v>371</v>
      </c>
      <c r="D575" s="4" t="s">
        <v>1588</v>
      </c>
      <c r="E575" s="4" t="s">
        <v>1962</v>
      </c>
      <c r="F575" s="4">
        <v>1</v>
      </c>
      <c r="G575" s="4">
        <v>372.75</v>
      </c>
      <c r="H575" s="4">
        <v>0.12</v>
      </c>
      <c r="I575" s="4" t="s">
        <v>1996</v>
      </c>
      <c r="J575" s="10">
        <v>328.02</v>
      </c>
      <c r="K575" s="4" t="str">
        <f t="shared" si="56"/>
        <v>22-09-2025</v>
      </c>
      <c r="L575" s="4" t="str">
        <f>TEXT(Sales_Fact!$B575,"mmm")</f>
        <v>Sep</v>
      </c>
      <c r="M575" s="4">
        <f t="shared" si="57"/>
        <v>1</v>
      </c>
      <c r="N575" s="10">
        <f t="shared" si="58"/>
        <v>372.75</v>
      </c>
      <c r="O575" s="10">
        <f t="shared" si="59"/>
        <v>328.02</v>
      </c>
      <c r="P575" s="10">
        <f t="shared" si="60"/>
        <v>372.75</v>
      </c>
      <c r="Q575" s="3">
        <f t="shared" si="61"/>
        <v>0.12000000000000005</v>
      </c>
      <c r="R575" s="4" t="str">
        <f>IF(Sales_Fact!$O575&gt;1000,"High","Low")</f>
        <v>Low</v>
      </c>
      <c r="S575" s="4" t="str">
        <f>VLOOKUP(C575,Customer_Dim!$A:$N,9,FALSE())</f>
        <v>Brittney Morgan</v>
      </c>
      <c r="T575" s="4" t="str">
        <f>VLOOKUP(D575,Product_Dim!$A:$M,3,FALSE())</f>
        <v>Clothing</v>
      </c>
      <c r="U575" s="11" t="str">
        <f>VLOOKUP(D575,Product_Dim!$A:$M,2,FALSE())</f>
        <v>Women's Casual Hoodie</v>
      </c>
      <c r="V575" s="11" t="str">
        <f>VLOOKUP(E575,Store_Dim!$A:$E,3,FALSE())</f>
        <v>West</v>
      </c>
      <c r="W575" s="11" t="str">
        <f>VLOOKUP(C575,Customer_Dim!$A:$N,13,FALSE())</f>
        <v>Gold</v>
      </c>
      <c r="X575" s="11" t="str">
        <f t="shared" si="62"/>
        <v>Low</v>
      </c>
    </row>
    <row r="576" spans="1:24" ht="15.75" customHeight="1">
      <c r="A576" s="4" t="s">
        <v>2572</v>
      </c>
      <c r="B576" s="9">
        <v>45477</v>
      </c>
      <c r="C576" s="4" t="s">
        <v>1264</v>
      </c>
      <c r="D576" s="4" t="s">
        <v>1788</v>
      </c>
      <c r="E576" s="4" t="s">
        <v>1927</v>
      </c>
      <c r="F576" s="4">
        <v>1</v>
      </c>
      <c r="G576" s="4">
        <v>994.18</v>
      </c>
      <c r="H576" s="4">
        <v>0.05</v>
      </c>
      <c r="I576" s="4" t="s">
        <v>1998</v>
      </c>
      <c r="J576" s="10">
        <v>944.471</v>
      </c>
      <c r="K576" s="4" t="str">
        <f t="shared" si="56"/>
        <v>04-07-2024</v>
      </c>
      <c r="L576" s="4" t="str">
        <f>TEXT(Sales_Fact!$B576,"mmm")</f>
        <v>Jul</v>
      </c>
      <c r="M576" s="4">
        <f t="shared" si="57"/>
        <v>1</v>
      </c>
      <c r="N576" s="10">
        <f t="shared" si="58"/>
        <v>994.18</v>
      </c>
      <c r="O576" s="10">
        <f t="shared" si="59"/>
        <v>944.47099999999989</v>
      </c>
      <c r="P576" s="10">
        <f t="shared" si="60"/>
        <v>994.18</v>
      </c>
      <c r="Q576" s="3">
        <f t="shared" si="61"/>
        <v>5.0000000000000065E-2</v>
      </c>
      <c r="R576" s="4" t="str">
        <f>IF(Sales_Fact!$O576&gt;1000,"High","Low")</f>
        <v>Low</v>
      </c>
      <c r="S576" s="4" t="str">
        <f>VLOOKUP(C576,Customer_Dim!$A:$N,9,FALSE())</f>
        <v>Alexander Byrd</v>
      </c>
      <c r="T576" s="4" t="str">
        <f>VLOOKUP(D576,Product_Dim!$A:$M,3,FALSE())</f>
        <v>Sports</v>
      </c>
      <c r="U576" s="11" t="str">
        <f>VLOOKUP(D576,Product_Dim!$A:$M,2,FALSE())</f>
        <v>Tennis Ball 3-Pack</v>
      </c>
      <c r="V576" s="11" t="str">
        <f>VLOOKUP(E576,Store_Dim!$A:$E,3,FALSE())</f>
        <v>South</v>
      </c>
      <c r="W576" s="11" t="str">
        <f>VLOOKUP(C576,Customer_Dim!$A:$N,13,FALSE())</f>
        <v>Silver</v>
      </c>
      <c r="X576" s="11" t="str">
        <f t="shared" si="62"/>
        <v>Low</v>
      </c>
    </row>
    <row r="577" spans="1:24" ht="15.75" customHeight="1">
      <c r="A577" s="4" t="s">
        <v>2573</v>
      </c>
      <c r="B577" s="9">
        <v>45504</v>
      </c>
      <c r="C577" s="4" t="s">
        <v>1339</v>
      </c>
      <c r="D577" s="4" t="s">
        <v>1658</v>
      </c>
      <c r="E577" s="4" t="s">
        <v>1955</v>
      </c>
      <c r="F577" s="4">
        <v>1</v>
      </c>
      <c r="G577" s="4">
        <v>136.12</v>
      </c>
      <c r="H577" s="4">
        <v>7.0000000000000007E-2</v>
      </c>
      <c r="I577" s="4" t="s">
        <v>1996</v>
      </c>
      <c r="J577" s="10">
        <v>126.5916</v>
      </c>
      <c r="K577" s="4" t="str">
        <f t="shared" si="56"/>
        <v>31-07-2024</v>
      </c>
      <c r="L577" s="4" t="str">
        <f>TEXT(Sales_Fact!$B577,"mmm")</f>
        <v>Jul</v>
      </c>
      <c r="M577" s="4">
        <f t="shared" si="57"/>
        <v>1</v>
      </c>
      <c r="N577" s="10">
        <f t="shared" si="58"/>
        <v>136.12</v>
      </c>
      <c r="O577" s="10">
        <f t="shared" si="59"/>
        <v>126.5916</v>
      </c>
      <c r="P577" s="10">
        <f t="shared" si="60"/>
        <v>136.12</v>
      </c>
      <c r="Q577" s="3">
        <f t="shared" si="61"/>
        <v>7.0000000000000034E-2</v>
      </c>
      <c r="R577" s="4" t="str">
        <f>IF(Sales_Fact!$O577&gt;1000,"High","Low")</f>
        <v>Low</v>
      </c>
      <c r="S577" s="4" t="str">
        <f>VLOOKUP(C577,Customer_Dim!$A:$N,9,FALSE())</f>
        <v>Brittany Edwards Dds</v>
      </c>
      <c r="T577" s="4" t="str">
        <f>VLOOKUP(D577,Product_Dim!$A:$M,3,FALSE())</f>
        <v>Sports</v>
      </c>
      <c r="U577" s="11" t="str">
        <f>VLOOKUP(D577,Product_Dim!$A:$M,2,FALSE())</f>
        <v>Outdoor Sports Water Bottle</v>
      </c>
      <c r="V577" s="11" t="str">
        <f>VLOOKUP(E577,Store_Dim!$A:$E,3,FALSE())</f>
        <v>East</v>
      </c>
      <c r="W577" s="11" t="str">
        <f>VLOOKUP(C577,Customer_Dim!$A:$N,13,FALSE())</f>
        <v>Platinum</v>
      </c>
      <c r="X577" s="11" t="str">
        <f t="shared" si="62"/>
        <v>Low</v>
      </c>
    </row>
    <row r="578" spans="1:24" ht="15.75" customHeight="1">
      <c r="A578" s="4" t="s">
        <v>2574</v>
      </c>
      <c r="B578" s="9">
        <v>45862</v>
      </c>
      <c r="C578" s="4" t="s">
        <v>145</v>
      </c>
      <c r="D578" s="4" t="s">
        <v>1761</v>
      </c>
      <c r="E578" s="4" t="s">
        <v>1968</v>
      </c>
      <c r="F578" s="4">
        <v>3</v>
      </c>
      <c r="G578" s="4">
        <v>634.45000000000005</v>
      </c>
      <c r="H578" s="4">
        <v>0.17</v>
      </c>
      <c r="I578" s="4" t="s">
        <v>1998</v>
      </c>
      <c r="J578" s="10">
        <v>1579.7805000000001</v>
      </c>
      <c r="K578" s="4" t="str">
        <f t="shared" ref="K578:K641" si="63">TEXT(B578,"dd-mm-yyyy")</f>
        <v>24-07-2025</v>
      </c>
      <c r="L578" s="4" t="str">
        <f>TEXT(Sales_Fact!$B578,"mmm")</f>
        <v>Jul</v>
      </c>
      <c r="M578" s="4">
        <f t="shared" ref="M578:M641" si="64">IF(ISBLANK(F578),1,F578)</f>
        <v>3</v>
      </c>
      <c r="N578" s="10">
        <f t="shared" ref="N578:N641" si="65">ROUNDUP(IF(ISBLANK(G578),AVERAGE(C:C,G578,G:G),G578),2)</f>
        <v>634.45000000000005</v>
      </c>
      <c r="O578" s="10">
        <f t="shared" ref="O578:O641" si="66">M578*N578*(1-H578)</f>
        <v>1579.7805000000001</v>
      </c>
      <c r="P578" s="10">
        <f t="shared" ref="P578:P641" si="67">M578*N578</f>
        <v>1903.3500000000001</v>
      </c>
      <c r="Q578" s="3">
        <f t="shared" ref="Q578:Q641" si="68">(P578-O578)/P578</f>
        <v>0.17</v>
      </c>
      <c r="R578" s="4" t="str">
        <f>IF(Sales_Fact!$O578&gt;1000,"High","Low")</f>
        <v>High</v>
      </c>
      <c r="S578" s="4" t="str">
        <f>VLOOKUP(C578,Customer_Dim!$A:$N,9,FALSE())</f>
        <v>Jessica Acevedo</v>
      </c>
      <c r="T578" s="4" t="str">
        <f>VLOOKUP(D578,Product_Dim!$A:$M,3,FALSE())</f>
        <v>Sports</v>
      </c>
      <c r="U578" s="11" t="str">
        <f>VLOOKUP(D578,Product_Dim!$A:$M,2,FALSE())</f>
        <v>Rugby Ball</v>
      </c>
      <c r="V578" s="11" t="str">
        <f>VLOOKUP(E578,Store_Dim!$A:$E,3,FALSE())</f>
        <v>East</v>
      </c>
      <c r="W578" s="11" t="str">
        <f>VLOOKUP(C578,Customer_Dim!$A:$N,13,FALSE())</f>
        <v>Bronze</v>
      </c>
      <c r="X578" s="11" t="str">
        <f t="shared" ref="X578:X641" si="69">IF(F578&gt;3,"High","Low")</f>
        <v>Low</v>
      </c>
    </row>
    <row r="579" spans="1:24" ht="15.75" customHeight="1">
      <c r="A579" s="4" t="s">
        <v>2575</v>
      </c>
      <c r="B579" s="9">
        <v>45579</v>
      </c>
      <c r="C579" s="4" t="s">
        <v>1063</v>
      </c>
      <c r="D579" s="4" t="s">
        <v>1797</v>
      </c>
      <c r="E579" s="4" t="s">
        <v>1910</v>
      </c>
      <c r="F579" s="4">
        <v>4</v>
      </c>
      <c r="G579" s="4">
        <v>179.62</v>
      </c>
      <c r="H579" s="4">
        <v>0.05</v>
      </c>
      <c r="I579" s="4" t="s">
        <v>1996</v>
      </c>
      <c r="J579" s="10">
        <v>682.55600000000004</v>
      </c>
      <c r="K579" s="4" t="str">
        <f t="shared" si="63"/>
        <v>14-10-2024</v>
      </c>
      <c r="L579" s="4" t="str">
        <f>TEXT(Sales_Fact!$B579,"mmm")</f>
        <v>Oct</v>
      </c>
      <c r="M579" s="4">
        <f t="shared" si="64"/>
        <v>4</v>
      </c>
      <c r="N579" s="10">
        <f t="shared" si="65"/>
        <v>179.62</v>
      </c>
      <c r="O579" s="10">
        <f t="shared" si="66"/>
        <v>682.55600000000004</v>
      </c>
      <c r="P579" s="10">
        <f t="shared" si="67"/>
        <v>718.48</v>
      </c>
      <c r="Q579" s="3">
        <f t="shared" si="68"/>
        <v>4.9999999999999968E-2</v>
      </c>
      <c r="R579" s="4" t="str">
        <f>IF(Sales_Fact!$O579&gt;1000,"High","Low")</f>
        <v>Low</v>
      </c>
      <c r="S579" s="4" t="str">
        <f>VLOOKUP(C579,Customer_Dim!$A:$N,9,FALSE())</f>
        <v>Victor Mcintosh</v>
      </c>
      <c r="T579" s="4" t="str">
        <f>VLOOKUP(D579,Product_Dim!$A:$M,3,FALSE())</f>
        <v>Beauty</v>
      </c>
      <c r="U579" s="11" t="str">
        <f>VLOOKUP(D579,Product_Dim!$A:$M,2,FALSE())</f>
        <v>Matte Lipstick Set</v>
      </c>
      <c r="V579" s="11" t="str">
        <f>VLOOKUP(E579,Store_Dim!$A:$E,3,FALSE())</f>
        <v>East</v>
      </c>
      <c r="W579" s="11" t="str">
        <f>VLOOKUP(C579,Customer_Dim!$A:$N,13,FALSE())</f>
        <v>Bronze</v>
      </c>
      <c r="X579" s="11" t="str">
        <f t="shared" si="69"/>
        <v>High</v>
      </c>
    </row>
    <row r="580" spans="1:24" ht="15.75" customHeight="1">
      <c r="A580" s="4" t="s">
        <v>2576</v>
      </c>
      <c r="B580" s="9">
        <v>45658</v>
      </c>
      <c r="C580" s="4" t="s">
        <v>960</v>
      </c>
      <c r="D580" s="4" t="s">
        <v>1658</v>
      </c>
      <c r="E580" s="4" t="s">
        <v>1968</v>
      </c>
      <c r="F580" s="4">
        <v>4</v>
      </c>
      <c r="G580" s="4">
        <v>558.83000000000004</v>
      </c>
      <c r="H580" s="4">
        <v>0.16</v>
      </c>
      <c r="I580" s="4" t="s">
        <v>1998</v>
      </c>
      <c r="J580" s="10">
        <v>1877.6687999999999</v>
      </c>
      <c r="K580" s="4" t="str">
        <f t="shared" si="63"/>
        <v>01-01-2025</v>
      </c>
      <c r="L580" s="4" t="str">
        <f>TEXT(Sales_Fact!$B580,"mmm")</f>
        <v>Jan</v>
      </c>
      <c r="M580" s="4">
        <f t="shared" si="64"/>
        <v>4</v>
      </c>
      <c r="N580" s="10">
        <f t="shared" si="65"/>
        <v>558.83000000000004</v>
      </c>
      <c r="O580" s="10">
        <f t="shared" si="66"/>
        <v>1877.6688000000001</v>
      </c>
      <c r="P580" s="10">
        <f t="shared" si="67"/>
        <v>2235.3200000000002</v>
      </c>
      <c r="Q580" s="3">
        <f t="shared" si="68"/>
        <v>0.16</v>
      </c>
      <c r="R580" s="4" t="str">
        <f>IF(Sales_Fact!$O580&gt;1000,"High","Low")</f>
        <v>High</v>
      </c>
      <c r="S580" s="4" t="str">
        <f>VLOOKUP(C580,Customer_Dim!$A:$N,9,FALSE())</f>
        <v>Lisa Chandler</v>
      </c>
      <c r="T580" s="4" t="str">
        <f>VLOOKUP(D580,Product_Dim!$A:$M,3,FALSE())</f>
        <v>Sports</v>
      </c>
      <c r="U580" s="11" t="str">
        <f>VLOOKUP(D580,Product_Dim!$A:$M,2,FALSE())</f>
        <v>Outdoor Sports Water Bottle</v>
      </c>
      <c r="V580" s="11" t="str">
        <f>VLOOKUP(E580,Store_Dim!$A:$E,3,FALSE())</f>
        <v>East</v>
      </c>
      <c r="W580" s="11" t="str">
        <f>VLOOKUP(C580,Customer_Dim!$A:$N,13,FALSE())</f>
        <v>Platinum</v>
      </c>
      <c r="X580" s="11" t="str">
        <f t="shared" si="69"/>
        <v>High</v>
      </c>
    </row>
    <row r="581" spans="1:24" ht="15.75" customHeight="1">
      <c r="A581" s="4" t="s">
        <v>2577</v>
      </c>
      <c r="B581" s="9">
        <v>45664</v>
      </c>
      <c r="C581" s="4" t="s">
        <v>592</v>
      </c>
      <c r="D581" s="4" t="s">
        <v>1888</v>
      </c>
      <c r="E581" s="4" t="s">
        <v>1934</v>
      </c>
      <c r="F581" s="4">
        <v>2</v>
      </c>
      <c r="G581" s="4">
        <v>859.74</v>
      </c>
      <c r="H581" s="4">
        <v>0.25</v>
      </c>
      <c r="I581" s="4" t="s">
        <v>2004</v>
      </c>
      <c r="J581" s="10">
        <v>1289.6099999999999</v>
      </c>
      <c r="K581" s="4" t="str">
        <f t="shared" si="63"/>
        <v>07-01-2025</v>
      </c>
      <c r="L581" s="4" t="str">
        <f>TEXT(Sales_Fact!$B581,"mmm")</f>
        <v>Jan</v>
      </c>
      <c r="M581" s="4">
        <f t="shared" si="64"/>
        <v>2</v>
      </c>
      <c r="N581" s="10">
        <f t="shared" si="65"/>
        <v>859.74</v>
      </c>
      <c r="O581" s="10">
        <f t="shared" si="66"/>
        <v>1289.6100000000001</v>
      </c>
      <c r="P581" s="10">
        <f t="shared" si="67"/>
        <v>1719.48</v>
      </c>
      <c r="Q581" s="3">
        <f t="shared" si="68"/>
        <v>0.24999999999999994</v>
      </c>
      <c r="R581" s="4" t="str">
        <f>IF(Sales_Fact!$O581&gt;1000,"High","Low")</f>
        <v>High</v>
      </c>
      <c r="S581" s="4" t="str">
        <f>VLOOKUP(C581,Customer_Dim!$A:$N,9,FALSE())</f>
        <v>Amy Wilson</v>
      </c>
      <c r="T581" s="4" t="str">
        <f>VLOOKUP(D581,Product_Dim!$A:$M,3,FALSE())</f>
        <v>Beauty</v>
      </c>
      <c r="U581" s="11" t="str">
        <f>VLOOKUP(D581,Product_Dim!$A:$M,2,FALSE())</f>
        <v>Vitamin E Body Lotion</v>
      </c>
      <c r="V581" s="11" t="str">
        <f>VLOOKUP(E581,Store_Dim!$A:$E,3,FALSE())</f>
        <v>East</v>
      </c>
      <c r="W581" s="11" t="str">
        <f>VLOOKUP(C581,Customer_Dim!$A:$N,13,FALSE())</f>
        <v>Platinum</v>
      </c>
      <c r="X581" s="11" t="str">
        <f t="shared" si="69"/>
        <v>Low</v>
      </c>
    </row>
    <row r="582" spans="1:24" ht="15.75" customHeight="1">
      <c r="A582" s="4" t="s">
        <v>2578</v>
      </c>
      <c r="B582" s="9">
        <v>45798</v>
      </c>
      <c r="C582" s="4" t="s">
        <v>807</v>
      </c>
      <c r="D582" s="4" t="s">
        <v>1813</v>
      </c>
      <c r="E582" s="4" t="s">
        <v>1971</v>
      </c>
      <c r="F582" s="4">
        <v>2</v>
      </c>
      <c r="G582" s="4">
        <v>108.74</v>
      </c>
      <c r="H582" s="4">
        <v>0.11</v>
      </c>
      <c r="I582" s="4" t="s">
        <v>1998</v>
      </c>
      <c r="J582" s="10">
        <v>193.55719999999999</v>
      </c>
      <c r="K582" s="4" t="str">
        <f t="shared" si="63"/>
        <v>21-05-2025</v>
      </c>
      <c r="L582" s="4" t="str">
        <f>TEXT(Sales_Fact!$B582,"mmm")</f>
        <v>May</v>
      </c>
      <c r="M582" s="4">
        <f t="shared" si="64"/>
        <v>2</v>
      </c>
      <c r="N582" s="10">
        <f t="shared" si="65"/>
        <v>108.74</v>
      </c>
      <c r="O582" s="10">
        <f t="shared" si="66"/>
        <v>193.55719999999999</v>
      </c>
      <c r="P582" s="10">
        <f t="shared" si="67"/>
        <v>217.48</v>
      </c>
      <c r="Q582" s="3">
        <f t="shared" si="68"/>
        <v>0.10999999999999999</v>
      </c>
      <c r="R582" s="4" t="str">
        <f>IF(Sales_Fact!$O582&gt;1000,"High","Low")</f>
        <v>Low</v>
      </c>
      <c r="S582" s="4" t="str">
        <f>VLOOKUP(C582,Customer_Dim!$A:$N,9,FALSE())</f>
        <v>Brian Hammond</v>
      </c>
      <c r="T582" s="4" t="str">
        <f>VLOOKUP(D582,Product_Dim!$A:$M,3,FALSE())</f>
        <v>Clothing</v>
      </c>
      <c r="U582" s="11" t="str">
        <f>VLOOKUP(D582,Product_Dim!$A:$M,2,FALSE())</f>
        <v>Men's Sports Shorts</v>
      </c>
      <c r="V582" s="11" t="str">
        <f>VLOOKUP(E582,Store_Dim!$A:$E,3,FALSE())</f>
        <v>East</v>
      </c>
      <c r="W582" s="11" t="str">
        <f>VLOOKUP(C582,Customer_Dim!$A:$N,13,FALSE())</f>
        <v>Gold</v>
      </c>
      <c r="X582" s="11" t="str">
        <f t="shared" si="69"/>
        <v>Low</v>
      </c>
    </row>
    <row r="583" spans="1:24" ht="15.75" customHeight="1">
      <c r="A583" s="4" t="s">
        <v>2579</v>
      </c>
      <c r="B583" s="9">
        <v>45936</v>
      </c>
      <c r="C583" s="4" t="s">
        <v>396</v>
      </c>
      <c r="D583" s="4" t="s">
        <v>1800</v>
      </c>
      <c r="E583" s="4" t="s">
        <v>1962</v>
      </c>
      <c r="F583" s="4">
        <v>3</v>
      </c>
      <c r="G583" s="4">
        <v>578.47</v>
      </c>
      <c r="H583" s="4">
        <v>0.06</v>
      </c>
      <c r="I583" s="4" t="s">
        <v>2004</v>
      </c>
      <c r="J583" s="10">
        <v>1631.2854</v>
      </c>
      <c r="K583" s="4" t="str">
        <f t="shared" si="63"/>
        <v>06-10-2025</v>
      </c>
      <c r="L583" s="4" t="str">
        <f>TEXT(Sales_Fact!$B583,"mmm")</f>
        <v>Oct</v>
      </c>
      <c r="M583" s="4">
        <f t="shared" si="64"/>
        <v>3</v>
      </c>
      <c r="N583" s="10">
        <f t="shared" si="65"/>
        <v>578.47</v>
      </c>
      <c r="O583" s="10">
        <f t="shared" si="66"/>
        <v>1631.2854</v>
      </c>
      <c r="P583" s="10">
        <f t="shared" si="67"/>
        <v>1735.41</v>
      </c>
      <c r="Q583" s="3">
        <f t="shared" si="68"/>
        <v>6.0000000000000053E-2</v>
      </c>
      <c r="R583" s="4" t="str">
        <f>IF(Sales_Fact!$O583&gt;1000,"High","Low")</f>
        <v>High</v>
      </c>
      <c r="S583" s="4" t="str">
        <f>VLOOKUP(C583,Customer_Dim!$A:$N,9,FALSE())</f>
        <v>Howard Summers</v>
      </c>
      <c r="T583" s="4" t="str">
        <f>VLOOKUP(D583,Product_Dim!$A:$M,3,FALSE())</f>
        <v>Sports</v>
      </c>
      <c r="U583" s="11" t="str">
        <f>VLOOKUP(D583,Product_Dim!$A:$M,2,FALSE())</f>
        <v>Adjustable Dumbbells 20kg</v>
      </c>
      <c r="V583" s="11" t="str">
        <f>VLOOKUP(E583,Store_Dim!$A:$E,3,FALSE())</f>
        <v>West</v>
      </c>
      <c r="W583" s="11" t="str">
        <f>VLOOKUP(C583,Customer_Dim!$A:$N,13,FALSE())</f>
        <v>Bronze</v>
      </c>
      <c r="X583" s="11" t="str">
        <f t="shared" si="69"/>
        <v>Low</v>
      </c>
    </row>
    <row r="584" spans="1:24" ht="15.75" customHeight="1">
      <c r="A584" s="4" t="s">
        <v>2580</v>
      </c>
      <c r="B584" s="9">
        <v>45344</v>
      </c>
      <c r="C584" s="4" t="s">
        <v>229</v>
      </c>
      <c r="D584" s="4" t="s">
        <v>1661</v>
      </c>
      <c r="E584" s="4" t="s">
        <v>1952</v>
      </c>
      <c r="F584" s="4">
        <v>1</v>
      </c>
      <c r="G584" s="4">
        <v>440.48</v>
      </c>
      <c r="H584" s="4">
        <v>0.11</v>
      </c>
      <c r="I584" s="4" t="s">
        <v>2004</v>
      </c>
      <c r="J584" s="10">
        <v>392.02719999999999</v>
      </c>
      <c r="K584" s="4" t="str">
        <f t="shared" si="63"/>
        <v>22-02-2024</v>
      </c>
      <c r="L584" s="4" t="str">
        <f>TEXT(Sales_Fact!$B584,"mmm")</f>
        <v>Feb</v>
      </c>
      <c r="M584" s="4">
        <f t="shared" si="64"/>
        <v>1</v>
      </c>
      <c r="N584" s="10">
        <f t="shared" si="65"/>
        <v>440.48</v>
      </c>
      <c r="O584" s="10">
        <f t="shared" si="66"/>
        <v>392.02720000000005</v>
      </c>
      <c r="P584" s="10">
        <f t="shared" si="67"/>
        <v>440.48</v>
      </c>
      <c r="Q584" s="3">
        <f t="shared" si="68"/>
        <v>0.10999999999999992</v>
      </c>
      <c r="R584" s="4" t="str">
        <f>IF(Sales_Fact!$O584&gt;1000,"High","Low")</f>
        <v>Low</v>
      </c>
      <c r="S584" s="4" t="str">
        <f>VLOOKUP(C584,Customer_Dim!$A:$N,9,FALSE())</f>
        <v>Wayne Mcpherson</v>
      </c>
      <c r="T584" s="4" t="str">
        <f>VLOOKUP(D584,Product_Dim!$A:$M,3,FALSE())</f>
        <v>Home</v>
      </c>
      <c r="U584" s="11" t="str">
        <f>VLOOKUP(D584,Product_Dim!$A:$M,2,FALSE())</f>
        <v>Multi-Purpose Storage Box</v>
      </c>
      <c r="V584" s="11" t="str">
        <f>VLOOKUP(E584,Store_Dim!$A:$E,3,FALSE())</f>
        <v>North</v>
      </c>
      <c r="W584" s="11" t="str">
        <f>VLOOKUP(C584,Customer_Dim!$A:$N,13,FALSE())</f>
        <v>Bronze</v>
      </c>
      <c r="X584" s="11" t="str">
        <f t="shared" si="69"/>
        <v>Low</v>
      </c>
    </row>
    <row r="585" spans="1:24" ht="15.75" customHeight="1">
      <c r="A585" s="4" t="s">
        <v>2581</v>
      </c>
      <c r="B585" s="9">
        <v>45329</v>
      </c>
      <c r="C585" s="4" t="s">
        <v>95</v>
      </c>
      <c r="D585" s="4" t="s">
        <v>1644</v>
      </c>
      <c r="E585" s="4" t="s">
        <v>1971</v>
      </c>
      <c r="F585" s="4">
        <v>2</v>
      </c>
      <c r="G585" s="4">
        <v>303.67</v>
      </c>
      <c r="H585" s="4">
        <v>0.05</v>
      </c>
      <c r="I585" s="4" t="s">
        <v>1998</v>
      </c>
      <c r="J585" s="10">
        <v>576.97299999999996</v>
      </c>
      <c r="K585" s="4" t="str">
        <f t="shared" si="63"/>
        <v>07-02-2024</v>
      </c>
      <c r="L585" s="4" t="str">
        <f>TEXT(Sales_Fact!$B585,"mmm")</f>
        <v>Feb</v>
      </c>
      <c r="M585" s="4">
        <f t="shared" si="64"/>
        <v>2</v>
      </c>
      <c r="N585" s="10">
        <f t="shared" si="65"/>
        <v>303.67</v>
      </c>
      <c r="O585" s="10">
        <f t="shared" si="66"/>
        <v>576.97299999999996</v>
      </c>
      <c r="P585" s="10">
        <f t="shared" si="67"/>
        <v>607.34</v>
      </c>
      <c r="Q585" s="3">
        <f t="shared" si="68"/>
        <v>5.0000000000000121E-2</v>
      </c>
      <c r="R585" s="4" t="str">
        <f>IF(Sales_Fact!$O585&gt;1000,"High","Low")</f>
        <v>Low</v>
      </c>
      <c r="S585" s="4" t="str">
        <f>VLOOKUP(C585,Customer_Dim!$A:$N,9,FALSE())</f>
        <v>John Scott</v>
      </c>
      <c r="T585" s="4" t="str">
        <f>VLOOKUP(D585,Product_Dim!$A:$M,3,FALSE())</f>
        <v>Beauty</v>
      </c>
      <c r="U585" s="11" t="str">
        <f>VLOOKUP(D585,Product_Dim!$A:$M,2,FALSE())</f>
        <v>Beard Grooming Kit</v>
      </c>
      <c r="V585" s="11" t="str">
        <f>VLOOKUP(E585,Store_Dim!$A:$E,3,FALSE())</f>
        <v>East</v>
      </c>
      <c r="W585" s="11" t="str">
        <f>VLOOKUP(C585,Customer_Dim!$A:$N,13,FALSE())</f>
        <v>Bronze</v>
      </c>
      <c r="X585" s="11" t="str">
        <f t="shared" si="69"/>
        <v>Low</v>
      </c>
    </row>
    <row r="586" spans="1:24" ht="15.75" customHeight="1">
      <c r="A586" s="4" t="s">
        <v>2582</v>
      </c>
      <c r="B586" s="9">
        <v>45895</v>
      </c>
      <c r="C586" s="4" t="s">
        <v>1084</v>
      </c>
      <c r="D586" s="4" t="s">
        <v>1828</v>
      </c>
      <c r="E586" s="4" t="s">
        <v>1957</v>
      </c>
      <c r="F586" s="4">
        <v>2</v>
      </c>
      <c r="G586" s="4">
        <v>611.21</v>
      </c>
      <c r="H586" s="4">
        <v>0.22</v>
      </c>
      <c r="I586" s="4" t="s">
        <v>2004</v>
      </c>
      <c r="J586" s="10">
        <v>953.48760000000004</v>
      </c>
      <c r="K586" s="4" t="str">
        <f t="shared" si="63"/>
        <v>26-08-2025</v>
      </c>
      <c r="L586" s="4" t="str">
        <f>TEXT(Sales_Fact!$B586,"mmm")</f>
        <v>Aug</v>
      </c>
      <c r="M586" s="4">
        <f t="shared" si="64"/>
        <v>2</v>
      </c>
      <c r="N586" s="10">
        <f t="shared" si="65"/>
        <v>611.21</v>
      </c>
      <c r="O586" s="10">
        <f t="shared" si="66"/>
        <v>953.48760000000004</v>
      </c>
      <c r="P586" s="10">
        <f t="shared" si="67"/>
        <v>1222.42</v>
      </c>
      <c r="Q586" s="3">
        <f t="shared" si="68"/>
        <v>0.22</v>
      </c>
      <c r="R586" s="4" t="str">
        <f>IF(Sales_Fact!$O586&gt;1000,"High","Low")</f>
        <v>Low</v>
      </c>
      <c r="S586" s="4" t="str">
        <f>VLOOKUP(C586,Customer_Dim!$A:$N,9,FALSE())</f>
        <v>John Jones</v>
      </c>
      <c r="T586" s="4" t="str">
        <f>VLOOKUP(D586,Product_Dim!$A:$M,3,FALSE())</f>
        <v>Electronics</v>
      </c>
      <c r="U586" s="11" t="str">
        <f>VLOOKUP(D586,Product_Dim!$A:$M,2,FALSE())</f>
        <v>Bluetooth Car Audio System</v>
      </c>
      <c r="V586" s="11" t="str">
        <f>VLOOKUP(E586,Store_Dim!$A:$E,3,FALSE())</f>
        <v>South</v>
      </c>
      <c r="W586" s="11" t="str">
        <f>VLOOKUP(C586,Customer_Dim!$A:$N,13,FALSE())</f>
        <v>Silver</v>
      </c>
      <c r="X586" s="11" t="str">
        <f t="shared" si="69"/>
        <v>Low</v>
      </c>
    </row>
    <row r="587" spans="1:24" ht="15.75" customHeight="1">
      <c r="A587" s="4" t="s">
        <v>2583</v>
      </c>
      <c r="B587" s="9">
        <v>45239</v>
      </c>
      <c r="C587" s="4" t="s">
        <v>685</v>
      </c>
      <c r="D587" s="4" t="s">
        <v>1719</v>
      </c>
      <c r="E587" s="4" t="s">
        <v>1959</v>
      </c>
      <c r="F587" s="4">
        <v>2</v>
      </c>
      <c r="G587" s="4">
        <v>768.08</v>
      </c>
      <c r="H587" s="4">
        <v>0.26</v>
      </c>
      <c r="I587" s="4" t="s">
        <v>1998</v>
      </c>
      <c r="J587" s="10">
        <v>1136.7583999999999</v>
      </c>
      <c r="K587" s="4" t="str">
        <f t="shared" si="63"/>
        <v>09-11-2023</v>
      </c>
      <c r="L587" s="4" t="str">
        <f>TEXT(Sales_Fact!$B587,"mmm")</f>
        <v>Nov</v>
      </c>
      <c r="M587" s="4">
        <f t="shared" si="64"/>
        <v>2</v>
      </c>
      <c r="N587" s="10">
        <f t="shared" si="65"/>
        <v>768.08</v>
      </c>
      <c r="O587" s="10">
        <f t="shared" si="66"/>
        <v>1136.7583999999999</v>
      </c>
      <c r="P587" s="10">
        <f t="shared" si="67"/>
        <v>1536.16</v>
      </c>
      <c r="Q587" s="3">
        <f t="shared" si="68"/>
        <v>0.26000000000000006</v>
      </c>
      <c r="R587" s="4" t="str">
        <f>IF(Sales_Fact!$O587&gt;1000,"High","Low")</f>
        <v>High</v>
      </c>
      <c r="S587" s="4" t="str">
        <f>VLOOKUP(C587,Customer_Dim!$A:$N,9,FALSE())</f>
        <v>Christina Garcia</v>
      </c>
      <c r="T587" s="4" t="str">
        <f>VLOOKUP(D587,Product_Dim!$A:$M,3,FALSE())</f>
        <v>Electronics</v>
      </c>
      <c r="U587" s="11" t="str">
        <f>VLOOKUP(D587,Product_Dim!$A:$M,2,FALSE())</f>
        <v>Portable Power Bank</v>
      </c>
      <c r="V587" s="11" t="str">
        <f>VLOOKUP(E587,Store_Dim!$A:$E,3,FALSE())</f>
        <v>North</v>
      </c>
      <c r="W587" s="11" t="str">
        <f>VLOOKUP(C587,Customer_Dim!$A:$N,13,FALSE())</f>
        <v>Platinum</v>
      </c>
      <c r="X587" s="11" t="str">
        <f t="shared" si="69"/>
        <v>Low</v>
      </c>
    </row>
    <row r="588" spans="1:24" ht="15.75" customHeight="1">
      <c r="A588" s="4" t="s">
        <v>2584</v>
      </c>
      <c r="B588" s="9">
        <v>45296</v>
      </c>
      <c r="C588" s="4" t="s">
        <v>965</v>
      </c>
      <c r="D588" s="4" t="s">
        <v>1668</v>
      </c>
      <c r="E588" s="4" t="s">
        <v>1968</v>
      </c>
      <c r="F588" s="4">
        <v>1</v>
      </c>
      <c r="G588" s="4">
        <v>616.82000000000005</v>
      </c>
      <c r="H588" s="4">
        <v>0.24</v>
      </c>
      <c r="I588" s="4" t="s">
        <v>1996</v>
      </c>
      <c r="J588" s="10">
        <v>468.78320000000002</v>
      </c>
      <c r="K588" s="4" t="str">
        <f t="shared" si="63"/>
        <v>05-01-2024</v>
      </c>
      <c r="L588" s="4" t="str">
        <f>TEXT(Sales_Fact!$B588,"mmm")</f>
        <v>Jan</v>
      </c>
      <c r="M588" s="4">
        <f t="shared" si="64"/>
        <v>1</v>
      </c>
      <c r="N588" s="10">
        <f t="shared" si="65"/>
        <v>616.82000000000005</v>
      </c>
      <c r="O588" s="10">
        <f t="shared" si="66"/>
        <v>468.78320000000002</v>
      </c>
      <c r="P588" s="10">
        <f t="shared" si="67"/>
        <v>616.82000000000005</v>
      </c>
      <c r="Q588" s="3">
        <f t="shared" si="68"/>
        <v>0.24000000000000002</v>
      </c>
      <c r="R588" s="4" t="str">
        <f>IF(Sales_Fact!$O588&gt;1000,"High","Low")</f>
        <v>Low</v>
      </c>
      <c r="S588" s="4" t="str">
        <f>VLOOKUP(C588,Customer_Dim!$A:$N,9,FALSE())</f>
        <v>Jared Moran</v>
      </c>
      <c r="T588" s="4" t="str">
        <f>VLOOKUP(D588,Product_Dim!$A:$M,3,FALSE())</f>
        <v>Clothing</v>
      </c>
      <c r="U588" s="11" t="str">
        <f>VLOOKUP(D588,Product_Dim!$A:$M,2,FALSE())</f>
        <v>Men's Formal Shirt</v>
      </c>
      <c r="V588" s="11" t="str">
        <f>VLOOKUP(E588,Store_Dim!$A:$E,3,FALSE())</f>
        <v>East</v>
      </c>
      <c r="W588" s="11" t="str">
        <f>VLOOKUP(C588,Customer_Dim!$A:$N,13,FALSE())</f>
        <v>Bronze</v>
      </c>
      <c r="X588" s="11" t="str">
        <f t="shared" si="69"/>
        <v>Low</v>
      </c>
    </row>
    <row r="589" spans="1:24" ht="15.75" customHeight="1">
      <c r="A589" s="4" t="s">
        <v>2585</v>
      </c>
      <c r="B589" s="9">
        <v>45672</v>
      </c>
      <c r="C589" s="4" t="s">
        <v>629</v>
      </c>
      <c r="D589" s="4" t="s">
        <v>1723</v>
      </c>
      <c r="E589" s="4" t="s">
        <v>1968</v>
      </c>
      <c r="F589" s="4">
        <v>1</v>
      </c>
      <c r="G589" s="4">
        <v>470.34</v>
      </c>
      <c r="H589" s="4">
        <v>0.18</v>
      </c>
      <c r="I589" s="4" t="s">
        <v>2004</v>
      </c>
      <c r="J589" s="10">
        <v>385.67880000000002</v>
      </c>
      <c r="K589" s="4" t="str">
        <f t="shared" si="63"/>
        <v>15-01-2025</v>
      </c>
      <c r="L589" s="4" t="str">
        <f>TEXT(Sales_Fact!$B589,"mmm")</f>
        <v>Jan</v>
      </c>
      <c r="M589" s="4">
        <f t="shared" si="64"/>
        <v>1</v>
      </c>
      <c r="N589" s="10">
        <f t="shared" si="65"/>
        <v>470.34</v>
      </c>
      <c r="O589" s="10">
        <f t="shared" si="66"/>
        <v>385.67880000000002</v>
      </c>
      <c r="P589" s="10">
        <f t="shared" si="67"/>
        <v>470.34</v>
      </c>
      <c r="Q589" s="3">
        <f t="shared" si="68"/>
        <v>0.17999999999999991</v>
      </c>
      <c r="R589" s="4" t="str">
        <f>IF(Sales_Fact!$O589&gt;1000,"High","Low")</f>
        <v>Low</v>
      </c>
      <c r="S589" s="4" t="str">
        <f>VLOOKUP(C589,Customer_Dim!$A:$N,9,FALSE())</f>
        <v>Mario Jacobs</v>
      </c>
      <c r="T589" s="4" t="str">
        <f>VLOOKUP(D589,Product_Dim!$A:$M,3,FALSE())</f>
        <v>Electronics</v>
      </c>
      <c r="U589" s="11" t="str">
        <f>VLOOKUP(D589,Product_Dim!$A:$M,2,FALSE())</f>
        <v>Noise-Canceling Headphones</v>
      </c>
      <c r="V589" s="11" t="str">
        <f>VLOOKUP(E589,Store_Dim!$A:$E,3,FALSE())</f>
        <v>East</v>
      </c>
      <c r="W589" s="11" t="str">
        <f>VLOOKUP(C589,Customer_Dim!$A:$N,13,FALSE())</f>
        <v>Platinum</v>
      </c>
      <c r="X589" s="11" t="str">
        <f t="shared" si="69"/>
        <v>Low</v>
      </c>
    </row>
    <row r="590" spans="1:24" ht="15.75" customHeight="1">
      <c r="A590" s="4" t="s">
        <v>2586</v>
      </c>
      <c r="B590" s="9">
        <v>45499</v>
      </c>
      <c r="C590" s="4" t="s">
        <v>736</v>
      </c>
      <c r="D590" s="4" t="s">
        <v>1764</v>
      </c>
      <c r="E590" s="4" t="s">
        <v>1940</v>
      </c>
      <c r="F590" s="4">
        <v>2</v>
      </c>
      <c r="G590" s="4">
        <v>616.36</v>
      </c>
      <c r="H590" s="4">
        <v>0.12</v>
      </c>
      <c r="I590" s="4" t="s">
        <v>1998</v>
      </c>
      <c r="J590" s="10">
        <v>1084.7936</v>
      </c>
      <c r="K590" s="4" t="str">
        <f t="shared" si="63"/>
        <v>26-07-2024</v>
      </c>
      <c r="L590" s="4" t="str">
        <f>TEXT(Sales_Fact!$B590,"mmm")</f>
        <v>Jul</v>
      </c>
      <c r="M590" s="4">
        <f t="shared" si="64"/>
        <v>2</v>
      </c>
      <c r="N590" s="10">
        <f t="shared" si="65"/>
        <v>616.36</v>
      </c>
      <c r="O590" s="10">
        <f t="shared" si="66"/>
        <v>1084.7936</v>
      </c>
      <c r="P590" s="10">
        <f t="shared" si="67"/>
        <v>1232.72</v>
      </c>
      <c r="Q590" s="3">
        <f t="shared" si="68"/>
        <v>0.12000000000000005</v>
      </c>
      <c r="R590" s="4" t="str">
        <f>IF(Sales_Fact!$O590&gt;1000,"High","Low")</f>
        <v>High</v>
      </c>
      <c r="S590" s="4" t="str">
        <f>VLOOKUP(C590,Customer_Dim!$A:$N,9,FALSE())</f>
        <v>Jordan Wells</v>
      </c>
      <c r="T590" s="4" t="str">
        <f>VLOOKUP(D590,Product_Dim!$A:$M,3,FALSE())</f>
        <v>Clothing</v>
      </c>
      <c r="U590" s="11" t="str">
        <f>VLOOKUP(D590,Product_Dim!$A:$M,2,FALSE())</f>
        <v>Men's Track Pants</v>
      </c>
      <c r="V590" s="11" t="str">
        <f>VLOOKUP(E590,Store_Dim!$A:$E,3,FALSE())</f>
        <v>West</v>
      </c>
      <c r="W590" s="11" t="str">
        <f>VLOOKUP(C590,Customer_Dim!$A:$N,13,FALSE())</f>
        <v>Gold</v>
      </c>
      <c r="X590" s="11" t="str">
        <f t="shared" si="69"/>
        <v>Low</v>
      </c>
    </row>
    <row r="591" spans="1:24" ht="15.75" customHeight="1">
      <c r="A591" s="4" t="s">
        <v>2587</v>
      </c>
      <c r="B591" s="9">
        <v>45434</v>
      </c>
      <c r="C591" s="4" t="s">
        <v>319</v>
      </c>
      <c r="D591" s="4" t="s">
        <v>1592</v>
      </c>
      <c r="E591" s="4" t="s">
        <v>1944</v>
      </c>
      <c r="F591" s="4">
        <v>3</v>
      </c>
      <c r="G591" s="4">
        <v>657.24</v>
      </c>
      <c r="H591" s="4">
        <v>0.18</v>
      </c>
      <c r="I591" s="4" t="s">
        <v>1998</v>
      </c>
      <c r="J591" s="10">
        <v>1616.8104000000001</v>
      </c>
      <c r="K591" s="4" t="str">
        <f t="shared" si="63"/>
        <v>22-05-2024</v>
      </c>
      <c r="L591" s="4" t="str">
        <f>TEXT(Sales_Fact!$B591,"mmm")</f>
        <v>May</v>
      </c>
      <c r="M591" s="4">
        <f t="shared" si="64"/>
        <v>3</v>
      </c>
      <c r="N591" s="10">
        <f t="shared" si="65"/>
        <v>657.24</v>
      </c>
      <c r="O591" s="10">
        <f t="shared" si="66"/>
        <v>1616.8104000000001</v>
      </c>
      <c r="P591" s="10">
        <f t="shared" si="67"/>
        <v>1971.72</v>
      </c>
      <c r="Q591" s="3">
        <f t="shared" si="68"/>
        <v>0.17999999999999997</v>
      </c>
      <c r="R591" s="4" t="str">
        <f>IF(Sales_Fact!$O591&gt;1000,"High","Low")</f>
        <v>High</v>
      </c>
      <c r="S591" s="4" t="str">
        <f>VLOOKUP(C591,Customer_Dim!$A:$N,9,FALSE())</f>
        <v>George Rosario</v>
      </c>
      <c r="T591" s="4" t="str">
        <f>VLOOKUP(D591,Product_Dim!$A:$M,3,FALSE())</f>
        <v>Clothing</v>
      </c>
      <c r="U591" s="11" t="str">
        <f>VLOOKUP(D591,Product_Dim!$A:$M,2,FALSE())</f>
        <v>Men's Running Jacket</v>
      </c>
      <c r="V591" s="11" t="str">
        <f>VLOOKUP(E591,Store_Dim!$A:$E,3,FALSE())</f>
        <v>South</v>
      </c>
      <c r="W591" s="11" t="str">
        <f>VLOOKUP(C591,Customer_Dim!$A:$N,13,FALSE())</f>
        <v>Bronze</v>
      </c>
      <c r="X591" s="11" t="str">
        <f t="shared" si="69"/>
        <v>Low</v>
      </c>
    </row>
    <row r="592" spans="1:24" ht="15.75" customHeight="1">
      <c r="A592" s="4" t="s">
        <v>2588</v>
      </c>
      <c r="B592" s="9">
        <v>45893</v>
      </c>
      <c r="C592" s="4" t="s">
        <v>158</v>
      </c>
      <c r="D592" s="4" t="s">
        <v>1726</v>
      </c>
      <c r="E592" s="4" t="s">
        <v>1971</v>
      </c>
      <c r="F592" s="4">
        <v>2</v>
      </c>
      <c r="G592" s="4">
        <v>392.45</v>
      </c>
      <c r="H592" s="4">
        <v>0.04</v>
      </c>
      <c r="I592" s="4" t="s">
        <v>1998</v>
      </c>
      <c r="J592" s="10">
        <v>753.50400000000002</v>
      </c>
      <c r="K592" s="4" t="str">
        <f t="shared" si="63"/>
        <v>24-08-2025</v>
      </c>
      <c r="L592" s="4" t="str">
        <f>TEXT(Sales_Fact!$B592,"mmm")</f>
        <v>Aug</v>
      </c>
      <c r="M592" s="4">
        <f t="shared" si="64"/>
        <v>2</v>
      </c>
      <c r="N592" s="10">
        <f t="shared" si="65"/>
        <v>392.45</v>
      </c>
      <c r="O592" s="10">
        <f t="shared" si="66"/>
        <v>753.50399999999991</v>
      </c>
      <c r="P592" s="10">
        <f t="shared" si="67"/>
        <v>784.9</v>
      </c>
      <c r="Q592" s="3">
        <f t="shared" si="68"/>
        <v>4.0000000000000091E-2</v>
      </c>
      <c r="R592" s="4" t="str">
        <f>IF(Sales_Fact!$O592&gt;1000,"High","Low")</f>
        <v>Low</v>
      </c>
      <c r="S592" s="4" t="str">
        <f>VLOOKUP(C592,Customer_Dim!$A:$N,9,FALSE())</f>
        <v>Christopher Olson</v>
      </c>
      <c r="T592" s="4" t="str">
        <f>VLOOKUP(D592,Product_Dim!$A:$M,3,FALSE())</f>
        <v>Sports</v>
      </c>
      <c r="U592" s="11" t="str">
        <f>VLOOKUP(D592,Product_Dim!$A:$M,2,FALSE())</f>
        <v>Yoga Exercise Mat</v>
      </c>
      <c r="V592" s="11" t="str">
        <f>VLOOKUP(E592,Store_Dim!$A:$E,3,FALSE())</f>
        <v>East</v>
      </c>
      <c r="W592" s="11" t="str">
        <f>VLOOKUP(C592,Customer_Dim!$A:$N,13,FALSE())</f>
        <v>Platinum</v>
      </c>
      <c r="X592" s="11" t="str">
        <f t="shared" si="69"/>
        <v>Low</v>
      </c>
    </row>
    <row r="593" spans="1:24" ht="15.75" customHeight="1">
      <c r="A593" s="4" t="s">
        <v>2589</v>
      </c>
      <c r="B593" s="9">
        <v>45579</v>
      </c>
      <c r="C593" s="4" t="s">
        <v>1018</v>
      </c>
      <c r="D593" s="4" t="s">
        <v>1626</v>
      </c>
      <c r="E593" s="4" t="s">
        <v>1971</v>
      </c>
      <c r="F593" s="4">
        <v>3</v>
      </c>
      <c r="G593" s="4">
        <v>591.98</v>
      </c>
      <c r="H593" s="4">
        <v>0.16</v>
      </c>
      <c r="I593" s="4" t="s">
        <v>1996</v>
      </c>
      <c r="J593" s="10">
        <v>1491.7896000000001</v>
      </c>
      <c r="K593" s="4" t="str">
        <f t="shared" si="63"/>
        <v>14-10-2024</v>
      </c>
      <c r="L593" s="4" t="str">
        <f>TEXT(Sales_Fact!$B593,"mmm")</f>
        <v>Oct</v>
      </c>
      <c r="M593" s="4">
        <f t="shared" si="64"/>
        <v>3</v>
      </c>
      <c r="N593" s="10">
        <f t="shared" si="65"/>
        <v>591.98</v>
      </c>
      <c r="O593" s="10">
        <f t="shared" si="66"/>
        <v>1491.7896000000001</v>
      </c>
      <c r="P593" s="10">
        <f t="shared" si="67"/>
        <v>1775.94</v>
      </c>
      <c r="Q593" s="3">
        <f t="shared" si="68"/>
        <v>0.16</v>
      </c>
      <c r="R593" s="4" t="str">
        <f>IF(Sales_Fact!$O593&gt;1000,"High","Low")</f>
        <v>High</v>
      </c>
      <c r="S593" s="4" t="str">
        <f>VLOOKUP(C593,Customer_Dim!$A:$N,9,FALSE())</f>
        <v>Elizabeth Johnson</v>
      </c>
      <c r="T593" s="4" t="str">
        <f>VLOOKUP(D593,Product_Dim!$A:$M,3,FALSE())</f>
        <v>Electronics</v>
      </c>
      <c r="U593" s="11" t="str">
        <f>VLOOKUP(D593,Product_Dim!$A:$M,2,FALSE())</f>
        <v>HD Smart TV Stick</v>
      </c>
      <c r="V593" s="11" t="str">
        <f>VLOOKUP(E593,Store_Dim!$A:$E,3,FALSE())</f>
        <v>East</v>
      </c>
      <c r="W593" s="11" t="str">
        <f>VLOOKUP(C593,Customer_Dim!$A:$N,13,FALSE())</f>
        <v>Silver</v>
      </c>
      <c r="X593" s="11" t="str">
        <f t="shared" si="69"/>
        <v>Low</v>
      </c>
    </row>
    <row r="594" spans="1:24" ht="15.75" customHeight="1">
      <c r="A594" s="4" t="s">
        <v>2590</v>
      </c>
      <c r="B594" s="9">
        <v>45346</v>
      </c>
      <c r="C594" s="4" t="s">
        <v>813</v>
      </c>
      <c r="D594" s="4" t="s">
        <v>1723</v>
      </c>
      <c r="E594" s="4" t="s">
        <v>1957</v>
      </c>
      <c r="F594" s="4">
        <v>3</v>
      </c>
      <c r="G594" s="4">
        <v>62.03</v>
      </c>
      <c r="H594" s="4">
        <v>0.01</v>
      </c>
      <c r="I594" s="4" t="s">
        <v>2004</v>
      </c>
      <c r="J594" s="10">
        <v>184.22909999999999</v>
      </c>
      <c r="K594" s="4" t="str">
        <f t="shared" si="63"/>
        <v>24-02-2024</v>
      </c>
      <c r="L594" s="4" t="str">
        <f>TEXT(Sales_Fact!$B594,"mmm")</f>
        <v>Feb</v>
      </c>
      <c r="M594" s="4">
        <f t="shared" si="64"/>
        <v>3</v>
      </c>
      <c r="N594" s="10">
        <f t="shared" si="65"/>
        <v>62.03</v>
      </c>
      <c r="O594" s="10">
        <f t="shared" si="66"/>
        <v>184.22909999999999</v>
      </c>
      <c r="P594" s="10">
        <f t="shared" si="67"/>
        <v>186.09</v>
      </c>
      <c r="Q594" s="3">
        <f t="shared" si="68"/>
        <v>1.0000000000000082E-2</v>
      </c>
      <c r="R594" s="4" t="str">
        <f>IF(Sales_Fact!$O594&gt;1000,"High","Low")</f>
        <v>Low</v>
      </c>
      <c r="S594" s="4" t="str">
        <f>VLOOKUP(C594,Customer_Dim!$A:$N,9,FALSE())</f>
        <v>Laura Soto</v>
      </c>
      <c r="T594" s="4" t="str">
        <f>VLOOKUP(D594,Product_Dim!$A:$M,3,FALSE())</f>
        <v>Electronics</v>
      </c>
      <c r="U594" s="11" t="str">
        <f>VLOOKUP(D594,Product_Dim!$A:$M,2,FALSE())</f>
        <v>Noise-Canceling Headphones</v>
      </c>
      <c r="V594" s="11" t="str">
        <f>VLOOKUP(E594,Store_Dim!$A:$E,3,FALSE())</f>
        <v>South</v>
      </c>
      <c r="W594" s="11" t="str">
        <f>VLOOKUP(C594,Customer_Dim!$A:$N,13,FALSE())</f>
        <v>Platinum</v>
      </c>
      <c r="X594" s="11" t="str">
        <f t="shared" si="69"/>
        <v>Low</v>
      </c>
    </row>
    <row r="595" spans="1:24" ht="15.75" customHeight="1">
      <c r="A595" s="4" t="s">
        <v>2591</v>
      </c>
      <c r="B595" s="9">
        <v>45613</v>
      </c>
      <c r="C595" s="4" t="s">
        <v>353</v>
      </c>
      <c r="D595" s="4" t="s">
        <v>1894</v>
      </c>
      <c r="E595" s="4" t="s">
        <v>1924</v>
      </c>
      <c r="F595" s="4">
        <v>4</v>
      </c>
      <c r="G595" s="4">
        <v>933.73</v>
      </c>
      <c r="H595" s="4">
        <v>0.25</v>
      </c>
      <c r="I595" s="4" t="s">
        <v>1998</v>
      </c>
      <c r="J595" s="10">
        <v>2801.19</v>
      </c>
      <c r="K595" s="4" t="str">
        <f t="shared" si="63"/>
        <v>17-11-2024</v>
      </c>
      <c r="L595" s="4" t="str">
        <f>TEXT(Sales_Fact!$B595,"mmm")</f>
        <v>Nov</v>
      </c>
      <c r="M595" s="4">
        <f t="shared" si="64"/>
        <v>4</v>
      </c>
      <c r="N595" s="10">
        <f t="shared" si="65"/>
        <v>933.73</v>
      </c>
      <c r="O595" s="10">
        <f t="shared" si="66"/>
        <v>2801.19</v>
      </c>
      <c r="P595" s="10">
        <f t="shared" si="67"/>
        <v>3734.92</v>
      </c>
      <c r="Q595" s="3">
        <f t="shared" si="68"/>
        <v>0.25</v>
      </c>
      <c r="R595" s="4" t="str">
        <f>IF(Sales_Fact!$O595&gt;1000,"High","Low")</f>
        <v>High</v>
      </c>
      <c r="S595" s="4" t="str">
        <f>VLOOKUP(C595,Customer_Dim!$A:$N,9,FALSE())</f>
        <v>Robert Jackson</v>
      </c>
      <c r="T595" s="4" t="str">
        <f>VLOOKUP(D595,Product_Dim!$A:$M,3,FALSE())</f>
        <v>Clothing</v>
      </c>
      <c r="U595" s="11" t="str">
        <f>VLOOKUP(D595,Product_Dim!$A:$M,2,FALSE())</f>
        <v>Women's Formal Blazer</v>
      </c>
      <c r="V595" s="11" t="str">
        <f>VLOOKUP(E595,Store_Dim!$A:$E,3,FALSE())</f>
        <v>North</v>
      </c>
      <c r="W595" s="11" t="str">
        <f>VLOOKUP(C595,Customer_Dim!$A:$N,13,FALSE())</f>
        <v>Platinum</v>
      </c>
      <c r="X595" s="11" t="str">
        <f t="shared" si="69"/>
        <v>High</v>
      </c>
    </row>
    <row r="596" spans="1:24" ht="15.75" customHeight="1">
      <c r="A596" s="4" t="s">
        <v>2592</v>
      </c>
      <c r="B596" s="9">
        <v>45928</v>
      </c>
      <c r="C596" s="4" t="s">
        <v>544</v>
      </c>
      <c r="D596" s="4" t="s">
        <v>1861</v>
      </c>
      <c r="E596" s="4" t="s">
        <v>1962</v>
      </c>
      <c r="F596" s="4">
        <v>3</v>
      </c>
      <c r="G596" s="4">
        <v>615.30999999999995</v>
      </c>
      <c r="H596" s="4">
        <v>0.14000000000000001</v>
      </c>
      <c r="I596" s="4" t="s">
        <v>1998</v>
      </c>
      <c r="J596" s="10">
        <v>1587.4998000000001</v>
      </c>
      <c r="K596" s="4" t="str">
        <f t="shared" si="63"/>
        <v>28-09-2025</v>
      </c>
      <c r="L596" s="4" t="str">
        <f>TEXT(Sales_Fact!$B596,"mmm")</f>
        <v>Sep</v>
      </c>
      <c r="M596" s="4">
        <f t="shared" si="64"/>
        <v>3</v>
      </c>
      <c r="N596" s="10">
        <f t="shared" si="65"/>
        <v>615.30999999999995</v>
      </c>
      <c r="O596" s="10">
        <f t="shared" si="66"/>
        <v>1587.4997999999998</v>
      </c>
      <c r="P596" s="10">
        <f t="shared" si="67"/>
        <v>1845.9299999999998</v>
      </c>
      <c r="Q596" s="3">
        <f t="shared" si="68"/>
        <v>0.14000000000000001</v>
      </c>
      <c r="R596" s="4" t="str">
        <f>IF(Sales_Fact!$O596&gt;1000,"High","Low")</f>
        <v>High</v>
      </c>
      <c r="S596" s="4" t="str">
        <f>VLOOKUP(C596,Customer_Dim!$A:$N,9,FALSE())</f>
        <v>Curtis Haynes</v>
      </c>
      <c r="T596" s="4" t="str">
        <f>VLOOKUP(D596,Product_Dim!$A:$M,3,FALSE())</f>
        <v>Clothing</v>
      </c>
      <c r="U596" s="11" t="str">
        <f>VLOOKUP(D596,Product_Dim!$A:$M,2,FALSE())</f>
        <v>Women's Beanie Hat</v>
      </c>
      <c r="V596" s="11" t="str">
        <f>VLOOKUP(E596,Store_Dim!$A:$E,3,FALSE())</f>
        <v>West</v>
      </c>
      <c r="W596" s="11" t="str">
        <f>VLOOKUP(C596,Customer_Dim!$A:$N,13,FALSE())</f>
        <v>Gold</v>
      </c>
      <c r="X596" s="11" t="str">
        <f t="shared" si="69"/>
        <v>Low</v>
      </c>
    </row>
    <row r="597" spans="1:24" ht="15.75" customHeight="1">
      <c r="A597" s="4" t="s">
        <v>2593</v>
      </c>
      <c r="B597" s="9">
        <v>45619</v>
      </c>
      <c r="C597" s="4" t="s">
        <v>1195</v>
      </c>
      <c r="D597" s="4" t="s">
        <v>1782</v>
      </c>
      <c r="E597" s="4" t="s">
        <v>1968</v>
      </c>
      <c r="F597" s="4">
        <v>4</v>
      </c>
      <c r="G597" s="4">
        <v>790.38</v>
      </c>
      <c r="H597" s="4">
        <v>0.22</v>
      </c>
      <c r="I597" s="4" t="s">
        <v>2004</v>
      </c>
      <c r="J597" s="10">
        <v>2465.9856</v>
      </c>
      <c r="K597" s="4" t="str">
        <f t="shared" si="63"/>
        <v>23-11-2024</v>
      </c>
      <c r="L597" s="4" t="str">
        <f>TEXT(Sales_Fact!$B597,"mmm")</f>
        <v>Nov</v>
      </c>
      <c r="M597" s="4">
        <f t="shared" si="64"/>
        <v>4</v>
      </c>
      <c r="N597" s="10">
        <f t="shared" si="65"/>
        <v>790.38</v>
      </c>
      <c r="O597" s="10">
        <f t="shared" si="66"/>
        <v>2465.9856</v>
      </c>
      <c r="P597" s="10">
        <f t="shared" si="67"/>
        <v>3161.52</v>
      </c>
      <c r="Q597" s="3">
        <f t="shared" si="68"/>
        <v>0.22</v>
      </c>
      <c r="R597" s="4" t="str">
        <f>IF(Sales_Fact!$O597&gt;1000,"High","Low")</f>
        <v>High</v>
      </c>
      <c r="S597" s="4" t="str">
        <f>VLOOKUP(C597,Customer_Dim!$A:$N,9,FALSE())</f>
        <v>James Orozco</v>
      </c>
      <c r="T597" s="4" t="str">
        <f>VLOOKUP(D597,Product_Dim!$A:$M,3,FALSE())</f>
        <v>Beauty</v>
      </c>
      <c r="U597" s="11" t="str">
        <f>VLOOKUP(D597,Product_Dim!$A:$M,2,FALSE())</f>
        <v>Men's Hair Styling Gel</v>
      </c>
      <c r="V597" s="11" t="str">
        <f>VLOOKUP(E597,Store_Dim!$A:$E,3,FALSE())</f>
        <v>East</v>
      </c>
      <c r="W597" s="11" t="str">
        <f>VLOOKUP(C597,Customer_Dim!$A:$N,13,FALSE())</f>
        <v>Gold</v>
      </c>
      <c r="X597" s="11" t="str">
        <f t="shared" si="69"/>
        <v>High</v>
      </c>
    </row>
    <row r="598" spans="1:24" ht="15.75" customHeight="1">
      <c r="A598" s="4" t="s">
        <v>2594</v>
      </c>
      <c r="B598" s="9">
        <v>45533</v>
      </c>
      <c r="C598" s="4" t="s">
        <v>885</v>
      </c>
      <c r="D598" s="4" t="s">
        <v>1782</v>
      </c>
      <c r="E598" s="4" t="s">
        <v>1965</v>
      </c>
      <c r="F598" s="4">
        <v>2</v>
      </c>
      <c r="G598" s="4">
        <v>102.85</v>
      </c>
      <c r="H598" s="4">
        <v>0.08</v>
      </c>
      <c r="I598" s="4" t="s">
        <v>1998</v>
      </c>
      <c r="J598" s="10">
        <v>189.244</v>
      </c>
      <c r="K598" s="4" t="str">
        <f t="shared" si="63"/>
        <v>29-08-2024</v>
      </c>
      <c r="L598" s="4" t="str">
        <f>TEXT(Sales_Fact!$B598,"mmm")</f>
        <v>Aug</v>
      </c>
      <c r="M598" s="4">
        <f t="shared" si="64"/>
        <v>2</v>
      </c>
      <c r="N598" s="10">
        <f t="shared" si="65"/>
        <v>102.85</v>
      </c>
      <c r="O598" s="10">
        <f t="shared" si="66"/>
        <v>189.244</v>
      </c>
      <c r="P598" s="10">
        <f t="shared" si="67"/>
        <v>205.7</v>
      </c>
      <c r="Q598" s="3">
        <f t="shared" si="68"/>
        <v>7.9999999999999946E-2</v>
      </c>
      <c r="R598" s="4" t="str">
        <f>IF(Sales_Fact!$O598&gt;1000,"High","Low")</f>
        <v>Low</v>
      </c>
      <c r="S598" s="4" t="str">
        <f>VLOOKUP(C598,Customer_Dim!$A:$N,9,FALSE())</f>
        <v>Tyrone Olson</v>
      </c>
      <c r="T598" s="4" t="str">
        <f>VLOOKUP(D598,Product_Dim!$A:$M,3,FALSE())</f>
        <v>Beauty</v>
      </c>
      <c r="U598" s="11" t="str">
        <f>VLOOKUP(D598,Product_Dim!$A:$M,2,FALSE())</f>
        <v>Men's Hair Styling Gel</v>
      </c>
      <c r="V598" s="11" t="str">
        <f>VLOOKUP(E598,Store_Dim!$A:$E,3,FALSE())</f>
        <v>North</v>
      </c>
      <c r="W598" s="11" t="str">
        <f>VLOOKUP(C598,Customer_Dim!$A:$N,13,FALSE())</f>
        <v>Silver</v>
      </c>
      <c r="X598" s="11" t="str">
        <f t="shared" si="69"/>
        <v>Low</v>
      </c>
    </row>
    <row r="599" spans="1:24" ht="15.75" customHeight="1">
      <c r="A599" s="4" t="s">
        <v>2595</v>
      </c>
      <c r="B599" s="9">
        <v>45781</v>
      </c>
      <c r="C599" s="4" t="s">
        <v>174</v>
      </c>
      <c r="D599" s="4" t="s">
        <v>1626</v>
      </c>
      <c r="E599" s="4" t="s">
        <v>1962</v>
      </c>
      <c r="F599" s="4">
        <v>3</v>
      </c>
      <c r="G599" s="4">
        <v>866.78</v>
      </c>
      <c r="H599" s="4">
        <v>0.27</v>
      </c>
      <c r="I599" s="4" t="s">
        <v>1998</v>
      </c>
      <c r="J599" s="10">
        <v>1898.2482</v>
      </c>
      <c r="K599" s="4" t="str">
        <f t="shared" si="63"/>
        <v>04-05-2025</v>
      </c>
      <c r="L599" s="4" t="str">
        <f>TEXT(Sales_Fact!$B599,"mmm")</f>
        <v>May</v>
      </c>
      <c r="M599" s="4">
        <f t="shared" si="64"/>
        <v>3</v>
      </c>
      <c r="N599" s="10">
        <f t="shared" si="65"/>
        <v>866.78</v>
      </c>
      <c r="O599" s="10">
        <f t="shared" si="66"/>
        <v>1898.2482</v>
      </c>
      <c r="P599" s="10">
        <f t="shared" si="67"/>
        <v>2600.34</v>
      </c>
      <c r="Q599" s="3">
        <f t="shared" si="68"/>
        <v>0.27</v>
      </c>
      <c r="R599" s="4" t="str">
        <f>IF(Sales_Fact!$O599&gt;1000,"High","Low")</f>
        <v>High</v>
      </c>
      <c r="S599" s="4" t="str">
        <f>VLOOKUP(C599,Customer_Dim!$A:$N,9,FALSE())</f>
        <v>Tonya Reynolds</v>
      </c>
      <c r="T599" s="4" t="str">
        <f>VLOOKUP(D599,Product_Dim!$A:$M,3,FALSE())</f>
        <v>Electronics</v>
      </c>
      <c r="U599" s="11" t="str">
        <f>VLOOKUP(D599,Product_Dim!$A:$M,2,FALSE())</f>
        <v>HD Smart TV Stick</v>
      </c>
      <c r="V599" s="11" t="str">
        <f>VLOOKUP(E599,Store_Dim!$A:$E,3,FALSE())</f>
        <v>West</v>
      </c>
      <c r="W599" s="11" t="str">
        <f>VLOOKUP(C599,Customer_Dim!$A:$N,13,FALSE())</f>
        <v>Gold</v>
      </c>
      <c r="X599" s="11" t="str">
        <f t="shared" si="69"/>
        <v>Low</v>
      </c>
    </row>
    <row r="600" spans="1:24" ht="15.75" customHeight="1">
      <c r="A600" s="4" t="s">
        <v>2596</v>
      </c>
      <c r="B600" s="9">
        <v>45378</v>
      </c>
      <c r="C600" s="4" t="s">
        <v>703</v>
      </c>
      <c r="D600" s="4" t="s">
        <v>1840</v>
      </c>
      <c r="E600" s="4" t="s">
        <v>1962</v>
      </c>
      <c r="F600" s="4">
        <v>3</v>
      </c>
      <c r="G600" s="4">
        <v>392.84</v>
      </c>
      <c r="H600" s="4">
        <v>0.27</v>
      </c>
      <c r="I600" s="4" t="s">
        <v>1998</v>
      </c>
      <c r="J600" s="10">
        <v>860.31960000000004</v>
      </c>
      <c r="K600" s="4" t="str">
        <f t="shared" si="63"/>
        <v>27-03-2024</v>
      </c>
      <c r="L600" s="4" t="str">
        <f>TEXT(Sales_Fact!$B600,"mmm")</f>
        <v>Mar</v>
      </c>
      <c r="M600" s="4">
        <f t="shared" si="64"/>
        <v>3</v>
      </c>
      <c r="N600" s="10">
        <f t="shared" si="65"/>
        <v>392.84</v>
      </c>
      <c r="O600" s="10">
        <f t="shared" si="66"/>
        <v>860.31959999999992</v>
      </c>
      <c r="P600" s="10">
        <f t="shared" si="67"/>
        <v>1178.52</v>
      </c>
      <c r="Q600" s="3">
        <f t="shared" si="68"/>
        <v>0.27000000000000007</v>
      </c>
      <c r="R600" s="4" t="str">
        <f>IF(Sales_Fact!$O600&gt;1000,"High","Low")</f>
        <v>Low</v>
      </c>
      <c r="S600" s="4" t="str">
        <f>VLOOKUP(C600,Customer_Dim!$A:$N,9,FALSE())</f>
        <v>John Perez</v>
      </c>
      <c r="T600" s="4" t="str">
        <f>VLOOKUP(D600,Product_Dim!$A:$M,3,FALSE())</f>
        <v>Home</v>
      </c>
      <c r="U600" s="11" t="str">
        <f>VLOOKUP(D600,Product_Dim!$A:$M,2,FALSE())</f>
        <v>Essential Oil Diffuser</v>
      </c>
      <c r="V600" s="11" t="str">
        <f>VLOOKUP(E600,Store_Dim!$A:$E,3,FALSE())</f>
        <v>West</v>
      </c>
      <c r="W600" s="11" t="str">
        <f>VLOOKUP(C600,Customer_Dim!$A:$N,13,FALSE())</f>
        <v>Platinum</v>
      </c>
      <c r="X600" s="11" t="str">
        <f t="shared" si="69"/>
        <v>Low</v>
      </c>
    </row>
    <row r="601" spans="1:24" ht="15.75" customHeight="1">
      <c r="A601" s="4" t="s">
        <v>2597</v>
      </c>
      <c r="B601" s="9">
        <v>45688</v>
      </c>
      <c r="C601" s="4" t="s">
        <v>1045</v>
      </c>
      <c r="D601" s="4" t="s">
        <v>1617</v>
      </c>
      <c r="E601" s="4" t="s">
        <v>1931</v>
      </c>
      <c r="F601" s="4">
        <v>2</v>
      </c>
      <c r="G601" s="4">
        <v>753.1</v>
      </c>
      <c r="H601" s="4">
        <v>0.19</v>
      </c>
      <c r="I601" s="4" t="s">
        <v>1998</v>
      </c>
      <c r="J601" s="10">
        <v>1220.0219999999999</v>
      </c>
      <c r="K601" s="4" t="str">
        <f t="shared" si="63"/>
        <v>31-01-2025</v>
      </c>
      <c r="L601" s="4" t="str">
        <f>TEXT(Sales_Fact!$B601,"mmm")</f>
        <v>Jan</v>
      </c>
      <c r="M601" s="4">
        <f t="shared" si="64"/>
        <v>2</v>
      </c>
      <c r="N601" s="10">
        <f t="shared" si="65"/>
        <v>753.1</v>
      </c>
      <c r="O601" s="10">
        <f t="shared" si="66"/>
        <v>1220.0220000000002</v>
      </c>
      <c r="P601" s="10">
        <f t="shared" si="67"/>
        <v>1506.2</v>
      </c>
      <c r="Q601" s="3">
        <f t="shared" si="68"/>
        <v>0.18999999999999992</v>
      </c>
      <c r="R601" s="4" t="str">
        <f>IF(Sales_Fact!$O601&gt;1000,"High","Low")</f>
        <v>High</v>
      </c>
      <c r="S601" s="4" t="str">
        <f>VLOOKUP(C601,Customer_Dim!$A:$N,9,FALSE())</f>
        <v>Kristy Dunlap</v>
      </c>
      <c r="T601" s="4" t="str">
        <f>VLOOKUP(D601,Product_Dim!$A:$M,3,FALSE())</f>
        <v>Sports</v>
      </c>
      <c r="U601" s="11" t="str">
        <f>VLOOKUP(D601,Product_Dim!$A:$M,2,FALSE())</f>
        <v>Adjustable Dumbbell Set</v>
      </c>
      <c r="V601" s="11" t="str">
        <f>VLOOKUP(E601,Store_Dim!$A:$E,3,FALSE())</f>
        <v>North</v>
      </c>
      <c r="W601" s="11" t="str">
        <f>VLOOKUP(C601,Customer_Dim!$A:$N,13,FALSE())</f>
        <v>Platinum</v>
      </c>
      <c r="X601" s="11" t="str">
        <f t="shared" si="69"/>
        <v>Low</v>
      </c>
    </row>
    <row r="602" spans="1:24" ht="15.75" customHeight="1">
      <c r="A602" s="4" t="s">
        <v>2598</v>
      </c>
      <c r="B602" s="9">
        <v>45927</v>
      </c>
      <c r="C602" s="4" t="s">
        <v>59</v>
      </c>
      <c r="D602" s="4" t="s">
        <v>1767</v>
      </c>
      <c r="E602" s="4" t="s">
        <v>1965</v>
      </c>
      <c r="F602" s="4">
        <v>2</v>
      </c>
      <c r="G602" s="4">
        <v>700.91</v>
      </c>
      <c r="H602" s="4">
        <v>0.1</v>
      </c>
      <c r="I602" s="4" t="s">
        <v>1998</v>
      </c>
      <c r="J602" s="10">
        <v>1261.6379999999999</v>
      </c>
      <c r="K602" s="4" t="str">
        <f t="shared" si="63"/>
        <v>27-09-2025</v>
      </c>
      <c r="L602" s="4" t="str">
        <f>TEXT(Sales_Fact!$B602,"mmm")</f>
        <v>Sep</v>
      </c>
      <c r="M602" s="4">
        <f t="shared" si="64"/>
        <v>2</v>
      </c>
      <c r="N602" s="10">
        <f t="shared" si="65"/>
        <v>700.91</v>
      </c>
      <c r="O602" s="10">
        <f t="shared" si="66"/>
        <v>1261.6379999999999</v>
      </c>
      <c r="P602" s="10">
        <f t="shared" si="67"/>
        <v>1401.82</v>
      </c>
      <c r="Q602" s="3">
        <f t="shared" si="68"/>
        <v>0.10000000000000002</v>
      </c>
      <c r="R602" s="4" t="str">
        <f>IF(Sales_Fact!$O602&gt;1000,"High","Low")</f>
        <v>High</v>
      </c>
      <c r="S602" s="4" t="str">
        <f>VLOOKUP(C602,Customer_Dim!$A:$N,9,FALSE())</f>
        <v>Daniel Boyd</v>
      </c>
      <c r="T602" s="4" t="str">
        <f>VLOOKUP(D602,Product_Dim!$A:$M,3,FALSE())</f>
        <v>Sports</v>
      </c>
      <c r="U602" s="11" t="str">
        <f>VLOOKUP(D602,Product_Dim!$A:$M,2,FALSE())</f>
        <v>Sports Stopwatch Pro</v>
      </c>
      <c r="V602" s="11" t="str">
        <f>VLOOKUP(E602,Store_Dim!$A:$E,3,FALSE())</f>
        <v>North</v>
      </c>
      <c r="W602" s="11" t="str">
        <f>VLOOKUP(C602,Customer_Dim!$A:$N,13,FALSE())</f>
        <v>Bronze</v>
      </c>
      <c r="X602" s="11" t="str">
        <f t="shared" si="69"/>
        <v>Low</v>
      </c>
    </row>
    <row r="603" spans="1:24" ht="15.75" customHeight="1">
      <c r="A603" s="4" t="s">
        <v>2599</v>
      </c>
      <c r="B603" s="9">
        <v>45775</v>
      </c>
      <c r="C603" s="4" t="s">
        <v>285</v>
      </c>
      <c r="D603" s="4" t="s">
        <v>1640</v>
      </c>
      <c r="E603" s="4" t="s">
        <v>1952</v>
      </c>
      <c r="F603" s="4">
        <v>4</v>
      </c>
      <c r="G603" s="4">
        <v>935.98</v>
      </c>
      <c r="H603" s="4">
        <v>0.11</v>
      </c>
      <c r="I603" s="4" t="s">
        <v>1998</v>
      </c>
      <c r="J603" s="10">
        <v>3332.0888</v>
      </c>
      <c r="K603" s="4" t="str">
        <f t="shared" si="63"/>
        <v>28-04-2025</v>
      </c>
      <c r="L603" s="4" t="str">
        <f>TEXT(Sales_Fact!$B603,"mmm")</f>
        <v>Apr</v>
      </c>
      <c r="M603" s="4">
        <f t="shared" si="64"/>
        <v>4</v>
      </c>
      <c r="N603" s="10">
        <f t="shared" si="65"/>
        <v>935.98</v>
      </c>
      <c r="O603" s="10">
        <f t="shared" si="66"/>
        <v>3332.0888</v>
      </c>
      <c r="P603" s="10">
        <f t="shared" si="67"/>
        <v>3743.92</v>
      </c>
      <c r="Q603" s="3">
        <f t="shared" si="68"/>
        <v>0.11000000000000001</v>
      </c>
      <c r="R603" s="4" t="str">
        <f>IF(Sales_Fact!$O603&gt;1000,"High","Low")</f>
        <v>High</v>
      </c>
      <c r="S603" s="4" t="str">
        <f>VLOOKUP(C603,Customer_Dim!$A:$N,9,FALSE())</f>
        <v>Tonya Burch</v>
      </c>
      <c r="T603" s="4" t="str">
        <f>VLOOKUP(D603,Product_Dim!$A:$M,3,FALSE())</f>
        <v>Electronics</v>
      </c>
      <c r="U603" s="11" t="str">
        <f>VLOOKUP(D603,Product_Dim!$A:$M,2,FALSE())</f>
        <v>4K Home Projector</v>
      </c>
      <c r="V603" s="11" t="str">
        <f>VLOOKUP(E603,Store_Dim!$A:$E,3,FALSE())</f>
        <v>North</v>
      </c>
      <c r="W603" s="11" t="str">
        <f>VLOOKUP(C603,Customer_Dim!$A:$N,13,FALSE())</f>
        <v>Gold</v>
      </c>
      <c r="X603" s="11" t="str">
        <f t="shared" si="69"/>
        <v>High</v>
      </c>
    </row>
    <row r="604" spans="1:24" ht="15.75" customHeight="1">
      <c r="A604" s="4" t="s">
        <v>2600</v>
      </c>
      <c r="B604" s="9">
        <v>45613</v>
      </c>
      <c r="C604" s="4" t="s">
        <v>1289</v>
      </c>
      <c r="D604" s="4" t="s">
        <v>1748</v>
      </c>
      <c r="E604" s="4" t="s">
        <v>1919</v>
      </c>
      <c r="F604" s="4">
        <v>1</v>
      </c>
      <c r="G604" s="4">
        <v>345.06</v>
      </c>
      <c r="H604" s="4">
        <v>0.13</v>
      </c>
      <c r="I604" s="4" t="s">
        <v>2004</v>
      </c>
      <c r="J604" s="10">
        <v>300.2022</v>
      </c>
      <c r="K604" s="4" t="str">
        <f t="shared" si="63"/>
        <v>17-11-2024</v>
      </c>
      <c r="L604" s="4" t="str">
        <f>TEXT(Sales_Fact!$B604,"mmm")</f>
        <v>Nov</v>
      </c>
      <c r="M604" s="4">
        <f t="shared" si="64"/>
        <v>1</v>
      </c>
      <c r="N604" s="10">
        <f t="shared" si="65"/>
        <v>345.06</v>
      </c>
      <c r="O604" s="10">
        <f t="shared" si="66"/>
        <v>300.2022</v>
      </c>
      <c r="P604" s="10">
        <f t="shared" si="67"/>
        <v>345.06</v>
      </c>
      <c r="Q604" s="3">
        <f t="shared" si="68"/>
        <v>0.13</v>
      </c>
      <c r="R604" s="4" t="str">
        <f>IF(Sales_Fact!$O604&gt;1000,"High","Low")</f>
        <v>Low</v>
      </c>
      <c r="S604" s="4" t="str">
        <f>VLOOKUP(C604,Customer_Dim!$A:$N,9,FALSE())</f>
        <v>Eric Wolfe</v>
      </c>
      <c r="T604" s="4" t="str">
        <f>VLOOKUP(D604,Product_Dim!$A:$M,3,FALSE())</f>
        <v>Electronics</v>
      </c>
      <c r="U604" s="11" t="str">
        <f>VLOOKUP(D604,Product_Dim!$A:$M,2,FALSE())</f>
        <v>Car Dashboard Phone Holder</v>
      </c>
      <c r="V604" s="11" t="str">
        <f>VLOOKUP(E604,Store_Dim!$A:$E,3,FALSE())</f>
        <v>South</v>
      </c>
      <c r="W604" s="11" t="str">
        <f>VLOOKUP(C604,Customer_Dim!$A:$N,13,FALSE())</f>
        <v>Gold</v>
      </c>
      <c r="X604" s="11" t="str">
        <f t="shared" si="69"/>
        <v>Low</v>
      </c>
    </row>
    <row r="605" spans="1:24" ht="15.75" customHeight="1">
      <c r="A605" s="4" t="s">
        <v>2601</v>
      </c>
      <c r="B605" s="9">
        <v>45849</v>
      </c>
      <c r="C605" s="4" t="s">
        <v>1521</v>
      </c>
      <c r="D605" s="4" t="s">
        <v>1834</v>
      </c>
      <c r="E605" s="4" t="s">
        <v>1962</v>
      </c>
      <c r="F605" s="4">
        <v>1</v>
      </c>
      <c r="G605" s="4">
        <v>539.9</v>
      </c>
      <c r="H605" s="4">
        <v>7.0000000000000007E-2</v>
      </c>
      <c r="I605" s="4" t="s">
        <v>1996</v>
      </c>
      <c r="J605" s="10">
        <v>502.10700000000003</v>
      </c>
      <c r="K605" s="4" t="str">
        <f t="shared" si="63"/>
        <v>11-07-2025</v>
      </c>
      <c r="L605" s="4" t="str">
        <f>TEXT(Sales_Fact!$B605,"mmm")</f>
        <v>Jul</v>
      </c>
      <c r="M605" s="4">
        <f t="shared" si="64"/>
        <v>1</v>
      </c>
      <c r="N605" s="10">
        <f t="shared" si="65"/>
        <v>539.9</v>
      </c>
      <c r="O605" s="10">
        <f t="shared" si="66"/>
        <v>502.10699999999997</v>
      </c>
      <c r="P605" s="10">
        <f t="shared" si="67"/>
        <v>539.9</v>
      </c>
      <c r="Q605" s="3">
        <f t="shared" si="68"/>
        <v>7.0000000000000021E-2</v>
      </c>
      <c r="R605" s="4" t="str">
        <f>IF(Sales_Fact!$O605&gt;1000,"High","Low")</f>
        <v>Low</v>
      </c>
      <c r="S605" s="4" t="str">
        <f>VLOOKUP(C605,Customer_Dim!$A:$N,9,FALSE())</f>
        <v>Sara Ingram</v>
      </c>
      <c r="T605" s="4" t="str">
        <f>VLOOKUP(D605,Product_Dim!$A:$M,3,FALSE())</f>
        <v>Electronics</v>
      </c>
      <c r="U605" s="11" t="str">
        <f>VLOOKUP(D605,Product_Dim!$A:$M,2,FALSE())</f>
        <v>Wireless Mouse</v>
      </c>
      <c r="V605" s="11" t="str">
        <f>VLOOKUP(E605,Store_Dim!$A:$E,3,FALSE())</f>
        <v>West</v>
      </c>
      <c r="W605" s="11" t="str">
        <f>VLOOKUP(C605,Customer_Dim!$A:$N,13,FALSE())</f>
        <v>Bronze</v>
      </c>
      <c r="X605" s="11" t="str">
        <f t="shared" si="69"/>
        <v>Low</v>
      </c>
    </row>
    <row r="606" spans="1:24" ht="15.75" customHeight="1">
      <c r="A606" s="4" t="s">
        <v>2602</v>
      </c>
      <c r="B606" s="9">
        <v>45573</v>
      </c>
      <c r="C606" s="4" t="s">
        <v>592</v>
      </c>
      <c r="D606" s="4" t="s">
        <v>1723</v>
      </c>
      <c r="E606" s="4" t="s">
        <v>1934</v>
      </c>
      <c r="F606" s="4">
        <v>1</v>
      </c>
      <c r="G606" s="4">
        <v>312.81</v>
      </c>
      <c r="H606" s="4">
        <v>0.14000000000000001</v>
      </c>
      <c r="I606" s="4" t="s">
        <v>1998</v>
      </c>
      <c r="J606" s="10">
        <v>269.01659999999998</v>
      </c>
      <c r="K606" s="4" t="str">
        <f t="shared" si="63"/>
        <v>08-10-2024</v>
      </c>
      <c r="L606" s="4" t="str">
        <f>TEXT(Sales_Fact!$B606,"mmm")</f>
        <v>Oct</v>
      </c>
      <c r="M606" s="4">
        <f t="shared" si="64"/>
        <v>1</v>
      </c>
      <c r="N606" s="10">
        <f t="shared" si="65"/>
        <v>312.81</v>
      </c>
      <c r="O606" s="10">
        <f t="shared" si="66"/>
        <v>269.01659999999998</v>
      </c>
      <c r="P606" s="10">
        <f t="shared" si="67"/>
        <v>312.81</v>
      </c>
      <c r="Q606" s="3">
        <f t="shared" si="68"/>
        <v>0.14000000000000007</v>
      </c>
      <c r="R606" s="4" t="str">
        <f>IF(Sales_Fact!$O606&gt;1000,"High","Low")</f>
        <v>Low</v>
      </c>
      <c r="S606" s="4" t="str">
        <f>VLOOKUP(C606,Customer_Dim!$A:$N,9,FALSE())</f>
        <v>Amy Wilson</v>
      </c>
      <c r="T606" s="4" t="str">
        <f>VLOOKUP(D606,Product_Dim!$A:$M,3,FALSE())</f>
        <v>Electronics</v>
      </c>
      <c r="U606" s="11" t="str">
        <f>VLOOKUP(D606,Product_Dim!$A:$M,2,FALSE())</f>
        <v>Noise-Canceling Headphones</v>
      </c>
      <c r="V606" s="11" t="str">
        <f>VLOOKUP(E606,Store_Dim!$A:$E,3,FALSE())</f>
        <v>East</v>
      </c>
      <c r="W606" s="11" t="str">
        <f>VLOOKUP(C606,Customer_Dim!$A:$N,13,FALSE())</f>
        <v>Platinum</v>
      </c>
      <c r="X606" s="11" t="str">
        <f t="shared" si="69"/>
        <v>Low</v>
      </c>
    </row>
    <row r="607" spans="1:24" ht="15.75" customHeight="1">
      <c r="A607" s="4" t="s">
        <v>2603</v>
      </c>
      <c r="B607" s="9">
        <v>45356</v>
      </c>
      <c r="C607" s="4" t="s">
        <v>825</v>
      </c>
      <c r="D607" s="4" t="s">
        <v>1748</v>
      </c>
      <c r="E607" s="4" t="s">
        <v>1937</v>
      </c>
      <c r="F607" s="4">
        <v>3</v>
      </c>
      <c r="G607" s="4">
        <v>855.96</v>
      </c>
      <c r="H607" s="4">
        <v>0.28999999999999998</v>
      </c>
      <c r="I607" s="4" t="s">
        <v>2004</v>
      </c>
      <c r="J607" s="10">
        <v>1823.1948</v>
      </c>
      <c r="K607" s="4" t="str">
        <f t="shared" si="63"/>
        <v>05-03-2024</v>
      </c>
      <c r="L607" s="4" t="str">
        <f>TEXT(Sales_Fact!$B607,"mmm")</f>
        <v>Mar</v>
      </c>
      <c r="M607" s="4">
        <f t="shared" si="64"/>
        <v>3</v>
      </c>
      <c r="N607" s="10">
        <f t="shared" si="65"/>
        <v>855.96</v>
      </c>
      <c r="O607" s="10">
        <f t="shared" si="66"/>
        <v>1823.1948</v>
      </c>
      <c r="P607" s="10">
        <f t="shared" si="67"/>
        <v>2567.88</v>
      </c>
      <c r="Q607" s="3">
        <f t="shared" si="68"/>
        <v>0.29000000000000004</v>
      </c>
      <c r="R607" s="4" t="str">
        <f>IF(Sales_Fact!$O607&gt;1000,"High","Low")</f>
        <v>High</v>
      </c>
      <c r="S607" s="4" t="str">
        <f>VLOOKUP(C607,Customer_Dim!$A:$N,9,FALSE())</f>
        <v>Lauren George</v>
      </c>
      <c r="T607" s="4" t="str">
        <f>VLOOKUP(D607,Product_Dim!$A:$M,3,FALSE())</f>
        <v>Electronics</v>
      </c>
      <c r="U607" s="11" t="str">
        <f>VLOOKUP(D607,Product_Dim!$A:$M,2,FALSE())</f>
        <v>Car Dashboard Phone Holder</v>
      </c>
      <c r="V607" s="11" t="str">
        <f>VLOOKUP(E607,Store_Dim!$A:$E,3,FALSE())</f>
        <v>South</v>
      </c>
      <c r="W607" s="11" t="str">
        <f>VLOOKUP(C607,Customer_Dim!$A:$N,13,FALSE())</f>
        <v>Gold</v>
      </c>
      <c r="X607" s="11" t="str">
        <f t="shared" si="69"/>
        <v>Low</v>
      </c>
    </row>
    <row r="608" spans="1:24" ht="15.75" customHeight="1">
      <c r="A608" s="4" t="s">
        <v>2604</v>
      </c>
      <c r="B608" s="9">
        <v>45326</v>
      </c>
      <c r="C608" s="4" t="s">
        <v>1141</v>
      </c>
      <c r="D608" s="4" t="s">
        <v>1583</v>
      </c>
      <c r="E608" s="4" t="s">
        <v>1950</v>
      </c>
      <c r="F608" s="4">
        <v>3</v>
      </c>
      <c r="G608" s="4">
        <v>305</v>
      </c>
      <c r="H608" s="4">
        <v>0.01</v>
      </c>
      <c r="I608" s="4" t="s">
        <v>2004</v>
      </c>
      <c r="J608" s="10">
        <v>905.85</v>
      </c>
      <c r="K608" s="4" t="str">
        <f t="shared" si="63"/>
        <v>04-02-2024</v>
      </c>
      <c r="L608" s="4" t="str">
        <f>TEXT(Sales_Fact!$B608,"mmm")</f>
        <v>Feb</v>
      </c>
      <c r="M608" s="4">
        <f t="shared" si="64"/>
        <v>3</v>
      </c>
      <c r="N608" s="10">
        <f t="shared" si="65"/>
        <v>305</v>
      </c>
      <c r="O608" s="10">
        <f t="shared" si="66"/>
        <v>905.85</v>
      </c>
      <c r="P608" s="10">
        <f t="shared" si="67"/>
        <v>915</v>
      </c>
      <c r="Q608" s="3">
        <f t="shared" si="68"/>
        <v>9.9999999999999759E-3</v>
      </c>
      <c r="R608" s="4" t="str">
        <f>IF(Sales_Fact!$O608&gt;1000,"High","Low")</f>
        <v>Low</v>
      </c>
      <c r="S608" s="4" t="str">
        <f>VLOOKUP(C608,Customer_Dim!$A:$N,9,FALSE())</f>
        <v>Carlos Flores</v>
      </c>
      <c r="T608" s="4" t="str">
        <f>VLOOKUP(D608,Product_Dim!$A:$M,3,FALSE())</f>
        <v>Clothing</v>
      </c>
      <c r="U608" s="11" t="str">
        <f>VLOOKUP(D608,Product_Dim!$A:$M,2,FALSE())</f>
        <v>Men's Graphic T-Shirt</v>
      </c>
      <c r="V608" s="11" t="str">
        <f>VLOOKUP(E608,Store_Dim!$A:$E,3,FALSE())</f>
        <v>South</v>
      </c>
      <c r="W608" s="11" t="str">
        <f>VLOOKUP(C608,Customer_Dim!$A:$N,13,FALSE())</f>
        <v>Gold</v>
      </c>
      <c r="X608" s="11" t="str">
        <f t="shared" si="69"/>
        <v>Low</v>
      </c>
    </row>
    <row r="609" spans="1:24" ht="15.75" customHeight="1">
      <c r="A609" s="4" t="s">
        <v>2605</v>
      </c>
      <c r="B609" s="9">
        <v>45361</v>
      </c>
      <c r="C609" s="4" t="s">
        <v>1472</v>
      </c>
      <c r="D609" s="4" t="s">
        <v>1903</v>
      </c>
      <c r="E609" s="4" t="s">
        <v>1952</v>
      </c>
      <c r="F609" s="4">
        <v>3</v>
      </c>
      <c r="G609" s="4">
        <v>831.15</v>
      </c>
      <c r="H609" s="4">
        <v>0.19</v>
      </c>
      <c r="I609" s="4" t="s">
        <v>1996</v>
      </c>
      <c r="J609" s="10">
        <v>2019.6945000000001</v>
      </c>
      <c r="K609" s="4" t="str">
        <f t="shared" si="63"/>
        <v>10-03-2024</v>
      </c>
      <c r="L609" s="4" t="str">
        <f>TEXT(Sales_Fact!$B609,"mmm")</f>
        <v>Mar</v>
      </c>
      <c r="M609" s="4">
        <f t="shared" si="64"/>
        <v>3</v>
      </c>
      <c r="N609" s="10">
        <f t="shared" si="65"/>
        <v>831.15</v>
      </c>
      <c r="O609" s="10">
        <f t="shared" si="66"/>
        <v>2019.6945000000001</v>
      </c>
      <c r="P609" s="10">
        <f t="shared" si="67"/>
        <v>2493.4499999999998</v>
      </c>
      <c r="Q609" s="3">
        <f t="shared" si="68"/>
        <v>0.18999999999999992</v>
      </c>
      <c r="R609" s="4" t="str">
        <f>IF(Sales_Fact!$O609&gt;1000,"High","Low")</f>
        <v>High</v>
      </c>
      <c r="S609" s="4" t="str">
        <f>VLOOKUP(C609,Customer_Dim!$A:$N,9,FALSE())</f>
        <v>Gregory Curtis</v>
      </c>
      <c r="T609" s="4" t="str">
        <f>VLOOKUP(D609,Product_Dim!$A:$M,3,FALSE())</f>
        <v>Home</v>
      </c>
      <c r="U609" s="11" t="str">
        <f>VLOOKUP(D609,Product_Dim!$A:$M,2,FALSE())</f>
        <v>Stainless Steel Cookware Set</v>
      </c>
      <c r="V609" s="11" t="str">
        <f>VLOOKUP(E609,Store_Dim!$A:$E,3,FALSE())</f>
        <v>North</v>
      </c>
      <c r="W609" s="11" t="str">
        <f>VLOOKUP(C609,Customer_Dim!$A:$N,13,FALSE())</f>
        <v>Bronze</v>
      </c>
      <c r="X609" s="11" t="str">
        <f t="shared" si="69"/>
        <v>Low</v>
      </c>
    </row>
    <row r="610" spans="1:24" ht="15.75" customHeight="1">
      <c r="A610" s="4" t="s">
        <v>2606</v>
      </c>
      <c r="B610" s="9">
        <v>45926</v>
      </c>
      <c r="C610" s="4" t="s">
        <v>700</v>
      </c>
      <c r="D610" s="4" t="s">
        <v>1894</v>
      </c>
      <c r="E610" s="4" t="s">
        <v>1924</v>
      </c>
      <c r="F610" s="4">
        <v>2</v>
      </c>
      <c r="G610" s="4">
        <v>644.97</v>
      </c>
      <c r="H610" s="4">
        <v>0.24</v>
      </c>
      <c r="I610" s="4" t="s">
        <v>2004</v>
      </c>
      <c r="J610" s="10">
        <v>980.35440000000006</v>
      </c>
      <c r="K610" s="4" t="str">
        <f t="shared" si="63"/>
        <v>26-09-2025</v>
      </c>
      <c r="L610" s="4" t="str">
        <f>TEXT(Sales_Fact!$B610,"mmm")</f>
        <v>Sep</v>
      </c>
      <c r="M610" s="4">
        <f t="shared" si="64"/>
        <v>2</v>
      </c>
      <c r="N610" s="10">
        <f t="shared" si="65"/>
        <v>644.97</v>
      </c>
      <c r="O610" s="10">
        <f t="shared" si="66"/>
        <v>980.35440000000006</v>
      </c>
      <c r="P610" s="10">
        <f t="shared" si="67"/>
        <v>1289.94</v>
      </c>
      <c r="Q610" s="3">
        <f t="shared" si="68"/>
        <v>0.24</v>
      </c>
      <c r="R610" s="4" t="str">
        <f>IF(Sales_Fact!$O610&gt;1000,"High","Low")</f>
        <v>Low</v>
      </c>
      <c r="S610" s="4" t="str">
        <f>VLOOKUP(C610,Customer_Dim!$A:$N,9,FALSE())</f>
        <v>Jacqueline Pacheco</v>
      </c>
      <c r="T610" s="4" t="str">
        <f>VLOOKUP(D610,Product_Dim!$A:$M,3,FALSE())</f>
        <v>Clothing</v>
      </c>
      <c r="U610" s="11" t="str">
        <f>VLOOKUP(D610,Product_Dim!$A:$M,2,FALSE())</f>
        <v>Women's Formal Blazer</v>
      </c>
      <c r="V610" s="11" t="str">
        <f>VLOOKUP(E610,Store_Dim!$A:$E,3,FALSE())</f>
        <v>North</v>
      </c>
      <c r="W610" s="11" t="str">
        <f>VLOOKUP(C610,Customer_Dim!$A:$N,13,FALSE())</f>
        <v>Bronze</v>
      </c>
      <c r="X610" s="11" t="str">
        <f t="shared" si="69"/>
        <v>Low</v>
      </c>
    </row>
    <row r="611" spans="1:24" ht="15.75" customHeight="1">
      <c r="A611" s="4" t="s">
        <v>2607</v>
      </c>
      <c r="B611" s="9">
        <v>45839</v>
      </c>
      <c r="C611" s="4" t="s">
        <v>362</v>
      </c>
      <c r="D611" s="4" t="s">
        <v>1870</v>
      </c>
      <c r="E611" s="4" t="s">
        <v>1915</v>
      </c>
      <c r="F611" s="4">
        <v>1</v>
      </c>
      <c r="G611" s="4">
        <v>149.56</v>
      </c>
      <c r="H611" s="4">
        <v>0.09</v>
      </c>
      <c r="I611" s="4" t="s">
        <v>1996</v>
      </c>
      <c r="J611" s="10">
        <v>136.09960000000001</v>
      </c>
      <c r="K611" s="4" t="str">
        <f t="shared" si="63"/>
        <v>01-07-2025</v>
      </c>
      <c r="L611" s="4" t="str">
        <f>TEXT(Sales_Fact!$B611,"mmm")</f>
        <v>Jul</v>
      </c>
      <c r="M611" s="4">
        <f t="shared" si="64"/>
        <v>1</v>
      </c>
      <c r="N611" s="10">
        <f t="shared" si="65"/>
        <v>149.56</v>
      </c>
      <c r="O611" s="10">
        <f t="shared" si="66"/>
        <v>136.09960000000001</v>
      </c>
      <c r="P611" s="10">
        <f t="shared" si="67"/>
        <v>149.56</v>
      </c>
      <c r="Q611" s="3">
        <f t="shared" si="68"/>
        <v>8.9999999999999955E-2</v>
      </c>
      <c r="R611" s="4" t="str">
        <f>IF(Sales_Fact!$O611&gt;1000,"High","Low")</f>
        <v>Low</v>
      </c>
      <c r="S611" s="4" t="str">
        <f>VLOOKUP(C611,Customer_Dim!$A:$N,9,FALSE())</f>
        <v>Amy Fowler</v>
      </c>
      <c r="T611" s="4" t="str">
        <f>VLOOKUP(D611,Product_Dim!$A:$M,3,FALSE())</f>
        <v>Sports</v>
      </c>
      <c r="U611" s="11" t="str">
        <f>VLOOKUP(D611,Product_Dim!$A:$M,2,FALSE())</f>
        <v>Sports Wrist Sweatbands</v>
      </c>
      <c r="V611" s="11" t="str">
        <f>VLOOKUP(E611,Store_Dim!$A:$E,3,FALSE())</f>
        <v>North</v>
      </c>
      <c r="W611" s="11" t="str">
        <f>VLOOKUP(C611,Customer_Dim!$A:$N,13,FALSE())</f>
        <v>Platinum</v>
      </c>
      <c r="X611" s="11" t="str">
        <f t="shared" si="69"/>
        <v>Low</v>
      </c>
    </row>
    <row r="612" spans="1:24" ht="15.75" customHeight="1">
      <c r="A612" s="4" t="s">
        <v>2608</v>
      </c>
      <c r="B612" s="9">
        <v>45434</v>
      </c>
      <c r="C612" s="4" t="s">
        <v>730</v>
      </c>
      <c r="D612" s="4" t="s">
        <v>1732</v>
      </c>
      <c r="E612" s="4" t="s">
        <v>1971</v>
      </c>
      <c r="F612" s="4">
        <v>1</v>
      </c>
      <c r="G612" s="4">
        <v>661.77</v>
      </c>
      <c r="H612" s="4">
        <v>0.03</v>
      </c>
      <c r="I612" s="4" t="s">
        <v>1998</v>
      </c>
      <c r="J612" s="10">
        <v>641.91690000000006</v>
      </c>
      <c r="K612" s="4" t="str">
        <f t="shared" si="63"/>
        <v>22-05-2024</v>
      </c>
      <c r="L612" s="4" t="str">
        <f>TEXT(Sales_Fact!$B612,"mmm")</f>
        <v>May</v>
      </c>
      <c r="M612" s="4">
        <f t="shared" si="64"/>
        <v>1</v>
      </c>
      <c r="N612" s="10">
        <f t="shared" si="65"/>
        <v>661.77</v>
      </c>
      <c r="O612" s="10">
        <f t="shared" si="66"/>
        <v>641.91689999999994</v>
      </c>
      <c r="P612" s="10">
        <f t="shared" si="67"/>
        <v>661.77</v>
      </c>
      <c r="Q612" s="3">
        <f t="shared" si="68"/>
        <v>3.0000000000000061E-2</v>
      </c>
      <c r="R612" s="4" t="str">
        <f>IF(Sales_Fact!$O612&gt;1000,"High","Low")</f>
        <v>Low</v>
      </c>
      <c r="S612" s="4" t="str">
        <f>VLOOKUP(C612,Customer_Dim!$A:$N,9,FALSE())</f>
        <v>Kathy Copeland</v>
      </c>
      <c r="T612" s="4" t="str">
        <f>VLOOKUP(D612,Product_Dim!$A:$M,3,FALSE())</f>
        <v>Electronics</v>
      </c>
      <c r="U612" s="11" t="str">
        <f>VLOOKUP(D612,Product_Dim!$A:$M,2,FALSE())</f>
        <v>USB External Hard Drive</v>
      </c>
      <c r="V612" s="11" t="str">
        <f>VLOOKUP(E612,Store_Dim!$A:$E,3,FALSE())</f>
        <v>East</v>
      </c>
      <c r="W612" s="11" t="str">
        <f>VLOOKUP(C612,Customer_Dim!$A:$N,13,FALSE())</f>
        <v>Silver</v>
      </c>
      <c r="X612" s="11" t="str">
        <f t="shared" si="69"/>
        <v>Low</v>
      </c>
    </row>
    <row r="613" spans="1:24" ht="15.75" customHeight="1">
      <c r="A613" s="4" t="s">
        <v>2609</v>
      </c>
      <c r="B613" s="9">
        <v>45819</v>
      </c>
      <c r="C613" s="4" t="s">
        <v>402</v>
      </c>
      <c r="D613" s="4" t="s">
        <v>1888</v>
      </c>
      <c r="E613" s="4" t="s">
        <v>1937</v>
      </c>
      <c r="F613" s="4">
        <v>3</v>
      </c>
      <c r="G613" s="4">
        <v>99.67</v>
      </c>
      <c r="H613" s="4">
        <v>0.17</v>
      </c>
      <c r="I613" s="4" t="s">
        <v>1996</v>
      </c>
      <c r="J613" s="10">
        <v>248.17830000000001</v>
      </c>
      <c r="K613" s="4" t="str">
        <f t="shared" si="63"/>
        <v>11-06-2025</v>
      </c>
      <c r="L613" s="4" t="str">
        <f>TEXT(Sales_Fact!$B613,"mmm")</f>
        <v>Jun</v>
      </c>
      <c r="M613" s="4">
        <f t="shared" si="64"/>
        <v>3</v>
      </c>
      <c r="N613" s="10">
        <f t="shared" si="65"/>
        <v>99.67</v>
      </c>
      <c r="O613" s="10">
        <f t="shared" si="66"/>
        <v>248.17829999999998</v>
      </c>
      <c r="P613" s="10">
        <f t="shared" si="67"/>
        <v>299.01</v>
      </c>
      <c r="Q613" s="3">
        <f t="shared" si="68"/>
        <v>0.17000000000000004</v>
      </c>
      <c r="R613" s="4" t="str">
        <f>IF(Sales_Fact!$O613&gt;1000,"High","Low")</f>
        <v>Low</v>
      </c>
      <c r="S613" s="4" t="str">
        <f>VLOOKUP(C613,Customer_Dim!$A:$N,9,FALSE())</f>
        <v>Travis Holland</v>
      </c>
      <c r="T613" s="4" t="str">
        <f>VLOOKUP(D613,Product_Dim!$A:$M,3,FALSE())</f>
        <v>Beauty</v>
      </c>
      <c r="U613" s="11" t="str">
        <f>VLOOKUP(D613,Product_Dim!$A:$M,2,FALSE())</f>
        <v>Vitamin E Body Lotion</v>
      </c>
      <c r="V613" s="11" t="str">
        <f>VLOOKUP(E613,Store_Dim!$A:$E,3,FALSE())</f>
        <v>South</v>
      </c>
      <c r="W613" s="11" t="str">
        <f>VLOOKUP(C613,Customer_Dim!$A:$N,13,FALSE())</f>
        <v>Bronze</v>
      </c>
      <c r="X613" s="11" t="str">
        <f t="shared" si="69"/>
        <v>Low</v>
      </c>
    </row>
    <row r="614" spans="1:24" ht="15.75" customHeight="1">
      <c r="A614" s="4" t="s">
        <v>2610</v>
      </c>
      <c r="B614" s="9">
        <v>45553</v>
      </c>
      <c r="C614" s="4" t="s">
        <v>743</v>
      </c>
      <c r="D614" s="4" t="s">
        <v>1791</v>
      </c>
      <c r="E614" s="4" t="s">
        <v>1915</v>
      </c>
      <c r="F614" s="4">
        <v>3</v>
      </c>
      <c r="G614" s="4">
        <v>103.66</v>
      </c>
      <c r="H614" s="4">
        <v>0.26</v>
      </c>
      <c r="I614" s="4" t="s">
        <v>2004</v>
      </c>
      <c r="J614" s="10">
        <v>230.12520000000001</v>
      </c>
      <c r="K614" s="4" t="str">
        <f t="shared" si="63"/>
        <v>18-09-2024</v>
      </c>
      <c r="L614" s="4" t="str">
        <f>TEXT(Sales_Fact!$B614,"mmm")</f>
        <v>Sep</v>
      </c>
      <c r="M614" s="4">
        <f t="shared" si="64"/>
        <v>3</v>
      </c>
      <c r="N614" s="10">
        <f t="shared" si="65"/>
        <v>103.66</v>
      </c>
      <c r="O614" s="10">
        <f t="shared" si="66"/>
        <v>230.12520000000001</v>
      </c>
      <c r="P614" s="10">
        <f t="shared" si="67"/>
        <v>310.98</v>
      </c>
      <c r="Q614" s="3">
        <f t="shared" si="68"/>
        <v>0.26</v>
      </c>
      <c r="R614" s="4" t="str">
        <f>IF(Sales_Fact!$O614&gt;1000,"High","Low")</f>
        <v>Low</v>
      </c>
      <c r="S614" s="4" t="str">
        <f>VLOOKUP(C614,Customer_Dim!$A:$N,9,FALSE())</f>
        <v>Lisa Young</v>
      </c>
      <c r="T614" s="4" t="str">
        <f>VLOOKUP(D614,Product_Dim!$A:$M,3,FALSE())</f>
        <v>Electronics</v>
      </c>
      <c r="U614" s="11" t="str">
        <f>VLOOKUP(D614,Product_Dim!$A:$M,2,FALSE())</f>
        <v>Laptop Cooling Pad</v>
      </c>
      <c r="V614" s="11" t="str">
        <f>VLOOKUP(E614,Store_Dim!$A:$E,3,FALSE())</f>
        <v>North</v>
      </c>
      <c r="W614" s="11" t="str">
        <f>VLOOKUP(C614,Customer_Dim!$A:$N,13,FALSE())</f>
        <v>Platinum</v>
      </c>
      <c r="X614" s="11" t="str">
        <f t="shared" si="69"/>
        <v>Low</v>
      </c>
    </row>
    <row r="615" spans="1:24" ht="15.75" customHeight="1">
      <c r="A615" s="4" t="s">
        <v>2611</v>
      </c>
      <c r="B615" s="9">
        <v>45745</v>
      </c>
      <c r="C615" s="4" t="s">
        <v>997</v>
      </c>
      <c r="D615" s="4" t="s">
        <v>1885</v>
      </c>
      <c r="E615" s="4" t="s">
        <v>1952</v>
      </c>
      <c r="F615" s="4">
        <v>4</v>
      </c>
      <c r="G615" s="4">
        <v>986.41</v>
      </c>
      <c r="H615" s="4">
        <v>0.22</v>
      </c>
      <c r="I615" s="4" t="s">
        <v>1996</v>
      </c>
      <c r="J615" s="10">
        <v>3077.5992000000001</v>
      </c>
      <c r="K615" s="4" t="str">
        <f t="shared" si="63"/>
        <v>29-03-2025</v>
      </c>
      <c r="L615" s="4" t="str">
        <f>TEXT(Sales_Fact!$B615,"mmm")</f>
        <v>Mar</v>
      </c>
      <c r="M615" s="4">
        <f t="shared" si="64"/>
        <v>4</v>
      </c>
      <c r="N615" s="10">
        <f t="shared" si="65"/>
        <v>986.41</v>
      </c>
      <c r="O615" s="10">
        <f t="shared" si="66"/>
        <v>3077.5992000000001</v>
      </c>
      <c r="P615" s="10">
        <f t="shared" si="67"/>
        <v>3945.64</v>
      </c>
      <c r="Q615" s="3">
        <f t="shared" si="68"/>
        <v>0.21999999999999995</v>
      </c>
      <c r="R615" s="4" t="str">
        <f>IF(Sales_Fact!$O615&gt;1000,"High","Low")</f>
        <v>High</v>
      </c>
      <c r="S615" s="4" t="str">
        <f>VLOOKUP(C615,Customer_Dim!$A:$N,9,FALSE())</f>
        <v>Brandy Thompson</v>
      </c>
      <c r="T615" s="4" t="str">
        <f>VLOOKUP(D615,Product_Dim!$A:$M,3,FALSE())</f>
        <v>Electronics</v>
      </c>
      <c r="U615" s="11" t="str">
        <f>VLOOKUP(D615,Product_Dim!$A:$M,2,FALSE())</f>
        <v>USB-C Laptop Charger</v>
      </c>
      <c r="V615" s="11" t="str">
        <f>VLOOKUP(E615,Store_Dim!$A:$E,3,FALSE())</f>
        <v>North</v>
      </c>
      <c r="W615" s="11" t="str">
        <f>VLOOKUP(C615,Customer_Dim!$A:$N,13,FALSE())</f>
        <v>Bronze</v>
      </c>
      <c r="X615" s="11" t="str">
        <f t="shared" si="69"/>
        <v>High</v>
      </c>
    </row>
    <row r="616" spans="1:24" ht="15.75" customHeight="1">
      <c r="A616" s="4" t="s">
        <v>2612</v>
      </c>
      <c r="B616" s="9">
        <v>45258</v>
      </c>
      <c r="C616" s="4" t="s">
        <v>1381</v>
      </c>
      <c r="D616" s="4" t="s">
        <v>1723</v>
      </c>
      <c r="E616" s="4" t="s">
        <v>1919</v>
      </c>
      <c r="F616" s="4">
        <v>4</v>
      </c>
      <c r="G616" s="4">
        <v>54.4</v>
      </c>
      <c r="H616" s="4">
        <v>0.22</v>
      </c>
      <c r="I616" s="4" t="s">
        <v>1996</v>
      </c>
      <c r="J616" s="10">
        <v>169.72800000000001</v>
      </c>
      <c r="K616" s="4" t="str">
        <f t="shared" si="63"/>
        <v>28-11-2023</v>
      </c>
      <c r="L616" s="4" t="str">
        <f>TEXT(Sales_Fact!$B616,"mmm")</f>
        <v>Nov</v>
      </c>
      <c r="M616" s="4">
        <f t="shared" si="64"/>
        <v>4</v>
      </c>
      <c r="N616" s="10">
        <f t="shared" si="65"/>
        <v>54.4</v>
      </c>
      <c r="O616" s="10">
        <f t="shared" si="66"/>
        <v>169.72800000000001</v>
      </c>
      <c r="P616" s="10">
        <f t="shared" si="67"/>
        <v>217.6</v>
      </c>
      <c r="Q616" s="3">
        <f t="shared" si="68"/>
        <v>0.21999999999999995</v>
      </c>
      <c r="R616" s="4" t="str">
        <f>IF(Sales_Fact!$O616&gt;1000,"High","Low")</f>
        <v>Low</v>
      </c>
      <c r="S616" s="4" t="str">
        <f>VLOOKUP(C616,Customer_Dim!$A:$N,9,FALSE())</f>
        <v>Sharon Simpson</v>
      </c>
      <c r="T616" s="4" t="str">
        <f>VLOOKUP(D616,Product_Dim!$A:$M,3,FALSE())</f>
        <v>Electronics</v>
      </c>
      <c r="U616" s="11" t="str">
        <f>VLOOKUP(D616,Product_Dim!$A:$M,2,FALSE())</f>
        <v>Noise-Canceling Headphones</v>
      </c>
      <c r="V616" s="11" t="str">
        <f>VLOOKUP(E616,Store_Dim!$A:$E,3,FALSE())</f>
        <v>South</v>
      </c>
      <c r="W616" s="11" t="str">
        <f>VLOOKUP(C616,Customer_Dim!$A:$N,13,FALSE())</f>
        <v>Gold</v>
      </c>
      <c r="X616" s="11" t="str">
        <f t="shared" si="69"/>
        <v>High</v>
      </c>
    </row>
    <row r="617" spans="1:24" ht="15.75" customHeight="1">
      <c r="A617" s="4" t="s">
        <v>2613</v>
      </c>
      <c r="B617" s="9">
        <v>45435</v>
      </c>
      <c r="C617" s="4" t="s">
        <v>1536</v>
      </c>
      <c r="D617" s="4" t="s">
        <v>1858</v>
      </c>
      <c r="E617" s="4" t="s">
        <v>1957</v>
      </c>
      <c r="F617" s="4">
        <v>1</v>
      </c>
      <c r="G617" s="4">
        <v>46.66</v>
      </c>
      <c r="H617" s="4">
        <v>0.2</v>
      </c>
      <c r="I617" s="4" t="s">
        <v>1996</v>
      </c>
      <c r="J617" s="10">
        <v>37.328000000000003</v>
      </c>
      <c r="K617" s="4" t="str">
        <f t="shared" si="63"/>
        <v>23-05-2024</v>
      </c>
      <c r="L617" s="4" t="str">
        <f>TEXT(Sales_Fact!$B617,"mmm")</f>
        <v>May</v>
      </c>
      <c r="M617" s="4">
        <f t="shared" si="64"/>
        <v>1</v>
      </c>
      <c r="N617" s="10">
        <f t="shared" si="65"/>
        <v>46.66</v>
      </c>
      <c r="O617" s="10">
        <f t="shared" si="66"/>
        <v>37.327999999999996</v>
      </c>
      <c r="P617" s="10">
        <f t="shared" si="67"/>
        <v>46.66</v>
      </c>
      <c r="Q617" s="3">
        <f t="shared" si="68"/>
        <v>0.20000000000000004</v>
      </c>
      <c r="R617" s="4" t="str">
        <f>IF(Sales_Fact!$O617&gt;1000,"High","Low")</f>
        <v>Low</v>
      </c>
      <c r="S617" s="4" t="str">
        <f>VLOOKUP(C617,Customer_Dim!$A:$N,9,FALSE())</f>
        <v>Scott Harris</v>
      </c>
      <c r="T617" s="4" t="str">
        <f>VLOOKUP(D617,Product_Dim!$A:$M,3,FALSE())</f>
        <v>Home</v>
      </c>
      <c r="U617" s="11" t="str">
        <f>VLOOKUP(D617,Product_Dim!$A:$M,2,FALSE())</f>
        <v>Wooden Bookshelf</v>
      </c>
      <c r="V617" s="11" t="str">
        <f>VLOOKUP(E617,Store_Dim!$A:$E,3,FALSE())</f>
        <v>South</v>
      </c>
      <c r="W617" s="11" t="str">
        <f>VLOOKUP(C617,Customer_Dim!$A:$N,13,FALSE())</f>
        <v>Platinum</v>
      </c>
      <c r="X617" s="11" t="str">
        <f t="shared" si="69"/>
        <v>Low</v>
      </c>
    </row>
    <row r="618" spans="1:24" ht="15.75" customHeight="1">
      <c r="A618" s="4" t="s">
        <v>2614</v>
      </c>
      <c r="B618" s="9">
        <v>45447</v>
      </c>
      <c r="C618" s="4" t="s">
        <v>59</v>
      </c>
      <c r="D618" s="4" t="s">
        <v>1825</v>
      </c>
      <c r="E618" s="4" t="s">
        <v>1950</v>
      </c>
      <c r="F618" s="4">
        <v>4</v>
      </c>
      <c r="G618" s="4">
        <v>871.2</v>
      </c>
      <c r="H618" s="4">
        <v>0.28999999999999998</v>
      </c>
      <c r="I618" s="4" t="s">
        <v>1996</v>
      </c>
      <c r="J618" s="10">
        <v>2474.2080000000001</v>
      </c>
      <c r="K618" s="4" t="str">
        <f t="shared" si="63"/>
        <v>04-06-2024</v>
      </c>
      <c r="L618" s="4" t="str">
        <f>TEXT(Sales_Fact!$B618,"mmm")</f>
        <v>Jun</v>
      </c>
      <c r="M618" s="4">
        <f t="shared" si="64"/>
        <v>4</v>
      </c>
      <c r="N618" s="10">
        <f t="shared" si="65"/>
        <v>871.2</v>
      </c>
      <c r="O618" s="10">
        <f t="shared" si="66"/>
        <v>2474.2080000000001</v>
      </c>
      <c r="P618" s="10">
        <f t="shared" si="67"/>
        <v>3484.8</v>
      </c>
      <c r="Q618" s="3">
        <f t="shared" si="68"/>
        <v>0.29000000000000004</v>
      </c>
      <c r="R618" s="4" t="str">
        <f>IF(Sales_Fact!$O618&gt;1000,"High","Low")</f>
        <v>High</v>
      </c>
      <c r="S618" s="4" t="str">
        <f>VLOOKUP(C618,Customer_Dim!$A:$N,9,FALSE())</f>
        <v>Daniel Boyd</v>
      </c>
      <c r="T618" s="4" t="str">
        <f>VLOOKUP(D618,Product_Dim!$A:$M,3,FALSE())</f>
        <v>Sports</v>
      </c>
      <c r="U618" s="11" t="str">
        <f>VLOOKUP(D618,Product_Dim!$A:$M,2,FALSE())</f>
        <v>Shin Guards – Adult</v>
      </c>
      <c r="V618" s="11" t="str">
        <f>VLOOKUP(E618,Store_Dim!$A:$E,3,FALSE())</f>
        <v>South</v>
      </c>
      <c r="W618" s="11" t="str">
        <f>VLOOKUP(C618,Customer_Dim!$A:$N,13,FALSE())</f>
        <v>Bronze</v>
      </c>
      <c r="X618" s="11" t="str">
        <f t="shared" si="69"/>
        <v>High</v>
      </c>
    </row>
    <row r="619" spans="1:24" ht="15.75" customHeight="1">
      <c r="A619" s="4" t="s">
        <v>2615</v>
      </c>
      <c r="B619" s="9">
        <v>45724</v>
      </c>
      <c r="C619" s="4" t="s">
        <v>1213</v>
      </c>
      <c r="D619" s="4" t="s">
        <v>1651</v>
      </c>
      <c r="E619" s="4" t="s">
        <v>1957</v>
      </c>
      <c r="F619" s="4">
        <v>4</v>
      </c>
      <c r="G619" s="4">
        <v>317.11</v>
      </c>
      <c r="H619" s="4">
        <v>0.16</v>
      </c>
      <c r="I619" s="4" t="s">
        <v>1998</v>
      </c>
      <c r="J619" s="10">
        <v>1065.4896000000001</v>
      </c>
      <c r="K619" s="4" t="str">
        <f t="shared" si="63"/>
        <v>08-03-2025</v>
      </c>
      <c r="L619" s="4" t="str">
        <f>TEXT(Sales_Fact!$B619,"mmm")</f>
        <v>Mar</v>
      </c>
      <c r="M619" s="4">
        <f t="shared" si="64"/>
        <v>4</v>
      </c>
      <c r="N619" s="10">
        <f t="shared" si="65"/>
        <v>317.11</v>
      </c>
      <c r="O619" s="10">
        <f t="shared" si="66"/>
        <v>1065.4896000000001</v>
      </c>
      <c r="P619" s="10">
        <f t="shared" si="67"/>
        <v>1268.44</v>
      </c>
      <c r="Q619" s="3">
        <f t="shared" si="68"/>
        <v>0.15999999999999995</v>
      </c>
      <c r="R619" s="4" t="str">
        <f>IF(Sales_Fact!$O619&gt;1000,"High","Low")</f>
        <v>High</v>
      </c>
      <c r="S619" s="4" t="str">
        <f>VLOOKUP(C619,Customer_Dim!$A:$N,9,FALSE())</f>
        <v>Tanya Lopez</v>
      </c>
      <c r="T619" s="4" t="str">
        <f>VLOOKUP(D619,Product_Dim!$A:$M,3,FALSE())</f>
        <v>Clothing</v>
      </c>
      <c r="U619" s="11" t="str">
        <f>VLOOKUP(D619,Product_Dim!$A:$M,2,FALSE())</f>
        <v>Women's Denim Jeans</v>
      </c>
      <c r="V619" s="11" t="str">
        <f>VLOOKUP(E619,Store_Dim!$A:$E,3,FALSE())</f>
        <v>South</v>
      </c>
      <c r="W619" s="11" t="str">
        <f>VLOOKUP(C619,Customer_Dim!$A:$N,13,FALSE())</f>
        <v>Gold</v>
      </c>
      <c r="X619" s="11" t="str">
        <f t="shared" si="69"/>
        <v>High</v>
      </c>
    </row>
    <row r="620" spans="1:24" ht="15.75" customHeight="1">
      <c r="A620" s="4" t="s">
        <v>2616</v>
      </c>
      <c r="B620" s="9">
        <v>45338</v>
      </c>
      <c r="C620" s="4" t="s">
        <v>852</v>
      </c>
      <c r="D620" s="4" t="s">
        <v>1675</v>
      </c>
      <c r="E620" s="4" t="s">
        <v>1955</v>
      </c>
      <c r="F620" s="4">
        <v>2</v>
      </c>
      <c r="G620" s="4">
        <v>388.34</v>
      </c>
      <c r="H620" s="4">
        <v>0.09</v>
      </c>
      <c r="I620" s="4" t="s">
        <v>1998</v>
      </c>
      <c r="J620" s="10">
        <v>706.77880000000005</v>
      </c>
      <c r="K620" s="4" t="str">
        <f t="shared" si="63"/>
        <v>16-02-2024</v>
      </c>
      <c r="L620" s="4" t="str">
        <f>TEXT(Sales_Fact!$B620,"mmm")</f>
        <v>Feb</v>
      </c>
      <c r="M620" s="4">
        <f t="shared" si="64"/>
        <v>2</v>
      </c>
      <c r="N620" s="10">
        <f t="shared" si="65"/>
        <v>388.34</v>
      </c>
      <c r="O620" s="10">
        <f t="shared" si="66"/>
        <v>706.77879999999993</v>
      </c>
      <c r="P620" s="10">
        <f t="shared" si="67"/>
        <v>776.68</v>
      </c>
      <c r="Q620" s="3">
        <f t="shared" si="68"/>
        <v>9.0000000000000024E-2</v>
      </c>
      <c r="R620" s="4" t="str">
        <f>IF(Sales_Fact!$O620&gt;1000,"High","Low")</f>
        <v>Low</v>
      </c>
      <c r="S620" s="4" t="str">
        <f>VLOOKUP(C620,Customer_Dim!$A:$N,9,FALSE())</f>
        <v>Sarah Stewart</v>
      </c>
      <c r="T620" s="4" t="str">
        <f>VLOOKUP(D620,Product_Dim!$A:$M,3,FALSE())</f>
        <v>Clothing</v>
      </c>
      <c r="U620" s="11" t="str">
        <f>VLOOKUP(D620,Product_Dim!$A:$M,2,FALSE())</f>
        <v>Women's Scarf Set</v>
      </c>
      <c r="V620" s="11" t="str">
        <f>VLOOKUP(E620,Store_Dim!$A:$E,3,FALSE())</f>
        <v>East</v>
      </c>
      <c r="W620" s="11" t="str">
        <f>VLOOKUP(C620,Customer_Dim!$A:$N,13,FALSE())</f>
        <v>Platinum</v>
      </c>
      <c r="X620" s="11" t="str">
        <f t="shared" si="69"/>
        <v>Low</v>
      </c>
    </row>
    <row r="621" spans="1:24" ht="15.75" customHeight="1">
      <c r="A621" s="4" t="s">
        <v>2617</v>
      </c>
      <c r="B621" s="9">
        <v>45252</v>
      </c>
      <c r="C621" s="4" t="s">
        <v>1033</v>
      </c>
      <c r="D621" s="4" t="s">
        <v>1690</v>
      </c>
      <c r="E621" s="4" t="s">
        <v>1934</v>
      </c>
      <c r="F621" s="4">
        <v>4</v>
      </c>
      <c r="G621" s="4">
        <v>998.2</v>
      </c>
      <c r="H621" s="4">
        <v>0.15</v>
      </c>
      <c r="I621" s="4" t="s">
        <v>1996</v>
      </c>
      <c r="J621" s="10">
        <v>3393.88</v>
      </c>
      <c r="K621" s="4" t="str">
        <f t="shared" si="63"/>
        <v>22-11-2023</v>
      </c>
      <c r="L621" s="4" t="str">
        <f>TEXT(Sales_Fact!$B621,"mmm")</f>
        <v>Nov</v>
      </c>
      <c r="M621" s="4">
        <f t="shared" si="64"/>
        <v>4</v>
      </c>
      <c r="N621" s="10">
        <f t="shared" si="65"/>
        <v>998.2</v>
      </c>
      <c r="O621" s="10">
        <f t="shared" si="66"/>
        <v>3393.88</v>
      </c>
      <c r="P621" s="10">
        <f t="shared" si="67"/>
        <v>3992.8</v>
      </c>
      <c r="Q621" s="3">
        <f t="shared" si="68"/>
        <v>0.15000000000000002</v>
      </c>
      <c r="R621" s="4" t="str">
        <f>IF(Sales_Fact!$O621&gt;1000,"High","Low")</f>
        <v>High</v>
      </c>
      <c r="S621" s="4" t="str">
        <f>VLOOKUP(C621,Customer_Dim!$A:$N,9,FALSE())</f>
        <v>Casey Simpson</v>
      </c>
      <c r="T621" s="4" t="str">
        <f>VLOOKUP(D621,Product_Dim!$A:$M,3,FALSE())</f>
        <v>Home</v>
      </c>
      <c r="U621" s="11" t="str">
        <f>VLOOKUP(D621,Product_Dim!$A:$M,2,FALSE())</f>
        <v>Stainless Steel Cutlery Set</v>
      </c>
      <c r="V621" s="11" t="str">
        <f>VLOOKUP(E621,Store_Dim!$A:$E,3,FALSE())</f>
        <v>East</v>
      </c>
      <c r="W621" s="11" t="str">
        <f>VLOOKUP(C621,Customer_Dim!$A:$N,13,FALSE())</f>
        <v>Platinum</v>
      </c>
      <c r="X621" s="11" t="str">
        <f t="shared" si="69"/>
        <v>High</v>
      </c>
    </row>
    <row r="622" spans="1:24" ht="15.75" customHeight="1">
      <c r="A622" s="4" t="s">
        <v>2618</v>
      </c>
      <c r="B622" s="9">
        <v>45606</v>
      </c>
      <c r="C622" s="4" t="s">
        <v>1545</v>
      </c>
      <c r="D622" s="4" t="s">
        <v>1709</v>
      </c>
      <c r="E622" s="4" t="s">
        <v>1910</v>
      </c>
      <c r="F622" s="4">
        <v>1</v>
      </c>
      <c r="G622" s="4">
        <v>887.38</v>
      </c>
      <c r="H622" s="4">
        <v>0.01</v>
      </c>
      <c r="I622" s="4" t="s">
        <v>2004</v>
      </c>
      <c r="J622" s="10">
        <v>878.50620000000004</v>
      </c>
      <c r="K622" s="4" t="str">
        <f t="shared" si="63"/>
        <v>10-11-2024</v>
      </c>
      <c r="L622" s="4" t="str">
        <f>TEXT(Sales_Fact!$B622,"mmm")</f>
        <v>Nov</v>
      </c>
      <c r="M622" s="4">
        <f t="shared" si="64"/>
        <v>1</v>
      </c>
      <c r="N622" s="10">
        <f t="shared" si="65"/>
        <v>887.38</v>
      </c>
      <c r="O622" s="10">
        <f t="shared" si="66"/>
        <v>878.50620000000004</v>
      </c>
      <c r="P622" s="10">
        <f t="shared" si="67"/>
        <v>887.38</v>
      </c>
      <c r="Q622" s="3">
        <f t="shared" si="68"/>
        <v>9.9999999999999551E-3</v>
      </c>
      <c r="R622" s="4" t="str">
        <f>IF(Sales_Fact!$O622&gt;1000,"High","Low")</f>
        <v>Low</v>
      </c>
      <c r="S622" s="4" t="str">
        <f>VLOOKUP(C622,Customer_Dim!$A:$N,9,FALSE())</f>
        <v>Amanda Powell</v>
      </c>
      <c r="T622" s="4" t="str">
        <f>VLOOKUP(D622,Product_Dim!$A:$M,3,FALSE())</f>
        <v>Clothing</v>
      </c>
      <c r="U622" s="11" t="str">
        <f>VLOOKUP(D622,Product_Dim!$A:$M,2,FALSE())</f>
        <v>Women's Summer Dress</v>
      </c>
      <c r="V622" s="11" t="str">
        <f>VLOOKUP(E622,Store_Dim!$A:$E,3,FALSE())</f>
        <v>East</v>
      </c>
      <c r="W622" s="11" t="str">
        <f>VLOOKUP(C622,Customer_Dim!$A:$N,13,FALSE())</f>
        <v>Silver</v>
      </c>
      <c r="X622" s="11" t="str">
        <f t="shared" si="69"/>
        <v>Low</v>
      </c>
    </row>
    <row r="623" spans="1:24" ht="15.75" customHeight="1">
      <c r="A623" s="4" t="s">
        <v>2619</v>
      </c>
      <c r="B623" s="9">
        <v>45524</v>
      </c>
      <c r="C623" s="4" t="s">
        <v>1012</v>
      </c>
      <c r="D623" s="4" t="s">
        <v>1712</v>
      </c>
      <c r="E623" s="4" t="s">
        <v>1952</v>
      </c>
      <c r="F623" s="4">
        <v>4</v>
      </c>
      <c r="G623" s="4">
        <v>332.97</v>
      </c>
      <c r="H623" s="4">
        <v>0.28000000000000003</v>
      </c>
      <c r="I623" s="4" t="s">
        <v>1996</v>
      </c>
      <c r="J623" s="10">
        <v>958.95360000000005</v>
      </c>
      <c r="K623" s="4" t="str">
        <f t="shared" si="63"/>
        <v>20-08-2024</v>
      </c>
      <c r="L623" s="4" t="str">
        <f>TEXT(Sales_Fact!$B623,"mmm")</f>
        <v>Aug</v>
      </c>
      <c r="M623" s="4">
        <f t="shared" si="64"/>
        <v>4</v>
      </c>
      <c r="N623" s="10">
        <f t="shared" si="65"/>
        <v>332.97</v>
      </c>
      <c r="O623" s="10">
        <f t="shared" si="66"/>
        <v>958.95360000000005</v>
      </c>
      <c r="P623" s="10">
        <f t="shared" si="67"/>
        <v>1331.88</v>
      </c>
      <c r="Q623" s="3">
        <f t="shared" si="68"/>
        <v>0.28000000000000003</v>
      </c>
      <c r="R623" s="4" t="str">
        <f>IF(Sales_Fact!$O623&gt;1000,"High","Low")</f>
        <v>Low</v>
      </c>
      <c r="S623" s="4" t="str">
        <f>VLOOKUP(C623,Customer_Dim!$A:$N,9,FALSE())</f>
        <v>Jason Mullins</v>
      </c>
      <c r="T623" s="4" t="str">
        <f>VLOOKUP(D623,Product_Dim!$A:$M,3,FALSE())</f>
        <v>Clothing</v>
      </c>
      <c r="U623" s="11" t="str">
        <f>VLOOKUP(D623,Product_Dim!$A:$M,2,FALSE())</f>
        <v>Men's Casual Sneakers</v>
      </c>
      <c r="V623" s="11" t="str">
        <f>VLOOKUP(E623,Store_Dim!$A:$E,3,FALSE())</f>
        <v>North</v>
      </c>
      <c r="W623" s="11" t="str">
        <f>VLOOKUP(C623,Customer_Dim!$A:$N,13,FALSE())</f>
        <v>Silver</v>
      </c>
      <c r="X623" s="11" t="str">
        <f t="shared" si="69"/>
        <v>High</v>
      </c>
    </row>
    <row r="624" spans="1:24" ht="15.75" customHeight="1">
      <c r="A624" s="4" t="s">
        <v>2620</v>
      </c>
      <c r="B624" s="9">
        <v>45934</v>
      </c>
      <c r="C624" s="4" t="s">
        <v>113</v>
      </c>
      <c r="D624" s="4" t="s">
        <v>1741</v>
      </c>
      <c r="E624" s="4" t="s">
        <v>1910</v>
      </c>
      <c r="F624" s="4">
        <v>2</v>
      </c>
      <c r="G624" s="4">
        <v>157.91</v>
      </c>
      <c r="H624" s="4">
        <v>0.09</v>
      </c>
      <c r="I624" s="4" t="s">
        <v>2004</v>
      </c>
      <c r="J624" s="10">
        <v>287.39620000000002</v>
      </c>
      <c r="K624" s="4" t="str">
        <f t="shared" si="63"/>
        <v>04-10-2025</v>
      </c>
      <c r="L624" s="4" t="str">
        <f>TEXT(Sales_Fact!$B624,"mmm")</f>
        <v>Oct</v>
      </c>
      <c r="M624" s="4">
        <f t="shared" si="64"/>
        <v>2</v>
      </c>
      <c r="N624" s="10">
        <f t="shared" si="65"/>
        <v>157.91</v>
      </c>
      <c r="O624" s="10">
        <f t="shared" si="66"/>
        <v>287.39620000000002</v>
      </c>
      <c r="P624" s="10">
        <f t="shared" si="67"/>
        <v>315.82</v>
      </c>
      <c r="Q624" s="3">
        <f t="shared" si="68"/>
        <v>8.9999999999999913E-2</v>
      </c>
      <c r="R624" s="4" t="str">
        <f>IF(Sales_Fact!$O624&gt;1000,"High","Low")</f>
        <v>Low</v>
      </c>
      <c r="S624" s="4" t="str">
        <f>VLOOKUP(C624,Customer_Dim!$A:$N,9,FALSE())</f>
        <v>Jeff Martinez</v>
      </c>
      <c r="T624" s="4" t="str">
        <f>VLOOKUP(D624,Product_Dim!$A:$M,3,FALSE())</f>
        <v>Clothing</v>
      </c>
      <c r="U624" s="11" t="str">
        <f>VLOOKUP(D624,Product_Dim!$A:$M,2,FALSE())</f>
        <v>Men's Winter Jacket</v>
      </c>
      <c r="V624" s="11" t="str">
        <f>VLOOKUP(E624,Store_Dim!$A:$E,3,FALSE())</f>
        <v>East</v>
      </c>
      <c r="W624" s="11" t="str">
        <f>VLOOKUP(C624,Customer_Dim!$A:$N,13,FALSE())</f>
        <v>Gold</v>
      </c>
      <c r="X624" s="11" t="str">
        <f t="shared" si="69"/>
        <v>Low</v>
      </c>
    </row>
    <row r="625" spans="1:24" ht="15.75" customHeight="1">
      <c r="A625" s="4" t="s">
        <v>2621</v>
      </c>
      <c r="B625" s="9">
        <v>45539</v>
      </c>
      <c r="C625" s="4" t="s">
        <v>1144</v>
      </c>
      <c r="D625" s="4" t="s">
        <v>1629</v>
      </c>
      <c r="E625" s="4" t="s">
        <v>1968</v>
      </c>
      <c r="F625" s="4">
        <v>1</v>
      </c>
      <c r="G625" s="4">
        <v>548.15</v>
      </c>
      <c r="H625" s="4">
        <v>0.11</v>
      </c>
      <c r="I625" s="4" t="s">
        <v>1996</v>
      </c>
      <c r="J625" s="10">
        <v>487.8535</v>
      </c>
      <c r="K625" s="4" t="str">
        <f t="shared" si="63"/>
        <v>04-09-2024</v>
      </c>
      <c r="L625" s="4" t="str">
        <f>TEXT(Sales_Fact!$B625,"mmm")</f>
        <v>Sep</v>
      </c>
      <c r="M625" s="4">
        <f t="shared" si="64"/>
        <v>1</v>
      </c>
      <c r="N625" s="10">
        <f t="shared" si="65"/>
        <v>548.15</v>
      </c>
      <c r="O625" s="10">
        <f t="shared" si="66"/>
        <v>487.8535</v>
      </c>
      <c r="P625" s="10">
        <f t="shared" si="67"/>
        <v>548.15</v>
      </c>
      <c r="Q625" s="3">
        <f t="shared" si="68"/>
        <v>0.10999999999999997</v>
      </c>
      <c r="R625" s="4" t="str">
        <f>IF(Sales_Fact!$O625&gt;1000,"High","Low")</f>
        <v>Low</v>
      </c>
      <c r="S625" s="4" t="str">
        <f>VLOOKUP(C625,Customer_Dim!$A:$N,9,FALSE())</f>
        <v>Steve Hunt</v>
      </c>
      <c r="T625" s="4" t="str">
        <f>VLOOKUP(D625,Product_Dim!$A:$M,3,FALSE())</f>
        <v>Beauty</v>
      </c>
      <c r="U625" s="11" t="str">
        <f>VLOOKUP(D625,Product_Dim!$A:$M,2,FALSE())</f>
        <v>Hair Strengthening Shampoo</v>
      </c>
      <c r="V625" s="11" t="str">
        <f>VLOOKUP(E625,Store_Dim!$A:$E,3,FALSE())</f>
        <v>East</v>
      </c>
      <c r="W625" s="11" t="str">
        <f>VLOOKUP(C625,Customer_Dim!$A:$N,13,FALSE())</f>
        <v>Bronze</v>
      </c>
      <c r="X625" s="11" t="str">
        <f t="shared" si="69"/>
        <v>Low</v>
      </c>
    </row>
    <row r="626" spans="1:24" ht="15.75" customHeight="1">
      <c r="A626" s="4" t="s">
        <v>2622</v>
      </c>
      <c r="B626" s="9">
        <v>45494</v>
      </c>
      <c r="C626" s="4" t="s">
        <v>1033</v>
      </c>
      <c r="D626" s="4" t="s">
        <v>1751</v>
      </c>
      <c r="E626" s="4" t="s">
        <v>1910</v>
      </c>
      <c r="F626" s="4">
        <v>2</v>
      </c>
      <c r="G626" s="4">
        <v>921.52</v>
      </c>
      <c r="H626" s="4">
        <v>0</v>
      </c>
      <c r="I626" s="4" t="s">
        <v>1998</v>
      </c>
      <c r="J626" s="10">
        <v>1843.04</v>
      </c>
      <c r="K626" s="4" t="str">
        <f t="shared" si="63"/>
        <v>21-07-2024</v>
      </c>
      <c r="L626" s="4" t="str">
        <f>TEXT(Sales_Fact!$B626,"mmm")</f>
        <v>Jul</v>
      </c>
      <c r="M626" s="4">
        <f t="shared" si="64"/>
        <v>2</v>
      </c>
      <c r="N626" s="10">
        <f t="shared" si="65"/>
        <v>921.52</v>
      </c>
      <c r="O626" s="10">
        <f t="shared" si="66"/>
        <v>1843.04</v>
      </c>
      <c r="P626" s="10">
        <f t="shared" si="67"/>
        <v>1843.04</v>
      </c>
      <c r="Q626" s="3">
        <f t="shared" si="68"/>
        <v>0</v>
      </c>
      <c r="R626" s="4" t="str">
        <f>IF(Sales_Fact!$O626&gt;1000,"High","Low")</f>
        <v>High</v>
      </c>
      <c r="S626" s="4" t="str">
        <f>VLOOKUP(C626,Customer_Dim!$A:$N,9,FALSE())</f>
        <v>Casey Simpson</v>
      </c>
      <c r="T626" s="4" t="str">
        <f>VLOOKUP(D626,Product_Dim!$A:$M,3,FALSE())</f>
        <v>Beauty</v>
      </c>
      <c r="U626" s="11" t="str">
        <f>VLOOKUP(D626,Product_Dim!$A:$M,2,FALSE())</f>
        <v>Men's Roll-On Perfume</v>
      </c>
      <c r="V626" s="11" t="str">
        <f>VLOOKUP(E626,Store_Dim!$A:$E,3,FALSE())</f>
        <v>East</v>
      </c>
      <c r="W626" s="11" t="str">
        <f>VLOOKUP(C626,Customer_Dim!$A:$N,13,FALSE())</f>
        <v>Platinum</v>
      </c>
      <c r="X626" s="11" t="str">
        <f t="shared" si="69"/>
        <v>Low</v>
      </c>
    </row>
    <row r="627" spans="1:24" ht="15.75" customHeight="1">
      <c r="A627" s="4" t="s">
        <v>2623</v>
      </c>
      <c r="B627" s="9">
        <v>45555</v>
      </c>
      <c r="C627" s="4" t="s">
        <v>706</v>
      </c>
      <c r="D627" s="4" t="s">
        <v>1748</v>
      </c>
      <c r="E627" s="4" t="s">
        <v>1959</v>
      </c>
      <c r="F627" s="4">
        <v>1</v>
      </c>
      <c r="G627" s="4">
        <v>135.13</v>
      </c>
      <c r="H627" s="4">
        <v>0.04</v>
      </c>
      <c r="I627" s="4" t="s">
        <v>1996</v>
      </c>
      <c r="J627" s="10">
        <v>129.72479999999999</v>
      </c>
      <c r="K627" s="4" t="str">
        <f t="shared" si="63"/>
        <v>20-09-2024</v>
      </c>
      <c r="L627" s="4" t="str">
        <f>TEXT(Sales_Fact!$B627,"mmm")</f>
        <v>Sep</v>
      </c>
      <c r="M627" s="4">
        <f t="shared" si="64"/>
        <v>1</v>
      </c>
      <c r="N627" s="10">
        <f t="shared" si="65"/>
        <v>135.13</v>
      </c>
      <c r="O627" s="10">
        <f t="shared" si="66"/>
        <v>129.72479999999999</v>
      </c>
      <c r="P627" s="10">
        <f t="shared" si="67"/>
        <v>135.13</v>
      </c>
      <c r="Q627" s="3">
        <f t="shared" si="68"/>
        <v>4.0000000000000056E-2</v>
      </c>
      <c r="R627" s="4" t="str">
        <f>IF(Sales_Fact!$O627&gt;1000,"High","Low")</f>
        <v>Low</v>
      </c>
      <c r="S627" s="4" t="str">
        <f>VLOOKUP(C627,Customer_Dim!$A:$N,9,FALSE())</f>
        <v>Joan Johnson</v>
      </c>
      <c r="T627" s="4" t="str">
        <f>VLOOKUP(D627,Product_Dim!$A:$M,3,FALSE())</f>
        <v>Electronics</v>
      </c>
      <c r="U627" s="11" t="str">
        <f>VLOOKUP(D627,Product_Dim!$A:$M,2,FALSE())</f>
        <v>Car Dashboard Phone Holder</v>
      </c>
      <c r="V627" s="11" t="str">
        <f>VLOOKUP(E627,Store_Dim!$A:$E,3,FALSE())</f>
        <v>North</v>
      </c>
      <c r="W627" s="11" t="str">
        <f>VLOOKUP(C627,Customer_Dim!$A:$N,13,FALSE())</f>
        <v>Platinum</v>
      </c>
      <c r="X627" s="11" t="str">
        <f t="shared" si="69"/>
        <v>Low</v>
      </c>
    </row>
    <row r="628" spans="1:24" ht="15.75" customHeight="1">
      <c r="A628" s="4" t="s">
        <v>2624</v>
      </c>
      <c r="B628" s="9">
        <v>45281</v>
      </c>
      <c r="C628" s="4" t="s">
        <v>736</v>
      </c>
      <c r="D628" s="4" t="s">
        <v>1773</v>
      </c>
      <c r="E628" s="4" t="s">
        <v>1924</v>
      </c>
      <c r="F628" s="4">
        <v>3</v>
      </c>
      <c r="G628" s="4">
        <v>579.26</v>
      </c>
      <c r="H628" s="4">
        <v>0.19</v>
      </c>
      <c r="I628" s="4" t="s">
        <v>1996</v>
      </c>
      <c r="J628" s="10">
        <v>1407.6017999999999</v>
      </c>
      <c r="K628" s="4" t="str">
        <f t="shared" si="63"/>
        <v>21-12-2023</v>
      </c>
      <c r="L628" s="4" t="str">
        <f>TEXT(Sales_Fact!$B628,"mmm")</f>
        <v>Dec</v>
      </c>
      <c r="M628" s="4">
        <f t="shared" si="64"/>
        <v>3</v>
      </c>
      <c r="N628" s="10">
        <f t="shared" si="65"/>
        <v>579.26</v>
      </c>
      <c r="O628" s="10">
        <f t="shared" si="66"/>
        <v>1407.6018000000001</v>
      </c>
      <c r="P628" s="10">
        <f t="shared" si="67"/>
        <v>1737.78</v>
      </c>
      <c r="Q628" s="3">
        <f t="shared" si="68"/>
        <v>0.18999999999999992</v>
      </c>
      <c r="R628" s="4" t="str">
        <f>IF(Sales_Fact!$O628&gt;1000,"High","Low")</f>
        <v>High</v>
      </c>
      <c r="S628" s="4" t="str">
        <f>VLOOKUP(C628,Customer_Dim!$A:$N,9,FALSE())</f>
        <v>Jordan Wells</v>
      </c>
      <c r="T628" s="4" t="str">
        <f>VLOOKUP(D628,Product_Dim!$A:$M,3,FALSE())</f>
        <v>Home</v>
      </c>
      <c r="U628" s="11" t="str">
        <f>VLOOKUP(D628,Product_Dim!$A:$M,2,FALSE())</f>
        <v>Premium Blanket Throw</v>
      </c>
      <c r="V628" s="11" t="str">
        <f>VLOOKUP(E628,Store_Dim!$A:$E,3,FALSE())</f>
        <v>North</v>
      </c>
      <c r="W628" s="11" t="str">
        <f>VLOOKUP(C628,Customer_Dim!$A:$N,13,FALSE())</f>
        <v>Gold</v>
      </c>
      <c r="X628" s="11" t="str">
        <f t="shared" si="69"/>
        <v>Low</v>
      </c>
    </row>
    <row r="629" spans="1:24" ht="15.75" customHeight="1">
      <c r="A629" s="4" t="s">
        <v>2625</v>
      </c>
      <c r="B629" s="9">
        <v>45582</v>
      </c>
      <c r="C629" s="4" t="s">
        <v>1243</v>
      </c>
      <c r="D629" s="4" t="s">
        <v>1648</v>
      </c>
      <c r="E629" s="4" t="s">
        <v>1910</v>
      </c>
      <c r="F629" s="4">
        <v>1</v>
      </c>
      <c r="G629" s="4">
        <v>465.63</v>
      </c>
      <c r="H629" s="4">
        <v>0.25</v>
      </c>
      <c r="I629" s="4" t="s">
        <v>1996</v>
      </c>
      <c r="J629" s="10">
        <v>349.22250000000003</v>
      </c>
      <c r="K629" s="4" t="str">
        <f t="shared" si="63"/>
        <v>17-10-2024</v>
      </c>
      <c r="L629" s="4" t="str">
        <f>TEXT(Sales_Fact!$B629,"mmm")</f>
        <v>Oct</v>
      </c>
      <c r="M629" s="4">
        <f t="shared" si="64"/>
        <v>1</v>
      </c>
      <c r="N629" s="10">
        <f t="shared" si="65"/>
        <v>465.63</v>
      </c>
      <c r="O629" s="10">
        <f t="shared" si="66"/>
        <v>349.22249999999997</v>
      </c>
      <c r="P629" s="10">
        <f t="shared" si="67"/>
        <v>465.63</v>
      </c>
      <c r="Q629" s="3">
        <f t="shared" si="68"/>
        <v>0.25000000000000006</v>
      </c>
      <c r="R629" s="4" t="str">
        <f>IF(Sales_Fact!$O629&gt;1000,"High","Low")</f>
        <v>Low</v>
      </c>
      <c r="S629" s="4" t="str">
        <f>VLOOKUP(C629,Customer_Dim!$A:$N,9,FALSE())</f>
        <v>Cynthia Lopez</v>
      </c>
      <c r="T629" s="4" t="str">
        <f>VLOOKUP(D629,Product_Dim!$A:$M,3,FALSE())</f>
        <v>Sports</v>
      </c>
      <c r="U629" s="11" t="str">
        <f>VLOOKUP(D629,Product_Dim!$A:$M,2,FALSE())</f>
        <v>Soccer Training Cone Set</v>
      </c>
      <c r="V629" s="11" t="str">
        <f>VLOOKUP(E629,Store_Dim!$A:$E,3,FALSE())</f>
        <v>East</v>
      </c>
      <c r="W629" s="11" t="str">
        <f>VLOOKUP(C629,Customer_Dim!$A:$N,13,FALSE())</f>
        <v>Platinum</v>
      </c>
      <c r="X629" s="11" t="str">
        <f t="shared" si="69"/>
        <v>Low</v>
      </c>
    </row>
    <row r="630" spans="1:24" ht="15.75" customHeight="1">
      <c r="A630" s="4" t="s">
        <v>2626</v>
      </c>
      <c r="B630" s="9">
        <v>45372</v>
      </c>
      <c r="C630" s="4" t="s">
        <v>202</v>
      </c>
      <c r="D630" s="4" t="s">
        <v>1834</v>
      </c>
      <c r="E630" s="4" t="s">
        <v>1962</v>
      </c>
      <c r="F630" s="4">
        <v>2</v>
      </c>
      <c r="G630" s="4">
        <v>675.61</v>
      </c>
      <c r="H630" s="4">
        <v>0.08</v>
      </c>
      <c r="I630" s="4" t="s">
        <v>2004</v>
      </c>
      <c r="J630" s="10">
        <v>1243.1224</v>
      </c>
      <c r="K630" s="4" t="str">
        <f t="shared" si="63"/>
        <v>21-03-2024</v>
      </c>
      <c r="L630" s="4" t="str">
        <f>TEXT(Sales_Fact!$B630,"mmm")</f>
        <v>Mar</v>
      </c>
      <c r="M630" s="4">
        <f t="shared" si="64"/>
        <v>2</v>
      </c>
      <c r="N630" s="10">
        <f t="shared" si="65"/>
        <v>675.61</v>
      </c>
      <c r="O630" s="10">
        <f t="shared" si="66"/>
        <v>1243.1224</v>
      </c>
      <c r="P630" s="10">
        <f t="shared" si="67"/>
        <v>1351.22</v>
      </c>
      <c r="Q630" s="3">
        <f t="shared" si="68"/>
        <v>8.0000000000000043E-2</v>
      </c>
      <c r="R630" s="4" t="str">
        <f>IF(Sales_Fact!$O630&gt;1000,"High","Low")</f>
        <v>High</v>
      </c>
      <c r="S630" s="4" t="str">
        <f>VLOOKUP(C630,Customer_Dim!$A:$N,9,FALSE())</f>
        <v>Gina Knight</v>
      </c>
      <c r="T630" s="4" t="str">
        <f>VLOOKUP(D630,Product_Dim!$A:$M,3,FALSE())</f>
        <v>Electronics</v>
      </c>
      <c r="U630" s="11" t="str">
        <f>VLOOKUP(D630,Product_Dim!$A:$M,2,FALSE())</f>
        <v>Wireless Mouse</v>
      </c>
      <c r="V630" s="11" t="str">
        <f>VLOOKUP(E630,Store_Dim!$A:$E,3,FALSE())</f>
        <v>West</v>
      </c>
      <c r="W630" s="11" t="str">
        <f>VLOOKUP(C630,Customer_Dim!$A:$N,13,FALSE())</f>
        <v>Silver</v>
      </c>
      <c r="X630" s="11" t="str">
        <f t="shared" si="69"/>
        <v>Low</v>
      </c>
    </row>
    <row r="631" spans="1:24" ht="15.75" customHeight="1">
      <c r="A631" s="4" t="s">
        <v>2627</v>
      </c>
      <c r="B631" s="9">
        <v>45458</v>
      </c>
      <c r="C631" s="4" t="s">
        <v>1321</v>
      </c>
      <c r="D631" s="4" t="s">
        <v>1700</v>
      </c>
      <c r="E631" s="4" t="s">
        <v>1934</v>
      </c>
      <c r="F631" s="4">
        <v>1</v>
      </c>
      <c r="G631" s="4">
        <v>718.99</v>
      </c>
      <c r="H631" s="4">
        <v>0.08</v>
      </c>
      <c r="I631" s="4" t="s">
        <v>1998</v>
      </c>
      <c r="J631" s="10">
        <v>661.47080000000005</v>
      </c>
      <c r="K631" s="4" t="str">
        <f t="shared" si="63"/>
        <v>15-06-2024</v>
      </c>
      <c r="L631" s="4" t="str">
        <f>TEXT(Sales_Fact!$B631,"mmm")</f>
        <v>Jun</v>
      </c>
      <c r="M631" s="4">
        <f t="shared" si="64"/>
        <v>1</v>
      </c>
      <c r="N631" s="10">
        <f t="shared" si="65"/>
        <v>718.99</v>
      </c>
      <c r="O631" s="10">
        <f t="shared" si="66"/>
        <v>661.47080000000005</v>
      </c>
      <c r="P631" s="10">
        <f t="shared" si="67"/>
        <v>718.99</v>
      </c>
      <c r="Q631" s="3">
        <f t="shared" si="68"/>
        <v>7.9999999999999932E-2</v>
      </c>
      <c r="R631" s="4" t="str">
        <f>IF(Sales_Fact!$O631&gt;1000,"High","Low")</f>
        <v>Low</v>
      </c>
      <c r="S631" s="4" t="str">
        <f>VLOOKUP(C631,Customer_Dim!$A:$N,9,FALSE())</f>
        <v>Jennifer Myers</v>
      </c>
      <c r="T631" s="4" t="str">
        <f>VLOOKUP(D631,Product_Dim!$A:$M,3,FALSE())</f>
        <v>Home</v>
      </c>
      <c r="U631" s="11" t="str">
        <f>VLOOKUP(D631,Product_Dim!$A:$M,2,FALSE())</f>
        <v>Modern Wall Clock</v>
      </c>
      <c r="V631" s="11" t="str">
        <f>VLOOKUP(E631,Store_Dim!$A:$E,3,FALSE())</f>
        <v>East</v>
      </c>
      <c r="W631" s="11" t="str">
        <f>VLOOKUP(C631,Customer_Dim!$A:$N,13,FALSE())</f>
        <v>Platinum</v>
      </c>
      <c r="X631" s="11" t="str">
        <f t="shared" si="69"/>
        <v>Low</v>
      </c>
    </row>
    <row r="632" spans="1:24" ht="15.75" customHeight="1">
      <c r="A632" s="4" t="s">
        <v>2628</v>
      </c>
      <c r="B632" s="9">
        <v>45943</v>
      </c>
      <c r="C632" s="4" t="s">
        <v>1204</v>
      </c>
      <c r="D632" s="4" t="s">
        <v>1636</v>
      </c>
      <c r="E632" s="4" t="s">
        <v>1947</v>
      </c>
      <c r="F632" s="4">
        <v>2</v>
      </c>
      <c r="G632" s="4">
        <v>675.65</v>
      </c>
      <c r="H632" s="4">
        <v>0.2</v>
      </c>
      <c r="I632" s="4" t="s">
        <v>2004</v>
      </c>
      <c r="J632" s="10">
        <v>1081.04</v>
      </c>
      <c r="K632" s="4" t="str">
        <f t="shared" si="63"/>
        <v>13-10-2025</v>
      </c>
      <c r="L632" s="4" t="str">
        <f>TEXT(Sales_Fact!$B632,"mmm")</f>
        <v>Oct</v>
      </c>
      <c r="M632" s="4">
        <f t="shared" si="64"/>
        <v>2</v>
      </c>
      <c r="N632" s="10">
        <f t="shared" si="65"/>
        <v>675.65</v>
      </c>
      <c r="O632" s="10">
        <f t="shared" si="66"/>
        <v>1081.04</v>
      </c>
      <c r="P632" s="10">
        <f t="shared" si="67"/>
        <v>1351.3</v>
      </c>
      <c r="Q632" s="3">
        <f t="shared" si="68"/>
        <v>0.2</v>
      </c>
      <c r="R632" s="4" t="str">
        <f>IF(Sales_Fact!$O632&gt;1000,"High","Low")</f>
        <v>High</v>
      </c>
      <c r="S632" s="4" t="str">
        <f>VLOOKUP(C632,Customer_Dim!$A:$N,9,FALSE())</f>
        <v>Michele Burke</v>
      </c>
      <c r="T632" s="4" t="str">
        <f>VLOOKUP(D632,Product_Dim!$A:$M,3,FALSE())</f>
        <v>Home</v>
      </c>
      <c r="U632" s="11" t="str">
        <f>VLOOKUP(D632,Product_Dim!$A:$M,2,FALSE())</f>
        <v>Decorative Wall Mirror</v>
      </c>
      <c r="V632" s="11" t="str">
        <f>VLOOKUP(E632,Store_Dim!$A:$E,3,FALSE())</f>
        <v>East</v>
      </c>
      <c r="W632" s="11" t="str">
        <f>VLOOKUP(C632,Customer_Dim!$A:$N,13,FALSE())</f>
        <v>Bronze</v>
      </c>
      <c r="X632" s="11" t="str">
        <f t="shared" si="69"/>
        <v>Low</v>
      </c>
    </row>
    <row r="633" spans="1:24" ht="15.75" customHeight="1">
      <c r="A633" s="4" t="s">
        <v>2629</v>
      </c>
      <c r="B633" s="9">
        <v>45374</v>
      </c>
      <c r="C633" s="4" t="s">
        <v>1084</v>
      </c>
      <c r="D633" s="4" t="s">
        <v>1891</v>
      </c>
      <c r="E633" s="4" t="s">
        <v>1959</v>
      </c>
      <c r="F633" s="4">
        <v>4</v>
      </c>
      <c r="G633" s="4">
        <v>284.24</v>
      </c>
      <c r="H633" s="4">
        <v>0.1</v>
      </c>
      <c r="I633" s="4" t="s">
        <v>1996</v>
      </c>
      <c r="J633" s="10">
        <v>1023.264</v>
      </c>
      <c r="K633" s="4" t="str">
        <f t="shared" si="63"/>
        <v>23-03-2024</v>
      </c>
      <c r="L633" s="4" t="str">
        <f>TEXT(Sales_Fact!$B633,"mmm")</f>
        <v>Mar</v>
      </c>
      <c r="M633" s="4">
        <f t="shared" si="64"/>
        <v>4</v>
      </c>
      <c r="N633" s="10">
        <f t="shared" si="65"/>
        <v>284.24</v>
      </c>
      <c r="O633" s="10">
        <f t="shared" si="66"/>
        <v>1023.264</v>
      </c>
      <c r="P633" s="10">
        <f t="shared" si="67"/>
        <v>1136.96</v>
      </c>
      <c r="Q633" s="3">
        <f t="shared" si="68"/>
        <v>0.10000000000000002</v>
      </c>
      <c r="R633" s="4" t="str">
        <f>IF(Sales_Fact!$O633&gt;1000,"High","Low")</f>
        <v>High</v>
      </c>
      <c r="S633" s="4" t="str">
        <f>VLOOKUP(C633,Customer_Dim!$A:$N,9,FALSE())</f>
        <v>John Jones</v>
      </c>
      <c r="T633" s="4" t="str">
        <f>VLOOKUP(D633,Product_Dim!$A:$M,3,FALSE())</f>
        <v>Sports</v>
      </c>
      <c r="U633" s="11" t="str">
        <f>VLOOKUP(D633,Product_Dim!$A:$M,2,FALSE())</f>
        <v>Sports Stopwatch Basic</v>
      </c>
      <c r="V633" s="11" t="str">
        <f>VLOOKUP(E633,Store_Dim!$A:$E,3,FALSE())</f>
        <v>North</v>
      </c>
      <c r="W633" s="11" t="str">
        <f>VLOOKUP(C633,Customer_Dim!$A:$N,13,FALSE())</f>
        <v>Silver</v>
      </c>
      <c r="X633" s="11" t="str">
        <f t="shared" si="69"/>
        <v>High</v>
      </c>
    </row>
    <row r="634" spans="1:24" ht="15.75" customHeight="1">
      <c r="A634" s="4" t="s">
        <v>2630</v>
      </c>
      <c r="B634" s="9">
        <v>45374</v>
      </c>
      <c r="C634" s="4" t="s">
        <v>718</v>
      </c>
      <c r="D634" s="4" t="s">
        <v>1583</v>
      </c>
      <c r="E634" s="4" t="s">
        <v>1924</v>
      </c>
      <c r="F634" s="4">
        <v>1</v>
      </c>
      <c r="G634" s="4">
        <v>94.26</v>
      </c>
      <c r="H634" s="4">
        <v>0.18</v>
      </c>
      <c r="I634" s="4" t="s">
        <v>1998</v>
      </c>
      <c r="J634" s="10">
        <v>77.293199999999999</v>
      </c>
      <c r="K634" s="4" t="str">
        <f t="shared" si="63"/>
        <v>23-03-2024</v>
      </c>
      <c r="L634" s="4" t="str">
        <f>TEXT(Sales_Fact!$B634,"mmm")</f>
        <v>Mar</v>
      </c>
      <c r="M634" s="4">
        <f t="shared" si="64"/>
        <v>1</v>
      </c>
      <c r="N634" s="10">
        <f t="shared" si="65"/>
        <v>94.26</v>
      </c>
      <c r="O634" s="10">
        <f t="shared" si="66"/>
        <v>77.293200000000013</v>
      </c>
      <c r="P634" s="10">
        <f t="shared" si="67"/>
        <v>94.26</v>
      </c>
      <c r="Q634" s="3">
        <f t="shared" si="68"/>
        <v>0.17999999999999991</v>
      </c>
      <c r="R634" s="4" t="str">
        <f>IF(Sales_Fact!$O634&gt;1000,"High","Low")</f>
        <v>Low</v>
      </c>
      <c r="S634" s="4" t="str">
        <f>VLOOKUP(C634,Customer_Dim!$A:$N,9,FALSE())</f>
        <v>Stuart Johnson</v>
      </c>
      <c r="T634" s="4" t="str">
        <f>VLOOKUP(D634,Product_Dim!$A:$M,3,FALSE())</f>
        <v>Clothing</v>
      </c>
      <c r="U634" s="11" t="str">
        <f>VLOOKUP(D634,Product_Dim!$A:$M,2,FALSE())</f>
        <v>Men's Graphic T-Shirt</v>
      </c>
      <c r="V634" s="11" t="str">
        <f>VLOOKUP(E634,Store_Dim!$A:$E,3,FALSE())</f>
        <v>North</v>
      </c>
      <c r="W634" s="11" t="str">
        <f>VLOOKUP(C634,Customer_Dim!$A:$N,13,FALSE())</f>
        <v>Platinum</v>
      </c>
      <c r="X634" s="11" t="str">
        <f t="shared" si="69"/>
        <v>Low</v>
      </c>
    </row>
    <row r="635" spans="1:24" ht="15.75" customHeight="1">
      <c r="A635" s="4" t="s">
        <v>2631</v>
      </c>
      <c r="B635" s="9">
        <v>45789</v>
      </c>
      <c r="C635" s="4" t="s">
        <v>1321</v>
      </c>
      <c r="D635" s="4" t="s">
        <v>1603</v>
      </c>
      <c r="E635" s="4" t="s">
        <v>1947</v>
      </c>
      <c r="F635" s="4">
        <v>4</v>
      </c>
      <c r="G635" s="4">
        <v>458.58</v>
      </c>
      <c r="H635" s="4">
        <v>0.28999999999999998</v>
      </c>
      <c r="I635" s="4" t="s">
        <v>2004</v>
      </c>
      <c r="J635" s="10">
        <v>1302.3671999999999</v>
      </c>
      <c r="K635" s="4" t="str">
        <f t="shared" si="63"/>
        <v>12-05-2025</v>
      </c>
      <c r="L635" s="4" t="str">
        <f>TEXT(Sales_Fact!$B635,"mmm")</f>
        <v>May</v>
      </c>
      <c r="M635" s="4">
        <f t="shared" si="64"/>
        <v>4</v>
      </c>
      <c r="N635" s="10">
        <f t="shared" si="65"/>
        <v>458.58</v>
      </c>
      <c r="O635" s="10">
        <f t="shared" si="66"/>
        <v>1302.3671999999999</v>
      </c>
      <c r="P635" s="10">
        <f t="shared" si="67"/>
        <v>1834.32</v>
      </c>
      <c r="Q635" s="3">
        <f t="shared" si="68"/>
        <v>0.29000000000000004</v>
      </c>
      <c r="R635" s="4" t="str">
        <f>IF(Sales_Fact!$O635&gt;1000,"High","Low")</f>
        <v>High</v>
      </c>
      <c r="S635" s="4" t="str">
        <f>VLOOKUP(C635,Customer_Dim!$A:$N,9,FALSE())</f>
        <v>Jennifer Myers</v>
      </c>
      <c r="T635" s="4" t="str">
        <f>VLOOKUP(D635,Product_Dim!$A:$M,3,FALSE())</f>
        <v>Beauty</v>
      </c>
      <c r="U635" s="11" t="str">
        <f>VLOOKUP(D635,Product_Dim!$A:$M,2,FALSE())</f>
        <v>Herbal Face Moisturizer</v>
      </c>
      <c r="V635" s="11" t="str">
        <f>VLOOKUP(E635,Store_Dim!$A:$E,3,FALSE())</f>
        <v>East</v>
      </c>
      <c r="W635" s="11" t="str">
        <f>VLOOKUP(C635,Customer_Dim!$A:$N,13,FALSE())</f>
        <v>Platinum</v>
      </c>
      <c r="X635" s="11" t="str">
        <f t="shared" si="69"/>
        <v>High</v>
      </c>
    </row>
    <row r="636" spans="1:24" ht="15.75" customHeight="1">
      <c r="A636" s="4" t="s">
        <v>2632</v>
      </c>
      <c r="B636" s="9">
        <v>45452</v>
      </c>
      <c r="C636" s="4" t="s">
        <v>417</v>
      </c>
      <c r="D636" s="4" t="s">
        <v>1800</v>
      </c>
      <c r="E636" s="4" t="s">
        <v>1947</v>
      </c>
      <c r="F636" s="4">
        <v>4</v>
      </c>
      <c r="G636" s="4">
        <v>704.49</v>
      </c>
      <c r="H636" s="4">
        <v>0.05</v>
      </c>
      <c r="I636" s="4" t="s">
        <v>2004</v>
      </c>
      <c r="J636" s="10">
        <v>2677.0619999999999</v>
      </c>
      <c r="K636" s="4" t="str">
        <f t="shared" si="63"/>
        <v>09-06-2024</v>
      </c>
      <c r="L636" s="4" t="str">
        <f>TEXT(Sales_Fact!$B636,"mmm")</f>
        <v>Jun</v>
      </c>
      <c r="M636" s="4">
        <f t="shared" si="64"/>
        <v>4</v>
      </c>
      <c r="N636" s="10">
        <f t="shared" si="65"/>
        <v>704.49</v>
      </c>
      <c r="O636" s="10">
        <f t="shared" si="66"/>
        <v>2677.0619999999999</v>
      </c>
      <c r="P636" s="10">
        <f t="shared" si="67"/>
        <v>2817.96</v>
      </c>
      <c r="Q636" s="3">
        <f t="shared" si="68"/>
        <v>5.0000000000000051E-2</v>
      </c>
      <c r="R636" s="4" t="str">
        <f>IF(Sales_Fact!$O636&gt;1000,"High","Low")</f>
        <v>High</v>
      </c>
      <c r="S636" s="4" t="str">
        <f>VLOOKUP(C636,Customer_Dim!$A:$N,9,FALSE())</f>
        <v>Edward Hall</v>
      </c>
      <c r="T636" s="4" t="str">
        <f>VLOOKUP(D636,Product_Dim!$A:$M,3,FALSE())</f>
        <v>Sports</v>
      </c>
      <c r="U636" s="11" t="str">
        <f>VLOOKUP(D636,Product_Dim!$A:$M,2,FALSE())</f>
        <v>Adjustable Dumbbells 20kg</v>
      </c>
      <c r="V636" s="11" t="str">
        <f>VLOOKUP(E636,Store_Dim!$A:$E,3,FALSE())</f>
        <v>East</v>
      </c>
      <c r="W636" s="11" t="str">
        <f>VLOOKUP(C636,Customer_Dim!$A:$N,13,FALSE())</f>
        <v>Gold</v>
      </c>
      <c r="X636" s="11" t="str">
        <f t="shared" si="69"/>
        <v>High</v>
      </c>
    </row>
    <row r="637" spans="1:24" ht="15.75" customHeight="1">
      <c r="A637" s="4" t="s">
        <v>2633</v>
      </c>
      <c r="B637" s="9">
        <v>45883</v>
      </c>
      <c r="C637" s="4" t="s">
        <v>368</v>
      </c>
      <c r="D637" s="4" t="s">
        <v>1770</v>
      </c>
      <c r="E637" s="4" t="s">
        <v>1931</v>
      </c>
      <c r="F637" s="4">
        <v>1</v>
      </c>
      <c r="G637" s="4">
        <v>83.1</v>
      </c>
      <c r="H637" s="4">
        <v>0.04</v>
      </c>
      <c r="I637" s="4" t="s">
        <v>1998</v>
      </c>
      <c r="J637" s="10">
        <v>79.775999999999996</v>
      </c>
      <c r="K637" s="4" t="str">
        <f t="shared" si="63"/>
        <v>14-08-2025</v>
      </c>
      <c r="L637" s="4" t="str">
        <f>TEXT(Sales_Fact!$B637,"mmm")</f>
        <v>Aug</v>
      </c>
      <c r="M637" s="4">
        <f t="shared" si="64"/>
        <v>1</v>
      </c>
      <c r="N637" s="10">
        <f t="shared" si="65"/>
        <v>83.1</v>
      </c>
      <c r="O637" s="10">
        <f t="shared" si="66"/>
        <v>79.775999999999996</v>
      </c>
      <c r="P637" s="10">
        <f t="shared" si="67"/>
        <v>83.1</v>
      </c>
      <c r="Q637" s="3">
        <f t="shared" si="68"/>
        <v>3.999999999999998E-2</v>
      </c>
      <c r="R637" s="4" t="str">
        <f>IF(Sales_Fact!$O637&gt;1000,"High","Low")</f>
        <v>Low</v>
      </c>
      <c r="S637" s="4" t="str">
        <f>VLOOKUP(C637,Customer_Dim!$A:$N,9,FALSE())</f>
        <v>David Cobb</v>
      </c>
      <c r="T637" s="4" t="str">
        <f>VLOOKUP(D637,Product_Dim!$A:$M,3,FALSE())</f>
        <v>Home</v>
      </c>
      <c r="U637" s="11" t="str">
        <f>VLOOKUP(D637,Product_Dim!$A:$M,2,FALSE())</f>
        <v>Ceramic Plant Pot</v>
      </c>
      <c r="V637" s="11" t="str">
        <f>VLOOKUP(E637,Store_Dim!$A:$E,3,FALSE())</f>
        <v>North</v>
      </c>
      <c r="W637" s="11" t="str">
        <f>VLOOKUP(C637,Customer_Dim!$A:$N,13,FALSE())</f>
        <v>Silver</v>
      </c>
      <c r="X637" s="11" t="str">
        <f t="shared" si="69"/>
        <v>Low</v>
      </c>
    </row>
    <row r="638" spans="1:24" ht="15.75" customHeight="1">
      <c r="A638" s="4" t="s">
        <v>2634</v>
      </c>
      <c r="B638" s="9">
        <v>45284</v>
      </c>
      <c r="C638" s="4" t="s">
        <v>151</v>
      </c>
      <c r="D638" s="4" t="s">
        <v>1681</v>
      </c>
      <c r="E638" s="4" t="s">
        <v>1971</v>
      </c>
      <c r="F638" s="4">
        <v>4</v>
      </c>
      <c r="G638" s="4">
        <v>822.32</v>
      </c>
      <c r="H638" s="4">
        <v>0.26</v>
      </c>
      <c r="I638" s="4" t="s">
        <v>1998</v>
      </c>
      <c r="J638" s="10">
        <v>2434.0672</v>
      </c>
      <c r="K638" s="4" t="str">
        <f t="shared" si="63"/>
        <v>24-12-2023</v>
      </c>
      <c r="L638" s="4" t="str">
        <f>TEXT(Sales_Fact!$B638,"mmm")</f>
        <v>Dec</v>
      </c>
      <c r="M638" s="4">
        <f t="shared" si="64"/>
        <v>4</v>
      </c>
      <c r="N638" s="10">
        <f t="shared" si="65"/>
        <v>822.32</v>
      </c>
      <c r="O638" s="10">
        <f t="shared" si="66"/>
        <v>2434.0672</v>
      </c>
      <c r="P638" s="10">
        <f t="shared" si="67"/>
        <v>3289.28</v>
      </c>
      <c r="Q638" s="3">
        <f t="shared" si="68"/>
        <v>0.26000000000000006</v>
      </c>
      <c r="R638" s="4" t="str">
        <f>IF(Sales_Fact!$O638&gt;1000,"High","Low")</f>
        <v>High</v>
      </c>
      <c r="S638" s="4" t="str">
        <f>VLOOKUP(C638,Customer_Dim!$A:$N,9,FALSE())</f>
        <v>Mike Jennings</v>
      </c>
      <c r="T638" s="4" t="str">
        <f>VLOOKUP(D638,Product_Dim!$A:$M,3,FALSE())</f>
        <v>Home</v>
      </c>
      <c r="U638" s="11" t="str">
        <f>VLOOKUP(D638,Product_Dim!$A:$M,2,FALSE())</f>
        <v>Decorative Floor Vase</v>
      </c>
      <c r="V638" s="11" t="str">
        <f>VLOOKUP(E638,Store_Dim!$A:$E,3,FALSE())</f>
        <v>East</v>
      </c>
      <c r="W638" s="11" t="str">
        <f>VLOOKUP(C638,Customer_Dim!$A:$N,13,FALSE())</f>
        <v>Gold</v>
      </c>
      <c r="X638" s="11" t="str">
        <f t="shared" si="69"/>
        <v>High</v>
      </c>
    </row>
    <row r="639" spans="1:24" ht="15.75" customHeight="1">
      <c r="A639" s="4" t="s">
        <v>2635</v>
      </c>
      <c r="B639" s="9">
        <v>45325</v>
      </c>
      <c r="C639" s="4" t="s">
        <v>813</v>
      </c>
      <c r="D639" s="4" t="s">
        <v>1592</v>
      </c>
      <c r="E639" s="4" t="s">
        <v>1955</v>
      </c>
      <c r="F639" s="4">
        <v>4</v>
      </c>
      <c r="G639" s="4">
        <v>785.41</v>
      </c>
      <c r="H639" s="4">
        <v>0.13</v>
      </c>
      <c r="I639" s="4" t="s">
        <v>2004</v>
      </c>
      <c r="J639" s="10">
        <v>2733.2267999999999</v>
      </c>
      <c r="K639" s="4" t="str">
        <f t="shared" si="63"/>
        <v>03-02-2024</v>
      </c>
      <c r="L639" s="4" t="str">
        <f>TEXT(Sales_Fact!$B639,"mmm")</f>
        <v>Feb</v>
      </c>
      <c r="M639" s="4">
        <f t="shared" si="64"/>
        <v>4</v>
      </c>
      <c r="N639" s="10">
        <f t="shared" si="65"/>
        <v>785.41</v>
      </c>
      <c r="O639" s="10">
        <f t="shared" si="66"/>
        <v>2733.2267999999999</v>
      </c>
      <c r="P639" s="10">
        <f t="shared" si="67"/>
        <v>3141.64</v>
      </c>
      <c r="Q639" s="3">
        <f t="shared" si="68"/>
        <v>0.13</v>
      </c>
      <c r="R639" s="4" t="str">
        <f>IF(Sales_Fact!$O639&gt;1000,"High","Low")</f>
        <v>High</v>
      </c>
      <c r="S639" s="4" t="str">
        <f>VLOOKUP(C639,Customer_Dim!$A:$N,9,FALSE())</f>
        <v>Laura Soto</v>
      </c>
      <c r="T639" s="4" t="str">
        <f>VLOOKUP(D639,Product_Dim!$A:$M,3,FALSE())</f>
        <v>Clothing</v>
      </c>
      <c r="U639" s="11" t="str">
        <f>VLOOKUP(D639,Product_Dim!$A:$M,2,FALSE())</f>
        <v>Men's Running Jacket</v>
      </c>
      <c r="V639" s="11" t="str">
        <f>VLOOKUP(E639,Store_Dim!$A:$E,3,FALSE())</f>
        <v>East</v>
      </c>
      <c r="W639" s="11" t="str">
        <f>VLOOKUP(C639,Customer_Dim!$A:$N,13,FALSE())</f>
        <v>Platinum</v>
      </c>
      <c r="X639" s="11" t="str">
        <f t="shared" si="69"/>
        <v>High</v>
      </c>
    </row>
    <row r="640" spans="1:24" ht="15.75" customHeight="1">
      <c r="A640" s="4" t="s">
        <v>2636</v>
      </c>
      <c r="B640" s="9">
        <v>45465</v>
      </c>
      <c r="C640" s="4" t="s">
        <v>148</v>
      </c>
      <c r="D640" s="4" t="s">
        <v>1719</v>
      </c>
      <c r="E640" s="4" t="s">
        <v>1957</v>
      </c>
      <c r="F640" s="4">
        <v>1</v>
      </c>
      <c r="G640" s="4">
        <v>405.8</v>
      </c>
      <c r="H640" s="4">
        <v>0.11</v>
      </c>
      <c r="I640" s="4" t="s">
        <v>1998</v>
      </c>
      <c r="J640" s="10">
        <v>361.16199999999998</v>
      </c>
      <c r="K640" s="4" t="str">
        <f t="shared" si="63"/>
        <v>22-06-2024</v>
      </c>
      <c r="L640" s="4" t="str">
        <f>TEXT(Sales_Fact!$B640,"mmm")</f>
        <v>Jun</v>
      </c>
      <c r="M640" s="4">
        <f t="shared" si="64"/>
        <v>1</v>
      </c>
      <c r="N640" s="10">
        <f t="shared" si="65"/>
        <v>405.8</v>
      </c>
      <c r="O640" s="10">
        <f t="shared" si="66"/>
        <v>361.16200000000003</v>
      </c>
      <c r="P640" s="10">
        <f t="shared" si="67"/>
        <v>405.8</v>
      </c>
      <c r="Q640" s="3">
        <f t="shared" si="68"/>
        <v>0.10999999999999995</v>
      </c>
      <c r="R640" s="4" t="str">
        <f>IF(Sales_Fact!$O640&gt;1000,"High","Low")</f>
        <v>Low</v>
      </c>
      <c r="S640" s="4" t="str">
        <f>VLOOKUP(C640,Customer_Dim!$A:$N,9,FALSE())</f>
        <v>Sarah Vance</v>
      </c>
      <c r="T640" s="4" t="str">
        <f>VLOOKUP(D640,Product_Dim!$A:$M,3,FALSE())</f>
        <v>Electronics</v>
      </c>
      <c r="U640" s="11" t="str">
        <f>VLOOKUP(D640,Product_Dim!$A:$M,2,FALSE())</f>
        <v>Portable Power Bank</v>
      </c>
      <c r="V640" s="11" t="str">
        <f>VLOOKUP(E640,Store_Dim!$A:$E,3,FALSE())</f>
        <v>South</v>
      </c>
      <c r="W640" s="11" t="str">
        <f>VLOOKUP(C640,Customer_Dim!$A:$N,13,FALSE())</f>
        <v>Silver</v>
      </c>
      <c r="X640" s="11" t="str">
        <f t="shared" si="69"/>
        <v>Low</v>
      </c>
    </row>
    <row r="641" spans="1:24" ht="15.75" customHeight="1">
      <c r="A641" s="4" t="s">
        <v>2637</v>
      </c>
      <c r="B641" s="9">
        <v>45612</v>
      </c>
      <c r="C641" s="4" t="s">
        <v>1372</v>
      </c>
      <c r="D641" s="4" t="s">
        <v>1879</v>
      </c>
      <c r="E641" s="4" t="s">
        <v>1944</v>
      </c>
      <c r="F641" s="4">
        <v>2</v>
      </c>
      <c r="G641" s="4">
        <v>976.83</v>
      </c>
      <c r="H641" s="4">
        <v>0.1</v>
      </c>
      <c r="I641" s="4" t="s">
        <v>1998</v>
      </c>
      <c r="J641" s="10">
        <v>1758.2940000000001</v>
      </c>
      <c r="K641" s="4" t="str">
        <f t="shared" si="63"/>
        <v>16-11-2024</v>
      </c>
      <c r="L641" s="4" t="str">
        <f>TEXT(Sales_Fact!$B641,"mmm")</f>
        <v>Nov</v>
      </c>
      <c r="M641" s="4">
        <f t="shared" si="64"/>
        <v>2</v>
      </c>
      <c r="N641" s="10">
        <f t="shared" si="65"/>
        <v>976.83</v>
      </c>
      <c r="O641" s="10">
        <f t="shared" si="66"/>
        <v>1758.2940000000001</v>
      </c>
      <c r="P641" s="10">
        <f t="shared" si="67"/>
        <v>1953.66</v>
      </c>
      <c r="Q641" s="3">
        <f t="shared" si="68"/>
        <v>9.9999999999999992E-2</v>
      </c>
      <c r="R641" s="4" t="str">
        <f>IF(Sales_Fact!$O641&gt;1000,"High","Low")</f>
        <v>High</v>
      </c>
      <c r="S641" s="4" t="str">
        <f>VLOOKUP(C641,Customer_Dim!$A:$N,9,FALSE())</f>
        <v>Thomas Moore</v>
      </c>
      <c r="T641" s="4" t="str">
        <f>VLOOKUP(D641,Product_Dim!$A:$M,3,FALSE())</f>
        <v>Clothing</v>
      </c>
      <c r="U641" s="11" t="str">
        <f>VLOOKUP(D641,Product_Dim!$A:$M,2,FALSE())</f>
        <v>Women's High Heels</v>
      </c>
      <c r="V641" s="11" t="str">
        <f>VLOOKUP(E641,Store_Dim!$A:$E,3,FALSE())</f>
        <v>South</v>
      </c>
      <c r="W641" s="11" t="str">
        <f>VLOOKUP(C641,Customer_Dim!$A:$N,13,FALSE())</f>
        <v>Silver</v>
      </c>
      <c r="X641" s="11" t="str">
        <f t="shared" si="69"/>
        <v>Low</v>
      </c>
    </row>
    <row r="642" spans="1:24" ht="15.75" customHeight="1">
      <c r="A642" s="4" t="s">
        <v>2638</v>
      </c>
      <c r="B642" s="9">
        <v>45472</v>
      </c>
      <c r="C642" s="4" t="s">
        <v>897</v>
      </c>
      <c r="D642" s="4" t="s">
        <v>1797</v>
      </c>
      <c r="E642" s="4" t="s">
        <v>1919</v>
      </c>
      <c r="F642" s="4">
        <v>1</v>
      </c>
      <c r="G642" s="4">
        <v>644.15</v>
      </c>
      <c r="H642" s="4">
        <v>0.06</v>
      </c>
      <c r="I642" s="4" t="s">
        <v>1996</v>
      </c>
      <c r="J642" s="10">
        <v>605.50099999999998</v>
      </c>
      <c r="K642" s="4" t="str">
        <f t="shared" ref="K642:K705" si="70">TEXT(B642,"dd-mm-yyyy")</f>
        <v>29-06-2024</v>
      </c>
      <c r="L642" s="4" t="str">
        <f>TEXT(Sales_Fact!$B642,"mmm")</f>
        <v>Jun</v>
      </c>
      <c r="M642" s="4">
        <f t="shared" ref="M642:M705" si="71">IF(ISBLANK(F642),1,F642)</f>
        <v>1</v>
      </c>
      <c r="N642" s="10">
        <f t="shared" ref="N642:N705" si="72">ROUNDUP(IF(ISBLANK(G642),AVERAGE(C:C,G642,G:G),G642),2)</f>
        <v>644.15</v>
      </c>
      <c r="O642" s="10">
        <f t="shared" ref="O642:O705" si="73">M642*N642*(1-H642)</f>
        <v>605.50099999999998</v>
      </c>
      <c r="P642" s="10">
        <f t="shared" ref="P642:P705" si="74">M642*N642</f>
        <v>644.15</v>
      </c>
      <c r="Q642" s="3">
        <f t="shared" ref="Q642:Q705" si="75">(P642-O642)/P642</f>
        <v>6.0000000000000005E-2</v>
      </c>
      <c r="R642" s="4" t="str">
        <f>IF(Sales_Fact!$O642&gt;1000,"High","Low")</f>
        <v>Low</v>
      </c>
      <c r="S642" s="4" t="str">
        <f>VLOOKUP(C642,Customer_Dim!$A:$N,9,FALSE())</f>
        <v>Samantha Robinson</v>
      </c>
      <c r="T642" s="4" t="str">
        <f>VLOOKUP(D642,Product_Dim!$A:$M,3,FALSE())</f>
        <v>Beauty</v>
      </c>
      <c r="U642" s="11" t="str">
        <f>VLOOKUP(D642,Product_Dim!$A:$M,2,FALSE())</f>
        <v>Matte Lipstick Set</v>
      </c>
      <c r="V642" s="11" t="str">
        <f>VLOOKUP(E642,Store_Dim!$A:$E,3,FALSE())</f>
        <v>South</v>
      </c>
      <c r="W642" s="11" t="str">
        <f>VLOOKUP(C642,Customer_Dim!$A:$N,13,FALSE())</f>
        <v>Bronze</v>
      </c>
      <c r="X642" s="11" t="str">
        <f t="shared" ref="X642:X705" si="76">IF(F642&gt;3,"High","Low")</f>
        <v>Low</v>
      </c>
    </row>
    <row r="643" spans="1:24" ht="15.75" customHeight="1">
      <c r="A643" s="4" t="s">
        <v>2639</v>
      </c>
      <c r="B643" s="9">
        <v>45897</v>
      </c>
      <c r="C643" s="4" t="s">
        <v>1087</v>
      </c>
      <c r="D643" s="4" t="s">
        <v>1806</v>
      </c>
      <c r="E643" s="4" t="s">
        <v>1955</v>
      </c>
      <c r="F643" s="4">
        <v>1</v>
      </c>
      <c r="G643" s="4">
        <v>470.55</v>
      </c>
      <c r="H643" s="4">
        <v>0.23</v>
      </c>
      <c r="I643" s="4" t="s">
        <v>1998</v>
      </c>
      <c r="J643" s="10">
        <v>362.32350000000002</v>
      </c>
      <c r="K643" s="4" t="str">
        <f t="shared" si="70"/>
        <v>28-08-2025</v>
      </c>
      <c r="L643" s="4" t="str">
        <f>TEXT(Sales_Fact!$B643,"mmm")</f>
        <v>Aug</v>
      </c>
      <c r="M643" s="4">
        <f t="shared" si="71"/>
        <v>1</v>
      </c>
      <c r="N643" s="10">
        <f t="shared" si="72"/>
        <v>470.55</v>
      </c>
      <c r="O643" s="10">
        <f t="shared" si="73"/>
        <v>362.32350000000002</v>
      </c>
      <c r="P643" s="10">
        <f t="shared" si="74"/>
        <v>470.55</v>
      </c>
      <c r="Q643" s="3">
        <f t="shared" si="75"/>
        <v>0.22999999999999995</v>
      </c>
      <c r="R643" s="4" t="str">
        <f>IF(Sales_Fact!$O643&gt;1000,"High","Low")</f>
        <v>Low</v>
      </c>
      <c r="S643" s="4" t="str">
        <f>VLOOKUP(C643,Customer_Dim!$A:$N,9,FALSE())</f>
        <v>Carol Lewis</v>
      </c>
      <c r="T643" s="4" t="str">
        <f>VLOOKUP(D643,Product_Dim!$A:$M,3,FALSE())</f>
        <v>Electronics</v>
      </c>
      <c r="U643" s="11" t="str">
        <f>VLOOKUP(D643,Product_Dim!$A:$M,2,FALSE())</f>
        <v>Smart LED Light Strip</v>
      </c>
      <c r="V643" s="11" t="str">
        <f>VLOOKUP(E643,Store_Dim!$A:$E,3,FALSE())</f>
        <v>East</v>
      </c>
      <c r="W643" s="11" t="str">
        <f>VLOOKUP(C643,Customer_Dim!$A:$N,13,FALSE())</f>
        <v>Bronze</v>
      </c>
      <c r="X643" s="11" t="str">
        <f t="shared" si="76"/>
        <v>Low</v>
      </c>
    </row>
    <row r="644" spans="1:24" ht="15.75" customHeight="1">
      <c r="A644" s="4" t="s">
        <v>2640</v>
      </c>
      <c r="B644" s="9">
        <v>45241</v>
      </c>
      <c r="C644" s="4" t="s">
        <v>1501</v>
      </c>
      <c r="D644" s="4" t="s">
        <v>1608</v>
      </c>
      <c r="E644" s="4" t="s">
        <v>1934</v>
      </c>
      <c r="F644" s="4">
        <v>3</v>
      </c>
      <c r="G644" s="4">
        <v>598.82000000000005</v>
      </c>
      <c r="H644" s="4">
        <v>0.19</v>
      </c>
      <c r="I644" s="4" t="s">
        <v>2004</v>
      </c>
      <c r="J644" s="10">
        <v>1455.1325999999999</v>
      </c>
      <c r="K644" s="4" t="str">
        <f t="shared" si="70"/>
        <v>11-11-2023</v>
      </c>
      <c r="L644" s="4" t="str">
        <f>TEXT(Sales_Fact!$B644,"mmm")</f>
        <v>Nov</v>
      </c>
      <c r="M644" s="4">
        <f t="shared" si="71"/>
        <v>3</v>
      </c>
      <c r="N644" s="10">
        <f t="shared" si="72"/>
        <v>598.82000000000005</v>
      </c>
      <c r="O644" s="10">
        <f t="shared" si="73"/>
        <v>1455.1326000000001</v>
      </c>
      <c r="P644" s="10">
        <f t="shared" si="74"/>
        <v>1796.46</v>
      </c>
      <c r="Q644" s="3">
        <f t="shared" si="75"/>
        <v>0.18999999999999995</v>
      </c>
      <c r="R644" s="4" t="str">
        <f>IF(Sales_Fact!$O644&gt;1000,"High","Low")</f>
        <v>High</v>
      </c>
      <c r="S644" s="4" t="str">
        <f>VLOOKUP(C644,Customer_Dim!$A:$N,9,FALSE())</f>
        <v>Earl Smith Dds</v>
      </c>
      <c r="T644" s="4" t="str">
        <f>VLOOKUP(D644,Product_Dim!$A:$M,3,FALSE())</f>
        <v>Home</v>
      </c>
      <c r="U644" s="11" t="str">
        <f>VLOOKUP(D644,Product_Dim!$A:$M,2,FALSE())</f>
        <v>LED Table Lamp</v>
      </c>
      <c r="V644" s="11" t="str">
        <f>VLOOKUP(E644,Store_Dim!$A:$E,3,FALSE())</f>
        <v>East</v>
      </c>
      <c r="W644" s="11" t="str">
        <f>VLOOKUP(C644,Customer_Dim!$A:$N,13,FALSE())</f>
        <v>Gold</v>
      </c>
      <c r="X644" s="11" t="str">
        <f t="shared" si="76"/>
        <v>Low</v>
      </c>
    </row>
    <row r="645" spans="1:24" ht="15.75" customHeight="1">
      <c r="A645" s="4" t="s">
        <v>2641</v>
      </c>
      <c r="B645" s="9">
        <v>45851</v>
      </c>
      <c r="C645" s="4" t="s">
        <v>381</v>
      </c>
      <c r="D645" s="4" t="s">
        <v>1658</v>
      </c>
      <c r="E645" s="4" t="s">
        <v>1952</v>
      </c>
      <c r="F645" s="4">
        <v>4</v>
      </c>
      <c r="G645" s="4">
        <v>659.17</v>
      </c>
      <c r="H645" s="4">
        <v>0.12</v>
      </c>
      <c r="I645" s="4" t="s">
        <v>1996</v>
      </c>
      <c r="J645" s="10">
        <v>2320.2784000000001</v>
      </c>
      <c r="K645" s="4" t="str">
        <f t="shared" si="70"/>
        <v>13-07-2025</v>
      </c>
      <c r="L645" s="4" t="str">
        <f>TEXT(Sales_Fact!$B645,"mmm")</f>
        <v>Jul</v>
      </c>
      <c r="M645" s="4">
        <f t="shared" si="71"/>
        <v>4</v>
      </c>
      <c r="N645" s="10">
        <f t="shared" si="72"/>
        <v>659.17</v>
      </c>
      <c r="O645" s="10">
        <f t="shared" si="73"/>
        <v>2320.2783999999997</v>
      </c>
      <c r="P645" s="10">
        <f t="shared" si="74"/>
        <v>2636.68</v>
      </c>
      <c r="Q645" s="3">
        <f t="shared" si="75"/>
        <v>0.12000000000000006</v>
      </c>
      <c r="R645" s="4" t="str">
        <f>IF(Sales_Fact!$O645&gt;1000,"High","Low")</f>
        <v>High</v>
      </c>
      <c r="S645" s="4" t="str">
        <f>VLOOKUP(C645,Customer_Dim!$A:$N,9,FALSE())</f>
        <v>Colleen Maynard</v>
      </c>
      <c r="T645" s="4" t="str">
        <f>VLOOKUP(D645,Product_Dim!$A:$M,3,FALSE())</f>
        <v>Sports</v>
      </c>
      <c r="U645" s="11" t="str">
        <f>VLOOKUP(D645,Product_Dim!$A:$M,2,FALSE())</f>
        <v>Outdoor Sports Water Bottle</v>
      </c>
      <c r="V645" s="11" t="str">
        <f>VLOOKUP(E645,Store_Dim!$A:$E,3,FALSE())</f>
        <v>North</v>
      </c>
      <c r="W645" s="11" t="str">
        <f>VLOOKUP(C645,Customer_Dim!$A:$N,13,FALSE())</f>
        <v>Gold</v>
      </c>
      <c r="X645" s="11" t="str">
        <f t="shared" si="76"/>
        <v>High</v>
      </c>
    </row>
    <row r="646" spans="1:24" ht="15.75" customHeight="1">
      <c r="A646" s="4" t="s">
        <v>2642</v>
      </c>
      <c r="B646" s="9">
        <v>45572</v>
      </c>
      <c r="C646" s="4" t="s">
        <v>390</v>
      </c>
      <c r="D646" s="4" t="s">
        <v>1741</v>
      </c>
      <c r="E646" s="4" t="s">
        <v>1915</v>
      </c>
      <c r="F646" s="4">
        <v>2</v>
      </c>
      <c r="G646" s="4">
        <v>216.02</v>
      </c>
      <c r="H646" s="4">
        <v>0.25</v>
      </c>
      <c r="I646" s="4" t="s">
        <v>1996</v>
      </c>
      <c r="J646" s="10">
        <v>324.02999999999997</v>
      </c>
      <c r="K646" s="4" t="str">
        <f t="shared" si="70"/>
        <v>07-10-2024</v>
      </c>
      <c r="L646" s="4" t="str">
        <f>TEXT(Sales_Fact!$B646,"mmm")</f>
        <v>Oct</v>
      </c>
      <c r="M646" s="4">
        <f t="shared" si="71"/>
        <v>2</v>
      </c>
      <c r="N646" s="10">
        <f t="shared" si="72"/>
        <v>216.02</v>
      </c>
      <c r="O646" s="10">
        <f t="shared" si="73"/>
        <v>324.03000000000003</v>
      </c>
      <c r="P646" s="10">
        <f t="shared" si="74"/>
        <v>432.04</v>
      </c>
      <c r="Q646" s="3">
        <f t="shared" si="75"/>
        <v>0.24999999999999997</v>
      </c>
      <c r="R646" s="4" t="str">
        <f>IF(Sales_Fact!$O646&gt;1000,"High","Low")</f>
        <v>Low</v>
      </c>
      <c r="S646" s="4" t="str">
        <f>VLOOKUP(C646,Customer_Dim!$A:$N,9,FALSE())</f>
        <v>Christopher Lester</v>
      </c>
      <c r="T646" s="4" t="str">
        <f>VLOOKUP(D646,Product_Dim!$A:$M,3,FALSE())</f>
        <v>Clothing</v>
      </c>
      <c r="U646" s="11" t="str">
        <f>VLOOKUP(D646,Product_Dim!$A:$M,2,FALSE())</f>
        <v>Men's Winter Jacket</v>
      </c>
      <c r="V646" s="11" t="str">
        <f>VLOOKUP(E646,Store_Dim!$A:$E,3,FALSE())</f>
        <v>North</v>
      </c>
      <c r="W646" s="11" t="str">
        <f>VLOOKUP(C646,Customer_Dim!$A:$N,13,FALSE())</f>
        <v>Silver</v>
      </c>
      <c r="X646" s="11" t="str">
        <f t="shared" si="76"/>
        <v>Low</v>
      </c>
    </row>
    <row r="647" spans="1:24" ht="15.75" customHeight="1">
      <c r="A647" s="4" t="s">
        <v>2643</v>
      </c>
      <c r="B647" s="9">
        <v>45774</v>
      </c>
      <c r="C647" s="4" t="s">
        <v>145</v>
      </c>
      <c r="D647" s="4" t="s">
        <v>1693</v>
      </c>
      <c r="E647" s="4" t="s">
        <v>1947</v>
      </c>
      <c r="F647" s="4">
        <v>2</v>
      </c>
      <c r="G647" s="4">
        <v>613.47</v>
      </c>
      <c r="H647" s="4">
        <v>0.02</v>
      </c>
      <c r="I647" s="4" t="s">
        <v>1998</v>
      </c>
      <c r="J647" s="10">
        <v>1202.4012</v>
      </c>
      <c r="K647" s="4" t="str">
        <f t="shared" si="70"/>
        <v>27-04-2025</v>
      </c>
      <c r="L647" s="4" t="str">
        <f>TEXT(Sales_Fact!$B647,"mmm")</f>
        <v>Apr</v>
      </c>
      <c r="M647" s="4">
        <f t="shared" si="71"/>
        <v>2</v>
      </c>
      <c r="N647" s="10">
        <f t="shared" si="72"/>
        <v>613.47</v>
      </c>
      <c r="O647" s="10">
        <f t="shared" si="73"/>
        <v>1202.4012</v>
      </c>
      <c r="P647" s="10">
        <f t="shared" si="74"/>
        <v>1226.94</v>
      </c>
      <c r="Q647" s="3">
        <f t="shared" si="75"/>
        <v>2.0000000000000028E-2</v>
      </c>
      <c r="R647" s="4" t="str">
        <f>IF(Sales_Fact!$O647&gt;1000,"High","Low")</f>
        <v>High</v>
      </c>
      <c r="S647" s="4" t="str">
        <f>VLOOKUP(C647,Customer_Dim!$A:$N,9,FALSE())</f>
        <v>Jessica Acevedo</v>
      </c>
      <c r="T647" s="4" t="str">
        <f>VLOOKUP(D647,Product_Dim!$A:$M,3,FALSE())</f>
        <v>Sports</v>
      </c>
      <c r="U647" s="11" t="str">
        <f>VLOOKUP(D647,Product_Dim!$A:$M,2,FALSE())</f>
        <v>Basketball</v>
      </c>
      <c r="V647" s="11" t="str">
        <f>VLOOKUP(E647,Store_Dim!$A:$E,3,FALSE())</f>
        <v>East</v>
      </c>
      <c r="W647" s="11" t="str">
        <f>VLOOKUP(C647,Customer_Dim!$A:$N,13,FALSE())</f>
        <v>Bronze</v>
      </c>
      <c r="X647" s="11" t="str">
        <f t="shared" si="76"/>
        <v>Low</v>
      </c>
    </row>
    <row r="648" spans="1:24" ht="15.75" customHeight="1">
      <c r="A648" s="4" t="s">
        <v>2644</v>
      </c>
      <c r="B648" s="9">
        <v>45601</v>
      </c>
      <c r="C648" s="4" t="s">
        <v>1183</v>
      </c>
      <c r="D648" s="4" t="s">
        <v>1684</v>
      </c>
      <c r="E648" s="4" t="s">
        <v>1950</v>
      </c>
      <c r="F648" s="4">
        <v>2</v>
      </c>
      <c r="G648" s="4">
        <v>60.98</v>
      </c>
      <c r="H648" s="4">
        <v>0.23</v>
      </c>
      <c r="I648" s="4" t="s">
        <v>1998</v>
      </c>
      <c r="J648" s="10">
        <v>93.909199999999998</v>
      </c>
      <c r="K648" s="4" t="str">
        <f t="shared" si="70"/>
        <v>05-11-2024</v>
      </c>
      <c r="L648" s="4" t="str">
        <f>TEXT(Sales_Fact!$B648,"mmm")</f>
        <v>Nov</v>
      </c>
      <c r="M648" s="4">
        <f t="shared" si="71"/>
        <v>2</v>
      </c>
      <c r="N648" s="10">
        <f t="shared" si="72"/>
        <v>60.98</v>
      </c>
      <c r="O648" s="10">
        <f t="shared" si="73"/>
        <v>93.909199999999998</v>
      </c>
      <c r="P648" s="10">
        <f t="shared" si="74"/>
        <v>121.96</v>
      </c>
      <c r="Q648" s="3">
        <f t="shared" si="75"/>
        <v>0.22999999999999998</v>
      </c>
      <c r="R648" s="4" t="str">
        <f>IF(Sales_Fact!$O648&gt;1000,"High","Low")</f>
        <v>Low</v>
      </c>
      <c r="S648" s="4" t="str">
        <f>VLOOKUP(C648,Customer_Dim!$A:$N,9,FALSE())</f>
        <v>Gregory Allen</v>
      </c>
      <c r="T648" s="4" t="str">
        <f>VLOOKUP(D648,Product_Dim!$A:$M,3,FALSE())</f>
        <v>Sports</v>
      </c>
      <c r="U648" s="11" t="str">
        <f>VLOOKUP(D648,Product_Dim!$A:$M,2,FALSE())</f>
        <v>Sports Stopwatch Timer</v>
      </c>
      <c r="V648" s="11" t="str">
        <f>VLOOKUP(E648,Store_Dim!$A:$E,3,FALSE())</f>
        <v>South</v>
      </c>
      <c r="W648" s="11" t="str">
        <f>VLOOKUP(C648,Customer_Dim!$A:$N,13,FALSE())</f>
        <v>Platinum</v>
      </c>
      <c r="X648" s="11" t="str">
        <f t="shared" si="76"/>
        <v>Low</v>
      </c>
    </row>
    <row r="649" spans="1:24" ht="15.75" customHeight="1">
      <c r="A649" s="4" t="s">
        <v>2645</v>
      </c>
      <c r="B649" s="9">
        <v>45921</v>
      </c>
      <c r="C649" s="4" t="s">
        <v>371</v>
      </c>
      <c r="D649" s="4" t="s">
        <v>1779</v>
      </c>
      <c r="E649" s="4" t="s">
        <v>1952</v>
      </c>
      <c r="F649" s="4">
        <v>2</v>
      </c>
      <c r="G649" s="4">
        <v>485.17</v>
      </c>
      <c r="H649" s="4">
        <v>0.11</v>
      </c>
      <c r="I649" s="4" t="s">
        <v>1998</v>
      </c>
      <c r="J649" s="10">
        <v>863.60260000000005</v>
      </c>
      <c r="K649" s="4" t="str">
        <f t="shared" si="70"/>
        <v>21-09-2025</v>
      </c>
      <c r="L649" s="4" t="str">
        <f>TEXT(Sales_Fact!$B649,"mmm")</f>
        <v>Sep</v>
      </c>
      <c r="M649" s="4">
        <f t="shared" si="71"/>
        <v>2</v>
      </c>
      <c r="N649" s="10">
        <f t="shared" si="72"/>
        <v>485.17</v>
      </c>
      <c r="O649" s="10">
        <f t="shared" si="73"/>
        <v>863.60260000000005</v>
      </c>
      <c r="P649" s="10">
        <f t="shared" si="74"/>
        <v>970.34</v>
      </c>
      <c r="Q649" s="3">
        <f t="shared" si="75"/>
        <v>0.10999999999999997</v>
      </c>
      <c r="R649" s="4" t="str">
        <f>IF(Sales_Fact!$O649&gt;1000,"High","Low")</f>
        <v>Low</v>
      </c>
      <c r="S649" s="4" t="str">
        <f>VLOOKUP(C649,Customer_Dim!$A:$N,9,FALSE())</f>
        <v>Brittney Morgan</v>
      </c>
      <c r="T649" s="4" t="str">
        <f>VLOOKUP(D649,Product_Dim!$A:$M,3,FALSE())</f>
        <v>Clothing</v>
      </c>
      <c r="U649" s="11" t="str">
        <f>VLOOKUP(D649,Product_Dim!$A:$M,2,FALSE())</f>
        <v>Womens Cotton Scarf</v>
      </c>
      <c r="V649" s="11" t="str">
        <f>VLOOKUP(E649,Store_Dim!$A:$E,3,FALSE())</f>
        <v>North</v>
      </c>
      <c r="W649" s="11" t="str">
        <f>VLOOKUP(C649,Customer_Dim!$A:$N,13,FALSE())</f>
        <v>Gold</v>
      </c>
      <c r="X649" s="11" t="str">
        <f t="shared" si="76"/>
        <v>Low</v>
      </c>
    </row>
    <row r="650" spans="1:24" ht="15.75" customHeight="1">
      <c r="A650" s="4" t="s">
        <v>2646</v>
      </c>
      <c r="B650" s="9">
        <v>45268</v>
      </c>
      <c r="C650" s="4" t="s">
        <v>997</v>
      </c>
      <c r="D650" s="4" t="s">
        <v>1741</v>
      </c>
      <c r="E650" s="4" t="s">
        <v>1947</v>
      </c>
      <c r="F650" s="4">
        <v>1</v>
      </c>
      <c r="G650" s="4">
        <v>209.7</v>
      </c>
      <c r="H650" s="4">
        <v>0.2</v>
      </c>
      <c r="I650" s="4" t="s">
        <v>1998</v>
      </c>
      <c r="J650" s="10">
        <v>167.76</v>
      </c>
      <c r="K650" s="4" t="str">
        <f t="shared" si="70"/>
        <v>08-12-2023</v>
      </c>
      <c r="L650" s="4" t="str">
        <f>TEXT(Sales_Fact!$B650,"mmm")</f>
        <v>Dec</v>
      </c>
      <c r="M650" s="4">
        <f t="shared" si="71"/>
        <v>1</v>
      </c>
      <c r="N650" s="10">
        <f t="shared" si="72"/>
        <v>209.7</v>
      </c>
      <c r="O650" s="10">
        <f t="shared" si="73"/>
        <v>167.76</v>
      </c>
      <c r="P650" s="10">
        <f t="shared" si="74"/>
        <v>209.7</v>
      </c>
      <c r="Q650" s="3">
        <f t="shared" si="75"/>
        <v>0.2</v>
      </c>
      <c r="R650" s="4" t="str">
        <f>IF(Sales_Fact!$O650&gt;1000,"High","Low")</f>
        <v>Low</v>
      </c>
      <c r="S650" s="4" t="str">
        <f>VLOOKUP(C650,Customer_Dim!$A:$N,9,FALSE())</f>
        <v>Brandy Thompson</v>
      </c>
      <c r="T650" s="4" t="str">
        <f>VLOOKUP(D650,Product_Dim!$A:$M,3,FALSE())</f>
        <v>Clothing</v>
      </c>
      <c r="U650" s="11" t="str">
        <f>VLOOKUP(D650,Product_Dim!$A:$M,2,FALSE())</f>
        <v>Men's Winter Jacket</v>
      </c>
      <c r="V650" s="11" t="str">
        <f>VLOOKUP(E650,Store_Dim!$A:$E,3,FALSE())</f>
        <v>East</v>
      </c>
      <c r="W650" s="11" t="str">
        <f>VLOOKUP(C650,Customer_Dim!$A:$N,13,FALSE())</f>
        <v>Bronze</v>
      </c>
      <c r="X650" s="11" t="str">
        <f t="shared" si="76"/>
        <v>Low</v>
      </c>
    </row>
    <row r="651" spans="1:24" ht="15.75" customHeight="1">
      <c r="A651" s="4" t="s">
        <v>2647</v>
      </c>
      <c r="B651" s="9">
        <v>45402</v>
      </c>
      <c r="C651" s="4" t="s">
        <v>1054</v>
      </c>
      <c r="D651" s="4" t="s">
        <v>1882</v>
      </c>
      <c r="E651" s="4" t="s">
        <v>1910</v>
      </c>
      <c r="F651" s="4">
        <v>1</v>
      </c>
      <c r="G651" s="4">
        <v>681.47</v>
      </c>
      <c r="H651" s="4">
        <v>0.15</v>
      </c>
      <c r="I651" s="4" t="s">
        <v>1996</v>
      </c>
      <c r="J651" s="10">
        <v>579.24950000000001</v>
      </c>
      <c r="K651" s="4" t="str">
        <f t="shared" si="70"/>
        <v>20-04-2024</v>
      </c>
      <c r="L651" s="4" t="str">
        <f>TEXT(Sales_Fact!$B651,"mmm")</f>
        <v>Apr</v>
      </c>
      <c r="M651" s="4">
        <f t="shared" si="71"/>
        <v>1</v>
      </c>
      <c r="N651" s="10">
        <f t="shared" si="72"/>
        <v>681.47</v>
      </c>
      <c r="O651" s="10">
        <f t="shared" si="73"/>
        <v>579.24950000000001</v>
      </c>
      <c r="P651" s="10">
        <f t="shared" si="74"/>
        <v>681.47</v>
      </c>
      <c r="Q651" s="3">
        <f t="shared" si="75"/>
        <v>0.15000000000000002</v>
      </c>
      <c r="R651" s="4" t="str">
        <f>IF(Sales_Fact!$O651&gt;1000,"High","Low")</f>
        <v>Low</v>
      </c>
      <c r="S651" s="4" t="str">
        <f>VLOOKUP(C651,Customer_Dim!$A:$N,9,FALSE())</f>
        <v>Robert King</v>
      </c>
      <c r="T651" s="4" t="str">
        <f>VLOOKUP(D651,Product_Dim!$A:$M,3,FALSE())</f>
        <v>Home</v>
      </c>
      <c r="U651" s="11" t="str">
        <f>VLOOKUP(D651,Product_Dim!$A:$M,2,FALSE())</f>
        <v>Microwave Oven</v>
      </c>
      <c r="V651" s="11" t="str">
        <f>VLOOKUP(E651,Store_Dim!$A:$E,3,FALSE())</f>
        <v>East</v>
      </c>
      <c r="W651" s="11" t="str">
        <f>VLOOKUP(C651,Customer_Dim!$A:$N,13,FALSE())</f>
        <v>Gold</v>
      </c>
      <c r="X651" s="11" t="str">
        <f t="shared" si="76"/>
        <v>Low</v>
      </c>
    </row>
    <row r="652" spans="1:24" ht="15.75" customHeight="1">
      <c r="A652" s="4" t="s">
        <v>2648</v>
      </c>
      <c r="B652" s="9">
        <v>45667</v>
      </c>
      <c r="C652" s="4" t="s">
        <v>1391</v>
      </c>
      <c r="D652" s="4" t="s">
        <v>1834</v>
      </c>
      <c r="E652" s="4" t="s">
        <v>1965</v>
      </c>
      <c r="F652" s="4">
        <v>2</v>
      </c>
      <c r="G652" s="4">
        <v>877.21</v>
      </c>
      <c r="H652" s="4">
        <v>0.1</v>
      </c>
      <c r="I652" s="4" t="s">
        <v>1996</v>
      </c>
      <c r="J652" s="10">
        <v>1578.9780000000001</v>
      </c>
      <c r="K652" s="4" t="str">
        <f t="shared" si="70"/>
        <v>10-01-2025</v>
      </c>
      <c r="L652" s="4" t="str">
        <f>TEXT(Sales_Fact!$B652,"mmm")</f>
        <v>Jan</v>
      </c>
      <c r="M652" s="4">
        <f t="shared" si="71"/>
        <v>2</v>
      </c>
      <c r="N652" s="10">
        <f t="shared" si="72"/>
        <v>877.21</v>
      </c>
      <c r="O652" s="10">
        <f t="shared" si="73"/>
        <v>1578.9780000000001</v>
      </c>
      <c r="P652" s="10">
        <f t="shared" si="74"/>
        <v>1754.42</v>
      </c>
      <c r="Q652" s="3">
        <f t="shared" si="75"/>
        <v>0.1</v>
      </c>
      <c r="R652" s="4" t="str">
        <f>IF(Sales_Fact!$O652&gt;1000,"High","Low")</f>
        <v>High</v>
      </c>
      <c r="S652" s="4" t="str">
        <f>VLOOKUP(C652,Customer_Dim!$A:$N,9,FALSE())</f>
        <v>Tammy Trevino</v>
      </c>
      <c r="T652" s="4" t="str">
        <f>VLOOKUP(D652,Product_Dim!$A:$M,3,FALSE())</f>
        <v>Electronics</v>
      </c>
      <c r="U652" s="11" t="str">
        <f>VLOOKUP(D652,Product_Dim!$A:$M,2,FALSE())</f>
        <v>Wireless Mouse</v>
      </c>
      <c r="V652" s="11" t="str">
        <f>VLOOKUP(E652,Store_Dim!$A:$E,3,FALSE())</f>
        <v>North</v>
      </c>
      <c r="W652" s="11" t="str">
        <f>VLOOKUP(C652,Customer_Dim!$A:$N,13,FALSE())</f>
        <v>Silver</v>
      </c>
      <c r="X652" s="11" t="str">
        <f t="shared" si="76"/>
        <v>Low</v>
      </c>
    </row>
    <row r="653" spans="1:24" ht="15.75" customHeight="1">
      <c r="A653" s="4" t="s">
        <v>2649</v>
      </c>
      <c r="B653" s="9">
        <v>45902</v>
      </c>
      <c r="C653" s="4" t="s">
        <v>1030</v>
      </c>
      <c r="D653" s="4" t="s">
        <v>1840</v>
      </c>
      <c r="E653" s="4" t="s">
        <v>1931</v>
      </c>
      <c r="F653" s="4">
        <v>2</v>
      </c>
      <c r="G653" s="4">
        <v>479.77</v>
      </c>
      <c r="H653" s="4">
        <v>0.21</v>
      </c>
      <c r="I653" s="4" t="s">
        <v>1998</v>
      </c>
      <c r="J653" s="10">
        <v>758.03660000000002</v>
      </c>
      <c r="K653" s="4" t="str">
        <f t="shared" si="70"/>
        <v>02-09-2025</v>
      </c>
      <c r="L653" s="4" t="str">
        <f>TEXT(Sales_Fact!$B653,"mmm")</f>
        <v>Sep</v>
      </c>
      <c r="M653" s="4">
        <f t="shared" si="71"/>
        <v>2</v>
      </c>
      <c r="N653" s="10">
        <f t="shared" si="72"/>
        <v>479.77</v>
      </c>
      <c r="O653" s="10">
        <f t="shared" si="73"/>
        <v>758.03660000000002</v>
      </c>
      <c r="P653" s="10">
        <f t="shared" si="74"/>
        <v>959.54</v>
      </c>
      <c r="Q653" s="3">
        <f t="shared" si="75"/>
        <v>0.20999999999999994</v>
      </c>
      <c r="R653" s="4" t="str">
        <f>IF(Sales_Fact!$O653&gt;1000,"High","Low")</f>
        <v>Low</v>
      </c>
      <c r="S653" s="4" t="str">
        <f>VLOOKUP(C653,Customer_Dim!$A:$N,9,FALSE())</f>
        <v>Madison Wright</v>
      </c>
      <c r="T653" s="4" t="str">
        <f>VLOOKUP(D653,Product_Dim!$A:$M,3,FALSE())</f>
        <v>Home</v>
      </c>
      <c r="U653" s="11" t="str">
        <f>VLOOKUP(D653,Product_Dim!$A:$M,2,FALSE())</f>
        <v>Essential Oil Diffuser</v>
      </c>
      <c r="V653" s="11" t="str">
        <f>VLOOKUP(E653,Store_Dim!$A:$E,3,FALSE())</f>
        <v>North</v>
      </c>
      <c r="W653" s="11" t="str">
        <f>VLOOKUP(C653,Customer_Dim!$A:$N,13,FALSE())</f>
        <v>Platinum</v>
      </c>
      <c r="X653" s="11" t="str">
        <f t="shared" si="76"/>
        <v>Low</v>
      </c>
    </row>
    <row r="654" spans="1:24" ht="15.75" customHeight="1">
      <c r="A654" s="4" t="s">
        <v>2650</v>
      </c>
      <c r="B654" s="9">
        <v>45589</v>
      </c>
      <c r="C654" s="4" t="s">
        <v>1042</v>
      </c>
      <c r="D654" s="4" t="s">
        <v>1855</v>
      </c>
      <c r="E654" s="4" t="s">
        <v>1959</v>
      </c>
      <c r="F654" s="4">
        <v>1</v>
      </c>
      <c r="G654" s="4">
        <v>140.72</v>
      </c>
      <c r="H654" s="4">
        <v>0</v>
      </c>
      <c r="I654" s="4" t="s">
        <v>2004</v>
      </c>
      <c r="J654" s="10">
        <v>140.72</v>
      </c>
      <c r="K654" s="4" t="str">
        <f t="shared" si="70"/>
        <v>24-10-2024</v>
      </c>
      <c r="L654" s="4" t="str">
        <f>TEXT(Sales_Fact!$B654,"mmm")</f>
        <v>Oct</v>
      </c>
      <c r="M654" s="4">
        <f t="shared" si="71"/>
        <v>1</v>
      </c>
      <c r="N654" s="10">
        <f t="shared" si="72"/>
        <v>140.72</v>
      </c>
      <c r="O654" s="10">
        <f t="shared" si="73"/>
        <v>140.72</v>
      </c>
      <c r="P654" s="10">
        <f t="shared" si="74"/>
        <v>140.72</v>
      </c>
      <c r="Q654" s="3">
        <f t="shared" si="75"/>
        <v>0</v>
      </c>
      <c r="R654" s="4" t="str">
        <f>IF(Sales_Fact!$O654&gt;1000,"High","Low")</f>
        <v>Low</v>
      </c>
      <c r="S654" s="4" t="str">
        <f>VLOOKUP(C654,Customer_Dim!$A:$N,9,FALSE())</f>
        <v>Samuel Arias</v>
      </c>
      <c r="T654" s="4" t="str">
        <f>VLOOKUP(D654,Product_Dim!$A:$M,3,FALSE())</f>
        <v>Beauty</v>
      </c>
      <c r="U654" s="11" t="str">
        <f>VLOOKUP(D654,Product_Dim!$A:$M,2,FALSE())</f>
        <v>Hydrating Face Cleanser</v>
      </c>
      <c r="V654" s="11" t="str">
        <f>VLOOKUP(E654,Store_Dim!$A:$E,3,FALSE())</f>
        <v>North</v>
      </c>
      <c r="W654" s="11" t="str">
        <f>VLOOKUP(C654,Customer_Dim!$A:$N,13,FALSE())</f>
        <v>Bronze</v>
      </c>
      <c r="X654" s="11" t="str">
        <f t="shared" si="76"/>
        <v>Low</v>
      </c>
    </row>
    <row r="655" spans="1:24" ht="15.75" customHeight="1">
      <c r="A655" s="4" t="s">
        <v>2651</v>
      </c>
      <c r="B655" s="9">
        <v>45668</v>
      </c>
      <c r="C655" s="4" t="s">
        <v>135</v>
      </c>
      <c r="D655" s="4" t="s">
        <v>1654</v>
      </c>
      <c r="E655" s="4" t="s">
        <v>1934</v>
      </c>
      <c r="F655" s="4">
        <v>2</v>
      </c>
      <c r="G655" s="4">
        <v>764.25</v>
      </c>
      <c r="H655" s="4">
        <v>0.23</v>
      </c>
      <c r="I655" s="4" t="s">
        <v>1998</v>
      </c>
      <c r="J655" s="10">
        <v>1176.9449999999999</v>
      </c>
      <c r="K655" s="4" t="str">
        <f t="shared" si="70"/>
        <v>11-01-2025</v>
      </c>
      <c r="L655" s="4" t="str">
        <f>TEXT(Sales_Fact!$B655,"mmm")</f>
        <v>Jan</v>
      </c>
      <c r="M655" s="4">
        <f t="shared" si="71"/>
        <v>2</v>
      </c>
      <c r="N655" s="10">
        <f t="shared" si="72"/>
        <v>764.25</v>
      </c>
      <c r="O655" s="10">
        <f t="shared" si="73"/>
        <v>1176.9449999999999</v>
      </c>
      <c r="P655" s="10">
        <f t="shared" si="74"/>
        <v>1528.5</v>
      </c>
      <c r="Q655" s="3">
        <f t="shared" si="75"/>
        <v>0.23000000000000004</v>
      </c>
      <c r="R655" s="4" t="str">
        <f>IF(Sales_Fact!$O655&gt;1000,"High","Low")</f>
        <v>High</v>
      </c>
      <c r="S655" s="4" t="str">
        <f>VLOOKUP(C655,Customer_Dim!$A:$N,9,FALSE())</f>
        <v>Leslie Johnson</v>
      </c>
      <c r="T655" s="4" t="str">
        <f>VLOOKUP(D655,Product_Dim!$A:$M,3,FALSE())</f>
        <v>Sports</v>
      </c>
      <c r="U655" s="11" t="str">
        <f>VLOOKUP(D655,Product_Dim!$A:$M,2,FALSE())</f>
        <v>Knee Support Brace</v>
      </c>
      <c r="V655" s="11" t="str">
        <f>VLOOKUP(E655,Store_Dim!$A:$E,3,FALSE())</f>
        <v>East</v>
      </c>
      <c r="W655" s="11" t="str">
        <f>VLOOKUP(C655,Customer_Dim!$A:$N,13,FALSE())</f>
        <v>Standard</v>
      </c>
      <c r="X655" s="11" t="str">
        <f t="shared" si="76"/>
        <v>Low</v>
      </c>
    </row>
    <row r="656" spans="1:24" ht="15.75" customHeight="1">
      <c r="A656" s="4" t="s">
        <v>2652</v>
      </c>
      <c r="B656" s="9">
        <v>45300</v>
      </c>
      <c r="C656" s="4" t="s">
        <v>746</v>
      </c>
      <c r="D656" s="4" t="s">
        <v>1855</v>
      </c>
      <c r="E656" s="4" t="s">
        <v>1931</v>
      </c>
      <c r="F656" s="4">
        <v>3</v>
      </c>
      <c r="G656" s="4">
        <v>107.8</v>
      </c>
      <c r="H656" s="4">
        <v>0.28999999999999998</v>
      </c>
      <c r="I656" s="4" t="s">
        <v>1998</v>
      </c>
      <c r="J656" s="10">
        <v>229.614</v>
      </c>
      <c r="K656" s="4" t="str">
        <f t="shared" si="70"/>
        <v>09-01-2024</v>
      </c>
      <c r="L656" s="4" t="str">
        <f>TEXT(Sales_Fact!$B656,"mmm")</f>
        <v>Jan</v>
      </c>
      <c r="M656" s="4">
        <f t="shared" si="71"/>
        <v>3</v>
      </c>
      <c r="N656" s="10">
        <f t="shared" si="72"/>
        <v>107.8</v>
      </c>
      <c r="O656" s="10">
        <f t="shared" si="73"/>
        <v>229.61399999999998</v>
      </c>
      <c r="P656" s="10">
        <f t="shared" si="74"/>
        <v>323.39999999999998</v>
      </c>
      <c r="Q656" s="3">
        <f t="shared" si="75"/>
        <v>0.29000000000000004</v>
      </c>
      <c r="R656" s="4" t="str">
        <f>IF(Sales_Fact!$O656&gt;1000,"High","Low")</f>
        <v>Low</v>
      </c>
      <c r="S656" s="4" t="str">
        <f>VLOOKUP(C656,Customer_Dim!$A:$N,9,FALSE())</f>
        <v>Alejandro Doyle</v>
      </c>
      <c r="T656" s="4" t="str">
        <f>VLOOKUP(D656,Product_Dim!$A:$M,3,FALSE())</f>
        <v>Beauty</v>
      </c>
      <c r="U656" s="11" t="str">
        <f>VLOOKUP(D656,Product_Dim!$A:$M,2,FALSE())</f>
        <v>Hydrating Face Cleanser</v>
      </c>
      <c r="V656" s="11" t="str">
        <f>VLOOKUP(E656,Store_Dim!$A:$E,3,FALSE())</f>
        <v>North</v>
      </c>
      <c r="W656" s="11" t="str">
        <f>VLOOKUP(C656,Customer_Dim!$A:$N,13,FALSE())</f>
        <v>Platinum</v>
      </c>
      <c r="X656" s="11" t="str">
        <f t="shared" si="76"/>
        <v>Low</v>
      </c>
    </row>
    <row r="657" spans="1:24" ht="15.75" customHeight="1">
      <c r="A657" s="4" t="s">
        <v>2653</v>
      </c>
      <c r="B657" s="9">
        <v>45757</v>
      </c>
      <c r="C657" s="4" t="s">
        <v>520</v>
      </c>
      <c r="D657" s="4" t="s">
        <v>1665</v>
      </c>
      <c r="E657" s="4" t="s">
        <v>1940</v>
      </c>
      <c r="F657" s="4">
        <v>4</v>
      </c>
      <c r="G657" s="4">
        <v>565.37</v>
      </c>
      <c r="H657" s="4">
        <v>7.0000000000000007E-2</v>
      </c>
      <c r="I657" s="4" t="s">
        <v>1998</v>
      </c>
      <c r="J657" s="10">
        <v>2103.1763999999998</v>
      </c>
      <c r="K657" s="4" t="str">
        <f t="shared" si="70"/>
        <v>10-04-2025</v>
      </c>
      <c r="L657" s="4" t="str">
        <f>TEXT(Sales_Fact!$B657,"mmm")</f>
        <v>Apr</v>
      </c>
      <c r="M657" s="4">
        <f t="shared" si="71"/>
        <v>4</v>
      </c>
      <c r="N657" s="10">
        <f t="shared" si="72"/>
        <v>565.37</v>
      </c>
      <c r="O657" s="10">
        <f t="shared" si="73"/>
        <v>2103.1763999999998</v>
      </c>
      <c r="P657" s="10">
        <f t="shared" si="74"/>
        <v>2261.48</v>
      </c>
      <c r="Q657" s="3">
        <f t="shared" si="75"/>
        <v>7.0000000000000076E-2</v>
      </c>
      <c r="R657" s="4" t="str">
        <f>IF(Sales_Fact!$O657&gt;1000,"High","Low")</f>
        <v>High</v>
      </c>
      <c r="S657" s="4" t="str">
        <f>VLOOKUP(C657,Customer_Dim!$A:$N,9,FALSE())</f>
        <v>Rhonda Young</v>
      </c>
      <c r="T657" s="4" t="str">
        <f>VLOOKUP(D657,Product_Dim!$A:$M,3,FALSE())</f>
        <v>Sports</v>
      </c>
      <c r="U657" s="11" t="str">
        <f>VLOOKUP(D657,Product_Dim!$A:$M,2,FALSE())</f>
        <v>Carbon Fiber Tennis Racket</v>
      </c>
      <c r="V657" s="11" t="str">
        <f>VLOOKUP(E657,Store_Dim!$A:$E,3,FALSE())</f>
        <v>West</v>
      </c>
      <c r="W657" s="11" t="str">
        <f>VLOOKUP(C657,Customer_Dim!$A:$N,13,FALSE())</f>
        <v>Platinum</v>
      </c>
      <c r="X657" s="11" t="str">
        <f t="shared" si="76"/>
        <v>High</v>
      </c>
    </row>
    <row r="658" spans="1:24" ht="15.75" customHeight="1">
      <c r="A658" s="4" t="s">
        <v>2654</v>
      </c>
      <c r="B658" s="9">
        <v>45235</v>
      </c>
      <c r="C658" s="4" t="s">
        <v>158</v>
      </c>
      <c r="D658" s="4" t="s">
        <v>1709</v>
      </c>
      <c r="E658" s="4" t="s">
        <v>1927</v>
      </c>
      <c r="F658" s="4">
        <v>3</v>
      </c>
      <c r="G658" s="4">
        <v>811.45</v>
      </c>
      <c r="H658" s="4">
        <v>0.26</v>
      </c>
      <c r="I658" s="4" t="s">
        <v>1996</v>
      </c>
      <c r="J658" s="10">
        <v>1801.4190000000001</v>
      </c>
      <c r="K658" s="4" t="str">
        <f t="shared" si="70"/>
        <v>05-11-2023</v>
      </c>
      <c r="L658" s="4" t="str">
        <f>TEXT(Sales_Fact!$B658,"mmm")</f>
        <v>Nov</v>
      </c>
      <c r="M658" s="4">
        <f t="shared" si="71"/>
        <v>3</v>
      </c>
      <c r="N658" s="10">
        <f t="shared" si="72"/>
        <v>811.45</v>
      </c>
      <c r="O658" s="10">
        <f t="shared" si="73"/>
        <v>1801.4190000000003</v>
      </c>
      <c r="P658" s="10">
        <f t="shared" si="74"/>
        <v>2434.3500000000004</v>
      </c>
      <c r="Q658" s="3">
        <f t="shared" si="75"/>
        <v>0.25999999999999995</v>
      </c>
      <c r="R658" s="4" t="str">
        <f>IF(Sales_Fact!$O658&gt;1000,"High","Low")</f>
        <v>High</v>
      </c>
      <c r="S658" s="4" t="str">
        <f>VLOOKUP(C658,Customer_Dim!$A:$N,9,FALSE())</f>
        <v>Christopher Olson</v>
      </c>
      <c r="T658" s="4" t="str">
        <f>VLOOKUP(D658,Product_Dim!$A:$M,3,FALSE())</f>
        <v>Clothing</v>
      </c>
      <c r="U658" s="11" t="str">
        <f>VLOOKUP(D658,Product_Dim!$A:$M,2,FALSE())</f>
        <v>Women's Summer Dress</v>
      </c>
      <c r="V658" s="11" t="str">
        <f>VLOOKUP(E658,Store_Dim!$A:$E,3,FALSE())</f>
        <v>South</v>
      </c>
      <c r="W658" s="11" t="str">
        <f>VLOOKUP(C658,Customer_Dim!$A:$N,13,FALSE())</f>
        <v>Platinum</v>
      </c>
      <c r="X658" s="11" t="str">
        <f t="shared" si="76"/>
        <v>Low</v>
      </c>
    </row>
    <row r="659" spans="1:24" ht="15.75" customHeight="1">
      <c r="A659" s="4" t="s">
        <v>2655</v>
      </c>
      <c r="B659" s="9">
        <v>45454</v>
      </c>
      <c r="C659" s="4" t="s">
        <v>1258</v>
      </c>
      <c r="D659" s="4" t="s">
        <v>1873</v>
      </c>
      <c r="E659" s="4" t="s">
        <v>1962</v>
      </c>
      <c r="F659" s="4">
        <v>2</v>
      </c>
      <c r="G659" s="4">
        <v>122.23</v>
      </c>
      <c r="H659" s="4">
        <v>0.21</v>
      </c>
      <c r="I659" s="4" t="s">
        <v>2004</v>
      </c>
      <c r="J659" s="10">
        <v>193.1234</v>
      </c>
      <c r="K659" s="4" t="str">
        <f t="shared" si="70"/>
        <v>11-06-2024</v>
      </c>
      <c r="L659" s="4" t="str">
        <f>TEXT(Sales_Fact!$B659,"mmm")</f>
        <v>Jun</v>
      </c>
      <c r="M659" s="4">
        <f t="shared" si="71"/>
        <v>2</v>
      </c>
      <c r="N659" s="10">
        <f t="shared" si="72"/>
        <v>122.23</v>
      </c>
      <c r="O659" s="10">
        <f t="shared" si="73"/>
        <v>193.1234</v>
      </c>
      <c r="P659" s="10">
        <f t="shared" si="74"/>
        <v>244.46</v>
      </c>
      <c r="Q659" s="3">
        <f t="shared" si="75"/>
        <v>0.21000000000000002</v>
      </c>
      <c r="R659" s="4" t="str">
        <f>IF(Sales_Fact!$O659&gt;1000,"High","Low")</f>
        <v>Low</v>
      </c>
      <c r="S659" s="4" t="str">
        <f>VLOOKUP(C659,Customer_Dim!$A:$N,9,FALSE())</f>
        <v>Alejandro Evans</v>
      </c>
      <c r="T659" s="4" t="str">
        <f>VLOOKUP(D659,Product_Dim!$A:$M,3,FALSE())</f>
        <v>Beauty</v>
      </c>
      <c r="U659" s="11" t="str">
        <f>VLOOKUP(D659,Product_Dim!$A:$M,2,FALSE())</f>
        <v>Face Foundation Kit</v>
      </c>
      <c r="V659" s="11" t="str">
        <f>VLOOKUP(E659,Store_Dim!$A:$E,3,FALSE())</f>
        <v>West</v>
      </c>
      <c r="W659" s="11" t="str">
        <f>VLOOKUP(C659,Customer_Dim!$A:$N,13,FALSE())</f>
        <v>Bronze</v>
      </c>
      <c r="X659" s="11" t="str">
        <f t="shared" si="76"/>
        <v>Low</v>
      </c>
    </row>
    <row r="660" spans="1:24" ht="15.75" customHeight="1">
      <c r="A660" s="4" t="s">
        <v>2656</v>
      </c>
      <c r="B660" s="9">
        <v>45749</v>
      </c>
      <c r="C660" s="4" t="s">
        <v>1304</v>
      </c>
      <c r="D660" s="4" t="s">
        <v>1700</v>
      </c>
      <c r="E660" s="4" t="s">
        <v>1971</v>
      </c>
      <c r="F660" s="4">
        <v>4</v>
      </c>
      <c r="G660" s="4">
        <v>62.25</v>
      </c>
      <c r="H660" s="4">
        <v>0.11</v>
      </c>
      <c r="I660" s="4" t="s">
        <v>1998</v>
      </c>
      <c r="J660" s="10">
        <v>221.61</v>
      </c>
      <c r="K660" s="4" t="str">
        <f t="shared" si="70"/>
        <v>02-04-2025</v>
      </c>
      <c r="L660" s="4" t="str">
        <f>TEXT(Sales_Fact!$B660,"mmm")</f>
        <v>Apr</v>
      </c>
      <c r="M660" s="4">
        <f t="shared" si="71"/>
        <v>4</v>
      </c>
      <c r="N660" s="10">
        <f t="shared" si="72"/>
        <v>62.25</v>
      </c>
      <c r="O660" s="10">
        <f t="shared" si="73"/>
        <v>221.61</v>
      </c>
      <c r="P660" s="10">
        <f t="shared" si="74"/>
        <v>249</v>
      </c>
      <c r="Q660" s="3">
        <f t="shared" si="75"/>
        <v>0.10999999999999995</v>
      </c>
      <c r="R660" s="4" t="str">
        <f>IF(Sales_Fact!$O660&gt;1000,"High","Low")</f>
        <v>Low</v>
      </c>
      <c r="S660" s="4" t="str">
        <f>VLOOKUP(C660,Customer_Dim!$A:$N,9,FALSE())</f>
        <v>Jackie Thompson</v>
      </c>
      <c r="T660" s="4" t="str">
        <f>VLOOKUP(D660,Product_Dim!$A:$M,3,FALSE())</f>
        <v>Home</v>
      </c>
      <c r="U660" s="11" t="str">
        <f>VLOOKUP(D660,Product_Dim!$A:$M,2,FALSE())</f>
        <v>Modern Wall Clock</v>
      </c>
      <c r="V660" s="11" t="str">
        <f>VLOOKUP(E660,Store_Dim!$A:$E,3,FALSE())</f>
        <v>East</v>
      </c>
      <c r="W660" s="11" t="str">
        <f>VLOOKUP(C660,Customer_Dim!$A:$N,13,FALSE())</f>
        <v>Bronze</v>
      </c>
      <c r="X660" s="11" t="str">
        <f t="shared" si="76"/>
        <v>High</v>
      </c>
    </row>
    <row r="661" spans="1:24" ht="15.75" customHeight="1">
      <c r="A661" s="4" t="s">
        <v>2657</v>
      </c>
      <c r="B661" s="9">
        <v>45807</v>
      </c>
      <c r="C661" s="4" t="s">
        <v>128</v>
      </c>
      <c r="D661" s="4" t="s">
        <v>1891</v>
      </c>
      <c r="E661" s="4" t="s">
        <v>1947</v>
      </c>
      <c r="F661" s="4">
        <v>1</v>
      </c>
      <c r="G661" s="4">
        <v>749.78</v>
      </c>
      <c r="H661" s="4">
        <v>0.03</v>
      </c>
      <c r="I661" s="4" t="s">
        <v>1996</v>
      </c>
      <c r="J661" s="10">
        <v>727.28660000000002</v>
      </c>
      <c r="K661" s="4" t="str">
        <f t="shared" si="70"/>
        <v>30-05-2025</v>
      </c>
      <c r="L661" s="4" t="str">
        <f>TEXT(Sales_Fact!$B661,"mmm")</f>
        <v>May</v>
      </c>
      <c r="M661" s="4">
        <f t="shared" si="71"/>
        <v>1</v>
      </c>
      <c r="N661" s="10">
        <f t="shared" si="72"/>
        <v>749.78</v>
      </c>
      <c r="O661" s="10">
        <f t="shared" si="73"/>
        <v>727.28659999999991</v>
      </c>
      <c r="P661" s="10">
        <f t="shared" si="74"/>
        <v>749.78</v>
      </c>
      <c r="Q661" s="3">
        <f t="shared" si="75"/>
        <v>3.0000000000000089E-2</v>
      </c>
      <c r="R661" s="4" t="str">
        <f>IF(Sales_Fact!$O661&gt;1000,"High","Low")</f>
        <v>Low</v>
      </c>
      <c r="S661" s="4" t="str">
        <f>VLOOKUP(C661,Customer_Dim!$A:$N,9,FALSE())</f>
        <v>Diana Taylor</v>
      </c>
      <c r="T661" s="4" t="str">
        <f>VLOOKUP(D661,Product_Dim!$A:$M,3,FALSE())</f>
        <v>Sports</v>
      </c>
      <c r="U661" s="11" t="str">
        <f>VLOOKUP(D661,Product_Dim!$A:$M,2,FALSE())</f>
        <v>Sports Stopwatch Basic</v>
      </c>
      <c r="V661" s="11" t="str">
        <f>VLOOKUP(E661,Store_Dim!$A:$E,3,FALSE())</f>
        <v>East</v>
      </c>
      <c r="W661" s="11" t="str">
        <f>VLOOKUP(C661,Customer_Dim!$A:$N,13,FALSE())</f>
        <v>Bronze</v>
      </c>
      <c r="X661" s="11" t="str">
        <f t="shared" si="76"/>
        <v>Low</v>
      </c>
    </row>
    <row r="662" spans="1:24" ht="15.75" customHeight="1">
      <c r="A662" s="4" t="s">
        <v>2658</v>
      </c>
      <c r="B662" s="9">
        <v>45496</v>
      </c>
      <c r="C662" s="4" t="s">
        <v>1126</v>
      </c>
      <c r="D662" s="4" t="s">
        <v>1782</v>
      </c>
      <c r="E662" s="4" t="s">
        <v>1931</v>
      </c>
      <c r="F662" s="4">
        <v>3</v>
      </c>
      <c r="G662" s="4">
        <v>630.28</v>
      </c>
      <c r="H662" s="4">
        <v>7.0000000000000007E-2</v>
      </c>
      <c r="I662" s="4" t="s">
        <v>2004</v>
      </c>
      <c r="J662" s="10">
        <v>1758.4811999999999</v>
      </c>
      <c r="K662" s="4" t="str">
        <f t="shared" si="70"/>
        <v>23-07-2024</v>
      </c>
      <c r="L662" s="4" t="str">
        <f>TEXT(Sales_Fact!$B662,"mmm")</f>
        <v>Jul</v>
      </c>
      <c r="M662" s="4">
        <f t="shared" si="71"/>
        <v>3</v>
      </c>
      <c r="N662" s="10">
        <f t="shared" si="72"/>
        <v>630.28</v>
      </c>
      <c r="O662" s="10">
        <f t="shared" si="73"/>
        <v>1758.4811999999997</v>
      </c>
      <c r="P662" s="10">
        <f t="shared" si="74"/>
        <v>1890.84</v>
      </c>
      <c r="Q662" s="3">
        <f t="shared" si="75"/>
        <v>7.0000000000000104E-2</v>
      </c>
      <c r="R662" s="4" t="str">
        <f>IF(Sales_Fact!$O662&gt;1000,"High","Low")</f>
        <v>High</v>
      </c>
      <c r="S662" s="4" t="str">
        <f>VLOOKUP(C662,Customer_Dim!$A:$N,9,FALSE())</f>
        <v>Charles Miller</v>
      </c>
      <c r="T662" s="4" t="str">
        <f>VLOOKUP(D662,Product_Dim!$A:$M,3,FALSE())</f>
        <v>Beauty</v>
      </c>
      <c r="U662" s="11" t="str">
        <f>VLOOKUP(D662,Product_Dim!$A:$M,2,FALSE())</f>
        <v>Men's Hair Styling Gel</v>
      </c>
      <c r="V662" s="11" t="str">
        <f>VLOOKUP(E662,Store_Dim!$A:$E,3,FALSE())</f>
        <v>North</v>
      </c>
      <c r="W662" s="11" t="str">
        <f>VLOOKUP(C662,Customer_Dim!$A:$N,13,FALSE())</f>
        <v>Silver</v>
      </c>
      <c r="X662" s="11" t="str">
        <f t="shared" si="76"/>
        <v>Low</v>
      </c>
    </row>
    <row r="663" spans="1:24" ht="15.75" customHeight="1">
      <c r="A663" s="4" t="s">
        <v>2659</v>
      </c>
      <c r="B663" s="9">
        <v>45355</v>
      </c>
      <c r="C663" s="4" t="s">
        <v>508</v>
      </c>
      <c r="D663" s="4" t="s">
        <v>1690</v>
      </c>
      <c r="E663" s="4" t="s">
        <v>1962</v>
      </c>
      <c r="F663" s="4">
        <v>1</v>
      </c>
      <c r="G663" s="4">
        <v>101.84</v>
      </c>
      <c r="H663" s="4">
        <v>0.17</v>
      </c>
      <c r="I663" s="4" t="s">
        <v>1996</v>
      </c>
      <c r="J663" s="10">
        <v>84.527199999999993</v>
      </c>
      <c r="K663" s="4" t="str">
        <f t="shared" si="70"/>
        <v>04-03-2024</v>
      </c>
      <c r="L663" s="4" t="str">
        <f>TEXT(Sales_Fact!$B663,"mmm")</f>
        <v>Mar</v>
      </c>
      <c r="M663" s="4">
        <f t="shared" si="71"/>
        <v>1</v>
      </c>
      <c r="N663" s="10">
        <f t="shared" si="72"/>
        <v>101.84</v>
      </c>
      <c r="O663" s="10">
        <f t="shared" si="73"/>
        <v>84.527199999999993</v>
      </c>
      <c r="P663" s="10">
        <f t="shared" si="74"/>
        <v>101.84</v>
      </c>
      <c r="Q663" s="3">
        <f t="shared" si="75"/>
        <v>0.1700000000000001</v>
      </c>
      <c r="R663" s="4" t="str">
        <f>IF(Sales_Fact!$O663&gt;1000,"High","Low")</f>
        <v>Low</v>
      </c>
      <c r="S663" s="4" t="str">
        <f>VLOOKUP(C663,Customer_Dim!$A:$N,9,FALSE())</f>
        <v>Carlos Skinner</v>
      </c>
      <c r="T663" s="4" t="str">
        <f>VLOOKUP(D663,Product_Dim!$A:$M,3,FALSE())</f>
        <v>Home</v>
      </c>
      <c r="U663" s="11" t="str">
        <f>VLOOKUP(D663,Product_Dim!$A:$M,2,FALSE())</f>
        <v>Stainless Steel Cutlery Set</v>
      </c>
      <c r="V663" s="11" t="str">
        <f>VLOOKUP(E663,Store_Dim!$A:$E,3,FALSE())</f>
        <v>West</v>
      </c>
      <c r="W663" s="11" t="str">
        <f>VLOOKUP(C663,Customer_Dim!$A:$N,13,FALSE())</f>
        <v>Bronze</v>
      </c>
      <c r="X663" s="11" t="str">
        <f t="shared" si="76"/>
        <v>Low</v>
      </c>
    </row>
    <row r="664" spans="1:24" ht="15.75" customHeight="1">
      <c r="A664" s="4" t="s">
        <v>2660</v>
      </c>
      <c r="B664" s="9">
        <v>45256</v>
      </c>
      <c r="C664" s="4" t="s">
        <v>229</v>
      </c>
      <c r="D664" s="4" t="s">
        <v>1671</v>
      </c>
      <c r="E664" s="4" t="s">
        <v>1968</v>
      </c>
      <c r="F664" s="4">
        <v>4</v>
      </c>
      <c r="G664" s="4">
        <v>641.45000000000005</v>
      </c>
      <c r="H664" s="4">
        <v>0.16</v>
      </c>
      <c r="I664" s="4" t="s">
        <v>2004</v>
      </c>
      <c r="J664" s="10">
        <v>2155.2719999999999</v>
      </c>
      <c r="K664" s="4" t="str">
        <f t="shared" si="70"/>
        <v>26-11-2023</v>
      </c>
      <c r="L664" s="4" t="str">
        <f>TEXT(Sales_Fact!$B664,"mmm")</f>
        <v>Nov</v>
      </c>
      <c r="M664" s="4">
        <f t="shared" si="71"/>
        <v>4</v>
      </c>
      <c r="N664" s="10">
        <f t="shared" si="72"/>
        <v>641.45000000000005</v>
      </c>
      <c r="O664" s="10">
        <f t="shared" si="73"/>
        <v>2155.2719999999999</v>
      </c>
      <c r="P664" s="10">
        <f t="shared" si="74"/>
        <v>2565.8000000000002</v>
      </c>
      <c r="Q664" s="3">
        <f t="shared" si="75"/>
        <v>0.16000000000000009</v>
      </c>
      <c r="R664" s="4" t="str">
        <f>IF(Sales_Fact!$O664&gt;1000,"High","Low")</f>
        <v>High</v>
      </c>
      <c r="S664" s="4" t="str">
        <f>VLOOKUP(C664,Customer_Dim!$A:$N,9,FALSE())</f>
        <v>Wayne Mcpherson</v>
      </c>
      <c r="T664" s="4" t="str">
        <f>VLOOKUP(D664,Product_Dim!$A:$M,3,FALSE())</f>
        <v>Sports</v>
      </c>
      <c r="U664" s="11" t="str">
        <f>VLOOKUP(D664,Product_Dim!$A:$M,2,FALSE())</f>
        <v>Foldable Camping Chair</v>
      </c>
      <c r="V664" s="11" t="str">
        <f>VLOOKUP(E664,Store_Dim!$A:$E,3,FALSE())</f>
        <v>East</v>
      </c>
      <c r="W664" s="11" t="str">
        <f>VLOOKUP(C664,Customer_Dim!$A:$N,13,FALSE())</f>
        <v>Bronze</v>
      </c>
      <c r="X664" s="11" t="str">
        <f t="shared" si="76"/>
        <v>High</v>
      </c>
    </row>
    <row r="665" spans="1:24" ht="15.75" customHeight="1">
      <c r="A665" s="4" t="s">
        <v>2661</v>
      </c>
      <c r="B665" s="9">
        <v>45849</v>
      </c>
      <c r="C665" s="4" t="s">
        <v>1481</v>
      </c>
      <c r="D665" s="4" t="s">
        <v>1732</v>
      </c>
      <c r="E665" s="4" t="s">
        <v>1915</v>
      </c>
      <c r="F665" s="4">
        <v>1</v>
      </c>
      <c r="G665" s="4">
        <v>135.87</v>
      </c>
      <c r="H665" s="4">
        <v>0.23</v>
      </c>
      <c r="I665" s="4" t="s">
        <v>1998</v>
      </c>
      <c r="J665" s="10">
        <v>104.6199</v>
      </c>
      <c r="K665" s="4" t="str">
        <f t="shared" si="70"/>
        <v>11-07-2025</v>
      </c>
      <c r="L665" s="4" t="str">
        <f>TEXT(Sales_Fact!$B665,"mmm")</f>
        <v>Jul</v>
      </c>
      <c r="M665" s="4">
        <f t="shared" si="71"/>
        <v>1</v>
      </c>
      <c r="N665" s="10">
        <f t="shared" si="72"/>
        <v>135.87</v>
      </c>
      <c r="O665" s="10">
        <f t="shared" si="73"/>
        <v>104.6199</v>
      </c>
      <c r="P665" s="10">
        <f t="shared" si="74"/>
        <v>135.87</v>
      </c>
      <c r="Q665" s="3">
        <f t="shared" si="75"/>
        <v>0.23</v>
      </c>
      <c r="R665" s="4" t="str">
        <f>IF(Sales_Fact!$O665&gt;1000,"High","Low")</f>
        <v>Low</v>
      </c>
      <c r="S665" s="4" t="str">
        <f>VLOOKUP(C665,Customer_Dim!$A:$N,9,FALSE())</f>
        <v>Debra Mccullough</v>
      </c>
      <c r="T665" s="4" t="str">
        <f>VLOOKUP(D665,Product_Dim!$A:$M,3,FALSE())</f>
        <v>Electronics</v>
      </c>
      <c r="U665" s="11" t="str">
        <f>VLOOKUP(D665,Product_Dim!$A:$M,2,FALSE())</f>
        <v>USB External Hard Drive</v>
      </c>
      <c r="V665" s="11" t="str">
        <f>VLOOKUP(E665,Store_Dim!$A:$E,3,FALSE())</f>
        <v>North</v>
      </c>
      <c r="W665" s="11" t="str">
        <f>VLOOKUP(C665,Customer_Dim!$A:$N,13,FALSE())</f>
        <v>Platinum</v>
      </c>
      <c r="X665" s="11" t="str">
        <f t="shared" si="76"/>
        <v>Low</v>
      </c>
    </row>
    <row r="666" spans="1:24" ht="15.75" customHeight="1">
      <c r="A666" s="4" t="s">
        <v>2662</v>
      </c>
      <c r="B666" s="9">
        <v>45344</v>
      </c>
      <c r="C666" s="4" t="s">
        <v>362</v>
      </c>
      <c r="D666" s="4" t="s">
        <v>1661</v>
      </c>
      <c r="E666" s="4" t="s">
        <v>1934</v>
      </c>
      <c r="F666" s="4">
        <v>1</v>
      </c>
      <c r="G666" s="4">
        <v>388.35</v>
      </c>
      <c r="H666" s="4">
        <v>0.01</v>
      </c>
      <c r="I666" s="4" t="s">
        <v>1998</v>
      </c>
      <c r="J666" s="10">
        <v>384.4665</v>
      </c>
      <c r="K666" s="4" t="str">
        <f t="shared" si="70"/>
        <v>22-02-2024</v>
      </c>
      <c r="L666" s="4" t="str">
        <f>TEXT(Sales_Fact!$B666,"mmm")</f>
        <v>Feb</v>
      </c>
      <c r="M666" s="4">
        <f t="shared" si="71"/>
        <v>1</v>
      </c>
      <c r="N666" s="10">
        <f t="shared" si="72"/>
        <v>388.35</v>
      </c>
      <c r="O666" s="10">
        <f t="shared" si="73"/>
        <v>384.4665</v>
      </c>
      <c r="P666" s="10">
        <f t="shared" si="74"/>
        <v>388.35</v>
      </c>
      <c r="Q666" s="3">
        <f t="shared" si="75"/>
        <v>1.0000000000000068E-2</v>
      </c>
      <c r="R666" s="4" t="str">
        <f>IF(Sales_Fact!$O666&gt;1000,"High","Low")</f>
        <v>Low</v>
      </c>
      <c r="S666" s="4" t="str">
        <f>VLOOKUP(C666,Customer_Dim!$A:$N,9,FALSE())</f>
        <v>Amy Fowler</v>
      </c>
      <c r="T666" s="4" t="str">
        <f>VLOOKUP(D666,Product_Dim!$A:$M,3,FALSE())</f>
        <v>Home</v>
      </c>
      <c r="U666" s="11" t="str">
        <f>VLOOKUP(D666,Product_Dim!$A:$M,2,FALSE())</f>
        <v>Multi-Purpose Storage Box</v>
      </c>
      <c r="V666" s="11" t="str">
        <f>VLOOKUP(E666,Store_Dim!$A:$E,3,FALSE())</f>
        <v>East</v>
      </c>
      <c r="W666" s="11" t="str">
        <f>VLOOKUP(C666,Customer_Dim!$A:$N,13,FALSE())</f>
        <v>Platinum</v>
      </c>
      <c r="X666" s="11" t="str">
        <f t="shared" si="76"/>
        <v>Low</v>
      </c>
    </row>
    <row r="667" spans="1:24" ht="15.75" customHeight="1">
      <c r="A667" s="4" t="s">
        <v>2663</v>
      </c>
      <c r="B667" s="9">
        <v>45367</v>
      </c>
      <c r="C667" s="4" t="s">
        <v>1524</v>
      </c>
      <c r="D667" s="4" t="s">
        <v>1716</v>
      </c>
      <c r="E667" s="4" t="s">
        <v>1944</v>
      </c>
      <c r="F667" s="4">
        <v>2</v>
      </c>
      <c r="G667" s="4">
        <v>999.08</v>
      </c>
      <c r="H667" s="4">
        <v>0.3</v>
      </c>
      <c r="I667" s="4" t="s">
        <v>1998</v>
      </c>
      <c r="J667" s="10">
        <v>1398.712</v>
      </c>
      <c r="K667" s="4" t="str">
        <f t="shared" si="70"/>
        <v>16-03-2024</v>
      </c>
      <c r="L667" s="4" t="str">
        <f>TEXT(Sales_Fact!$B667,"mmm")</f>
        <v>Mar</v>
      </c>
      <c r="M667" s="4">
        <f t="shared" si="71"/>
        <v>2</v>
      </c>
      <c r="N667" s="10">
        <f t="shared" si="72"/>
        <v>999.08</v>
      </c>
      <c r="O667" s="10">
        <f t="shared" si="73"/>
        <v>1398.712</v>
      </c>
      <c r="P667" s="10">
        <f t="shared" si="74"/>
        <v>1998.16</v>
      </c>
      <c r="Q667" s="3">
        <f t="shared" si="75"/>
        <v>0.30000000000000004</v>
      </c>
      <c r="R667" s="4" t="str">
        <f>IF(Sales_Fact!$O667&gt;1000,"High","Low")</f>
        <v>High</v>
      </c>
      <c r="S667" s="4" t="str">
        <f>VLOOKUP(C667,Customer_Dim!$A:$N,9,FALSE())</f>
        <v>Eric Lee</v>
      </c>
      <c r="T667" s="4" t="str">
        <f>VLOOKUP(D667,Product_Dim!$A:$M,3,FALSE())</f>
        <v>Sports</v>
      </c>
      <c r="U667" s="11" t="str">
        <f>VLOOKUP(D667,Product_Dim!$A:$M,2,FALSE())</f>
        <v>Sports Water Hydration Pack</v>
      </c>
      <c r="V667" s="11" t="str">
        <f>VLOOKUP(E667,Store_Dim!$A:$E,3,FALSE())</f>
        <v>South</v>
      </c>
      <c r="W667" s="11" t="str">
        <f>VLOOKUP(C667,Customer_Dim!$A:$N,13,FALSE())</f>
        <v>Bronze</v>
      </c>
      <c r="X667" s="11" t="str">
        <f t="shared" si="76"/>
        <v>Low</v>
      </c>
    </row>
    <row r="668" spans="1:24" ht="15.75" customHeight="1">
      <c r="A668" s="4" t="s">
        <v>2664</v>
      </c>
      <c r="B668" s="9">
        <v>45887</v>
      </c>
      <c r="C668" s="4" t="s">
        <v>589</v>
      </c>
      <c r="D668" s="4" t="s">
        <v>1716</v>
      </c>
      <c r="E668" s="4" t="s">
        <v>1965</v>
      </c>
      <c r="F668" s="4">
        <v>3</v>
      </c>
      <c r="G668" s="4">
        <v>453.19</v>
      </c>
      <c r="H668" s="4">
        <v>0.08</v>
      </c>
      <c r="I668" s="4" t="s">
        <v>2004</v>
      </c>
      <c r="J668" s="10">
        <v>1250.8044</v>
      </c>
      <c r="K668" s="4" t="str">
        <f t="shared" si="70"/>
        <v>18-08-2025</v>
      </c>
      <c r="L668" s="4" t="str">
        <f>TEXT(Sales_Fact!$B668,"mmm")</f>
        <v>Aug</v>
      </c>
      <c r="M668" s="4">
        <f t="shared" si="71"/>
        <v>3</v>
      </c>
      <c r="N668" s="10">
        <f t="shared" si="72"/>
        <v>453.19</v>
      </c>
      <c r="O668" s="10">
        <f t="shared" si="73"/>
        <v>1250.8044</v>
      </c>
      <c r="P668" s="10">
        <f t="shared" si="74"/>
        <v>1359.57</v>
      </c>
      <c r="Q668" s="3">
        <f t="shared" si="75"/>
        <v>7.999999999999996E-2</v>
      </c>
      <c r="R668" s="4" t="str">
        <f>IF(Sales_Fact!$O668&gt;1000,"High","Low")</f>
        <v>High</v>
      </c>
      <c r="S668" s="4" t="str">
        <f>VLOOKUP(C668,Customer_Dim!$A:$N,9,FALSE())</f>
        <v>Christopher Garcia Dds</v>
      </c>
      <c r="T668" s="4" t="str">
        <f>VLOOKUP(D668,Product_Dim!$A:$M,3,FALSE())</f>
        <v>Sports</v>
      </c>
      <c r="U668" s="11" t="str">
        <f>VLOOKUP(D668,Product_Dim!$A:$M,2,FALSE())</f>
        <v>Sports Water Hydration Pack</v>
      </c>
      <c r="V668" s="11" t="str">
        <f>VLOOKUP(E668,Store_Dim!$A:$E,3,FALSE())</f>
        <v>North</v>
      </c>
      <c r="W668" s="11" t="str">
        <f>VLOOKUP(C668,Customer_Dim!$A:$N,13,FALSE())</f>
        <v>Gold</v>
      </c>
      <c r="X668" s="11" t="str">
        <f t="shared" si="76"/>
        <v>Low</v>
      </c>
    </row>
    <row r="669" spans="1:24" ht="15.75" customHeight="1">
      <c r="A669" s="4" t="s">
        <v>2665</v>
      </c>
      <c r="B669" s="9">
        <v>45567</v>
      </c>
      <c r="C669" s="4" t="s">
        <v>783</v>
      </c>
      <c r="D669" s="4" t="s">
        <v>1846</v>
      </c>
      <c r="E669" s="4" t="s">
        <v>1947</v>
      </c>
      <c r="F669" s="4">
        <v>2</v>
      </c>
      <c r="G669" s="4">
        <v>61.31</v>
      </c>
      <c r="H669" s="4">
        <v>0.15</v>
      </c>
      <c r="I669" s="4" t="s">
        <v>2004</v>
      </c>
      <c r="J669" s="10">
        <v>104.227</v>
      </c>
      <c r="K669" s="4" t="str">
        <f t="shared" si="70"/>
        <v>02-10-2024</v>
      </c>
      <c r="L669" s="4" t="str">
        <f>TEXT(Sales_Fact!$B669,"mmm")</f>
        <v>Oct</v>
      </c>
      <c r="M669" s="4">
        <f t="shared" si="71"/>
        <v>2</v>
      </c>
      <c r="N669" s="10">
        <f t="shared" si="72"/>
        <v>61.31</v>
      </c>
      <c r="O669" s="10">
        <f t="shared" si="73"/>
        <v>104.227</v>
      </c>
      <c r="P669" s="10">
        <f t="shared" si="74"/>
        <v>122.62</v>
      </c>
      <c r="Q669" s="3">
        <f t="shared" si="75"/>
        <v>0.15</v>
      </c>
      <c r="R669" s="4" t="str">
        <f>IF(Sales_Fact!$O669&gt;1000,"High","Low")</f>
        <v>Low</v>
      </c>
      <c r="S669" s="4" t="str">
        <f>VLOOKUP(C669,Customer_Dim!$A:$N,9,FALSE())</f>
        <v>Jon Ortiz</v>
      </c>
      <c r="T669" s="4" t="str">
        <f>VLOOKUP(D669,Product_Dim!$A:$M,3,FALSE())</f>
        <v>Home</v>
      </c>
      <c r="U669" s="11" t="str">
        <f>VLOOKUP(D669,Product_Dim!$A:$M,2,FALSE())</f>
        <v>Wall-Mounted Spice Rack</v>
      </c>
      <c r="V669" s="11" t="str">
        <f>VLOOKUP(E669,Store_Dim!$A:$E,3,FALSE())</f>
        <v>East</v>
      </c>
      <c r="W669" s="11" t="str">
        <f>VLOOKUP(C669,Customer_Dim!$A:$N,13,FALSE())</f>
        <v>Bronze</v>
      </c>
      <c r="X669" s="11" t="str">
        <f t="shared" si="76"/>
        <v>Low</v>
      </c>
    </row>
    <row r="670" spans="1:24" ht="15.75" customHeight="1">
      <c r="A670" s="4" t="s">
        <v>2666</v>
      </c>
      <c r="B670" s="9">
        <v>45913</v>
      </c>
      <c r="C670" s="4" t="s">
        <v>906</v>
      </c>
      <c r="D670" s="4" t="s">
        <v>1800</v>
      </c>
      <c r="E670" s="4" t="s">
        <v>1971</v>
      </c>
      <c r="F670" s="4">
        <v>2</v>
      </c>
      <c r="G670" s="4">
        <v>451.98</v>
      </c>
      <c r="H670" s="4">
        <v>0.25</v>
      </c>
      <c r="I670" s="4" t="s">
        <v>1996</v>
      </c>
      <c r="J670" s="10">
        <v>677.97</v>
      </c>
      <c r="K670" s="4" t="str">
        <f t="shared" si="70"/>
        <v>13-09-2025</v>
      </c>
      <c r="L670" s="4" t="str">
        <f>TEXT(Sales_Fact!$B670,"mmm")</f>
        <v>Sep</v>
      </c>
      <c r="M670" s="4">
        <f t="shared" si="71"/>
        <v>2</v>
      </c>
      <c r="N670" s="10">
        <f t="shared" si="72"/>
        <v>451.98</v>
      </c>
      <c r="O670" s="10">
        <f t="shared" si="73"/>
        <v>677.97</v>
      </c>
      <c r="P670" s="10">
        <f t="shared" si="74"/>
        <v>903.96</v>
      </c>
      <c r="Q670" s="3">
        <f t="shared" si="75"/>
        <v>0.25</v>
      </c>
      <c r="R670" s="4" t="str">
        <f>IF(Sales_Fact!$O670&gt;1000,"High","Low")</f>
        <v>Low</v>
      </c>
      <c r="S670" s="4" t="str">
        <f>VLOOKUP(C670,Customer_Dim!$A:$N,9,FALSE())</f>
        <v>Arthur Warren</v>
      </c>
      <c r="T670" s="4" t="str">
        <f>VLOOKUP(D670,Product_Dim!$A:$M,3,FALSE())</f>
        <v>Sports</v>
      </c>
      <c r="U670" s="11" t="str">
        <f>VLOOKUP(D670,Product_Dim!$A:$M,2,FALSE())</f>
        <v>Adjustable Dumbbells 20kg</v>
      </c>
      <c r="V670" s="11" t="str">
        <f>VLOOKUP(E670,Store_Dim!$A:$E,3,FALSE())</f>
        <v>East</v>
      </c>
      <c r="W670" s="11" t="str">
        <f>VLOOKUP(C670,Customer_Dim!$A:$N,13,FALSE())</f>
        <v>Gold</v>
      </c>
      <c r="X670" s="11" t="str">
        <f t="shared" si="76"/>
        <v>Low</v>
      </c>
    </row>
    <row r="671" spans="1:24" ht="15.75" customHeight="1">
      <c r="A671" s="4" t="s">
        <v>2667</v>
      </c>
      <c r="B671" s="9">
        <v>45918</v>
      </c>
      <c r="C671" s="4" t="s">
        <v>109</v>
      </c>
      <c r="D671" s="4" t="s">
        <v>1816</v>
      </c>
      <c r="E671" s="4" t="s">
        <v>1968</v>
      </c>
      <c r="F671" s="4">
        <v>2</v>
      </c>
      <c r="G671" s="4">
        <v>623.38</v>
      </c>
      <c r="H671" s="4">
        <v>0.13</v>
      </c>
      <c r="I671" s="4" t="s">
        <v>1996</v>
      </c>
      <c r="J671" s="10">
        <v>1084.6812</v>
      </c>
      <c r="K671" s="4" t="str">
        <f t="shared" si="70"/>
        <v>18-09-2025</v>
      </c>
      <c r="L671" s="4" t="str">
        <f>TEXT(Sales_Fact!$B671,"mmm")</f>
        <v>Sep</v>
      </c>
      <c r="M671" s="4">
        <f t="shared" si="71"/>
        <v>2</v>
      </c>
      <c r="N671" s="10">
        <f t="shared" si="72"/>
        <v>623.38</v>
      </c>
      <c r="O671" s="10">
        <f t="shared" si="73"/>
        <v>1084.6812</v>
      </c>
      <c r="P671" s="10">
        <f t="shared" si="74"/>
        <v>1246.76</v>
      </c>
      <c r="Q671" s="3">
        <f t="shared" si="75"/>
        <v>0.13</v>
      </c>
      <c r="R671" s="4" t="str">
        <f>IF(Sales_Fact!$O671&gt;1000,"High","Low")</f>
        <v>High</v>
      </c>
      <c r="S671" s="4" t="str">
        <f>VLOOKUP(C671,Customer_Dim!$A:$N,9,FALSE())</f>
        <v>Bridget Allen</v>
      </c>
      <c r="T671" s="4" t="str">
        <f>VLOOKUP(D671,Product_Dim!$A:$M,3,FALSE())</f>
        <v>Home</v>
      </c>
      <c r="U671" s="11" t="str">
        <f>VLOOKUP(D671,Product_Dim!$A:$M,2,FALSE())</f>
        <v>Kitchen Storage Rack</v>
      </c>
      <c r="V671" s="11" t="str">
        <f>VLOOKUP(E671,Store_Dim!$A:$E,3,FALSE())</f>
        <v>East</v>
      </c>
      <c r="W671" s="11" t="str">
        <f>VLOOKUP(C671,Customer_Dim!$A:$N,13,FALSE())</f>
        <v>Silver</v>
      </c>
      <c r="X671" s="11" t="str">
        <f t="shared" si="76"/>
        <v>Low</v>
      </c>
    </row>
    <row r="672" spans="1:24" ht="15.75" customHeight="1">
      <c r="A672" s="4" t="s">
        <v>2668</v>
      </c>
      <c r="B672" s="9">
        <v>45223</v>
      </c>
      <c r="C672" s="4" t="s">
        <v>1102</v>
      </c>
      <c r="D672" s="4" t="s">
        <v>1849</v>
      </c>
      <c r="E672" s="4" t="s">
        <v>1947</v>
      </c>
      <c r="F672" s="4">
        <v>2</v>
      </c>
      <c r="G672" s="4">
        <v>870.13</v>
      </c>
      <c r="H672" s="4">
        <v>0.23</v>
      </c>
      <c r="I672" s="4" t="s">
        <v>1996</v>
      </c>
      <c r="J672" s="10">
        <v>1340.0001999999999</v>
      </c>
      <c r="K672" s="4" t="str">
        <f t="shared" si="70"/>
        <v>24-10-2023</v>
      </c>
      <c r="L672" s="4" t="str">
        <f>TEXT(Sales_Fact!$B672,"mmm")</f>
        <v>Oct</v>
      </c>
      <c r="M672" s="4">
        <f t="shared" si="71"/>
        <v>2</v>
      </c>
      <c r="N672" s="10">
        <f t="shared" si="72"/>
        <v>870.13</v>
      </c>
      <c r="O672" s="10">
        <f t="shared" si="73"/>
        <v>1340.0001999999999</v>
      </c>
      <c r="P672" s="10">
        <f t="shared" si="74"/>
        <v>1740.26</v>
      </c>
      <c r="Q672" s="3">
        <f t="shared" si="75"/>
        <v>0.23000000000000004</v>
      </c>
      <c r="R672" s="4" t="str">
        <f>IF(Sales_Fact!$O672&gt;1000,"High","Low")</f>
        <v>High</v>
      </c>
      <c r="S672" s="4" t="str">
        <f>VLOOKUP(C672,Customer_Dim!$A:$N,9,FALSE())</f>
        <v>Michelle Cunningham</v>
      </c>
      <c r="T672" s="4" t="str">
        <f>VLOOKUP(D672,Product_Dim!$A:$M,3,FALSE())</f>
        <v>Sports</v>
      </c>
      <c r="U672" s="11" t="str">
        <f>VLOOKUP(D672,Product_Dim!$A:$M,2,FALSE())</f>
        <v>Badminton Racket Set</v>
      </c>
      <c r="V672" s="11" t="str">
        <f>VLOOKUP(E672,Store_Dim!$A:$E,3,FALSE())</f>
        <v>East</v>
      </c>
      <c r="W672" s="11" t="str">
        <f>VLOOKUP(C672,Customer_Dim!$A:$N,13,FALSE())</f>
        <v>Bronze</v>
      </c>
      <c r="X672" s="11" t="str">
        <f t="shared" si="76"/>
        <v>Low</v>
      </c>
    </row>
    <row r="673" spans="1:24" ht="15.75" customHeight="1">
      <c r="A673" s="4" t="s">
        <v>2669</v>
      </c>
      <c r="B673" s="9">
        <v>45664</v>
      </c>
      <c r="C673" s="4" t="s">
        <v>268</v>
      </c>
      <c r="D673" s="4" t="s">
        <v>1640</v>
      </c>
      <c r="E673" s="4" t="s">
        <v>1971</v>
      </c>
      <c r="F673" s="4">
        <v>1</v>
      </c>
      <c r="G673" s="4">
        <v>336.51</v>
      </c>
      <c r="H673" s="4">
        <v>0.11</v>
      </c>
      <c r="I673" s="4" t="s">
        <v>1998</v>
      </c>
      <c r="J673" s="10">
        <v>299.4939</v>
      </c>
      <c r="K673" s="4" t="str">
        <f t="shared" si="70"/>
        <v>07-01-2025</v>
      </c>
      <c r="L673" s="4" t="str">
        <f>TEXT(Sales_Fact!$B673,"mmm")</f>
        <v>Jan</v>
      </c>
      <c r="M673" s="4">
        <f t="shared" si="71"/>
        <v>1</v>
      </c>
      <c r="N673" s="10">
        <f t="shared" si="72"/>
        <v>336.51</v>
      </c>
      <c r="O673" s="10">
        <f t="shared" si="73"/>
        <v>299.4939</v>
      </c>
      <c r="P673" s="10">
        <f t="shared" si="74"/>
        <v>336.51</v>
      </c>
      <c r="Q673" s="3">
        <f t="shared" si="75"/>
        <v>0.10999999999999999</v>
      </c>
      <c r="R673" s="4" t="str">
        <f>IF(Sales_Fact!$O673&gt;1000,"High","Low")</f>
        <v>Low</v>
      </c>
      <c r="S673" s="4" t="str">
        <f>VLOOKUP(C673,Customer_Dim!$A:$N,9,FALSE())</f>
        <v>Amber Mcclain</v>
      </c>
      <c r="T673" s="4" t="str">
        <f>VLOOKUP(D673,Product_Dim!$A:$M,3,FALSE())</f>
        <v>Electronics</v>
      </c>
      <c r="U673" s="11" t="str">
        <f>VLOOKUP(D673,Product_Dim!$A:$M,2,FALSE())</f>
        <v>4K Home Projector</v>
      </c>
      <c r="V673" s="11" t="str">
        <f>VLOOKUP(E673,Store_Dim!$A:$E,3,FALSE())</f>
        <v>East</v>
      </c>
      <c r="W673" s="11" t="str">
        <f>VLOOKUP(C673,Customer_Dim!$A:$N,13,FALSE())</f>
        <v>Silver</v>
      </c>
      <c r="X673" s="11" t="str">
        <f t="shared" si="76"/>
        <v>Low</v>
      </c>
    </row>
    <row r="674" spans="1:24" ht="15.75" customHeight="1">
      <c r="A674" s="4" t="s">
        <v>2670</v>
      </c>
      <c r="B674" s="9">
        <v>45313</v>
      </c>
      <c r="C674" s="4" t="s">
        <v>623</v>
      </c>
      <c r="D674" s="4" t="s">
        <v>1806</v>
      </c>
      <c r="E674" s="4" t="s">
        <v>1910</v>
      </c>
      <c r="F674" s="4">
        <v>1</v>
      </c>
      <c r="G674" s="4">
        <v>305.70999999999998</v>
      </c>
      <c r="H674" s="4">
        <v>0.26</v>
      </c>
      <c r="I674" s="4" t="s">
        <v>2004</v>
      </c>
      <c r="J674" s="10">
        <v>226.22540000000001</v>
      </c>
      <c r="K674" s="4" t="str">
        <f t="shared" si="70"/>
        <v>22-01-2024</v>
      </c>
      <c r="L674" s="4" t="str">
        <f>TEXT(Sales_Fact!$B674,"mmm")</f>
        <v>Jan</v>
      </c>
      <c r="M674" s="4">
        <f t="shared" si="71"/>
        <v>1</v>
      </c>
      <c r="N674" s="10">
        <f t="shared" si="72"/>
        <v>305.70999999999998</v>
      </c>
      <c r="O674" s="10">
        <f t="shared" si="73"/>
        <v>226.22539999999998</v>
      </c>
      <c r="P674" s="10">
        <f t="shared" si="74"/>
        <v>305.70999999999998</v>
      </c>
      <c r="Q674" s="3">
        <f t="shared" si="75"/>
        <v>0.26</v>
      </c>
      <c r="R674" s="4" t="str">
        <f>IF(Sales_Fact!$O674&gt;1000,"High","Low")</f>
        <v>Low</v>
      </c>
      <c r="S674" s="4" t="str">
        <f>VLOOKUP(C674,Customer_Dim!$A:$N,9,FALSE())</f>
        <v>Erin Ward</v>
      </c>
      <c r="T674" s="4" t="str">
        <f>VLOOKUP(D674,Product_Dim!$A:$M,3,FALSE())</f>
        <v>Electronics</v>
      </c>
      <c r="U674" s="11" t="str">
        <f>VLOOKUP(D674,Product_Dim!$A:$M,2,FALSE())</f>
        <v>Smart LED Light Strip</v>
      </c>
      <c r="V674" s="11" t="str">
        <f>VLOOKUP(E674,Store_Dim!$A:$E,3,FALSE())</f>
        <v>East</v>
      </c>
      <c r="W674" s="11" t="str">
        <f>VLOOKUP(C674,Customer_Dim!$A:$N,13,FALSE())</f>
        <v>Bronze</v>
      </c>
      <c r="X674" s="11" t="str">
        <f t="shared" si="76"/>
        <v>Low</v>
      </c>
    </row>
    <row r="675" spans="1:24" ht="15.75" customHeight="1">
      <c r="A675" s="4" t="s">
        <v>2671</v>
      </c>
      <c r="B675" s="9">
        <v>45224</v>
      </c>
      <c r="C675" s="4" t="s">
        <v>441</v>
      </c>
      <c r="D675" s="4" t="s">
        <v>1622</v>
      </c>
      <c r="E675" s="4" t="s">
        <v>1968</v>
      </c>
      <c r="F675" s="4">
        <v>2</v>
      </c>
      <c r="G675" s="4">
        <v>635.39</v>
      </c>
      <c r="H675" s="4">
        <v>0.28999999999999998</v>
      </c>
      <c r="I675" s="4" t="s">
        <v>2004</v>
      </c>
      <c r="J675" s="10">
        <v>902.25379999999996</v>
      </c>
      <c r="K675" s="4" t="str">
        <f t="shared" si="70"/>
        <v>25-10-2023</v>
      </c>
      <c r="L675" s="4" t="str">
        <f>TEXT(Sales_Fact!$B675,"mmm")</f>
        <v>Oct</v>
      </c>
      <c r="M675" s="4">
        <f t="shared" si="71"/>
        <v>2</v>
      </c>
      <c r="N675" s="10">
        <f t="shared" si="72"/>
        <v>635.39</v>
      </c>
      <c r="O675" s="10">
        <f t="shared" si="73"/>
        <v>902.25379999999996</v>
      </c>
      <c r="P675" s="10">
        <f t="shared" si="74"/>
        <v>1270.78</v>
      </c>
      <c r="Q675" s="3">
        <f t="shared" si="75"/>
        <v>0.29000000000000004</v>
      </c>
      <c r="R675" s="4" t="str">
        <f>IF(Sales_Fact!$O675&gt;1000,"High","Low")</f>
        <v>Low</v>
      </c>
      <c r="S675" s="4" t="str">
        <f>VLOOKUP(C675,Customer_Dim!$A:$N,9,FALSE())</f>
        <v>Joel Robinson</v>
      </c>
      <c r="T675" s="4" t="str">
        <f>VLOOKUP(D675,Product_Dim!$A:$M,3,FALSE())</f>
        <v>Home</v>
      </c>
      <c r="U675" s="11" t="str">
        <f>VLOOKUP(D675,Product_Dim!$A:$M,2,FALSE())</f>
        <v>Ceramic Kitchen Bowl Set</v>
      </c>
      <c r="V675" s="11" t="str">
        <f>VLOOKUP(E675,Store_Dim!$A:$E,3,FALSE())</f>
        <v>East</v>
      </c>
      <c r="W675" s="11" t="str">
        <f>VLOOKUP(C675,Customer_Dim!$A:$N,13,FALSE())</f>
        <v>Platinum</v>
      </c>
      <c r="X675" s="11" t="str">
        <f t="shared" si="76"/>
        <v>Low</v>
      </c>
    </row>
    <row r="676" spans="1:24" ht="15.75" customHeight="1">
      <c r="A676" s="4" t="s">
        <v>2672</v>
      </c>
      <c r="B676" s="9">
        <v>45491</v>
      </c>
      <c r="C676" s="4" t="s">
        <v>426</v>
      </c>
      <c r="D676" s="4" t="s">
        <v>1882</v>
      </c>
      <c r="E676" s="4" t="s">
        <v>1971</v>
      </c>
      <c r="F676" s="4">
        <v>2</v>
      </c>
      <c r="G676" s="4">
        <v>253.87</v>
      </c>
      <c r="H676" s="4">
        <v>0.23</v>
      </c>
      <c r="I676" s="4" t="s">
        <v>2004</v>
      </c>
      <c r="J676" s="10">
        <v>390.95979999999997</v>
      </c>
      <c r="K676" s="4" t="str">
        <f t="shared" si="70"/>
        <v>18-07-2024</v>
      </c>
      <c r="L676" s="4" t="str">
        <f>TEXT(Sales_Fact!$B676,"mmm")</f>
        <v>Jul</v>
      </c>
      <c r="M676" s="4">
        <f t="shared" si="71"/>
        <v>2</v>
      </c>
      <c r="N676" s="10">
        <f t="shared" si="72"/>
        <v>253.87</v>
      </c>
      <c r="O676" s="10">
        <f t="shared" si="73"/>
        <v>390.95980000000003</v>
      </c>
      <c r="P676" s="10">
        <f t="shared" si="74"/>
        <v>507.74</v>
      </c>
      <c r="Q676" s="3">
        <f t="shared" si="75"/>
        <v>0.22999999999999995</v>
      </c>
      <c r="R676" s="4" t="str">
        <f>IF(Sales_Fact!$O676&gt;1000,"High","Low")</f>
        <v>Low</v>
      </c>
      <c r="S676" s="4" t="str">
        <f>VLOOKUP(C676,Customer_Dim!$A:$N,9,FALSE())</f>
        <v>Anthony Phillips</v>
      </c>
      <c r="T676" s="4" t="str">
        <f>VLOOKUP(D676,Product_Dim!$A:$M,3,FALSE())</f>
        <v>Home</v>
      </c>
      <c r="U676" s="11" t="str">
        <f>VLOOKUP(D676,Product_Dim!$A:$M,2,FALSE())</f>
        <v>Microwave Oven</v>
      </c>
      <c r="V676" s="11" t="str">
        <f>VLOOKUP(E676,Store_Dim!$A:$E,3,FALSE())</f>
        <v>East</v>
      </c>
      <c r="W676" s="11" t="str">
        <f>VLOOKUP(C676,Customer_Dim!$A:$N,13,FALSE())</f>
        <v>Platinum</v>
      </c>
      <c r="X676" s="11" t="str">
        <f t="shared" si="76"/>
        <v>Low</v>
      </c>
    </row>
    <row r="677" spans="1:24" ht="15.75" customHeight="1">
      <c r="A677" s="4" t="s">
        <v>2673</v>
      </c>
      <c r="B677" s="9">
        <v>45472</v>
      </c>
      <c r="C677" s="4" t="s">
        <v>1518</v>
      </c>
      <c r="D677" s="4" t="s">
        <v>1834</v>
      </c>
      <c r="E677" s="4" t="s">
        <v>1965</v>
      </c>
      <c r="F677" s="4">
        <v>3</v>
      </c>
      <c r="G677" s="4">
        <v>915.81</v>
      </c>
      <c r="H677" s="4">
        <v>0.17</v>
      </c>
      <c r="I677" s="4" t="s">
        <v>2004</v>
      </c>
      <c r="J677" s="10">
        <v>2280.3669</v>
      </c>
      <c r="K677" s="4" t="str">
        <f t="shared" si="70"/>
        <v>29-06-2024</v>
      </c>
      <c r="L677" s="4" t="str">
        <f>TEXT(Sales_Fact!$B677,"mmm")</f>
        <v>Jun</v>
      </c>
      <c r="M677" s="4">
        <f t="shared" si="71"/>
        <v>3</v>
      </c>
      <c r="N677" s="10">
        <f t="shared" si="72"/>
        <v>915.81</v>
      </c>
      <c r="O677" s="10">
        <f t="shared" si="73"/>
        <v>2280.3668999999995</v>
      </c>
      <c r="P677" s="10">
        <f t="shared" si="74"/>
        <v>2747.43</v>
      </c>
      <c r="Q677" s="3">
        <f t="shared" si="75"/>
        <v>0.17000000000000012</v>
      </c>
      <c r="R677" s="4" t="str">
        <f>IF(Sales_Fact!$O677&gt;1000,"High","Low")</f>
        <v>High</v>
      </c>
      <c r="S677" s="4" t="str">
        <f>VLOOKUP(C677,Customer_Dim!$A:$N,9,FALSE())</f>
        <v>Jessica Castro</v>
      </c>
      <c r="T677" s="4" t="str">
        <f>VLOOKUP(D677,Product_Dim!$A:$M,3,FALSE())</f>
        <v>Electronics</v>
      </c>
      <c r="U677" s="11" t="str">
        <f>VLOOKUP(D677,Product_Dim!$A:$M,2,FALSE())</f>
        <v>Wireless Mouse</v>
      </c>
      <c r="V677" s="11" t="str">
        <f>VLOOKUP(E677,Store_Dim!$A:$E,3,FALSE())</f>
        <v>North</v>
      </c>
      <c r="W677" s="11" t="str">
        <f>VLOOKUP(C677,Customer_Dim!$A:$N,13,FALSE())</f>
        <v>Bronze</v>
      </c>
      <c r="X677" s="11" t="str">
        <f t="shared" si="76"/>
        <v>Low</v>
      </c>
    </row>
    <row r="678" spans="1:24" ht="15.75" customHeight="1">
      <c r="A678" s="4" t="s">
        <v>2674</v>
      </c>
      <c r="B678" s="9">
        <v>45795</v>
      </c>
      <c r="C678" s="4" t="s">
        <v>706</v>
      </c>
      <c r="D678" s="4" t="s">
        <v>1729</v>
      </c>
      <c r="E678" s="4" t="s">
        <v>1940</v>
      </c>
      <c r="F678" s="4">
        <v>3</v>
      </c>
      <c r="G678" s="4">
        <v>779.5</v>
      </c>
      <c r="H678" s="4">
        <v>0.02</v>
      </c>
      <c r="I678" s="4" t="s">
        <v>1996</v>
      </c>
      <c r="J678" s="10">
        <v>2291.73</v>
      </c>
      <c r="K678" s="4" t="str">
        <f t="shared" si="70"/>
        <v>18-05-2025</v>
      </c>
      <c r="L678" s="4" t="str">
        <f>TEXT(Sales_Fact!$B678,"mmm")</f>
        <v>May</v>
      </c>
      <c r="M678" s="4">
        <f t="shared" si="71"/>
        <v>3</v>
      </c>
      <c r="N678" s="10">
        <f t="shared" si="72"/>
        <v>779.5</v>
      </c>
      <c r="O678" s="10">
        <f t="shared" si="73"/>
        <v>2291.73</v>
      </c>
      <c r="P678" s="10">
        <f t="shared" si="74"/>
        <v>2338.5</v>
      </c>
      <c r="Q678" s="3">
        <f t="shared" si="75"/>
        <v>1.9999999999999993E-2</v>
      </c>
      <c r="R678" s="4" t="str">
        <f>IF(Sales_Fact!$O678&gt;1000,"High","Low")</f>
        <v>High</v>
      </c>
      <c r="S678" s="4" t="str">
        <f>VLOOKUP(C678,Customer_Dim!$A:$N,9,FALSE())</f>
        <v>Joan Johnson</v>
      </c>
      <c r="T678" s="4" t="str">
        <f>VLOOKUP(D678,Product_Dim!$A:$M,3,FALSE())</f>
        <v>Electronics</v>
      </c>
      <c r="U678" s="11" t="str">
        <f>VLOOKUP(D678,Product_Dim!$A:$M,2,FALSE())</f>
        <v>Smart Home WiFi Camera</v>
      </c>
      <c r="V678" s="11" t="str">
        <f>VLOOKUP(E678,Store_Dim!$A:$E,3,FALSE())</f>
        <v>West</v>
      </c>
      <c r="W678" s="11" t="str">
        <f>VLOOKUP(C678,Customer_Dim!$A:$N,13,FALSE())</f>
        <v>Platinum</v>
      </c>
      <c r="X678" s="11" t="str">
        <f t="shared" si="76"/>
        <v>Low</v>
      </c>
    </row>
    <row r="679" spans="1:24" ht="15.75" customHeight="1">
      <c r="A679" s="4" t="s">
        <v>2675</v>
      </c>
      <c r="B679" s="9">
        <v>45470</v>
      </c>
      <c r="C679" s="4" t="s">
        <v>1475</v>
      </c>
      <c r="D679" s="4" t="s">
        <v>1788</v>
      </c>
      <c r="E679" s="4" t="s">
        <v>1962</v>
      </c>
      <c r="F679" s="4">
        <v>2</v>
      </c>
      <c r="G679" s="4">
        <v>780.57</v>
      </c>
      <c r="H679" s="4">
        <v>0.26</v>
      </c>
      <c r="I679" s="4" t="s">
        <v>1996</v>
      </c>
      <c r="J679" s="10">
        <v>1155.2436</v>
      </c>
      <c r="K679" s="4" t="str">
        <f t="shared" si="70"/>
        <v>27-06-2024</v>
      </c>
      <c r="L679" s="4" t="str">
        <f>TEXT(Sales_Fact!$B679,"mmm")</f>
        <v>Jun</v>
      </c>
      <c r="M679" s="4">
        <f t="shared" si="71"/>
        <v>2</v>
      </c>
      <c r="N679" s="10">
        <f t="shared" si="72"/>
        <v>780.57</v>
      </c>
      <c r="O679" s="10">
        <f t="shared" si="73"/>
        <v>1155.2436</v>
      </c>
      <c r="P679" s="10">
        <f t="shared" si="74"/>
        <v>1561.14</v>
      </c>
      <c r="Q679" s="3">
        <f t="shared" si="75"/>
        <v>0.26000000000000006</v>
      </c>
      <c r="R679" s="4" t="str">
        <f>IF(Sales_Fact!$O679&gt;1000,"High","Low")</f>
        <v>High</v>
      </c>
      <c r="S679" s="4" t="str">
        <f>VLOOKUP(C679,Customer_Dim!$A:$N,9,FALSE())</f>
        <v>James Foster</v>
      </c>
      <c r="T679" s="4" t="str">
        <f>VLOOKUP(D679,Product_Dim!$A:$M,3,FALSE())</f>
        <v>Sports</v>
      </c>
      <c r="U679" s="11" t="str">
        <f>VLOOKUP(D679,Product_Dim!$A:$M,2,FALSE())</f>
        <v>Tennis Ball 3-Pack</v>
      </c>
      <c r="V679" s="11" t="str">
        <f>VLOOKUP(E679,Store_Dim!$A:$E,3,FALSE())</f>
        <v>West</v>
      </c>
      <c r="W679" s="11" t="str">
        <f>VLOOKUP(C679,Customer_Dim!$A:$N,13,FALSE())</f>
        <v>Gold</v>
      </c>
      <c r="X679" s="11" t="str">
        <f t="shared" si="76"/>
        <v>Low</v>
      </c>
    </row>
    <row r="680" spans="1:24" ht="15.75" customHeight="1">
      <c r="A680" s="4" t="s">
        <v>2676</v>
      </c>
      <c r="B680" s="9">
        <v>45390</v>
      </c>
      <c r="C680" s="4" t="s">
        <v>1225</v>
      </c>
      <c r="D680" s="4" t="s">
        <v>1891</v>
      </c>
      <c r="E680" s="4" t="s">
        <v>1971</v>
      </c>
      <c r="F680" s="4">
        <v>1</v>
      </c>
      <c r="G680" s="4">
        <v>511.35</v>
      </c>
      <c r="H680" s="4">
        <v>0</v>
      </c>
      <c r="I680" s="4" t="s">
        <v>1996</v>
      </c>
      <c r="J680" s="10">
        <v>511.35</v>
      </c>
      <c r="K680" s="4" t="str">
        <f t="shared" si="70"/>
        <v>08-04-2024</v>
      </c>
      <c r="L680" s="4" t="str">
        <f>TEXT(Sales_Fact!$B680,"mmm")</f>
        <v>Apr</v>
      </c>
      <c r="M680" s="4">
        <f t="shared" si="71"/>
        <v>1</v>
      </c>
      <c r="N680" s="10">
        <f t="shared" si="72"/>
        <v>511.35</v>
      </c>
      <c r="O680" s="10">
        <f t="shared" si="73"/>
        <v>511.35</v>
      </c>
      <c r="P680" s="10">
        <f t="shared" si="74"/>
        <v>511.35</v>
      </c>
      <c r="Q680" s="3">
        <f t="shared" si="75"/>
        <v>0</v>
      </c>
      <c r="R680" s="4" t="str">
        <f>IF(Sales_Fact!$O680&gt;1000,"High","Low")</f>
        <v>Low</v>
      </c>
      <c r="S680" s="4" t="str">
        <f>VLOOKUP(C680,Customer_Dim!$A:$N,9,FALSE())</f>
        <v>Kristine Higgins</v>
      </c>
      <c r="T680" s="4" t="str">
        <f>VLOOKUP(D680,Product_Dim!$A:$M,3,FALSE())</f>
        <v>Sports</v>
      </c>
      <c r="U680" s="11" t="str">
        <f>VLOOKUP(D680,Product_Dim!$A:$M,2,FALSE())</f>
        <v>Sports Stopwatch Basic</v>
      </c>
      <c r="V680" s="11" t="str">
        <f>VLOOKUP(E680,Store_Dim!$A:$E,3,FALSE())</f>
        <v>East</v>
      </c>
      <c r="W680" s="11" t="str">
        <f>VLOOKUP(C680,Customer_Dim!$A:$N,13,FALSE())</f>
        <v>Silver</v>
      </c>
      <c r="X680" s="11" t="str">
        <f t="shared" si="76"/>
        <v>Low</v>
      </c>
    </row>
    <row r="681" spans="1:24" ht="15.75" customHeight="1">
      <c r="A681" s="4" t="s">
        <v>2677</v>
      </c>
      <c r="B681" s="9">
        <v>45803</v>
      </c>
      <c r="C681" s="4" t="s">
        <v>95</v>
      </c>
      <c r="D681" s="4" t="s">
        <v>1897</v>
      </c>
      <c r="E681" s="4" t="s">
        <v>1924</v>
      </c>
      <c r="F681" s="4">
        <v>4</v>
      </c>
      <c r="G681" s="4">
        <v>44.07</v>
      </c>
      <c r="H681" s="4">
        <v>0.28999999999999998</v>
      </c>
      <c r="I681" s="4" t="s">
        <v>2004</v>
      </c>
      <c r="J681" s="10">
        <v>125.1588</v>
      </c>
      <c r="K681" s="4" t="str">
        <f t="shared" si="70"/>
        <v>26-05-2025</v>
      </c>
      <c r="L681" s="4" t="str">
        <f>TEXT(Sales_Fact!$B681,"mmm")</f>
        <v>May</v>
      </c>
      <c r="M681" s="4">
        <f t="shared" si="71"/>
        <v>4</v>
      </c>
      <c r="N681" s="10">
        <f t="shared" si="72"/>
        <v>44.07</v>
      </c>
      <c r="O681" s="10">
        <f t="shared" si="73"/>
        <v>125.1588</v>
      </c>
      <c r="P681" s="10">
        <f t="shared" si="74"/>
        <v>176.28</v>
      </c>
      <c r="Q681" s="3">
        <f t="shared" si="75"/>
        <v>0.29000000000000004</v>
      </c>
      <c r="R681" s="4" t="str">
        <f>IF(Sales_Fact!$O681&gt;1000,"High","Low")</f>
        <v>Low</v>
      </c>
      <c r="S681" s="4" t="str">
        <f>VLOOKUP(C681,Customer_Dim!$A:$N,9,FALSE())</f>
        <v>John Scott</v>
      </c>
      <c r="T681" s="4" t="str">
        <f>VLOOKUP(D681,Product_Dim!$A:$M,3,FALSE())</f>
        <v>Sports</v>
      </c>
      <c r="U681" s="11" t="str">
        <f>VLOOKUP(D681,Product_Dim!$A:$M,2,FALSE())</f>
        <v>Cricket Bat</v>
      </c>
      <c r="V681" s="11" t="str">
        <f>VLOOKUP(E681,Store_Dim!$A:$E,3,FALSE())</f>
        <v>North</v>
      </c>
      <c r="W681" s="11" t="str">
        <f>VLOOKUP(C681,Customer_Dim!$A:$N,13,FALSE())</f>
        <v>Bronze</v>
      </c>
      <c r="X681" s="11" t="str">
        <f t="shared" si="76"/>
        <v>High</v>
      </c>
    </row>
    <row r="682" spans="1:24" ht="15.75" customHeight="1">
      <c r="A682" s="4" t="s">
        <v>2678</v>
      </c>
      <c r="B682" s="9">
        <v>45729</v>
      </c>
      <c r="C682" s="4" t="s">
        <v>239</v>
      </c>
      <c r="D682" s="4" t="s">
        <v>1816</v>
      </c>
      <c r="E682" s="4" t="s">
        <v>1910</v>
      </c>
      <c r="F682" s="4">
        <v>1</v>
      </c>
      <c r="G682" s="4">
        <v>479.58</v>
      </c>
      <c r="H682" s="4">
        <v>0.05</v>
      </c>
      <c r="I682" s="4" t="s">
        <v>1998</v>
      </c>
      <c r="J682" s="10">
        <v>455.601</v>
      </c>
      <c r="K682" s="4" t="str">
        <f t="shared" si="70"/>
        <v>13-03-2025</v>
      </c>
      <c r="L682" s="4" t="str">
        <f>TEXT(Sales_Fact!$B682,"mmm")</f>
        <v>Mar</v>
      </c>
      <c r="M682" s="4">
        <f t="shared" si="71"/>
        <v>1</v>
      </c>
      <c r="N682" s="10">
        <f t="shared" si="72"/>
        <v>479.58</v>
      </c>
      <c r="O682" s="10">
        <f t="shared" si="73"/>
        <v>455.60099999999994</v>
      </c>
      <c r="P682" s="10">
        <f t="shared" si="74"/>
        <v>479.58</v>
      </c>
      <c r="Q682" s="3">
        <f t="shared" si="75"/>
        <v>5.0000000000000086E-2</v>
      </c>
      <c r="R682" s="4" t="str">
        <f>IF(Sales_Fact!$O682&gt;1000,"High","Low")</f>
        <v>Low</v>
      </c>
      <c r="S682" s="4" t="str">
        <f>VLOOKUP(C682,Customer_Dim!$A:$N,9,FALSE())</f>
        <v>Cheryl Copeland</v>
      </c>
      <c r="T682" s="4" t="str">
        <f>VLOOKUP(D682,Product_Dim!$A:$M,3,FALSE())</f>
        <v>Home</v>
      </c>
      <c r="U682" s="11" t="str">
        <f>VLOOKUP(D682,Product_Dim!$A:$M,2,FALSE())</f>
        <v>Kitchen Storage Rack</v>
      </c>
      <c r="V682" s="11" t="str">
        <f>VLOOKUP(E682,Store_Dim!$A:$E,3,FALSE())</f>
        <v>East</v>
      </c>
      <c r="W682" s="11" t="str">
        <f>VLOOKUP(C682,Customer_Dim!$A:$N,13,FALSE())</f>
        <v>Platinum</v>
      </c>
      <c r="X682" s="11" t="str">
        <f t="shared" si="76"/>
        <v>Low</v>
      </c>
    </row>
    <row r="683" spans="1:24" ht="15.75" customHeight="1">
      <c r="A683" s="4" t="s">
        <v>2679</v>
      </c>
      <c r="B683" s="9">
        <v>45320</v>
      </c>
      <c r="C683" s="4" t="s">
        <v>671</v>
      </c>
      <c r="D683" s="4" t="s">
        <v>1813</v>
      </c>
      <c r="E683" s="4" t="s">
        <v>1950</v>
      </c>
      <c r="F683" s="4">
        <v>2</v>
      </c>
      <c r="G683" s="4">
        <v>895.92</v>
      </c>
      <c r="H683" s="4">
        <v>0.15</v>
      </c>
      <c r="I683" s="4" t="s">
        <v>1996</v>
      </c>
      <c r="J683" s="10">
        <v>1523.0640000000001</v>
      </c>
      <c r="K683" s="4" t="str">
        <f t="shared" si="70"/>
        <v>29-01-2024</v>
      </c>
      <c r="L683" s="4" t="str">
        <f>TEXT(Sales_Fact!$B683,"mmm")</f>
        <v>Jan</v>
      </c>
      <c r="M683" s="4">
        <f t="shared" si="71"/>
        <v>2</v>
      </c>
      <c r="N683" s="10">
        <f t="shared" si="72"/>
        <v>895.92</v>
      </c>
      <c r="O683" s="10">
        <f t="shared" si="73"/>
        <v>1523.0639999999999</v>
      </c>
      <c r="P683" s="10">
        <f t="shared" si="74"/>
        <v>1791.84</v>
      </c>
      <c r="Q683" s="3">
        <f t="shared" si="75"/>
        <v>0.15000000000000005</v>
      </c>
      <c r="R683" s="4" t="str">
        <f>IF(Sales_Fact!$O683&gt;1000,"High","Low")</f>
        <v>High</v>
      </c>
      <c r="S683" s="4" t="str">
        <f>VLOOKUP(C683,Customer_Dim!$A:$N,9,FALSE())</f>
        <v>Andrea Jacobs</v>
      </c>
      <c r="T683" s="4" t="str">
        <f>VLOOKUP(D683,Product_Dim!$A:$M,3,FALSE())</f>
        <v>Clothing</v>
      </c>
      <c r="U683" s="11" t="str">
        <f>VLOOKUP(D683,Product_Dim!$A:$M,2,FALSE())</f>
        <v>Men's Sports Shorts</v>
      </c>
      <c r="V683" s="11" t="str">
        <f>VLOOKUP(E683,Store_Dim!$A:$E,3,FALSE())</f>
        <v>South</v>
      </c>
      <c r="W683" s="11" t="str">
        <f>VLOOKUP(C683,Customer_Dim!$A:$N,13,FALSE())</f>
        <v>Platinum</v>
      </c>
      <c r="X683" s="11" t="str">
        <f t="shared" si="76"/>
        <v>Low</v>
      </c>
    </row>
    <row r="684" spans="1:24" ht="15.75" customHeight="1">
      <c r="A684" s="4" t="s">
        <v>2680</v>
      </c>
      <c r="B684" s="9">
        <v>45619</v>
      </c>
      <c r="C684" s="4" t="s">
        <v>991</v>
      </c>
      <c r="D684" s="4" t="s">
        <v>1764</v>
      </c>
      <c r="E684" s="4" t="s">
        <v>1919</v>
      </c>
      <c r="F684" s="4">
        <v>4</v>
      </c>
      <c r="G684" s="4">
        <v>456.32</v>
      </c>
      <c r="H684" s="4">
        <v>0.22</v>
      </c>
      <c r="I684" s="4" t="s">
        <v>2004</v>
      </c>
      <c r="J684" s="10">
        <v>1423.7184</v>
      </c>
      <c r="K684" s="4" t="str">
        <f t="shared" si="70"/>
        <v>23-11-2024</v>
      </c>
      <c r="L684" s="4" t="str">
        <f>TEXT(Sales_Fact!$B684,"mmm")</f>
        <v>Nov</v>
      </c>
      <c r="M684" s="4">
        <f t="shared" si="71"/>
        <v>4</v>
      </c>
      <c r="N684" s="10">
        <f t="shared" si="72"/>
        <v>456.32</v>
      </c>
      <c r="O684" s="10">
        <f t="shared" si="73"/>
        <v>1423.7184</v>
      </c>
      <c r="P684" s="10">
        <f t="shared" si="74"/>
        <v>1825.28</v>
      </c>
      <c r="Q684" s="3">
        <f t="shared" si="75"/>
        <v>0.22</v>
      </c>
      <c r="R684" s="4" t="str">
        <f>IF(Sales_Fact!$O684&gt;1000,"High","Low")</f>
        <v>High</v>
      </c>
      <c r="S684" s="4" t="str">
        <f>VLOOKUP(C684,Customer_Dim!$A:$N,9,FALSE())</f>
        <v>Roberta Green</v>
      </c>
      <c r="T684" s="4" t="str">
        <f>VLOOKUP(D684,Product_Dim!$A:$M,3,FALSE())</f>
        <v>Clothing</v>
      </c>
      <c r="U684" s="11" t="str">
        <f>VLOOKUP(D684,Product_Dim!$A:$M,2,FALSE())</f>
        <v>Men's Track Pants</v>
      </c>
      <c r="V684" s="11" t="str">
        <f>VLOOKUP(E684,Store_Dim!$A:$E,3,FALSE())</f>
        <v>South</v>
      </c>
      <c r="W684" s="11" t="str">
        <f>VLOOKUP(C684,Customer_Dim!$A:$N,13,FALSE())</f>
        <v>Platinum</v>
      </c>
      <c r="X684" s="11" t="str">
        <f t="shared" si="76"/>
        <v>High</v>
      </c>
    </row>
    <row r="685" spans="1:24" ht="15.75" customHeight="1">
      <c r="A685" s="4" t="s">
        <v>2681</v>
      </c>
      <c r="B685" s="9">
        <v>45777</v>
      </c>
      <c r="C685" s="4" t="s">
        <v>1333</v>
      </c>
      <c r="D685" s="4" t="s">
        <v>1703</v>
      </c>
      <c r="E685" s="4" t="s">
        <v>1910</v>
      </c>
      <c r="F685" s="4">
        <v>1</v>
      </c>
      <c r="G685" s="4">
        <v>905.5</v>
      </c>
      <c r="H685" s="4">
        <v>0.28999999999999998</v>
      </c>
      <c r="I685" s="4" t="s">
        <v>2004</v>
      </c>
      <c r="J685" s="10">
        <v>642.90499999999997</v>
      </c>
      <c r="K685" s="4" t="str">
        <f t="shared" si="70"/>
        <v>30-04-2025</v>
      </c>
      <c r="L685" s="4" t="str">
        <f>TEXT(Sales_Fact!$B685,"mmm")</f>
        <v>Apr</v>
      </c>
      <c r="M685" s="4">
        <f t="shared" si="71"/>
        <v>1</v>
      </c>
      <c r="N685" s="10">
        <f t="shared" si="72"/>
        <v>905.5</v>
      </c>
      <c r="O685" s="10">
        <f t="shared" si="73"/>
        <v>642.90499999999997</v>
      </c>
      <c r="P685" s="10">
        <f t="shared" si="74"/>
        <v>905.5</v>
      </c>
      <c r="Q685" s="3">
        <f t="shared" si="75"/>
        <v>0.29000000000000004</v>
      </c>
      <c r="R685" s="4" t="str">
        <f>IF(Sales_Fact!$O685&gt;1000,"High","Low")</f>
        <v>Low</v>
      </c>
      <c r="S685" s="4" t="str">
        <f>VLOOKUP(C685,Customer_Dim!$A:$N,9,FALSE())</f>
        <v>Dr. Tamara White Md</v>
      </c>
      <c r="T685" s="4" t="str">
        <f>VLOOKUP(D685,Product_Dim!$A:$M,3,FALSE())</f>
        <v>Electronics</v>
      </c>
      <c r="U685" s="11" t="str">
        <f>VLOOKUP(D685,Product_Dim!$A:$M,2,FALSE())</f>
        <v>Gaming Mechanical Keyboard</v>
      </c>
      <c r="V685" s="11" t="str">
        <f>VLOOKUP(E685,Store_Dim!$A:$E,3,FALSE())</f>
        <v>East</v>
      </c>
      <c r="W685" s="11" t="str">
        <f>VLOOKUP(C685,Customer_Dim!$A:$N,13,FALSE())</f>
        <v>Bronze</v>
      </c>
      <c r="X685" s="11" t="str">
        <f t="shared" si="76"/>
        <v>Low</v>
      </c>
    </row>
    <row r="686" spans="1:24" ht="15.75" customHeight="1">
      <c r="A686" s="4" t="s">
        <v>2682</v>
      </c>
      <c r="B686" s="9">
        <v>45523</v>
      </c>
      <c r="C686" s="4" t="s">
        <v>691</v>
      </c>
      <c r="D686" s="4" t="s">
        <v>1644</v>
      </c>
      <c r="E686" s="4" t="s">
        <v>1955</v>
      </c>
      <c r="F686" s="4">
        <v>3</v>
      </c>
      <c r="G686" s="4">
        <v>63.19</v>
      </c>
      <c r="H686" s="4">
        <v>0.08</v>
      </c>
      <c r="I686" s="4" t="s">
        <v>1996</v>
      </c>
      <c r="J686" s="10">
        <v>174.40440000000001</v>
      </c>
      <c r="K686" s="4" t="str">
        <f t="shared" si="70"/>
        <v>19-08-2024</v>
      </c>
      <c r="L686" s="4" t="str">
        <f>TEXT(Sales_Fact!$B686,"mmm")</f>
        <v>Aug</v>
      </c>
      <c r="M686" s="4">
        <f t="shared" si="71"/>
        <v>3</v>
      </c>
      <c r="N686" s="10">
        <f t="shared" si="72"/>
        <v>63.19</v>
      </c>
      <c r="O686" s="10">
        <f t="shared" si="73"/>
        <v>174.40440000000001</v>
      </c>
      <c r="P686" s="10">
        <f t="shared" si="74"/>
        <v>189.57</v>
      </c>
      <c r="Q686" s="3">
        <f t="shared" si="75"/>
        <v>7.9999999999999918E-2</v>
      </c>
      <c r="R686" s="4" t="str">
        <f>IF(Sales_Fact!$O686&gt;1000,"High","Low")</f>
        <v>Low</v>
      </c>
      <c r="S686" s="4" t="str">
        <f>VLOOKUP(C686,Customer_Dim!$A:$N,9,FALSE())</f>
        <v>Tiffany Herrera</v>
      </c>
      <c r="T686" s="4" t="str">
        <f>VLOOKUP(D686,Product_Dim!$A:$M,3,FALSE())</f>
        <v>Beauty</v>
      </c>
      <c r="U686" s="11" t="str">
        <f>VLOOKUP(D686,Product_Dim!$A:$M,2,FALSE())</f>
        <v>Beard Grooming Kit</v>
      </c>
      <c r="V686" s="11" t="str">
        <f>VLOOKUP(E686,Store_Dim!$A:$E,3,FALSE())</f>
        <v>East</v>
      </c>
      <c r="W686" s="11" t="str">
        <f>VLOOKUP(C686,Customer_Dim!$A:$N,13,FALSE())</f>
        <v>Platinum</v>
      </c>
      <c r="X686" s="11" t="str">
        <f t="shared" si="76"/>
        <v>Low</v>
      </c>
    </row>
    <row r="687" spans="1:24" ht="15.75" customHeight="1">
      <c r="A687" s="4" t="s">
        <v>2683</v>
      </c>
      <c r="B687" s="9">
        <v>45628</v>
      </c>
      <c r="C687" s="4" t="s">
        <v>212</v>
      </c>
      <c r="D687" s="4" t="s">
        <v>1816</v>
      </c>
      <c r="E687" s="4" t="s">
        <v>1937</v>
      </c>
      <c r="F687" s="4">
        <v>3</v>
      </c>
      <c r="G687" s="4">
        <v>687.66</v>
      </c>
      <c r="H687" s="4">
        <v>0.06</v>
      </c>
      <c r="I687" s="4" t="s">
        <v>1998</v>
      </c>
      <c r="J687" s="10">
        <v>1939.2012</v>
      </c>
      <c r="K687" s="4" t="str">
        <f t="shared" si="70"/>
        <v>02-12-2024</v>
      </c>
      <c r="L687" s="4" t="str">
        <f>TEXT(Sales_Fact!$B687,"mmm")</f>
        <v>Dec</v>
      </c>
      <c r="M687" s="4">
        <f t="shared" si="71"/>
        <v>3</v>
      </c>
      <c r="N687" s="10">
        <f t="shared" si="72"/>
        <v>687.66</v>
      </c>
      <c r="O687" s="10">
        <f t="shared" si="73"/>
        <v>1939.2012</v>
      </c>
      <c r="P687" s="10">
        <f t="shared" si="74"/>
        <v>2062.98</v>
      </c>
      <c r="Q687" s="3">
        <f t="shared" si="75"/>
        <v>6.0000000000000019E-2</v>
      </c>
      <c r="R687" s="4" t="str">
        <f>IF(Sales_Fact!$O687&gt;1000,"High","Low")</f>
        <v>High</v>
      </c>
      <c r="S687" s="4" t="str">
        <f>VLOOKUP(C687,Customer_Dim!$A:$N,9,FALSE())</f>
        <v>Matthew Hunter Jr.</v>
      </c>
      <c r="T687" s="4" t="str">
        <f>VLOOKUP(D687,Product_Dim!$A:$M,3,FALSE())</f>
        <v>Home</v>
      </c>
      <c r="U687" s="11" t="str">
        <f>VLOOKUP(D687,Product_Dim!$A:$M,2,FALSE())</f>
        <v>Kitchen Storage Rack</v>
      </c>
      <c r="V687" s="11" t="str">
        <f>VLOOKUP(E687,Store_Dim!$A:$E,3,FALSE())</f>
        <v>South</v>
      </c>
      <c r="W687" s="11" t="str">
        <f>VLOOKUP(C687,Customer_Dim!$A:$N,13,FALSE())</f>
        <v>Gold</v>
      </c>
      <c r="X687" s="11" t="str">
        <f t="shared" si="76"/>
        <v>Low</v>
      </c>
    </row>
    <row r="688" spans="1:24" ht="15.75" customHeight="1">
      <c r="A688" s="4" t="s">
        <v>2684</v>
      </c>
      <c r="B688" s="9">
        <v>45742</v>
      </c>
      <c r="C688" s="4" t="s">
        <v>736</v>
      </c>
      <c r="D688" s="4" t="s">
        <v>1732</v>
      </c>
      <c r="E688" s="4" t="s">
        <v>1944</v>
      </c>
      <c r="F688" s="4">
        <v>4</v>
      </c>
      <c r="G688" s="4">
        <v>639.05999999999995</v>
      </c>
      <c r="H688" s="4">
        <v>0.12</v>
      </c>
      <c r="I688" s="4" t="s">
        <v>1998</v>
      </c>
      <c r="J688" s="10">
        <v>2249.4911999999999</v>
      </c>
      <c r="K688" s="4" t="str">
        <f t="shared" si="70"/>
        <v>26-03-2025</v>
      </c>
      <c r="L688" s="4" t="str">
        <f>TEXT(Sales_Fact!$B688,"mmm")</f>
        <v>Mar</v>
      </c>
      <c r="M688" s="4">
        <f t="shared" si="71"/>
        <v>4</v>
      </c>
      <c r="N688" s="10">
        <f t="shared" si="72"/>
        <v>639.05999999999995</v>
      </c>
      <c r="O688" s="10">
        <f t="shared" si="73"/>
        <v>2249.4911999999999</v>
      </c>
      <c r="P688" s="10">
        <f t="shared" si="74"/>
        <v>2556.2399999999998</v>
      </c>
      <c r="Q688" s="3">
        <f t="shared" si="75"/>
        <v>0.11999999999999995</v>
      </c>
      <c r="R688" s="4" t="str">
        <f>IF(Sales_Fact!$O688&gt;1000,"High","Low")</f>
        <v>High</v>
      </c>
      <c r="S688" s="4" t="str">
        <f>VLOOKUP(C688,Customer_Dim!$A:$N,9,FALSE())</f>
        <v>Jordan Wells</v>
      </c>
      <c r="T688" s="4" t="str">
        <f>VLOOKUP(D688,Product_Dim!$A:$M,3,FALSE())</f>
        <v>Electronics</v>
      </c>
      <c r="U688" s="11" t="str">
        <f>VLOOKUP(D688,Product_Dim!$A:$M,2,FALSE())</f>
        <v>USB External Hard Drive</v>
      </c>
      <c r="V688" s="11" t="str">
        <f>VLOOKUP(E688,Store_Dim!$A:$E,3,FALSE())</f>
        <v>South</v>
      </c>
      <c r="W688" s="11" t="str">
        <f>VLOOKUP(C688,Customer_Dim!$A:$N,13,FALSE())</f>
        <v>Gold</v>
      </c>
      <c r="X688" s="11" t="str">
        <f t="shared" si="76"/>
        <v>High</v>
      </c>
    </row>
    <row r="689" spans="1:24" ht="15.75" customHeight="1">
      <c r="A689" s="4" t="s">
        <v>2685</v>
      </c>
      <c r="B689" s="9">
        <v>45456</v>
      </c>
      <c r="C689" s="4" t="s">
        <v>268</v>
      </c>
      <c r="D689" s="4" t="s">
        <v>1819</v>
      </c>
      <c r="E689" s="4" t="s">
        <v>1937</v>
      </c>
      <c r="F689" s="4">
        <v>1</v>
      </c>
      <c r="G689" s="4">
        <v>475.15</v>
      </c>
      <c r="H689" s="4">
        <v>0.04</v>
      </c>
      <c r="I689" s="4" t="s">
        <v>2004</v>
      </c>
      <c r="J689" s="10">
        <v>456.14400000000001</v>
      </c>
      <c r="K689" s="4" t="str">
        <f t="shared" si="70"/>
        <v>13-06-2024</v>
      </c>
      <c r="L689" s="4" t="str">
        <f>TEXT(Sales_Fact!$B689,"mmm")</f>
        <v>Jun</v>
      </c>
      <c r="M689" s="4">
        <f t="shared" si="71"/>
        <v>1</v>
      </c>
      <c r="N689" s="10">
        <f t="shared" si="72"/>
        <v>475.15</v>
      </c>
      <c r="O689" s="10">
        <f t="shared" si="73"/>
        <v>456.14399999999995</v>
      </c>
      <c r="P689" s="10">
        <f t="shared" si="74"/>
        <v>475.15</v>
      </c>
      <c r="Q689" s="3">
        <f t="shared" si="75"/>
        <v>4.0000000000000063E-2</v>
      </c>
      <c r="R689" s="4" t="str">
        <f>IF(Sales_Fact!$O689&gt;1000,"High","Low")</f>
        <v>Low</v>
      </c>
      <c r="S689" s="4" t="str">
        <f>VLOOKUP(C689,Customer_Dim!$A:$N,9,FALSE())</f>
        <v>Amber Mcclain</v>
      </c>
      <c r="T689" s="4" t="str">
        <f>VLOOKUP(D689,Product_Dim!$A:$M,3,FALSE())</f>
        <v>Beauty</v>
      </c>
      <c r="U689" s="11" t="str">
        <f>VLOOKUP(D689,Product_Dim!$A:$M,2,FALSE())</f>
        <v>Hair Repair Oil Treatment</v>
      </c>
      <c r="V689" s="11" t="str">
        <f>VLOOKUP(E689,Store_Dim!$A:$E,3,FALSE())</f>
        <v>South</v>
      </c>
      <c r="W689" s="11" t="str">
        <f>VLOOKUP(C689,Customer_Dim!$A:$N,13,FALSE())</f>
        <v>Silver</v>
      </c>
      <c r="X689" s="11" t="str">
        <f t="shared" si="76"/>
        <v>Low</v>
      </c>
    </row>
    <row r="690" spans="1:24" ht="15.75" customHeight="1">
      <c r="A690" s="4" t="s">
        <v>2686</v>
      </c>
      <c r="B690" s="9">
        <v>45534</v>
      </c>
      <c r="C690" s="4" t="s">
        <v>650</v>
      </c>
      <c r="D690" s="4" t="s">
        <v>1735</v>
      </c>
      <c r="E690" s="4" t="s">
        <v>1934</v>
      </c>
      <c r="F690" s="4">
        <v>1</v>
      </c>
      <c r="G690" s="4">
        <v>62.38</v>
      </c>
      <c r="H690" s="4">
        <v>0.08</v>
      </c>
      <c r="I690" s="4" t="s">
        <v>2004</v>
      </c>
      <c r="J690" s="10">
        <v>57.389600000000002</v>
      </c>
      <c r="K690" s="4" t="str">
        <f t="shared" si="70"/>
        <v>30-08-2024</v>
      </c>
      <c r="L690" s="4" t="str">
        <f>TEXT(Sales_Fact!$B690,"mmm")</f>
        <v>Aug</v>
      </c>
      <c r="M690" s="4">
        <f t="shared" si="71"/>
        <v>1</v>
      </c>
      <c r="N690" s="10">
        <f t="shared" si="72"/>
        <v>62.38</v>
      </c>
      <c r="O690" s="10">
        <f t="shared" si="73"/>
        <v>57.389600000000002</v>
      </c>
      <c r="P690" s="10">
        <f t="shared" si="74"/>
        <v>62.38</v>
      </c>
      <c r="Q690" s="3">
        <f t="shared" si="75"/>
        <v>8.0000000000000016E-2</v>
      </c>
      <c r="R690" s="4" t="str">
        <f>IF(Sales_Fact!$O690&gt;1000,"High","Low")</f>
        <v>Low</v>
      </c>
      <c r="S690" s="4" t="str">
        <f>VLOOKUP(C690,Customer_Dim!$A:$N,9,FALSE())</f>
        <v>Christopher Stewart</v>
      </c>
      <c r="T690" s="4" t="str">
        <f>VLOOKUP(D690,Product_Dim!$A:$M,3,FALSE())</f>
        <v>Sports</v>
      </c>
      <c r="U690" s="11" t="str">
        <f>VLOOKUP(D690,Product_Dim!$A:$M,2,FALSE())</f>
        <v>Adjustable Jump Rope</v>
      </c>
      <c r="V690" s="11" t="str">
        <f>VLOOKUP(E690,Store_Dim!$A:$E,3,FALSE())</f>
        <v>East</v>
      </c>
      <c r="W690" s="11" t="str">
        <f>VLOOKUP(C690,Customer_Dim!$A:$N,13,FALSE())</f>
        <v>Bronze</v>
      </c>
      <c r="X690" s="11" t="str">
        <f t="shared" si="76"/>
        <v>Low</v>
      </c>
    </row>
    <row r="691" spans="1:24" ht="15.75" customHeight="1">
      <c r="A691" s="4" t="s">
        <v>2687</v>
      </c>
      <c r="B691" s="9">
        <v>45375</v>
      </c>
      <c r="C691" s="4" t="s">
        <v>1138</v>
      </c>
      <c r="D691" s="4" t="s">
        <v>1640</v>
      </c>
      <c r="E691" s="4" t="s">
        <v>1937</v>
      </c>
      <c r="F691" s="4">
        <v>1</v>
      </c>
      <c r="G691" s="4">
        <v>977.02</v>
      </c>
      <c r="H691" s="4">
        <v>0.2</v>
      </c>
      <c r="I691" s="4" t="s">
        <v>2004</v>
      </c>
      <c r="J691" s="10">
        <v>781.61599999999999</v>
      </c>
      <c r="K691" s="4" t="str">
        <f t="shared" si="70"/>
        <v>24-03-2024</v>
      </c>
      <c r="L691" s="4" t="str">
        <f>TEXT(Sales_Fact!$B691,"mmm")</f>
        <v>Mar</v>
      </c>
      <c r="M691" s="4">
        <f t="shared" si="71"/>
        <v>1</v>
      </c>
      <c r="N691" s="10">
        <f t="shared" si="72"/>
        <v>977.02</v>
      </c>
      <c r="O691" s="10">
        <f t="shared" si="73"/>
        <v>781.61599999999999</v>
      </c>
      <c r="P691" s="10">
        <f t="shared" si="74"/>
        <v>977.02</v>
      </c>
      <c r="Q691" s="3">
        <f t="shared" si="75"/>
        <v>0.2</v>
      </c>
      <c r="R691" s="4" t="str">
        <f>IF(Sales_Fact!$O691&gt;1000,"High","Low")</f>
        <v>Low</v>
      </c>
      <c r="S691" s="4" t="str">
        <f>VLOOKUP(C691,Customer_Dim!$A:$N,9,FALSE())</f>
        <v>Ryan Torres</v>
      </c>
      <c r="T691" s="4" t="str">
        <f>VLOOKUP(D691,Product_Dim!$A:$M,3,FALSE())</f>
        <v>Electronics</v>
      </c>
      <c r="U691" s="11" t="str">
        <f>VLOOKUP(D691,Product_Dim!$A:$M,2,FALSE())</f>
        <v>4K Home Projector</v>
      </c>
      <c r="V691" s="11" t="str">
        <f>VLOOKUP(E691,Store_Dim!$A:$E,3,FALSE())</f>
        <v>South</v>
      </c>
      <c r="W691" s="11" t="str">
        <f>VLOOKUP(C691,Customer_Dim!$A:$N,13,FALSE())</f>
        <v>Silver</v>
      </c>
      <c r="X691" s="11" t="str">
        <f t="shared" si="76"/>
        <v>Low</v>
      </c>
    </row>
    <row r="692" spans="1:24" ht="15.75" customHeight="1">
      <c r="A692" s="4" t="s">
        <v>2688</v>
      </c>
      <c r="B692" s="9">
        <v>45546</v>
      </c>
      <c r="C692" s="4" t="s">
        <v>292</v>
      </c>
      <c r="D692" s="4" t="s">
        <v>1855</v>
      </c>
      <c r="E692" s="4" t="s">
        <v>1927</v>
      </c>
      <c r="F692" s="4">
        <v>2</v>
      </c>
      <c r="G692" s="4">
        <v>898.81</v>
      </c>
      <c r="H692" s="4">
        <v>0.25</v>
      </c>
      <c r="I692" s="4" t="s">
        <v>1996</v>
      </c>
      <c r="J692" s="10">
        <v>1348.2149999999999</v>
      </c>
      <c r="K692" s="4" t="str">
        <f t="shared" si="70"/>
        <v>11-09-2024</v>
      </c>
      <c r="L692" s="4" t="str">
        <f>TEXT(Sales_Fact!$B692,"mmm")</f>
        <v>Sep</v>
      </c>
      <c r="M692" s="4">
        <f t="shared" si="71"/>
        <v>2</v>
      </c>
      <c r="N692" s="10">
        <f t="shared" si="72"/>
        <v>898.81</v>
      </c>
      <c r="O692" s="10">
        <f t="shared" si="73"/>
        <v>1348.2149999999999</v>
      </c>
      <c r="P692" s="10">
        <f t="shared" si="74"/>
        <v>1797.62</v>
      </c>
      <c r="Q692" s="3">
        <f t="shared" si="75"/>
        <v>0.25</v>
      </c>
      <c r="R692" s="4" t="str">
        <f>IF(Sales_Fact!$O692&gt;1000,"High","Low")</f>
        <v>High</v>
      </c>
      <c r="S692" s="4" t="str">
        <f>VLOOKUP(C692,Customer_Dim!$A:$N,9,FALSE())</f>
        <v>John Mayer</v>
      </c>
      <c r="T692" s="4" t="str">
        <f>VLOOKUP(D692,Product_Dim!$A:$M,3,FALSE())</f>
        <v>Beauty</v>
      </c>
      <c r="U692" s="11" t="str">
        <f>VLOOKUP(D692,Product_Dim!$A:$M,2,FALSE())</f>
        <v>Hydrating Face Cleanser</v>
      </c>
      <c r="V692" s="11" t="str">
        <f>VLOOKUP(E692,Store_Dim!$A:$E,3,FALSE())</f>
        <v>South</v>
      </c>
      <c r="W692" s="11" t="str">
        <f>VLOOKUP(C692,Customer_Dim!$A:$N,13,FALSE())</f>
        <v>Bronze</v>
      </c>
      <c r="X692" s="11" t="str">
        <f t="shared" si="76"/>
        <v>Low</v>
      </c>
    </row>
    <row r="693" spans="1:24" ht="15.75" customHeight="1">
      <c r="A693" s="4" t="s">
        <v>2689</v>
      </c>
      <c r="B693" s="9">
        <v>45276</v>
      </c>
      <c r="C693" s="4" t="s">
        <v>970</v>
      </c>
      <c r="D693" s="4" t="s">
        <v>1825</v>
      </c>
      <c r="E693" s="4" t="s">
        <v>1934</v>
      </c>
      <c r="F693" s="4">
        <v>3</v>
      </c>
      <c r="G693" s="4">
        <v>369.32</v>
      </c>
      <c r="H693" s="4">
        <v>0.14000000000000001</v>
      </c>
      <c r="I693" s="4" t="s">
        <v>1998</v>
      </c>
      <c r="J693" s="10">
        <v>952.84559999999999</v>
      </c>
      <c r="K693" s="4" t="str">
        <f t="shared" si="70"/>
        <v>16-12-2023</v>
      </c>
      <c r="L693" s="4" t="str">
        <f>TEXT(Sales_Fact!$B693,"mmm")</f>
        <v>Dec</v>
      </c>
      <c r="M693" s="4">
        <f t="shared" si="71"/>
        <v>3</v>
      </c>
      <c r="N693" s="10">
        <f t="shared" si="72"/>
        <v>369.32</v>
      </c>
      <c r="O693" s="10">
        <f t="shared" si="73"/>
        <v>952.84559999999999</v>
      </c>
      <c r="P693" s="10">
        <f t="shared" si="74"/>
        <v>1107.96</v>
      </c>
      <c r="Q693" s="3">
        <f t="shared" si="75"/>
        <v>0.14000000000000004</v>
      </c>
      <c r="R693" s="4" t="str">
        <f>IF(Sales_Fact!$O693&gt;1000,"High","Low")</f>
        <v>Low</v>
      </c>
      <c r="S693" s="4" t="str">
        <f>VLOOKUP(C693,Customer_Dim!$A:$N,9,FALSE())</f>
        <v>Tracy Stephens</v>
      </c>
      <c r="T693" s="4" t="str">
        <f>VLOOKUP(D693,Product_Dim!$A:$M,3,FALSE())</f>
        <v>Sports</v>
      </c>
      <c r="U693" s="11" t="str">
        <f>VLOOKUP(D693,Product_Dim!$A:$M,2,FALSE())</f>
        <v>Shin Guards – Adult</v>
      </c>
      <c r="V693" s="11" t="str">
        <f>VLOOKUP(E693,Store_Dim!$A:$E,3,FALSE())</f>
        <v>East</v>
      </c>
      <c r="W693" s="11" t="str">
        <f>VLOOKUP(C693,Customer_Dim!$A:$N,13,FALSE())</f>
        <v>Platinum</v>
      </c>
      <c r="X693" s="11" t="str">
        <f t="shared" si="76"/>
        <v>Low</v>
      </c>
    </row>
    <row r="694" spans="1:24" ht="15.75" customHeight="1">
      <c r="A694" s="4" t="s">
        <v>2690</v>
      </c>
      <c r="B694" s="9">
        <v>45769</v>
      </c>
      <c r="C694" s="4" t="s">
        <v>1129</v>
      </c>
      <c r="D694" s="4" t="s">
        <v>1776</v>
      </c>
      <c r="E694" s="4" t="s">
        <v>1924</v>
      </c>
      <c r="F694" s="4">
        <v>2</v>
      </c>
      <c r="G694" s="4">
        <v>422.13</v>
      </c>
      <c r="H694" s="4">
        <v>0.28000000000000003</v>
      </c>
      <c r="I694" s="4" t="s">
        <v>1996</v>
      </c>
      <c r="J694" s="10">
        <v>607.86720000000003</v>
      </c>
      <c r="K694" s="4" t="str">
        <f t="shared" si="70"/>
        <v>22-04-2025</v>
      </c>
      <c r="L694" s="4" t="str">
        <f>TEXT(Sales_Fact!$B694,"mmm")</f>
        <v>Apr</v>
      </c>
      <c r="M694" s="4">
        <f t="shared" si="71"/>
        <v>2</v>
      </c>
      <c r="N694" s="10">
        <f t="shared" si="72"/>
        <v>422.13</v>
      </c>
      <c r="O694" s="10">
        <f t="shared" si="73"/>
        <v>607.86720000000003</v>
      </c>
      <c r="P694" s="10">
        <f t="shared" si="74"/>
        <v>844.26</v>
      </c>
      <c r="Q694" s="3">
        <f t="shared" si="75"/>
        <v>0.27999999999999997</v>
      </c>
      <c r="R694" s="4" t="str">
        <f>IF(Sales_Fact!$O694&gt;1000,"High","Low")</f>
        <v>Low</v>
      </c>
      <c r="S694" s="4" t="str">
        <f>VLOOKUP(C694,Customer_Dim!$A:$N,9,FALSE())</f>
        <v>Jeffrey Mccarthy</v>
      </c>
      <c r="T694" s="4" t="str">
        <f>VLOOKUP(D694,Product_Dim!$A:$M,3,FALSE())</f>
        <v>Sports</v>
      </c>
      <c r="U694" s="11" t="str">
        <f>VLOOKUP(D694,Product_Dim!$A:$M,2,FALSE())</f>
        <v>Foam Roller</v>
      </c>
      <c r="V694" s="11" t="str">
        <f>VLOOKUP(E694,Store_Dim!$A:$E,3,FALSE())</f>
        <v>North</v>
      </c>
      <c r="W694" s="11" t="str">
        <f>VLOOKUP(C694,Customer_Dim!$A:$N,13,FALSE())</f>
        <v>Bronze</v>
      </c>
      <c r="X694" s="11" t="str">
        <f t="shared" si="76"/>
        <v>Low</v>
      </c>
    </row>
    <row r="695" spans="1:24" ht="15.75" customHeight="1">
      <c r="A695" s="4" t="s">
        <v>2691</v>
      </c>
      <c r="B695" s="9">
        <v>45524</v>
      </c>
      <c r="C695" s="4" t="s">
        <v>212</v>
      </c>
      <c r="D695" s="4" t="s">
        <v>1703</v>
      </c>
      <c r="E695" s="4" t="s">
        <v>1950</v>
      </c>
      <c r="F695" s="4">
        <v>1</v>
      </c>
      <c r="G695" s="4">
        <v>324.56</v>
      </c>
      <c r="H695" s="4">
        <v>0.03</v>
      </c>
      <c r="I695" s="4" t="s">
        <v>2004</v>
      </c>
      <c r="J695" s="10">
        <v>314.82319999999999</v>
      </c>
      <c r="K695" s="4" t="str">
        <f t="shared" si="70"/>
        <v>20-08-2024</v>
      </c>
      <c r="L695" s="4" t="str">
        <f>TEXT(Sales_Fact!$B695,"mmm")</f>
        <v>Aug</v>
      </c>
      <c r="M695" s="4">
        <f t="shared" si="71"/>
        <v>1</v>
      </c>
      <c r="N695" s="10">
        <f t="shared" si="72"/>
        <v>324.56</v>
      </c>
      <c r="O695" s="10">
        <f t="shared" si="73"/>
        <v>314.82319999999999</v>
      </c>
      <c r="P695" s="10">
        <f t="shared" si="74"/>
        <v>324.56</v>
      </c>
      <c r="Q695" s="3">
        <f t="shared" si="75"/>
        <v>3.0000000000000051E-2</v>
      </c>
      <c r="R695" s="4" t="str">
        <f>IF(Sales_Fact!$O695&gt;1000,"High","Low")</f>
        <v>Low</v>
      </c>
      <c r="S695" s="4" t="str">
        <f>VLOOKUP(C695,Customer_Dim!$A:$N,9,FALSE())</f>
        <v>Matthew Hunter Jr.</v>
      </c>
      <c r="T695" s="4" t="str">
        <f>VLOOKUP(D695,Product_Dim!$A:$M,3,FALSE())</f>
        <v>Electronics</v>
      </c>
      <c r="U695" s="11" t="str">
        <f>VLOOKUP(D695,Product_Dim!$A:$M,2,FALSE())</f>
        <v>Gaming Mechanical Keyboard</v>
      </c>
      <c r="V695" s="11" t="str">
        <f>VLOOKUP(E695,Store_Dim!$A:$E,3,FALSE())</f>
        <v>South</v>
      </c>
      <c r="W695" s="11" t="str">
        <f>VLOOKUP(C695,Customer_Dim!$A:$N,13,FALSE())</f>
        <v>Gold</v>
      </c>
      <c r="X695" s="11" t="str">
        <f t="shared" si="76"/>
        <v>Low</v>
      </c>
    </row>
    <row r="696" spans="1:24" ht="15.75" customHeight="1">
      <c r="A696" s="4" t="s">
        <v>2692</v>
      </c>
      <c r="B696" s="9">
        <v>45531</v>
      </c>
      <c r="C696" s="4" t="s">
        <v>1472</v>
      </c>
      <c r="D696" s="4" t="s">
        <v>1770</v>
      </c>
      <c r="E696" s="4" t="s">
        <v>1962</v>
      </c>
      <c r="F696" s="4">
        <v>4</v>
      </c>
      <c r="G696" s="4">
        <v>570.38</v>
      </c>
      <c r="H696" s="4">
        <v>0.26</v>
      </c>
      <c r="I696" s="4" t="s">
        <v>1998</v>
      </c>
      <c r="J696" s="10">
        <v>1688.3248000000001</v>
      </c>
      <c r="K696" s="4" t="str">
        <f t="shared" si="70"/>
        <v>27-08-2024</v>
      </c>
      <c r="L696" s="4" t="str">
        <f>TEXT(Sales_Fact!$B696,"mmm")</f>
        <v>Aug</v>
      </c>
      <c r="M696" s="4">
        <f t="shared" si="71"/>
        <v>4</v>
      </c>
      <c r="N696" s="10">
        <f t="shared" si="72"/>
        <v>570.38</v>
      </c>
      <c r="O696" s="10">
        <f t="shared" si="73"/>
        <v>1688.3247999999999</v>
      </c>
      <c r="P696" s="10">
        <f t="shared" si="74"/>
        <v>2281.52</v>
      </c>
      <c r="Q696" s="3">
        <f t="shared" si="75"/>
        <v>0.26000000000000006</v>
      </c>
      <c r="R696" s="4" t="str">
        <f>IF(Sales_Fact!$O696&gt;1000,"High","Low")</f>
        <v>High</v>
      </c>
      <c r="S696" s="4" t="str">
        <f>VLOOKUP(C696,Customer_Dim!$A:$N,9,FALSE())</f>
        <v>Gregory Curtis</v>
      </c>
      <c r="T696" s="4" t="str">
        <f>VLOOKUP(D696,Product_Dim!$A:$M,3,FALSE())</f>
        <v>Home</v>
      </c>
      <c r="U696" s="11" t="str">
        <f>VLOOKUP(D696,Product_Dim!$A:$M,2,FALSE())</f>
        <v>Ceramic Plant Pot</v>
      </c>
      <c r="V696" s="11" t="str">
        <f>VLOOKUP(E696,Store_Dim!$A:$E,3,FALSE())</f>
        <v>West</v>
      </c>
      <c r="W696" s="11" t="str">
        <f>VLOOKUP(C696,Customer_Dim!$A:$N,13,FALSE())</f>
        <v>Bronze</v>
      </c>
      <c r="X696" s="11" t="str">
        <f t="shared" si="76"/>
        <v>High</v>
      </c>
    </row>
    <row r="697" spans="1:24" ht="15.75" customHeight="1">
      <c r="A697" s="4" t="s">
        <v>2693</v>
      </c>
      <c r="B697" s="9">
        <v>45479</v>
      </c>
      <c r="C697" s="4" t="s">
        <v>1258</v>
      </c>
      <c r="D697" s="4" t="s">
        <v>1703</v>
      </c>
      <c r="E697" s="4" t="s">
        <v>1959</v>
      </c>
      <c r="F697" s="4">
        <v>2</v>
      </c>
      <c r="G697" s="4">
        <v>223.73</v>
      </c>
      <c r="H697" s="4">
        <v>0.11</v>
      </c>
      <c r="I697" s="4" t="s">
        <v>1998</v>
      </c>
      <c r="J697" s="10">
        <v>398.23939999999999</v>
      </c>
      <c r="K697" s="4" t="str">
        <f t="shared" si="70"/>
        <v>06-07-2024</v>
      </c>
      <c r="L697" s="4" t="str">
        <f>TEXT(Sales_Fact!$B697,"mmm")</f>
        <v>Jul</v>
      </c>
      <c r="M697" s="4">
        <f t="shared" si="71"/>
        <v>2</v>
      </c>
      <c r="N697" s="10">
        <f t="shared" si="72"/>
        <v>223.73</v>
      </c>
      <c r="O697" s="10">
        <f t="shared" si="73"/>
        <v>398.23939999999999</v>
      </c>
      <c r="P697" s="10">
        <f t="shared" si="74"/>
        <v>447.46</v>
      </c>
      <c r="Q697" s="3">
        <f t="shared" si="75"/>
        <v>0.10999999999999999</v>
      </c>
      <c r="R697" s="4" t="str">
        <f>IF(Sales_Fact!$O697&gt;1000,"High","Low")</f>
        <v>Low</v>
      </c>
      <c r="S697" s="4" t="str">
        <f>VLOOKUP(C697,Customer_Dim!$A:$N,9,FALSE())</f>
        <v>Alejandro Evans</v>
      </c>
      <c r="T697" s="4" t="str">
        <f>VLOOKUP(D697,Product_Dim!$A:$M,3,FALSE())</f>
        <v>Electronics</v>
      </c>
      <c r="U697" s="11" t="str">
        <f>VLOOKUP(D697,Product_Dim!$A:$M,2,FALSE())</f>
        <v>Gaming Mechanical Keyboard</v>
      </c>
      <c r="V697" s="11" t="str">
        <f>VLOOKUP(E697,Store_Dim!$A:$E,3,FALSE())</f>
        <v>North</v>
      </c>
      <c r="W697" s="11" t="str">
        <f>VLOOKUP(C697,Customer_Dim!$A:$N,13,FALSE())</f>
        <v>Bronze</v>
      </c>
      <c r="X697" s="11" t="str">
        <f t="shared" si="76"/>
        <v>Low</v>
      </c>
    </row>
    <row r="698" spans="1:24" ht="15.75" customHeight="1">
      <c r="A698" s="4" t="s">
        <v>2694</v>
      </c>
      <c r="B698" s="9">
        <v>45868</v>
      </c>
      <c r="C698" s="4" t="s">
        <v>1129</v>
      </c>
      <c r="D698" s="4" t="s">
        <v>1864</v>
      </c>
      <c r="E698" s="4" t="s">
        <v>1962</v>
      </c>
      <c r="F698" s="4">
        <v>4</v>
      </c>
      <c r="G698" s="4">
        <v>164.93</v>
      </c>
      <c r="H698" s="4">
        <v>0.11</v>
      </c>
      <c r="I698" s="4" t="s">
        <v>1996</v>
      </c>
      <c r="J698" s="10">
        <v>587.1508</v>
      </c>
      <c r="K698" s="4" t="str">
        <f t="shared" si="70"/>
        <v>30-07-2025</v>
      </c>
      <c r="L698" s="4" t="str">
        <f>TEXT(Sales_Fact!$B698,"mmm")</f>
        <v>Jul</v>
      </c>
      <c r="M698" s="4">
        <f t="shared" si="71"/>
        <v>4</v>
      </c>
      <c r="N698" s="10">
        <f t="shared" si="72"/>
        <v>164.93</v>
      </c>
      <c r="O698" s="10">
        <f t="shared" si="73"/>
        <v>587.1508</v>
      </c>
      <c r="P698" s="10">
        <f t="shared" si="74"/>
        <v>659.72</v>
      </c>
      <c r="Q698" s="3">
        <f t="shared" si="75"/>
        <v>0.11000000000000003</v>
      </c>
      <c r="R698" s="4" t="str">
        <f>IF(Sales_Fact!$O698&gt;1000,"High","Low")</f>
        <v>Low</v>
      </c>
      <c r="S698" s="4" t="str">
        <f>VLOOKUP(C698,Customer_Dim!$A:$N,9,FALSE())</f>
        <v>Jeffrey Mccarthy</v>
      </c>
      <c r="T698" s="4" t="str">
        <f>VLOOKUP(D698,Product_Dim!$A:$M,3,FALSE())</f>
        <v>Home</v>
      </c>
      <c r="U698" s="11" t="str">
        <f>VLOOKUP(D698,Product_Dim!$A:$M,2,FALSE())</f>
        <v>Kitchen Cutting Board</v>
      </c>
      <c r="V698" s="11" t="str">
        <f>VLOOKUP(E698,Store_Dim!$A:$E,3,FALSE())</f>
        <v>West</v>
      </c>
      <c r="W698" s="11" t="str">
        <f>VLOOKUP(C698,Customer_Dim!$A:$N,13,FALSE())</f>
        <v>Bronze</v>
      </c>
      <c r="X698" s="11" t="str">
        <f t="shared" si="76"/>
        <v>High</v>
      </c>
    </row>
    <row r="699" spans="1:24" ht="15.75" customHeight="1">
      <c r="A699" s="4" t="s">
        <v>2695</v>
      </c>
      <c r="B699" s="9">
        <v>45569</v>
      </c>
      <c r="C699" s="4" t="s">
        <v>825</v>
      </c>
      <c r="D699" s="4" t="s">
        <v>1640</v>
      </c>
      <c r="E699" s="4" t="s">
        <v>1937</v>
      </c>
      <c r="F699" s="4">
        <v>3</v>
      </c>
      <c r="G699" s="4">
        <v>326.66000000000003</v>
      </c>
      <c r="H699" s="4">
        <v>0.28000000000000003</v>
      </c>
      <c r="I699" s="4" t="s">
        <v>2004</v>
      </c>
      <c r="J699" s="10">
        <v>705.5856</v>
      </c>
      <c r="K699" s="4" t="str">
        <f t="shared" si="70"/>
        <v>04-10-2024</v>
      </c>
      <c r="L699" s="4" t="str">
        <f>TEXT(Sales_Fact!$B699,"mmm")</f>
        <v>Oct</v>
      </c>
      <c r="M699" s="4">
        <f t="shared" si="71"/>
        <v>3</v>
      </c>
      <c r="N699" s="10">
        <f t="shared" si="72"/>
        <v>326.66000000000003</v>
      </c>
      <c r="O699" s="10">
        <f t="shared" si="73"/>
        <v>705.5856</v>
      </c>
      <c r="P699" s="10">
        <f t="shared" si="74"/>
        <v>979.98</v>
      </c>
      <c r="Q699" s="3">
        <f t="shared" si="75"/>
        <v>0.28000000000000003</v>
      </c>
      <c r="R699" s="4" t="str">
        <f>IF(Sales_Fact!$O699&gt;1000,"High","Low")</f>
        <v>Low</v>
      </c>
      <c r="S699" s="4" t="str">
        <f>VLOOKUP(C699,Customer_Dim!$A:$N,9,FALSE())</f>
        <v>Lauren George</v>
      </c>
      <c r="T699" s="4" t="str">
        <f>VLOOKUP(D699,Product_Dim!$A:$M,3,FALSE())</f>
        <v>Electronics</v>
      </c>
      <c r="U699" s="11" t="str">
        <f>VLOOKUP(D699,Product_Dim!$A:$M,2,FALSE())</f>
        <v>4K Home Projector</v>
      </c>
      <c r="V699" s="11" t="str">
        <f>VLOOKUP(E699,Store_Dim!$A:$E,3,FALSE())</f>
        <v>South</v>
      </c>
      <c r="W699" s="11" t="str">
        <f>VLOOKUP(C699,Customer_Dim!$A:$N,13,FALSE())</f>
        <v>Gold</v>
      </c>
      <c r="X699" s="11" t="str">
        <f t="shared" si="76"/>
        <v>Low</v>
      </c>
    </row>
    <row r="700" spans="1:24" ht="15.75" customHeight="1">
      <c r="A700" s="4" t="s">
        <v>2696</v>
      </c>
      <c r="B700" s="9">
        <v>45382</v>
      </c>
      <c r="C700" s="4" t="s">
        <v>626</v>
      </c>
      <c r="D700" s="4" t="s">
        <v>1583</v>
      </c>
      <c r="E700" s="4" t="s">
        <v>1959</v>
      </c>
      <c r="F700" s="4">
        <v>2</v>
      </c>
      <c r="G700" s="4">
        <v>462.93</v>
      </c>
      <c r="H700" s="4">
        <v>0.17</v>
      </c>
      <c r="I700" s="4" t="s">
        <v>1998</v>
      </c>
      <c r="J700" s="10">
        <v>768.46379999999999</v>
      </c>
      <c r="K700" s="4" t="str">
        <f t="shared" si="70"/>
        <v>31-03-2024</v>
      </c>
      <c r="L700" s="4" t="str">
        <f>TEXT(Sales_Fact!$B700,"mmm")</f>
        <v>Mar</v>
      </c>
      <c r="M700" s="4">
        <f t="shared" si="71"/>
        <v>2</v>
      </c>
      <c r="N700" s="10">
        <f t="shared" si="72"/>
        <v>462.93</v>
      </c>
      <c r="O700" s="10">
        <f t="shared" si="73"/>
        <v>768.46379999999999</v>
      </c>
      <c r="P700" s="10">
        <f t="shared" si="74"/>
        <v>925.86</v>
      </c>
      <c r="Q700" s="3">
        <f t="shared" si="75"/>
        <v>0.17</v>
      </c>
      <c r="R700" s="4" t="str">
        <f>IF(Sales_Fact!$O700&gt;1000,"High","Low")</f>
        <v>Low</v>
      </c>
      <c r="S700" s="4" t="str">
        <f>VLOOKUP(C700,Customer_Dim!$A:$N,9,FALSE())</f>
        <v>Melissa Hamilton</v>
      </c>
      <c r="T700" s="4" t="str">
        <f>VLOOKUP(D700,Product_Dim!$A:$M,3,FALSE())</f>
        <v>Clothing</v>
      </c>
      <c r="U700" s="11" t="str">
        <f>VLOOKUP(D700,Product_Dim!$A:$M,2,FALSE())</f>
        <v>Men's Graphic T-Shirt</v>
      </c>
      <c r="V700" s="11" t="str">
        <f>VLOOKUP(E700,Store_Dim!$A:$E,3,FALSE())</f>
        <v>North</v>
      </c>
      <c r="W700" s="11" t="str">
        <f>VLOOKUP(C700,Customer_Dim!$A:$N,13,FALSE())</f>
        <v>Silver</v>
      </c>
      <c r="X700" s="11" t="str">
        <f t="shared" si="76"/>
        <v>Low</v>
      </c>
    </row>
    <row r="701" spans="1:24" ht="15.75" customHeight="1">
      <c r="A701" s="4" t="s">
        <v>2697</v>
      </c>
      <c r="B701" s="9">
        <v>45885</v>
      </c>
      <c r="C701" s="4" t="s">
        <v>520</v>
      </c>
      <c r="D701" s="4" t="s">
        <v>1578</v>
      </c>
      <c r="E701" s="4" t="s">
        <v>1962</v>
      </c>
      <c r="F701" s="4">
        <v>3</v>
      </c>
      <c r="G701" s="4">
        <v>60.26</v>
      </c>
      <c r="H701" s="4">
        <v>0.04</v>
      </c>
      <c r="I701" s="4" t="s">
        <v>1996</v>
      </c>
      <c r="J701" s="10">
        <v>173.5488</v>
      </c>
      <c r="K701" s="4" t="str">
        <f t="shared" si="70"/>
        <v>16-08-2025</v>
      </c>
      <c r="L701" s="4" t="str">
        <f>TEXT(Sales_Fact!$B701,"mmm")</f>
        <v>Aug</v>
      </c>
      <c r="M701" s="4">
        <f t="shared" si="71"/>
        <v>3</v>
      </c>
      <c r="N701" s="10">
        <f t="shared" si="72"/>
        <v>60.26</v>
      </c>
      <c r="O701" s="10">
        <f t="shared" si="73"/>
        <v>173.5488</v>
      </c>
      <c r="P701" s="10">
        <f t="shared" si="74"/>
        <v>180.78</v>
      </c>
      <c r="Q701" s="3">
        <f t="shared" si="75"/>
        <v>4.0000000000000008E-2</v>
      </c>
      <c r="R701" s="4" t="str">
        <f>IF(Sales_Fact!$O701&gt;1000,"High","Low")</f>
        <v>Low</v>
      </c>
      <c r="S701" s="4" t="str">
        <f>VLOOKUP(C701,Customer_Dim!$A:$N,9,FALSE())</f>
        <v>Rhonda Young</v>
      </c>
      <c r="T701" s="4" t="str">
        <f>VLOOKUP(D701,Product_Dim!$A:$M,3,FALSE())</f>
        <v>Electronics</v>
      </c>
      <c r="U701" s="11" t="str">
        <f>VLOOKUP(D701,Product_Dim!$A:$M,2,FALSE())</f>
        <v>Brother Laser Printer</v>
      </c>
      <c r="V701" s="11" t="str">
        <f>VLOOKUP(E701,Store_Dim!$A:$E,3,FALSE())</f>
        <v>West</v>
      </c>
      <c r="W701" s="11" t="str">
        <f>VLOOKUP(C701,Customer_Dim!$A:$N,13,FALSE())</f>
        <v>Platinum</v>
      </c>
      <c r="X701" s="11" t="str">
        <f t="shared" si="76"/>
        <v>Low</v>
      </c>
    </row>
    <row r="702" spans="1:24" ht="15.75" customHeight="1">
      <c r="A702" s="4" t="s">
        <v>2698</v>
      </c>
      <c r="B702" s="9">
        <v>45829</v>
      </c>
      <c r="C702" s="4" t="s">
        <v>282</v>
      </c>
      <c r="D702" s="4" t="s">
        <v>1703</v>
      </c>
      <c r="E702" s="4" t="s">
        <v>1944</v>
      </c>
      <c r="F702" s="4">
        <v>3</v>
      </c>
      <c r="G702" s="4">
        <v>109.5</v>
      </c>
      <c r="H702" s="4">
        <v>0.06</v>
      </c>
      <c r="I702" s="4" t="s">
        <v>2004</v>
      </c>
      <c r="J702" s="10">
        <v>308.79000000000002</v>
      </c>
      <c r="K702" s="4" t="str">
        <f t="shared" si="70"/>
        <v>21-06-2025</v>
      </c>
      <c r="L702" s="4" t="str">
        <f>TEXT(Sales_Fact!$B702,"mmm")</f>
        <v>Jun</v>
      </c>
      <c r="M702" s="4">
        <f t="shared" si="71"/>
        <v>3</v>
      </c>
      <c r="N702" s="10">
        <f t="shared" si="72"/>
        <v>109.5</v>
      </c>
      <c r="O702" s="10">
        <f t="shared" si="73"/>
        <v>308.78999999999996</v>
      </c>
      <c r="P702" s="10">
        <f t="shared" si="74"/>
        <v>328.5</v>
      </c>
      <c r="Q702" s="3">
        <f t="shared" si="75"/>
        <v>6.0000000000000109E-2</v>
      </c>
      <c r="R702" s="4" t="str">
        <f>IF(Sales_Fact!$O702&gt;1000,"High","Low")</f>
        <v>Low</v>
      </c>
      <c r="S702" s="4" t="str">
        <f>VLOOKUP(C702,Customer_Dim!$A:$N,9,FALSE())</f>
        <v>Andrea Perez</v>
      </c>
      <c r="T702" s="4" t="str">
        <f>VLOOKUP(D702,Product_Dim!$A:$M,3,FALSE())</f>
        <v>Electronics</v>
      </c>
      <c r="U702" s="11" t="str">
        <f>VLOOKUP(D702,Product_Dim!$A:$M,2,FALSE())</f>
        <v>Gaming Mechanical Keyboard</v>
      </c>
      <c r="V702" s="11" t="str">
        <f>VLOOKUP(E702,Store_Dim!$A:$E,3,FALSE())</f>
        <v>South</v>
      </c>
      <c r="W702" s="11" t="str">
        <f>VLOOKUP(C702,Customer_Dim!$A:$N,13,FALSE())</f>
        <v>Gold</v>
      </c>
      <c r="X702" s="11" t="str">
        <f t="shared" si="76"/>
        <v>Low</v>
      </c>
    </row>
    <row r="703" spans="1:24" ht="15.75" customHeight="1">
      <c r="A703" s="4" t="s">
        <v>2699</v>
      </c>
      <c r="B703" s="9">
        <v>45721</v>
      </c>
      <c r="C703" s="4" t="s">
        <v>1222</v>
      </c>
      <c r="D703" s="4" t="s">
        <v>1816</v>
      </c>
      <c r="E703" s="4" t="s">
        <v>1962</v>
      </c>
      <c r="F703" s="4">
        <v>1</v>
      </c>
      <c r="G703" s="4">
        <v>505.83</v>
      </c>
      <c r="H703" s="4">
        <v>0.14000000000000001</v>
      </c>
      <c r="I703" s="4" t="s">
        <v>2004</v>
      </c>
      <c r="J703" s="10">
        <v>435.0138</v>
      </c>
      <c r="K703" s="4" t="str">
        <f t="shared" si="70"/>
        <v>05-03-2025</v>
      </c>
      <c r="L703" s="4" t="str">
        <f>TEXT(Sales_Fact!$B703,"mmm")</f>
        <v>Mar</v>
      </c>
      <c r="M703" s="4">
        <f t="shared" si="71"/>
        <v>1</v>
      </c>
      <c r="N703" s="10">
        <f t="shared" si="72"/>
        <v>505.83</v>
      </c>
      <c r="O703" s="10">
        <f t="shared" si="73"/>
        <v>435.0138</v>
      </c>
      <c r="P703" s="10">
        <f t="shared" si="74"/>
        <v>505.83</v>
      </c>
      <c r="Q703" s="3">
        <f t="shared" si="75"/>
        <v>0.13999999999999996</v>
      </c>
      <c r="R703" s="4" t="str">
        <f>IF(Sales_Fact!$O703&gt;1000,"High","Low")</f>
        <v>Low</v>
      </c>
      <c r="S703" s="4" t="str">
        <f>VLOOKUP(C703,Customer_Dim!$A:$N,9,FALSE())</f>
        <v>Martha Brown</v>
      </c>
      <c r="T703" s="4" t="str">
        <f>VLOOKUP(D703,Product_Dim!$A:$M,3,FALSE())</f>
        <v>Home</v>
      </c>
      <c r="U703" s="11" t="str">
        <f>VLOOKUP(D703,Product_Dim!$A:$M,2,FALSE())</f>
        <v>Kitchen Storage Rack</v>
      </c>
      <c r="V703" s="11" t="str">
        <f>VLOOKUP(E703,Store_Dim!$A:$E,3,FALSE())</f>
        <v>West</v>
      </c>
      <c r="W703" s="11" t="str">
        <f>VLOOKUP(C703,Customer_Dim!$A:$N,13,FALSE())</f>
        <v>Gold</v>
      </c>
      <c r="X703" s="11" t="str">
        <f t="shared" si="76"/>
        <v>Low</v>
      </c>
    </row>
    <row r="704" spans="1:24" ht="15.75" customHeight="1">
      <c r="A704" s="4" t="s">
        <v>2700</v>
      </c>
      <c r="B704" s="9">
        <v>45851</v>
      </c>
      <c r="C704" s="4" t="s">
        <v>299</v>
      </c>
      <c r="D704" s="4" t="s">
        <v>1697</v>
      </c>
      <c r="E704" s="4" t="s">
        <v>1915</v>
      </c>
      <c r="F704" s="4">
        <v>1</v>
      </c>
      <c r="G704" s="4">
        <v>488.31</v>
      </c>
      <c r="H704" s="4">
        <v>0.03</v>
      </c>
      <c r="I704" s="4" t="s">
        <v>1998</v>
      </c>
      <c r="J704" s="10">
        <v>473.66070000000002</v>
      </c>
      <c r="K704" s="4" t="str">
        <f t="shared" si="70"/>
        <v>13-07-2025</v>
      </c>
      <c r="L704" s="4" t="str">
        <f>TEXT(Sales_Fact!$B704,"mmm")</f>
        <v>Jul</v>
      </c>
      <c r="M704" s="4">
        <f t="shared" si="71"/>
        <v>1</v>
      </c>
      <c r="N704" s="10">
        <f t="shared" si="72"/>
        <v>488.31</v>
      </c>
      <c r="O704" s="10">
        <f t="shared" si="73"/>
        <v>473.66069999999996</v>
      </c>
      <c r="P704" s="10">
        <f t="shared" si="74"/>
        <v>488.31</v>
      </c>
      <c r="Q704" s="3">
        <f t="shared" si="75"/>
        <v>3.0000000000000079E-2</v>
      </c>
      <c r="R704" s="4" t="str">
        <f>IF(Sales_Fact!$O704&gt;1000,"High","Low")</f>
        <v>Low</v>
      </c>
      <c r="S704" s="4" t="str">
        <f>VLOOKUP(C704,Customer_Dim!$A:$N,9,FALSE())</f>
        <v>Nathan Campbell</v>
      </c>
      <c r="T704" s="4" t="str">
        <f>VLOOKUP(D704,Product_Dim!$A:$M,3,FALSE())</f>
        <v>Beauty</v>
      </c>
      <c r="U704" s="11" t="str">
        <f>VLOOKUP(D704,Product_Dim!$A:$M,2,FALSE())</f>
        <v>Vitamin C Face Serum</v>
      </c>
      <c r="V704" s="11" t="str">
        <f>VLOOKUP(E704,Store_Dim!$A:$E,3,FALSE())</f>
        <v>North</v>
      </c>
      <c r="W704" s="11" t="str">
        <f>VLOOKUP(C704,Customer_Dim!$A:$N,13,FALSE())</f>
        <v>Gold</v>
      </c>
      <c r="X704" s="11" t="str">
        <f t="shared" si="76"/>
        <v>Low</v>
      </c>
    </row>
    <row r="705" spans="1:24" ht="15.75" customHeight="1">
      <c r="A705" s="4" t="s">
        <v>2701</v>
      </c>
      <c r="B705" s="9">
        <v>45511</v>
      </c>
      <c r="C705" s="4" t="s">
        <v>568</v>
      </c>
      <c r="D705" s="4" t="s">
        <v>1900</v>
      </c>
      <c r="E705" s="4" t="s">
        <v>1947</v>
      </c>
      <c r="F705" s="4">
        <v>2</v>
      </c>
      <c r="G705" s="4">
        <v>443.15</v>
      </c>
      <c r="H705" s="4">
        <v>0.27</v>
      </c>
      <c r="I705" s="4" t="s">
        <v>1998</v>
      </c>
      <c r="J705" s="10">
        <v>646.99900000000002</v>
      </c>
      <c r="K705" s="4" t="str">
        <f t="shared" si="70"/>
        <v>07-08-2024</v>
      </c>
      <c r="L705" s="4" t="str">
        <f>TEXT(Sales_Fact!$B705,"mmm")</f>
        <v>Aug</v>
      </c>
      <c r="M705" s="4">
        <f t="shared" si="71"/>
        <v>2</v>
      </c>
      <c r="N705" s="10">
        <f t="shared" si="72"/>
        <v>443.15</v>
      </c>
      <c r="O705" s="10">
        <f t="shared" si="73"/>
        <v>646.99899999999991</v>
      </c>
      <c r="P705" s="10">
        <f t="shared" si="74"/>
        <v>886.3</v>
      </c>
      <c r="Q705" s="3">
        <f t="shared" si="75"/>
        <v>0.27000000000000007</v>
      </c>
      <c r="R705" s="4" t="str">
        <f>IF(Sales_Fact!$O705&gt;1000,"High","Low")</f>
        <v>Low</v>
      </c>
      <c r="S705" s="4" t="str">
        <f>VLOOKUP(C705,Customer_Dim!$A:$N,9,FALSE())</f>
        <v>Joseph Jones</v>
      </c>
      <c r="T705" s="4" t="str">
        <f>VLOOKUP(D705,Product_Dim!$A:$M,3,FALSE())</f>
        <v>Electronics</v>
      </c>
      <c r="U705" s="11" t="str">
        <f>VLOOKUP(D705,Product_Dim!$A:$M,2,FALSE())</f>
        <v>Portable Bluetooth Speaker</v>
      </c>
      <c r="V705" s="11" t="str">
        <f>VLOOKUP(E705,Store_Dim!$A:$E,3,FALSE())</f>
        <v>East</v>
      </c>
      <c r="W705" s="11" t="str">
        <f>VLOOKUP(C705,Customer_Dim!$A:$N,13,FALSE())</f>
        <v>Bronze</v>
      </c>
      <c r="X705" s="11" t="str">
        <f t="shared" si="76"/>
        <v>Low</v>
      </c>
    </row>
    <row r="706" spans="1:24" ht="15.75" customHeight="1">
      <c r="A706" s="4" t="s">
        <v>2702</v>
      </c>
      <c r="B706" s="9">
        <v>45739</v>
      </c>
      <c r="C706" s="4" t="s">
        <v>1556</v>
      </c>
      <c r="D706" s="4" t="s">
        <v>1608</v>
      </c>
      <c r="E706" s="4" t="s">
        <v>1937</v>
      </c>
      <c r="F706" s="4">
        <v>2</v>
      </c>
      <c r="G706" s="4">
        <v>784.26</v>
      </c>
      <c r="H706" s="4">
        <v>0.23</v>
      </c>
      <c r="I706" s="4" t="s">
        <v>1998</v>
      </c>
      <c r="J706" s="10">
        <v>1207.7603999999999</v>
      </c>
      <c r="K706" s="4" t="str">
        <f t="shared" ref="K706:K769" si="77">TEXT(B706,"dd-mm-yyyy")</f>
        <v>23-03-2025</v>
      </c>
      <c r="L706" s="4" t="str">
        <f>TEXT(Sales_Fact!$B706,"mmm")</f>
        <v>Mar</v>
      </c>
      <c r="M706" s="4">
        <f t="shared" ref="M706:M769" si="78">IF(ISBLANK(F706),1,F706)</f>
        <v>2</v>
      </c>
      <c r="N706" s="10">
        <f t="shared" ref="N706:N769" si="79">ROUNDUP(IF(ISBLANK(G706),AVERAGE(C:C,G706,G:G),G706),2)</f>
        <v>784.26</v>
      </c>
      <c r="O706" s="10">
        <f t="shared" ref="O706:O769" si="80">M706*N706*(1-H706)</f>
        <v>1207.7604000000001</v>
      </c>
      <c r="P706" s="10">
        <f t="shared" ref="P706:P769" si="81">M706*N706</f>
        <v>1568.52</v>
      </c>
      <c r="Q706" s="3">
        <f t="shared" ref="Q706:Q769" si="82">(P706-O706)/P706</f>
        <v>0.22999999999999993</v>
      </c>
      <c r="R706" s="4" t="str">
        <f>IF(Sales_Fact!$O706&gt;1000,"High","Low")</f>
        <v>High</v>
      </c>
      <c r="S706" s="4" t="str">
        <f>VLOOKUP(C706,Customer_Dim!$A:$N,9,FALSE())</f>
        <v>Sarah Marsh</v>
      </c>
      <c r="T706" s="4" t="str">
        <f>VLOOKUP(D706,Product_Dim!$A:$M,3,FALSE())</f>
        <v>Home</v>
      </c>
      <c r="U706" s="11" t="str">
        <f>VLOOKUP(D706,Product_Dim!$A:$M,2,FALSE())</f>
        <v>LED Table Lamp</v>
      </c>
      <c r="V706" s="11" t="str">
        <f>VLOOKUP(E706,Store_Dim!$A:$E,3,FALSE())</f>
        <v>South</v>
      </c>
      <c r="W706" s="11" t="str">
        <f>VLOOKUP(C706,Customer_Dim!$A:$N,13,FALSE())</f>
        <v>Gold</v>
      </c>
      <c r="X706" s="11" t="str">
        <f t="shared" ref="X706:X769" si="83">IF(F706&gt;3,"High","Low")</f>
        <v>Low</v>
      </c>
    </row>
    <row r="707" spans="1:24" ht="15.75" customHeight="1">
      <c r="A707" s="4" t="s">
        <v>2703</v>
      </c>
      <c r="B707" s="9">
        <v>45533</v>
      </c>
      <c r="C707" s="4" t="s">
        <v>1434</v>
      </c>
      <c r="D707" s="4" t="s">
        <v>1719</v>
      </c>
      <c r="E707" s="4" t="s">
        <v>1950</v>
      </c>
      <c r="F707" s="4">
        <v>3</v>
      </c>
      <c r="G707" s="4">
        <v>590.30999999999995</v>
      </c>
      <c r="H707" s="4">
        <v>0.17</v>
      </c>
      <c r="I707" s="4" t="s">
        <v>1998</v>
      </c>
      <c r="J707" s="10">
        <v>1469.8719000000001</v>
      </c>
      <c r="K707" s="4" t="str">
        <f t="shared" si="77"/>
        <v>29-08-2024</v>
      </c>
      <c r="L707" s="4" t="str">
        <f>TEXT(Sales_Fact!$B707,"mmm")</f>
        <v>Aug</v>
      </c>
      <c r="M707" s="4">
        <f t="shared" si="78"/>
        <v>3</v>
      </c>
      <c r="N707" s="10">
        <f t="shared" si="79"/>
        <v>590.30999999999995</v>
      </c>
      <c r="O707" s="10">
        <f t="shared" si="80"/>
        <v>1469.8718999999999</v>
      </c>
      <c r="P707" s="10">
        <f t="shared" si="81"/>
        <v>1770.9299999999998</v>
      </c>
      <c r="Q707" s="3">
        <f t="shared" si="82"/>
        <v>0.16999999999999998</v>
      </c>
      <c r="R707" s="4" t="str">
        <f>IF(Sales_Fact!$O707&gt;1000,"High","Low")</f>
        <v>High</v>
      </c>
      <c r="S707" s="4" t="str">
        <f>VLOOKUP(C707,Customer_Dim!$A:$N,9,FALSE())</f>
        <v>Tyler Weber</v>
      </c>
      <c r="T707" s="4" t="str">
        <f>VLOOKUP(D707,Product_Dim!$A:$M,3,FALSE())</f>
        <v>Electronics</v>
      </c>
      <c r="U707" s="11" t="str">
        <f>VLOOKUP(D707,Product_Dim!$A:$M,2,FALSE())</f>
        <v>Portable Power Bank</v>
      </c>
      <c r="V707" s="11" t="str">
        <f>VLOOKUP(E707,Store_Dim!$A:$E,3,FALSE())</f>
        <v>South</v>
      </c>
      <c r="W707" s="11" t="str">
        <f>VLOOKUP(C707,Customer_Dim!$A:$N,13,FALSE())</f>
        <v>Gold</v>
      </c>
      <c r="X707" s="11" t="str">
        <f t="shared" si="83"/>
        <v>Low</v>
      </c>
    </row>
    <row r="708" spans="1:24" ht="15.75" customHeight="1">
      <c r="A708" s="4" t="s">
        <v>2704</v>
      </c>
      <c r="B708" s="9">
        <v>45553</v>
      </c>
      <c r="C708" s="4" t="s">
        <v>438</v>
      </c>
      <c r="D708" s="4" t="s">
        <v>1813</v>
      </c>
      <c r="E708" s="4" t="s">
        <v>1962</v>
      </c>
      <c r="F708" s="4">
        <v>1</v>
      </c>
      <c r="G708" s="4">
        <v>696.13</v>
      </c>
      <c r="H708" s="4">
        <v>0.06</v>
      </c>
      <c r="I708" s="4" t="s">
        <v>2004</v>
      </c>
      <c r="J708" s="10">
        <v>654.36220000000003</v>
      </c>
      <c r="K708" s="4" t="str">
        <f t="shared" si="77"/>
        <v>18-09-2024</v>
      </c>
      <c r="L708" s="4" t="str">
        <f>TEXT(Sales_Fact!$B708,"mmm")</f>
        <v>Sep</v>
      </c>
      <c r="M708" s="4">
        <f t="shared" si="78"/>
        <v>1</v>
      </c>
      <c r="N708" s="10">
        <f t="shared" si="79"/>
        <v>696.13</v>
      </c>
      <c r="O708" s="10">
        <f t="shared" si="80"/>
        <v>654.36219999999992</v>
      </c>
      <c r="P708" s="10">
        <f t="shared" si="81"/>
        <v>696.13</v>
      </c>
      <c r="Q708" s="3">
        <f t="shared" si="82"/>
        <v>6.0000000000000116E-2</v>
      </c>
      <c r="R708" s="4" t="str">
        <f>IF(Sales_Fact!$O708&gt;1000,"High","Low")</f>
        <v>Low</v>
      </c>
      <c r="S708" s="4" t="str">
        <f>VLOOKUP(C708,Customer_Dim!$A:$N,9,FALSE())</f>
        <v>Jacob Hopkins</v>
      </c>
      <c r="T708" s="4" t="str">
        <f>VLOOKUP(D708,Product_Dim!$A:$M,3,FALSE())</f>
        <v>Clothing</v>
      </c>
      <c r="U708" s="11" t="str">
        <f>VLOOKUP(D708,Product_Dim!$A:$M,2,FALSE())</f>
        <v>Men's Sports Shorts</v>
      </c>
      <c r="V708" s="11" t="str">
        <f>VLOOKUP(E708,Store_Dim!$A:$E,3,FALSE())</f>
        <v>West</v>
      </c>
      <c r="W708" s="11" t="str">
        <f>VLOOKUP(C708,Customer_Dim!$A:$N,13,FALSE())</f>
        <v>Platinum</v>
      </c>
      <c r="X708" s="11" t="str">
        <f t="shared" si="83"/>
        <v>Low</v>
      </c>
    </row>
    <row r="709" spans="1:24" ht="15.75" customHeight="1">
      <c r="A709" s="4" t="s">
        <v>2705</v>
      </c>
      <c r="B709" s="9">
        <v>45341</v>
      </c>
      <c r="C709" s="4" t="s">
        <v>390</v>
      </c>
      <c r="D709" s="4" t="s">
        <v>1758</v>
      </c>
      <c r="E709" s="4" t="s">
        <v>1934</v>
      </c>
      <c r="F709" s="4">
        <v>4</v>
      </c>
      <c r="G709" s="4">
        <v>194.39</v>
      </c>
      <c r="H709" s="4">
        <v>0.25</v>
      </c>
      <c r="I709" s="4" t="s">
        <v>1996</v>
      </c>
      <c r="J709" s="10">
        <v>583.16999999999996</v>
      </c>
      <c r="K709" s="4" t="str">
        <f t="shared" si="77"/>
        <v>19-02-2024</v>
      </c>
      <c r="L709" s="4" t="str">
        <f>TEXT(Sales_Fact!$B709,"mmm")</f>
        <v>Feb</v>
      </c>
      <c r="M709" s="4">
        <f t="shared" si="78"/>
        <v>4</v>
      </c>
      <c r="N709" s="10">
        <f t="shared" si="79"/>
        <v>194.39</v>
      </c>
      <c r="O709" s="10">
        <f t="shared" si="80"/>
        <v>583.16999999999996</v>
      </c>
      <c r="P709" s="10">
        <f t="shared" si="81"/>
        <v>777.56</v>
      </c>
      <c r="Q709" s="3">
        <f t="shared" si="82"/>
        <v>0.25</v>
      </c>
      <c r="R709" s="4" t="str">
        <f>IF(Sales_Fact!$O709&gt;1000,"High","Low")</f>
        <v>Low</v>
      </c>
      <c r="S709" s="4" t="str">
        <f>VLOOKUP(C709,Customer_Dim!$A:$N,9,FALSE())</f>
        <v>Christopher Lester</v>
      </c>
      <c r="T709" s="4" t="str">
        <f>VLOOKUP(D709,Product_Dim!$A:$M,3,FALSE())</f>
        <v>Electronics</v>
      </c>
      <c r="U709" s="11" t="str">
        <f>VLOOKUP(D709,Product_Dim!$A:$M,2,FALSE())</f>
        <v>HDMI Cable – 2m</v>
      </c>
      <c r="V709" s="11" t="str">
        <f>VLOOKUP(E709,Store_Dim!$A:$E,3,FALSE())</f>
        <v>East</v>
      </c>
      <c r="W709" s="11" t="str">
        <f>VLOOKUP(C709,Customer_Dim!$A:$N,13,FALSE())</f>
        <v>Silver</v>
      </c>
      <c r="X709" s="11" t="str">
        <f t="shared" si="83"/>
        <v>High</v>
      </c>
    </row>
    <row r="710" spans="1:24" ht="15.75" customHeight="1">
      <c r="A710" s="4" t="s">
        <v>2706</v>
      </c>
      <c r="B710" s="9">
        <v>45430</v>
      </c>
      <c r="C710" s="4" t="s">
        <v>1066</v>
      </c>
      <c r="D710" s="4" t="s">
        <v>1700</v>
      </c>
      <c r="E710" s="4" t="s">
        <v>1915</v>
      </c>
      <c r="F710" s="4">
        <v>1</v>
      </c>
      <c r="G710" s="4">
        <v>339.7</v>
      </c>
      <c r="H710" s="4">
        <v>0.1</v>
      </c>
      <c r="I710" s="4" t="s">
        <v>1996</v>
      </c>
      <c r="J710" s="10">
        <v>305.73</v>
      </c>
      <c r="K710" s="4" t="str">
        <f t="shared" si="77"/>
        <v>18-05-2024</v>
      </c>
      <c r="L710" s="4" t="str">
        <f>TEXT(Sales_Fact!$B710,"mmm")</f>
        <v>May</v>
      </c>
      <c r="M710" s="4">
        <f t="shared" si="78"/>
        <v>1</v>
      </c>
      <c r="N710" s="10">
        <f t="shared" si="79"/>
        <v>339.7</v>
      </c>
      <c r="O710" s="10">
        <f t="shared" si="80"/>
        <v>305.73</v>
      </c>
      <c r="P710" s="10">
        <f t="shared" si="81"/>
        <v>339.7</v>
      </c>
      <c r="Q710" s="3">
        <f t="shared" si="82"/>
        <v>9.9999999999999922E-2</v>
      </c>
      <c r="R710" s="4" t="str">
        <f>IF(Sales_Fact!$O710&gt;1000,"High","Low")</f>
        <v>Low</v>
      </c>
      <c r="S710" s="4" t="str">
        <f>VLOOKUP(C710,Customer_Dim!$A:$N,9,FALSE())</f>
        <v>Pamela Mcguire</v>
      </c>
      <c r="T710" s="4" t="str">
        <f>VLOOKUP(D710,Product_Dim!$A:$M,3,FALSE())</f>
        <v>Home</v>
      </c>
      <c r="U710" s="11" t="str">
        <f>VLOOKUP(D710,Product_Dim!$A:$M,2,FALSE())</f>
        <v>Modern Wall Clock</v>
      </c>
      <c r="V710" s="11" t="str">
        <f>VLOOKUP(E710,Store_Dim!$A:$E,3,FALSE())</f>
        <v>North</v>
      </c>
      <c r="W710" s="11" t="str">
        <f>VLOOKUP(C710,Customer_Dim!$A:$N,13,FALSE())</f>
        <v>Platinum</v>
      </c>
      <c r="X710" s="11" t="str">
        <f t="shared" si="83"/>
        <v>Low</v>
      </c>
    </row>
    <row r="711" spans="1:24" ht="15.75" customHeight="1">
      <c r="A711" s="4" t="s">
        <v>2707</v>
      </c>
      <c r="B711" s="9">
        <v>45912</v>
      </c>
      <c r="C711" s="4" t="s">
        <v>206</v>
      </c>
      <c r="D711" s="4" t="s">
        <v>1809</v>
      </c>
      <c r="E711" s="4" t="s">
        <v>1955</v>
      </c>
      <c r="F711" s="4">
        <v>4</v>
      </c>
      <c r="G711" s="4">
        <v>463.16</v>
      </c>
      <c r="H711" s="4">
        <v>0.27</v>
      </c>
      <c r="I711" s="4" t="s">
        <v>1998</v>
      </c>
      <c r="J711" s="10">
        <v>1352.4272000000001</v>
      </c>
      <c r="K711" s="4" t="str">
        <f t="shared" si="77"/>
        <v>12-09-2025</v>
      </c>
      <c r="L711" s="4" t="str">
        <f>TEXT(Sales_Fact!$B711,"mmm")</f>
        <v>Sep</v>
      </c>
      <c r="M711" s="4">
        <f t="shared" si="78"/>
        <v>4</v>
      </c>
      <c r="N711" s="10">
        <f t="shared" si="79"/>
        <v>463.16</v>
      </c>
      <c r="O711" s="10">
        <f t="shared" si="80"/>
        <v>1352.4272000000001</v>
      </c>
      <c r="P711" s="10">
        <f t="shared" si="81"/>
        <v>1852.64</v>
      </c>
      <c r="Q711" s="3">
        <f t="shared" si="82"/>
        <v>0.27</v>
      </c>
      <c r="R711" s="4" t="str">
        <f>IF(Sales_Fact!$O711&gt;1000,"High","Low")</f>
        <v>High</v>
      </c>
      <c r="S711" s="4" t="str">
        <f>VLOOKUP(C711,Customer_Dim!$A:$N,9,FALSE())</f>
        <v>April Mullins</v>
      </c>
      <c r="T711" s="4" t="str">
        <f>VLOOKUP(D711,Product_Dim!$A:$M,3,FALSE())</f>
        <v>Home</v>
      </c>
      <c r="U711" s="11" t="str">
        <f>VLOOKUP(D711,Product_Dim!$A:$M,2,FALSE())</f>
        <v>Wooden Nightstand</v>
      </c>
      <c r="V711" s="11" t="str">
        <f>VLOOKUP(E711,Store_Dim!$A:$E,3,FALSE())</f>
        <v>East</v>
      </c>
      <c r="W711" s="11" t="str">
        <f>VLOOKUP(C711,Customer_Dim!$A:$N,13,FALSE())</f>
        <v>Platinum</v>
      </c>
      <c r="X711" s="11" t="str">
        <f t="shared" si="83"/>
        <v>High</v>
      </c>
    </row>
    <row r="712" spans="1:24" ht="15.75" customHeight="1">
      <c r="A712" s="4" t="s">
        <v>2708</v>
      </c>
      <c r="B712" s="9">
        <v>45709</v>
      </c>
      <c r="C712" s="4" t="s">
        <v>399</v>
      </c>
      <c r="D712" s="4" t="s">
        <v>1599</v>
      </c>
      <c r="E712" s="4" t="s">
        <v>1947</v>
      </c>
      <c r="F712" s="4">
        <v>2</v>
      </c>
      <c r="G712" s="4">
        <v>824.91</v>
      </c>
      <c r="H712" s="4">
        <v>0.09</v>
      </c>
      <c r="I712" s="4" t="s">
        <v>1996</v>
      </c>
      <c r="J712" s="10">
        <v>1501.3362</v>
      </c>
      <c r="K712" s="4" t="str">
        <f t="shared" si="77"/>
        <v>21-02-2025</v>
      </c>
      <c r="L712" s="4" t="str">
        <f>TEXT(Sales_Fact!$B712,"mmm")</f>
        <v>Feb</v>
      </c>
      <c r="M712" s="4">
        <f t="shared" si="78"/>
        <v>2</v>
      </c>
      <c r="N712" s="10">
        <f t="shared" si="79"/>
        <v>824.91</v>
      </c>
      <c r="O712" s="10">
        <f t="shared" si="80"/>
        <v>1501.3362</v>
      </c>
      <c r="P712" s="10">
        <f t="shared" si="81"/>
        <v>1649.82</v>
      </c>
      <c r="Q712" s="3">
        <f t="shared" si="82"/>
        <v>8.9999999999999983E-2</v>
      </c>
      <c r="R712" s="4" t="str">
        <f>IF(Sales_Fact!$O712&gt;1000,"High","Low")</f>
        <v>High</v>
      </c>
      <c r="S712" s="4" t="str">
        <f>VLOOKUP(C712,Customer_Dim!$A:$N,9,FALSE())</f>
        <v>Erica Carney</v>
      </c>
      <c r="T712" s="4" t="str">
        <f>VLOOKUP(D712,Product_Dim!$A:$M,3,FALSE())</f>
        <v>Clothing</v>
      </c>
      <c r="U712" s="11" t="str">
        <f>VLOOKUP(D712,Product_Dim!$A:$M,2,FALSE())</f>
        <v>Men's Leather Belt</v>
      </c>
      <c r="V712" s="11" t="str">
        <f>VLOOKUP(E712,Store_Dim!$A:$E,3,FALSE())</f>
        <v>East</v>
      </c>
      <c r="W712" s="11" t="str">
        <f>VLOOKUP(C712,Customer_Dim!$A:$N,13,FALSE())</f>
        <v>Platinum</v>
      </c>
      <c r="X712" s="11" t="str">
        <f t="shared" si="83"/>
        <v>Low</v>
      </c>
    </row>
    <row r="713" spans="1:24" ht="15.75" customHeight="1">
      <c r="A713" s="4" t="s">
        <v>2709</v>
      </c>
      <c r="B713" s="9">
        <v>45520</v>
      </c>
      <c r="C713" s="4" t="s">
        <v>279</v>
      </c>
      <c r="D713" s="4" t="s">
        <v>1599</v>
      </c>
      <c r="E713" s="4" t="s">
        <v>1919</v>
      </c>
      <c r="F713" s="4">
        <v>4</v>
      </c>
      <c r="G713" s="4">
        <v>796.89</v>
      </c>
      <c r="H713" s="4">
        <v>0.17</v>
      </c>
      <c r="I713" s="4" t="s">
        <v>1996</v>
      </c>
      <c r="J713" s="10">
        <v>2645.6747999999998</v>
      </c>
      <c r="K713" s="4" t="str">
        <f t="shared" si="77"/>
        <v>16-08-2024</v>
      </c>
      <c r="L713" s="4" t="str">
        <f>TEXT(Sales_Fact!$B713,"mmm")</f>
        <v>Aug</v>
      </c>
      <c r="M713" s="4">
        <f t="shared" si="78"/>
        <v>4</v>
      </c>
      <c r="N713" s="10">
        <f t="shared" si="79"/>
        <v>796.89</v>
      </c>
      <c r="O713" s="10">
        <f t="shared" si="80"/>
        <v>2645.6747999999998</v>
      </c>
      <c r="P713" s="10">
        <f t="shared" si="81"/>
        <v>3187.56</v>
      </c>
      <c r="Q713" s="3">
        <f t="shared" si="82"/>
        <v>0.17000000000000007</v>
      </c>
      <c r="R713" s="4" t="str">
        <f>IF(Sales_Fact!$O713&gt;1000,"High","Low")</f>
        <v>High</v>
      </c>
      <c r="S713" s="4" t="str">
        <f>VLOOKUP(C713,Customer_Dim!$A:$N,9,FALSE())</f>
        <v>Eric Singh</v>
      </c>
      <c r="T713" s="4" t="str">
        <f>VLOOKUP(D713,Product_Dim!$A:$M,3,FALSE())</f>
        <v>Clothing</v>
      </c>
      <c r="U713" s="11" t="str">
        <f>VLOOKUP(D713,Product_Dim!$A:$M,2,FALSE())</f>
        <v>Men's Leather Belt</v>
      </c>
      <c r="V713" s="11" t="str">
        <f>VLOOKUP(E713,Store_Dim!$A:$E,3,FALSE())</f>
        <v>South</v>
      </c>
      <c r="W713" s="11" t="str">
        <f>VLOOKUP(C713,Customer_Dim!$A:$N,13,FALSE())</f>
        <v>Gold</v>
      </c>
      <c r="X713" s="11" t="str">
        <f t="shared" si="83"/>
        <v>High</v>
      </c>
    </row>
    <row r="714" spans="1:24" ht="15.75" customHeight="1">
      <c r="A714" s="4" t="s">
        <v>2710</v>
      </c>
      <c r="B714" s="9">
        <v>45478</v>
      </c>
      <c r="C714" s="4" t="s">
        <v>798</v>
      </c>
      <c r="D714" s="4" t="s">
        <v>1678</v>
      </c>
      <c r="E714" s="4" t="s">
        <v>1965</v>
      </c>
      <c r="F714" s="4">
        <v>3</v>
      </c>
      <c r="G714" s="4">
        <v>543.92999999999995</v>
      </c>
      <c r="H714" s="4">
        <v>0.3</v>
      </c>
      <c r="I714" s="4" t="s">
        <v>2004</v>
      </c>
      <c r="J714" s="10">
        <v>1142.2529999999999</v>
      </c>
      <c r="K714" s="4" t="str">
        <f t="shared" si="77"/>
        <v>05-07-2024</v>
      </c>
      <c r="L714" s="4" t="str">
        <f>TEXT(Sales_Fact!$B714,"mmm")</f>
        <v>Jul</v>
      </c>
      <c r="M714" s="4">
        <f t="shared" si="78"/>
        <v>3</v>
      </c>
      <c r="N714" s="10">
        <f t="shared" si="79"/>
        <v>543.92999999999995</v>
      </c>
      <c r="O714" s="10">
        <f t="shared" si="80"/>
        <v>1142.2529999999999</v>
      </c>
      <c r="P714" s="10">
        <f t="shared" si="81"/>
        <v>1631.79</v>
      </c>
      <c r="Q714" s="3">
        <f t="shared" si="82"/>
        <v>0.30000000000000004</v>
      </c>
      <c r="R714" s="4" t="str">
        <f>IF(Sales_Fact!$O714&gt;1000,"High","Low")</f>
        <v>High</v>
      </c>
      <c r="S714" s="4" t="str">
        <f>VLOOKUP(C714,Customer_Dim!$A:$N,9,FALSE())</f>
        <v>William Hull</v>
      </c>
      <c r="T714" s="4" t="str">
        <f>VLOOKUP(D714,Product_Dim!$A:$M,3,FALSE())</f>
        <v>Electronics</v>
      </c>
      <c r="U714" s="11" t="str">
        <f>VLOOKUP(D714,Product_Dim!$A:$M,2,FALSE())</f>
        <v>Wireless Bluetooth Speaker</v>
      </c>
      <c r="V714" s="11" t="str">
        <f>VLOOKUP(E714,Store_Dim!$A:$E,3,FALSE())</f>
        <v>North</v>
      </c>
      <c r="W714" s="11" t="str">
        <f>VLOOKUP(C714,Customer_Dim!$A:$N,13,FALSE())</f>
        <v>Platinum</v>
      </c>
      <c r="X714" s="11" t="str">
        <f t="shared" si="83"/>
        <v>Low</v>
      </c>
    </row>
    <row r="715" spans="1:24" ht="15.75" customHeight="1">
      <c r="A715" s="4" t="s">
        <v>2711</v>
      </c>
      <c r="B715" s="9">
        <v>45418</v>
      </c>
      <c r="C715" s="4" t="s">
        <v>906</v>
      </c>
      <c r="D715" s="4" t="s">
        <v>1767</v>
      </c>
      <c r="E715" s="4" t="s">
        <v>1952</v>
      </c>
      <c r="F715" s="4">
        <v>4</v>
      </c>
      <c r="G715" s="4">
        <v>164.04</v>
      </c>
      <c r="H715" s="4">
        <v>0.26</v>
      </c>
      <c r="I715" s="4" t="s">
        <v>1996</v>
      </c>
      <c r="J715" s="10">
        <v>485.55840000000001</v>
      </c>
      <c r="K715" s="4" t="str">
        <f t="shared" si="77"/>
        <v>06-05-2024</v>
      </c>
      <c r="L715" s="4" t="str">
        <f>TEXT(Sales_Fact!$B715,"mmm")</f>
        <v>May</v>
      </c>
      <c r="M715" s="4">
        <f t="shared" si="78"/>
        <v>4</v>
      </c>
      <c r="N715" s="10">
        <f t="shared" si="79"/>
        <v>164.04</v>
      </c>
      <c r="O715" s="10">
        <f t="shared" si="80"/>
        <v>485.55839999999995</v>
      </c>
      <c r="P715" s="10">
        <f t="shared" si="81"/>
        <v>656.16</v>
      </c>
      <c r="Q715" s="3">
        <f t="shared" si="82"/>
        <v>0.26000000000000006</v>
      </c>
      <c r="R715" s="4" t="str">
        <f>IF(Sales_Fact!$O715&gt;1000,"High","Low")</f>
        <v>Low</v>
      </c>
      <c r="S715" s="4" t="str">
        <f>VLOOKUP(C715,Customer_Dim!$A:$N,9,FALSE())</f>
        <v>Arthur Warren</v>
      </c>
      <c r="T715" s="4" t="str">
        <f>VLOOKUP(D715,Product_Dim!$A:$M,3,FALSE())</f>
        <v>Sports</v>
      </c>
      <c r="U715" s="11" t="str">
        <f>VLOOKUP(D715,Product_Dim!$A:$M,2,FALSE())</f>
        <v>Sports Stopwatch Pro</v>
      </c>
      <c r="V715" s="11" t="str">
        <f>VLOOKUP(E715,Store_Dim!$A:$E,3,FALSE())</f>
        <v>North</v>
      </c>
      <c r="W715" s="11" t="str">
        <f>VLOOKUP(C715,Customer_Dim!$A:$N,13,FALSE())</f>
        <v>Gold</v>
      </c>
      <c r="X715" s="11" t="str">
        <f t="shared" si="83"/>
        <v>High</v>
      </c>
    </row>
    <row r="716" spans="1:24" ht="15.75" customHeight="1">
      <c r="A716" s="4" t="s">
        <v>2712</v>
      </c>
      <c r="B716" s="9">
        <v>45496</v>
      </c>
      <c r="C716" s="4" t="s">
        <v>598</v>
      </c>
      <c r="D716" s="4" t="s">
        <v>1636</v>
      </c>
      <c r="E716" s="4" t="s">
        <v>1937</v>
      </c>
      <c r="F716" s="4">
        <v>2</v>
      </c>
      <c r="G716" s="4">
        <v>44.65</v>
      </c>
      <c r="H716" s="4">
        <v>0.03</v>
      </c>
      <c r="I716" s="4" t="s">
        <v>1998</v>
      </c>
      <c r="J716" s="10">
        <v>86.620999999999995</v>
      </c>
      <c r="K716" s="4" t="str">
        <f t="shared" si="77"/>
        <v>23-07-2024</v>
      </c>
      <c r="L716" s="4" t="str">
        <f>TEXT(Sales_Fact!$B716,"mmm")</f>
        <v>Jul</v>
      </c>
      <c r="M716" s="4">
        <f t="shared" si="78"/>
        <v>2</v>
      </c>
      <c r="N716" s="10">
        <f t="shared" si="79"/>
        <v>44.65</v>
      </c>
      <c r="O716" s="10">
        <f t="shared" si="80"/>
        <v>86.620999999999995</v>
      </c>
      <c r="P716" s="10">
        <f t="shared" si="81"/>
        <v>89.3</v>
      </c>
      <c r="Q716" s="3">
        <f t="shared" si="82"/>
        <v>3.0000000000000023E-2</v>
      </c>
      <c r="R716" s="4" t="str">
        <f>IF(Sales_Fact!$O716&gt;1000,"High","Low")</f>
        <v>Low</v>
      </c>
      <c r="S716" s="4" t="str">
        <f>VLOOKUP(C716,Customer_Dim!$A:$N,9,FALSE())</f>
        <v>Teresa Stokes</v>
      </c>
      <c r="T716" s="4" t="str">
        <f>VLOOKUP(D716,Product_Dim!$A:$M,3,FALSE())</f>
        <v>Home</v>
      </c>
      <c r="U716" s="11" t="str">
        <f>VLOOKUP(D716,Product_Dim!$A:$M,2,FALSE())</f>
        <v>Decorative Wall Mirror</v>
      </c>
      <c r="V716" s="11" t="str">
        <f>VLOOKUP(E716,Store_Dim!$A:$E,3,FALSE())</f>
        <v>South</v>
      </c>
      <c r="W716" s="11" t="str">
        <f>VLOOKUP(C716,Customer_Dim!$A:$N,13,FALSE())</f>
        <v>Platinum</v>
      </c>
      <c r="X716" s="11" t="str">
        <f t="shared" si="83"/>
        <v>Low</v>
      </c>
    </row>
    <row r="717" spans="1:24" ht="15.75" customHeight="1">
      <c r="A717" s="4" t="s">
        <v>2713</v>
      </c>
      <c r="B717" s="9">
        <v>45742</v>
      </c>
      <c r="C717" s="4" t="s">
        <v>828</v>
      </c>
      <c r="D717" s="4" t="s">
        <v>1773</v>
      </c>
      <c r="E717" s="4" t="s">
        <v>1910</v>
      </c>
      <c r="F717" s="4">
        <v>4</v>
      </c>
      <c r="G717" s="4">
        <v>827.39</v>
      </c>
      <c r="H717" s="4">
        <v>0.06</v>
      </c>
      <c r="I717" s="4" t="s">
        <v>2004</v>
      </c>
      <c r="J717" s="10">
        <v>3110.9863999999998</v>
      </c>
      <c r="K717" s="4" t="str">
        <f t="shared" si="77"/>
        <v>26-03-2025</v>
      </c>
      <c r="L717" s="4" t="str">
        <f>TEXT(Sales_Fact!$B717,"mmm")</f>
        <v>Mar</v>
      </c>
      <c r="M717" s="4">
        <f t="shared" si="78"/>
        <v>4</v>
      </c>
      <c r="N717" s="10">
        <f t="shared" si="79"/>
        <v>827.39</v>
      </c>
      <c r="O717" s="10">
        <f t="shared" si="80"/>
        <v>3110.9863999999998</v>
      </c>
      <c r="P717" s="10">
        <f t="shared" si="81"/>
        <v>3309.56</v>
      </c>
      <c r="Q717" s="3">
        <f t="shared" si="82"/>
        <v>6.0000000000000053E-2</v>
      </c>
      <c r="R717" s="4" t="str">
        <f>IF(Sales_Fact!$O717&gt;1000,"High","Low")</f>
        <v>High</v>
      </c>
      <c r="S717" s="4" t="str">
        <f>VLOOKUP(C717,Customer_Dim!$A:$N,9,FALSE())</f>
        <v>Veronica Newman</v>
      </c>
      <c r="T717" s="4" t="str">
        <f>VLOOKUP(D717,Product_Dim!$A:$M,3,FALSE())</f>
        <v>Home</v>
      </c>
      <c r="U717" s="11" t="str">
        <f>VLOOKUP(D717,Product_Dim!$A:$M,2,FALSE())</f>
        <v>Premium Blanket Throw</v>
      </c>
      <c r="V717" s="11" t="str">
        <f>VLOOKUP(E717,Store_Dim!$A:$E,3,FALSE())</f>
        <v>East</v>
      </c>
      <c r="W717" s="11" t="str">
        <f>VLOOKUP(C717,Customer_Dim!$A:$N,13,FALSE())</f>
        <v>Platinum</v>
      </c>
      <c r="X717" s="11" t="str">
        <f t="shared" si="83"/>
        <v>High</v>
      </c>
    </row>
    <row r="718" spans="1:24" ht="15.75" customHeight="1">
      <c r="A718" s="4" t="s">
        <v>2714</v>
      </c>
      <c r="B718" s="9">
        <v>45301</v>
      </c>
      <c r="C718" s="4" t="s">
        <v>1000</v>
      </c>
      <c r="D718" s="4" t="s">
        <v>1636</v>
      </c>
      <c r="E718" s="4" t="s">
        <v>1952</v>
      </c>
      <c r="F718" s="4">
        <v>2</v>
      </c>
      <c r="G718" s="4">
        <v>403.2</v>
      </c>
      <c r="H718" s="4">
        <v>0.21</v>
      </c>
      <c r="I718" s="4" t="s">
        <v>1998</v>
      </c>
      <c r="J718" s="10">
        <v>637.05600000000004</v>
      </c>
      <c r="K718" s="4" t="str">
        <f t="shared" si="77"/>
        <v>10-01-2024</v>
      </c>
      <c r="L718" s="4" t="str">
        <f>TEXT(Sales_Fact!$B718,"mmm")</f>
        <v>Jan</v>
      </c>
      <c r="M718" s="4">
        <f t="shared" si="78"/>
        <v>2</v>
      </c>
      <c r="N718" s="10">
        <f t="shared" si="79"/>
        <v>403.2</v>
      </c>
      <c r="O718" s="10">
        <f t="shared" si="80"/>
        <v>637.05600000000004</v>
      </c>
      <c r="P718" s="10">
        <f t="shared" si="81"/>
        <v>806.4</v>
      </c>
      <c r="Q718" s="3">
        <f t="shared" si="82"/>
        <v>0.20999999999999994</v>
      </c>
      <c r="R718" s="4" t="str">
        <f>IF(Sales_Fact!$O718&gt;1000,"High","Low")</f>
        <v>Low</v>
      </c>
      <c r="S718" s="4" t="str">
        <f>VLOOKUP(C718,Customer_Dim!$A:$N,9,FALSE())</f>
        <v>Jennifer Zamora</v>
      </c>
      <c r="T718" s="4" t="str">
        <f>VLOOKUP(D718,Product_Dim!$A:$M,3,FALSE())</f>
        <v>Home</v>
      </c>
      <c r="U718" s="11" t="str">
        <f>VLOOKUP(D718,Product_Dim!$A:$M,2,FALSE())</f>
        <v>Decorative Wall Mirror</v>
      </c>
      <c r="V718" s="11" t="str">
        <f>VLOOKUP(E718,Store_Dim!$A:$E,3,FALSE())</f>
        <v>North</v>
      </c>
      <c r="W718" s="11" t="str">
        <f>VLOOKUP(C718,Customer_Dim!$A:$N,13,FALSE())</f>
        <v>Gold</v>
      </c>
      <c r="X718" s="11" t="str">
        <f t="shared" si="83"/>
        <v>Low</v>
      </c>
    </row>
    <row r="719" spans="1:24" ht="15.75" customHeight="1">
      <c r="A719" s="4" t="s">
        <v>2715</v>
      </c>
      <c r="B719" s="9">
        <v>45547</v>
      </c>
      <c r="C719" s="4" t="s">
        <v>98</v>
      </c>
      <c r="D719" s="4" t="s">
        <v>1864</v>
      </c>
      <c r="E719" s="4" t="s">
        <v>1955</v>
      </c>
      <c r="F719" s="4">
        <v>4</v>
      </c>
      <c r="G719" s="4">
        <v>292.31</v>
      </c>
      <c r="H719" s="4">
        <v>0.27</v>
      </c>
      <c r="I719" s="4" t="s">
        <v>1998</v>
      </c>
      <c r="J719" s="10">
        <v>853.54520000000002</v>
      </c>
      <c r="K719" s="4" t="str">
        <f t="shared" si="77"/>
        <v>12-09-2024</v>
      </c>
      <c r="L719" s="4" t="str">
        <f>TEXT(Sales_Fact!$B719,"mmm")</f>
        <v>Sep</v>
      </c>
      <c r="M719" s="4">
        <f t="shared" si="78"/>
        <v>4</v>
      </c>
      <c r="N719" s="10">
        <f t="shared" si="79"/>
        <v>292.31</v>
      </c>
      <c r="O719" s="10">
        <f t="shared" si="80"/>
        <v>853.54520000000002</v>
      </c>
      <c r="P719" s="10">
        <f t="shared" si="81"/>
        <v>1169.24</v>
      </c>
      <c r="Q719" s="3">
        <f t="shared" si="82"/>
        <v>0.26999999999999996</v>
      </c>
      <c r="R719" s="4" t="str">
        <f>IF(Sales_Fact!$O719&gt;1000,"High","Low")</f>
        <v>Low</v>
      </c>
      <c r="S719" s="4" t="str">
        <f>VLOOKUP(C719,Customer_Dim!$A:$N,9,FALSE())</f>
        <v>Adam Cruz</v>
      </c>
      <c r="T719" s="4" t="str">
        <f>VLOOKUP(D719,Product_Dim!$A:$M,3,FALSE())</f>
        <v>Home</v>
      </c>
      <c r="U719" s="11" t="str">
        <f>VLOOKUP(D719,Product_Dim!$A:$M,2,FALSE())</f>
        <v>Kitchen Cutting Board</v>
      </c>
      <c r="V719" s="11" t="str">
        <f>VLOOKUP(E719,Store_Dim!$A:$E,3,FALSE())</f>
        <v>East</v>
      </c>
      <c r="W719" s="11" t="str">
        <f>VLOOKUP(C719,Customer_Dim!$A:$N,13,FALSE())</f>
        <v>Platinum</v>
      </c>
      <c r="X719" s="11" t="str">
        <f t="shared" si="83"/>
        <v>High</v>
      </c>
    </row>
    <row r="720" spans="1:24" ht="15.75" customHeight="1">
      <c r="A720" s="4" t="s">
        <v>2716</v>
      </c>
      <c r="B720" s="9">
        <v>45806</v>
      </c>
      <c r="C720" s="4" t="s">
        <v>1542</v>
      </c>
      <c r="D720" s="4" t="s">
        <v>1588</v>
      </c>
      <c r="E720" s="4" t="s">
        <v>1947</v>
      </c>
      <c r="F720" s="4">
        <v>1</v>
      </c>
      <c r="G720" s="4">
        <v>948.33</v>
      </c>
      <c r="H720" s="4">
        <v>0.11</v>
      </c>
      <c r="I720" s="4" t="s">
        <v>1996</v>
      </c>
      <c r="J720" s="10">
        <v>844.01369999999997</v>
      </c>
      <c r="K720" s="4" t="str">
        <f t="shared" si="77"/>
        <v>29-05-2025</v>
      </c>
      <c r="L720" s="4" t="str">
        <f>TEXT(Sales_Fact!$B720,"mmm")</f>
        <v>May</v>
      </c>
      <c r="M720" s="4">
        <f t="shared" si="78"/>
        <v>1</v>
      </c>
      <c r="N720" s="10">
        <f t="shared" si="79"/>
        <v>948.33</v>
      </c>
      <c r="O720" s="10">
        <f t="shared" si="80"/>
        <v>844.01370000000009</v>
      </c>
      <c r="P720" s="10">
        <f t="shared" si="81"/>
        <v>948.33</v>
      </c>
      <c r="Q720" s="3">
        <f t="shared" si="82"/>
        <v>0.10999999999999995</v>
      </c>
      <c r="R720" s="4" t="str">
        <f>IF(Sales_Fact!$O720&gt;1000,"High","Low")</f>
        <v>Low</v>
      </c>
      <c r="S720" s="4" t="str">
        <f>VLOOKUP(C720,Customer_Dim!$A:$N,9,FALSE())</f>
        <v>Darrell Miller</v>
      </c>
      <c r="T720" s="4" t="str">
        <f>VLOOKUP(D720,Product_Dim!$A:$M,3,FALSE())</f>
        <v>Clothing</v>
      </c>
      <c r="U720" s="11" t="str">
        <f>VLOOKUP(D720,Product_Dim!$A:$M,2,FALSE())</f>
        <v>Women's Casual Hoodie</v>
      </c>
      <c r="V720" s="11" t="str">
        <f>VLOOKUP(E720,Store_Dim!$A:$E,3,FALSE())</f>
        <v>East</v>
      </c>
      <c r="W720" s="11" t="str">
        <f>VLOOKUP(C720,Customer_Dim!$A:$N,13,FALSE())</f>
        <v>Platinum</v>
      </c>
      <c r="X720" s="11" t="str">
        <f t="shared" si="83"/>
        <v>Low</v>
      </c>
    </row>
    <row r="721" spans="1:24" ht="15.75" customHeight="1">
      <c r="A721" s="4" t="s">
        <v>2717</v>
      </c>
      <c r="B721" s="9">
        <v>45294</v>
      </c>
      <c r="C721" s="4" t="s">
        <v>1105</v>
      </c>
      <c r="D721" s="4" t="s">
        <v>1719</v>
      </c>
      <c r="E721" s="4" t="s">
        <v>1931</v>
      </c>
      <c r="F721" s="4">
        <v>1</v>
      </c>
      <c r="G721" s="4">
        <v>702.27</v>
      </c>
      <c r="H721" s="4">
        <v>0.17</v>
      </c>
      <c r="I721" s="4" t="s">
        <v>2004</v>
      </c>
      <c r="J721" s="10">
        <v>582.88409999999999</v>
      </c>
      <c r="K721" s="4" t="str">
        <f t="shared" si="77"/>
        <v>03-01-2024</v>
      </c>
      <c r="L721" s="4" t="str">
        <f>TEXT(Sales_Fact!$B721,"mmm")</f>
        <v>Jan</v>
      </c>
      <c r="M721" s="4">
        <f t="shared" si="78"/>
        <v>1</v>
      </c>
      <c r="N721" s="10">
        <f t="shared" si="79"/>
        <v>702.27</v>
      </c>
      <c r="O721" s="10">
        <f t="shared" si="80"/>
        <v>582.88409999999999</v>
      </c>
      <c r="P721" s="10">
        <f t="shared" si="81"/>
        <v>702.27</v>
      </c>
      <c r="Q721" s="3">
        <f t="shared" si="82"/>
        <v>0.16999999999999998</v>
      </c>
      <c r="R721" s="4" t="str">
        <f>IF(Sales_Fact!$O721&gt;1000,"High","Low")</f>
        <v>Low</v>
      </c>
      <c r="S721" s="4" t="str">
        <f>VLOOKUP(C721,Customer_Dim!$A:$N,9,FALSE())</f>
        <v>Ryan Moore</v>
      </c>
      <c r="T721" s="4" t="str">
        <f>VLOOKUP(D721,Product_Dim!$A:$M,3,FALSE())</f>
        <v>Electronics</v>
      </c>
      <c r="U721" s="11" t="str">
        <f>VLOOKUP(D721,Product_Dim!$A:$M,2,FALSE())</f>
        <v>Portable Power Bank</v>
      </c>
      <c r="V721" s="11" t="str">
        <f>VLOOKUP(E721,Store_Dim!$A:$E,3,FALSE())</f>
        <v>North</v>
      </c>
      <c r="W721" s="11" t="str">
        <f>VLOOKUP(C721,Customer_Dim!$A:$N,13,FALSE())</f>
        <v>Bronze</v>
      </c>
      <c r="X721" s="11" t="str">
        <f t="shared" si="83"/>
        <v>Low</v>
      </c>
    </row>
    <row r="722" spans="1:24" ht="15.75" customHeight="1">
      <c r="A722" s="4" t="s">
        <v>2718</v>
      </c>
      <c r="B722" s="9">
        <v>45875</v>
      </c>
      <c r="C722" s="4" t="s">
        <v>181</v>
      </c>
      <c r="D722" s="4" t="s">
        <v>1690</v>
      </c>
      <c r="E722" s="4" t="s">
        <v>1924</v>
      </c>
      <c r="F722" s="4">
        <v>2</v>
      </c>
      <c r="G722" s="4">
        <v>379.28</v>
      </c>
      <c r="H722" s="4">
        <v>0.26</v>
      </c>
      <c r="I722" s="4" t="s">
        <v>1996</v>
      </c>
      <c r="J722" s="10">
        <v>561.33439999999996</v>
      </c>
      <c r="K722" s="4" t="str">
        <f t="shared" si="77"/>
        <v>06-08-2025</v>
      </c>
      <c r="L722" s="4" t="str">
        <f>TEXT(Sales_Fact!$B722,"mmm")</f>
        <v>Aug</v>
      </c>
      <c r="M722" s="4">
        <f t="shared" si="78"/>
        <v>2</v>
      </c>
      <c r="N722" s="10">
        <f t="shared" si="79"/>
        <v>379.28</v>
      </c>
      <c r="O722" s="10">
        <f t="shared" si="80"/>
        <v>561.33439999999996</v>
      </c>
      <c r="P722" s="10">
        <f t="shared" si="81"/>
        <v>758.56</v>
      </c>
      <c r="Q722" s="3">
        <f t="shared" si="82"/>
        <v>0.26</v>
      </c>
      <c r="R722" s="4" t="str">
        <f>IF(Sales_Fact!$O722&gt;1000,"High","Low")</f>
        <v>Low</v>
      </c>
      <c r="S722" s="4" t="str">
        <f>VLOOKUP(C722,Customer_Dim!$A:$N,9,FALSE())</f>
        <v>James Gibbs</v>
      </c>
      <c r="T722" s="4" t="str">
        <f>VLOOKUP(D722,Product_Dim!$A:$M,3,FALSE())</f>
        <v>Home</v>
      </c>
      <c r="U722" s="11" t="str">
        <f>VLOOKUP(D722,Product_Dim!$A:$M,2,FALSE())</f>
        <v>Stainless Steel Cutlery Set</v>
      </c>
      <c r="V722" s="11" t="str">
        <f>VLOOKUP(E722,Store_Dim!$A:$E,3,FALSE())</f>
        <v>North</v>
      </c>
      <c r="W722" s="11" t="str">
        <f>VLOOKUP(C722,Customer_Dim!$A:$N,13,FALSE())</f>
        <v>Platinum</v>
      </c>
      <c r="X722" s="11" t="str">
        <f t="shared" si="83"/>
        <v>Low</v>
      </c>
    </row>
    <row r="723" spans="1:24" ht="15.75" customHeight="1">
      <c r="A723" s="4" t="s">
        <v>2719</v>
      </c>
      <c r="B723" s="9">
        <v>45669</v>
      </c>
      <c r="C723" s="4" t="s">
        <v>476</v>
      </c>
      <c r="D723" s="4" t="s">
        <v>1744</v>
      </c>
      <c r="E723" s="4" t="s">
        <v>1910</v>
      </c>
      <c r="F723" s="4">
        <v>4</v>
      </c>
      <c r="G723" s="4">
        <v>92.35</v>
      </c>
      <c r="H723" s="4">
        <v>0.15</v>
      </c>
      <c r="I723" s="4" t="s">
        <v>1996</v>
      </c>
      <c r="J723" s="10">
        <v>313.99</v>
      </c>
      <c r="K723" s="4" t="str">
        <f t="shared" si="77"/>
        <v>12-01-2025</v>
      </c>
      <c r="L723" s="4" t="str">
        <f>TEXT(Sales_Fact!$B723,"mmm")</f>
        <v>Jan</v>
      </c>
      <c r="M723" s="4">
        <f t="shared" si="78"/>
        <v>4</v>
      </c>
      <c r="N723" s="10">
        <f t="shared" si="79"/>
        <v>92.35</v>
      </c>
      <c r="O723" s="10">
        <f t="shared" si="80"/>
        <v>313.98999999999995</v>
      </c>
      <c r="P723" s="10">
        <f t="shared" si="81"/>
        <v>369.4</v>
      </c>
      <c r="Q723" s="3">
        <f t="shared" si="82"/>
        <v>0.15000000000000008</v>
      </c>
      <c r="R723" s="4" t="str">
        <f>IF(Sales_Fact!$O723&gt;1000,"High","Low")</f>
        <v>Low</v>
      </c>
      <c r="S723" s="4" t="str">
        <f>VLOOKUP(C723,Customer_Dim!$A:$N,9,FALSE())</f>
        <v>Miguel Reynolds</v>
      </c>
      <c r="T723" s="4" t="str">
        <f>VLOOKUP(D723,Product_Dim!$A:$M,3,FALSE())</f>
        <v>Beauty</v>
      </c>
      <c r="U723" s="11" t="str">
        <f>VLOOKUP(D723,Product_Dim!$A:$M,2,FALSE())</f>
        <v>Makeup Brush Set</v>
      </c>
      <c r="V723" s="11" t="str">
        <f>VLOOKUP(E723,Store_Dim!$A:$E,3,FALSE())</f>
        <v>East</v>
      </c>
      <c r="W723" s="11" t="str">
        <f>VLOOKUP(C723,Customer_Dim!$A:$N,13,FALSE())</f>
        <v>Gold</v>
      </c>
      <c r="X723" s="11" t="str">
        <f t="shared" si="83"/>
        <v>High</v>
      </c>
    </row>
    <row r="724" spans="1:24" ht="15.75" customHeight="1">
      <c r="A724" s="4" t="s">
        <v>2720</v>
      </c>
      <c r="B724" s="9">
        <v>45606</v>
      </c>
      <c r="C724" s="4" t="s">
        <v>736</v>
      </c>
      <c r="D724" s="4" t="s">
        <v>1719</v>
      </c>
      <c r="E724" s="4" t="s">
        <v>1952</v>
      </c>
      <c r="F724" s="4">
        <v>4</v>
      </c>
      <c r="G724" s="4">
        <v>721.54</v>
      </c>
      <c r="H724" s="4">
        <v>0.21</v>
      </c>
      <c r="I724" s="4" t="s">
        <v>1996</v>
      </c>
      <c r="J724" s="10">
        <v>2280.0664000000002</v>
      </c>
      <c r="K724" s="4" t="str">
        <f t="shared" si="77"/>
        <v>10-11-2024</v>
      </c>
      <c r="L724" s="4" t="str">
        <f>TEXT(Sales_Fact!$B724,"mmm")</f>
        <v>Nov</v>
      </c>
      <c r="M724" s="4">
        <f t="shared" si="78"/>
        <v>4</v>
      </c>
      <c r="N724" s="10">
        <f t="shared" si="79"/>
        <v>721.54</v>
      </c>
      <c r="O724" s="10">
        <f t="shared" si="80"/>
        <v>2280.0664000000002</v>
      </c>
      <c r="P724" s="10">
        <f t="shared" si="81"/>
        <v>2886.16</v>
      </c>
      <c r="Q724" s="3">
        <f t="shared" si="82"/>
        <v>0.20999999999999991</v>
      </c>
      <c r="R724" s="4" t="str">
        <f>IF(Sales_Fact!$O724&gt;1000,"High","Low")</f>
        <v>High</v>
      </c>
      <c r="S724" s="4" t="str">
        <f>VLOOKUP(C724,Customer_Dim!$A:$N,9,FALSE())</f>
        <v>Jordan Wells</v>
      </c>
      <c r="T724" s="4" t="str">
        <f>VLOOKUP(D724,Product_Dim!$A:$M,3,FALSE())</f>
        <v>Electronics</v>
      </c>
      <c r="U724" s="11" t="str">
        <f>VLOOKUP(D724,Product_Dim!$A:$M,2,FALSE())</f>
        <v>Portable Power Bank</v>
      </c>
      <c r="V724" s="11" t="str">
        <f>VLOOKUP(E724,Store_Dim!$A:$E,3,FALSE())</f>
        <v>North</v>
      </c>
      <c r="W724" s="11" t="str">
        <f>VLOOKUP(C724,Customer_Dim!$A:$N,13,FALSE())</f>
        <v>Gold</v>
      </c>
      <c r="X724" s="11" t="str">
        <f t="shared" si="83"/>
        <v>High</v>
      </c>
    </row>
    <row r="725" spans="1:24" ht="15.75" customHeight="1">
      <c r="A725" s="4" t="s">
        <v>2721</v>
      </c>
      <c r="B725" s="9">
        <v>45787</v>
      </c>
      <c r="C725" s="4" t="s">
        <v>223</v>
      </c>
      <c r="D725" s="4" t="s">
        <v>1716</v>
      </c>
      <c r="E725" s="4" t="s">
        <v>1944</v>
      </c>
      <c r="F725" s="4">
        <v>1</v>
      </c>
      <c r="G725" s="4">
        <v>228.69</v>
      </c>
      <c r="H725" s="4">
        <v>0.14000000000000001</v>
      </c>
      <c r="I725" s="4" t="s">
        <v>1996</v>
      </c>
      <c r="J725" s="10">
        <v>196.67339999999999</v>
      </c>
      <c r="K725" s="4" t="str">
        <f t="shared" si="77"/>
        <v>10-05-2025</v>
      </c>
      <c r="L725" s="4" t="str">
        <f>TEXT(Sales_Fact!$B725,"mmm")</f>
        <v>May</v>
      </c>
      <c r="M725" s="4">
        <f t="shared" si="78"/>
        <v>1</v>
      </c>
      <c r="N725" s="10">
        <f t="shared" si="79"/>
        <v>228.69</v>
      </c>
      <c r="O725" s="10">
        <f t="shared" si="80"/>
        <v>196.67339999999999</v>
      </c>
      <c r="P725" s="10">
        <f t="shared" si="81"/>
        <v>228.69</v>
      </c>
      <c r="Q725" s="3">
        <f t="shared" si="82"/>
        <v>0.14000000000000004</v>
      </c>
      <c r="R725" s="4" t="str">
        <f>IF(Sales_Fact!$O725&gt;1000,"High","Low")</f>
        <v>Low</v>
      </c>
      <c r="S725" s="4" t="str">
        <f>VLOOKUP(C725,Customer_Dim!$A:$N,9,FALSE())</f>
        <v>Sharon Brown</v>
      </c>
      <c r="T725" s="4" t="str">
        <f>VLOOKUP(D725,Product_Dim!$A:$M,3,FALSE())</f>
        <v>Sports</v>
      </c>
      <c r="U725" s="11" t="str">
        <f>VLOOKUP(D725,Product_Dim!$A:$M,2,FALSE())</f>
        <v>Sports Water Hydration Pack</v>
      </c>
      <c r="V725" s="11" t="str">
        <f>VLOOKUP(E725,Store_Dim!$A:$E,3,FALSE())</f>
        <v>South</v>
      </c>
      <c r="W725" s="11" t="str">
        <f>VLOOKUP(C725,Customer_Dim!$A:$N,13,FALSE())</f>
        <v>Gold</v>
      </c>
      <c r="X725" s="11" t="str">
        <f t="shared" si="83"/>
        <v>Low</v>
      </c>
    </row>
    <row r="726" spans="1:24" ht="15.75" customHeight="1">
      <c r="A726" s="4" t="s">
        <v>2722</v>
      </c>
      <c r="B726" s="9">
        <v>45508</v>
      </c>
      <c r="C726" s="4" t="s">
        <v>289</v>
      </c>
      <c r="D726" s="4" t="s">
        <v>1622</v>
      </c>
      <c r="E726" s="4" t="s">
        <v>1965</v>
      </c>
      <c r="F726" s="4">
        <v>3</v>
      </c>
      <c r="G726" s="4">
        <v>707.95</v>
      </c>
      <c r="H726" s="4">
        <v>0.18</v>
      </c>
      <c r="I726" s="4" t="s">
        <v>1998</v>
      </c>
      <c r="J726" s="10">
        <v>1741.557</v>
      </c>
      <c r="K726" s="4" t="str">
        <f t="shared" si="77"/>
        <v>04-08-2024</v>
      </c>
      <c r="L726" s="4" t="str">
        <f>TEXT(Sales_Fact!$B726,"mmm")</f>
        <v>Aug</v>
      </c>
      <c r="M726" s="4">
        <f t="shared" si="78"/>
        <v>3</v>
      </c>
      <c r="N726" s="10">
        <f t="shared" si="79"/>
        <v>707.95</v>
      </c>
      <c r="O726" s="10">
        <f t="shared" si="80"/>
        <v>1741.5570000000005</v>
      </c>
      <c r="P726" s="10">
        <f t="shared" si="81"/>
        <v>2123.8500000000004</v>
      </c>
      <c r="Q726" s="3">
        <f t="shared" si="82"/>
        <v>0.17999999999999991</v>
      </c>
      <c r="R726" s="4" t="str">
        <f>IF(Sales_Fact!$O726&gt;1000,"High","Low")</f>
        <v>High</v>
      </c>
      <c r="S726" s="4" t="str">
        <f>VLOOKUP(C726,Customer_Dim!$A:$N,9,FALSE())</f>
        <v>Christopher Brown</v>
      </c>
      <c r="T726" s="4" t="str">
        <f>VLOOKUP(D726,Product_Dim!$A:$M,3,FALSE())</f>
        <v>Home</v>
      </c>
      <c r="U726" s="11" t="str">
        <f>VLOOKUP(D726,Product_Dim!$A:$M,2,FALSE())</f>
        <v>Ceramic Kitchen Bowl Set</v>
      </c>
      <c r="V726" s="11" t="str">
        <f>VLOOKUP(E726,Store_Dim!$A:$E,3,FALSE())</f>
        <v>North</v>
      </c>
      <c r="W726" s="11" t="str">
        <f>VLOOKUP(C726,Customer_Dim!$A:$N,13,FALSE())</f>
        <v>Silver</v>
      </c>
      <c r="X726" s="11" t="str">
        <f t="shared" si="83"/>
        <v>Low</v>
      </c>
    </row>
    <row r="727" spans="1:24" ht="15.75" customHeight="1">
      <c r="A727" s="4" t="s">
        <v>2723</v>
      </c>
      <c r="B727" s="9">
        <v>45929</v>
      </c>
      <c r="C727" s="4" t="s">
        <v>1141</v>
      </c>
      <c r="D727" s="4" t="s">
        <v>1764</v>
      </c>
      <c r="E727" s="4" t="s">
        <v>1947</v>
      </c>
      <c r="F727" s="4">
        <v>1</v>
      </c>
      <c r="G727" s="4">
        <v>899.09</v>
      </c>
      <c r="H727" s="4">
        <v>0.2</v>
      </c>
      <c r="I727" s="4" t="s">
        <v>1998</v>
      </c>
      <c r="J727" s="10">
        <v>719.27200000000005</v>
      </c>
      <c r="K727" s="4" t="str">
        <f t="shared" si="77"/>
        <v>29-09-2025</v>
      </c>
      <c r="L727" s="4" t="str">
        <f>TEXT(Sales_Fact!$B727,"mmm")</f>
        <v>Sep</v>
      </c>
      <c r="M727" s="4">
        <f t="shared" si="78"/>
        <v>1</v>
      </c>
      <c r="N727" s="10">
        <f t="shared" si="79"/>
        <v>899.09</v>
      </c>
      <c r="O727" s="10">
        <f t="shared" si="80"/>
        <v>719.27200000000005</v>
      </c>
      <c r="P727" s="10">
        <f t="shared" si="81"/>
        <v>899.09</v>
      </c>
      <c r="Q727" s="3">
        <f t="shared" si="82"/>
        <v>0.19999999999999998</v>
      </c>
      <c r="R727" s="4" t="str">
        <f>IF(Sales_Fact!$O727&gt;1000,"High","Low")</f>
        <v>Low</v>
      </c>
      <c r="S727" s="4" t="str">
        <f>VLOOKUP(C727,Customer_Dim!$A:$N,9,FALSE())</f>
        <v>Carlos Flores</v>
      </c>
      <c r="T727" s="4" t="str">
        <f>VLOOKUP(D727,Product_Dim!$A:$M,3,FALSE())</f>
        <v>Clothing</v>
      </c>
      <c r="U727" s="11" t="str">
        <f>VLOOKUP(D727,Product_Dim!$A:$M,2,FALSE())</f>
        <v>Men's Track Pants</v>
      </c>
      <c r="V727" s="11" t="str">
        <f>VLOOKUP(E727,Store_Dim!$A:$E,3,FALSE())</f>
        <v>East</v>
      </c>
      <c r="W727" s="11" t="str">
        <f>VLOOKUP(C727,Customer_Dim!$A:$N,13,FALSE())</f>
        <v>Gold</v>
      </c>
      <c r="X727" s="11" t="str">
        <f t="shared" si="83"/>
        <v>Low</v>
      </c>
    </row>
    <row r="728" spans="1:24" ht="15.75" customHeight="1">
      <c r="A728" s="4" t="s">
        <v>2724</v>
      </c>
      <c r="B728" s="9">
        <v>45379</v>
      </c>
      <c r="C728" s="4" t="s">
        <v>1228</v>
      </c>
      <c r="D728" s="4" t="s">
        <v>1613</v>
      </c>
      <c r="E728" s="4" t="s">
        <v>1940</v>
      </c>
      <c r="F728" s="4">
        <v>4</v>
      </c>
      <c r="G728" s="4">
        <v>195.75</v>
      </c>
      <c r="H728" s="4">
        <v>0.17</v>
      </c>
      <c r="I728" s="4" t="s">
        <v>1996</v>
      </c>
      <c r="J728" s="10">
        <v>649.89</v>
      </c>
      <c r="K728" s="4" t="str">
        <f t="shared" si="77"/>
        <v>28-03-2024</v>
      </c>
      <c r="L728" s="4" t="str">
        <f>TEXT(Sales_Fact!$B728,"mmm")</f>
        <v>Mar</v>
      </c>
      <c r="M728" s="4">
        <f t="shared" si="78"/>
        <v>4</v>
      </c>
      <c r="N728" s="10">
        <f t="shared" si="79"/>
        <v>195.75</v>
      </c>
      <c r="O728" s="10">
        <f t="shared" si="80"/>
        <v>649.89</v>
      </c>
      <c r="P728" s="10">
        <f t="shared" si="81"/>
        <v>783</v>
      </c>
      <c r="Q728" s="3">
        <f t="shared" si="82"/>
        <v>0.17</v>
      </c>
      <c r="R728" s="4" t="str">
        <f>IF(Sales_Fact!$O728&gt;1000,"High","Low")</f>
        <v>Low</v>
      </c>
      <c r="S728" s="4" t="str">
        <f>VLOOKUP(C728,Customer_Dim!$A:$N,9,FALSE())</f>
        <v>Andrew Mason</v>
      </c>
      <c r="T728" s="4" t="str">
        <f>VLOOKUP(D728,Product_Dim!$A:$M,3,FALSE())</f>
        <v>Electronics</v>
      </c>
      <c r="U728" s="11" t="str">
        <f>VLOOKUP(D728,Product_Dim!$A:$M,2,FALSE())</f>
        <v>Wireless Bluetooth Earbuds</v>
      </c>
      <c r="V728" s="11" t="str">
        <f>VLOOKUP(E728,Store_Dim!$A:$E,3,FALSE())</f>
        <v>West</v>
      </c>
      <c r="W728" s="11" t="str">
        <f>VLOOKUP(C728,Customer_Dim!$A:$N,13,FALSE())</f>
        <v>Bronze</v>
      </c>
      <c r="X728" s="11" t="str">
        <f t="shared" si="83"/>
        <v>High</v>
      </c>
    </row>
    <row r="729" spans="1:24" ht="15.75" customHeight="1">
      <c r="A729" s="4" t="s">
        <v>2725</v>
      </c>
      <c r="B729" s="9">
        <v>45532</v>
      </c>
      <c r="C729" s="4" t="s">
        <v>1351</v>
      </c>
      <c r="D729" s="4" t="s">
        <v>1885</v>
      </c>
      <c r="E729" s="4" t="s">
        <v>1959</v>
      </c>
      <c r="F729" s="4">
        <v>3</v>
      </c>
      <c r="G729" s="4">
        <v>199.13</v>
      </c>
      <c r="H729" s="4">
        <v>0.24</v>
      </c>
      <c r="I729" s="4" t="s">
        <v>1996</v>
      </c>
      <c r="J729" s="10">
        <v>454.01639999999998</v>
      </c>
      <c r="K729" s="4" t="str">
        <f t="shared" si="77"/>
        <v>28-08-2024</v>
      </c>
      <c r="L729" s="4" t="str">
        <f>TEXT(Sales_Fact!$B729,"mmm")</f>
        <v>Aug</v>
      </c>
      <c r="M729" s="4">
        <f t="shared" si="78"/>
        <v>3</v>
      </c>
      <c r="N729" s="10">
        <f t="shared" si="79"/>
        <v>199.13</v>
      </c>
      <c r="O729" s="10">
        <f t="shared" si="80"/>
        <v>454.01639999999998</v>
      </c>
      <c r="P729" s="10">
        <f t="shared" si="81"/>
        <v>597.39</v>
      </c>
      <c r="Q729" s="3">
        <f t="shared" si="82"/>
        <v>0.24000000000000002</v>
      </c>
      <c r="R729" s="4" t="str">
        <f>IF(Sales_Fact!$O729&gt;1000,"High","Low")</f>
        <v>Low</v>
      </c>
      <c r="S729" s="4" t="str">
        <f>VLOOKUP(C729,Customer_Dim!$A:$N,9,FALSE())</f>
        <v>Jeanette Nichols</v>
      </c>
      <c r="T729" s="4" t="str">
        <f>VLOOKUP(D729,Product_Dim!$A:$M,3,FALSE())</f>
        <v>Electronics</v>
      </c>
      <c r="U729" s="11" t="str">
        <f>VLOOKUP(D729,Product_Dim!$A:$M,2,FALSE())</f>
        <v>USB-C Laptop Charger</v>
      </c>
      <c r="V729" s="11" t="str">
        <f>VLOOKUP(E729,Store_Dim!$A:$E,3,FALSE())</f>
        <v>North</v>
      </c>
      <c r="W729" s="11" t="str">
        <f>VLOOKUP(C729,Customer_Dim!$A:$N,13,FALSE())</f>
        <v>Platinum</v>
      </c>
      <c r="X729" s="11" t="str">
        <f t="shared" si="83"/>
        <v>Low</v>
      </c>
    </row>
    <row r="730" spans="1:24" ht="15.75" customHeight="1">
      <c r="A730" s="4" t="s">
        <v>2726</v>
      </c>
      <c r="B730" s="9">
        <v>45466</v>
      </c>
      <c r="C730" s="4" t="s">
        <v>559</v>
      </c>
      <c r="D730" s="4" t="s">
        <v>1665</v>
      </c>
      <c r="E730" s="4" t="s">
        <v>1957</v>
      </c>
      <c r="F730" s="4">
        <v>2</v>
      </c>
      <c r="G730" s="4">
        <v>833.62</v>
      </c>
      <c r="H730" s="4">
        <v>0.18</v>
      </c>
      <c r="I730" s="4" t="s">
        <v>1996</v>
      </c>
      <c r="J730" s="10">
        <v>1367.1368</v>
      </c>
      <c r="K730" s="4" t="str">
        <f t="shared" si="77"/>
        <v>23-06-2024</v>
      </c>
      <c r="L730" s="4" t="str">
        <f>TEXT(Sales_Fact!$B730,"mmm")</f>
        <v>Jun</v>
      </c>
      <c r="M730" s="4">
        <f t="shared" si="78"/>
        <v>2</v>
      </c>
      <c r="N730" s="10">
        <f t="shared" si="79"/>
        <v>833.62</v>
      </c>
      <c r="O730" s="10">
        <f t="shared" si="80"/>
        <v>1367.1368000000002</v>
      </c>
      <c r="P730" s="10">
        <f t="shared" si="81"/>
        <v>1667.24</v>
      </c>
      <c r="Q730" s="3">
        <f t="shared" si="82"/>
        <v>0.17999999999999988</v>
      </c>
      <c r="R730" s="4" t="str">
        <f>IF(Sales_Fact!$O730&gt;1000,"High","Low")</f>
        <v>High</v>
      </c>
      <c r="S730" s="4" t="str">
        <f>VLOOKUP(C730,Customer_Dim!$A:$N,9,FALSE())</f>
        <v>John Lawson</v>
      </c>
      <c r="T730" s="4" t="str">
        <f>VLOOKUP(D730,Product_Dim!$A:$M,3,FALSE())</f>
        <v>Sports</v>
      </c>
      <c r="U730" s="11" t="str">
        <f>VLOOKUP(D730,Product_Dim!$A:$M,2,FALSE())</f>
        <v>Carbon Fiber Tennis Racket</v>
      </c>
      <c r="V730" s="11" t="str">
        <f>VLOOKUP(E730,Store_Dim!$A:$E,3,FALSE())</f>
        <v>South</v>
      </c>
      <c r="W730" s="11" t="str">
        <f>VLOOKUP(C730,Customer_Dim!$A:$N,13,FALSE())</f>
        <v>Platinum</v>
      </c>
      <c r="X730" s="11" t="str">
        <f t="shared" si="83"/>
        <v>Low</v>
      </c>
    </row>
    <row r="731" spans="1:24" ht="15.75" customHeight="1">
      <c r="A731" s="4" t="s">
        <v>2727</v>
      </c>
      <c r="B731" s="9">
        <v>45395</v>
      </c>
      <c r="C731" s="4" t="s">
        <v>1518</v>
      </c>
      <c r="D731" s="4" t="s">
        <v>1831</v>
      </c>
      <c r="E731" s="4" t="s">
        <v>1910</v>
      </c>
      <c r="F731" s="4">
        <v>1</v>
      </c>
      <c r="G731" s="4">
        <v>676.26</v>
      </c>
      <c r="H731" s="4">
        <v>0.14000000000000001</v>
      </c>
      <c r="I731" s="4" t="s">
        <v>1996</v>
      </c>
      <c r="J731" s="10">
        <v>581.58360000000005</v>
      </c>
      <c r="K731" s="4" t="str">
        <f t="shared" si="77"/>
        <v>13-04-2024</v>
      </c>
      <c r="L731" s="4" t="str">
        <f>TEXT(Sales_Fact!$B731,"mmm")</f>
        <v>Apr</v>
      </c>
      <c r="M731" s="4">
        <f t="shared" si="78"/>
        <v>1</v>
      </c>
      <c r="N731" s="10">
        <f t="shared" si="79"/>
        <v>676.26</v>
      </c>
      <c r="O731" s="10">
        <f t="shared" si="80"/>
        <v>581.58359999999993</v>
      </c>
      <c r="P731" s="10">
        <f t="shared" si="81"/>
        <v>676.26</v>
      </c>
      <c r="Q731" s="3">
        <f t="shared" si="82"/>
        <v>0.1400000000000001</v>
      </c>
      <c r="R731" s="4" t="str">
        <f>IF(Sales_Fact!$O731&gt;1000,"High","Low")</f>
        <v>Low</v>
      </c>
      <c r="S731" s="4" t="str">
        <f>VLOOKUP(C731,Customer_Dim!$A:$N,9,FALSE())</f>
        <v>Jessica Castro</v>
      </c>
      <c r="T731" s="4" t="str">
        <f>VLOOKUP(D731,Product_Dim!$A:$M,3,FALSE())</f>
        <v>Clothing</v>
      </c>
      <c r="U731" s="11" t="str">
        <f>VLOOKUP(D731,Product_Dim!$A:$M,2,FALSE())</f>
        <v>Women's Ankle Boots</v>
      </c>
      <c r="V731" s="11" t="str">
        <f>VLOOKUP(E731,Store_Dim!$A:$E,3,FALSE())</f>
        <v>East</v>
      </c>
      <c r="W731" s="11" t="str">
        <f>VLOOKUP(C731,Customer_Dim!$A:$N,13,FALSE())</f>
        <v>Bronze</v>
      </c>
      <c r="X731" s="11" t="str">
        <f t="shared" si="83"/>
        <v>Low</v>
      </c>
    </row>
    <row r="732" spans="1:24" ht="15.75" customHeight="1">
      <c r="A732" s="4" t="s">
        <v>2728</v>
      </c>
      <c r="B732" s="9">
        <v>45708</v>
      </c>
      <c r="C732" s="4" t="s">
        <v>151</v>
      </c>
      <c r="D732" s="4" t="s">
        <v>1785</v>
      </c>
      <c r="E732" s="4" t="s">
        <v>1944</v>
      </c>
      <c r="F732" s="4">
        <v>2</v>
      </c>
      <c r="G732" s="4">
        <v>666.49</v>
      </c>
      <c r="H732" s="4">
        <v>0.06</v>
      </c>
      <c r="I732" s="4" t="s">
        <v>1996</v>
      </c>
      <c r="J732" s="10">
        <v>1253.0011999999999</v>
      </c>
      <c r="K732" s="4" t="str">
        <f t="shared" si="77"/>
        <v>20-02-2025</v>
      </c>
      <c r="L732" s="4" t="str">
        <f>TEXT(Sales_Fact!$B732,"mmm")</f>
        <v>Feb</v>
      </c>
      <c r="M732" s="4">
        <f t="shared" si="78"/>
        <v>2</v>
      </c>
      <c r="N732" s="10">
        <f t="shared" si="79"/>
        <v>666.49</v>
      </c>
      <c r="O732" s="10">
        <f t="shared" si="80"/>
        <v>1253.0011999999999</v>
      </c>
      <c r="P732" s="10">
        <f t="shared" si="81"/>
        <v>1332.98</v>
      </c>
      <c r="Q732" s="3">
        <f t="shared" si="82"/>
        <v>6.0000000000000067E-2</v>
      </c>
      <c r="R732" s="4" t="str">
        <f>IF(Sales_Fact!$O732&gt;1000,"High","Low")</f>
        <v>High</v>
      </c>
      <c r="S732" s="4" t="str">
        <f>VLOOKUP(C732,Customer_Dim!$A:$N,9,FALSE())</f>
        <v>Mike Jennings</v>
      </c>
      <c r="T732" s="4" t="str">
        <f>VLOOKUP(D732,Product_Dim!$A:$M,3,FALSE())</f>
        <v>Beauty</v>
      </c>
      <c r="U732" s="11" t="str">
        <f>VLOOKUP(D732,Product_Dim!$A:$M,2,FALSE())</f>
        <v>Luxury Perfume Spray</v>
      </c>
      <c r="V732" s="11" t="str">
        <f>VLOOKUP(E732,Store_Dim!$A:$E,3,FALSE())</f>
        <v>South</v>
      </c>
      <c r="W732" s="11" t="str">
        <f>VLOOKUP(C732,Customer_Dim!$A:$N,13,FALSE())</f>
        <v>Gold</v>
      </c>
      <c r="X732" s="11" t="str">
        <f t="shared" si="83"/>
        <v>Low</v>
      </c>
    </row>
    <row r="733" spans="1:24" ht="15.75" customHeight="1">
      <c r="A733" s="4" t="s">
        <v>2729</v>
      </c>
      <c r="B733" s="9">
        <v>45735</v>
      </c>
      <c r="C733" s="4" t="s">
        <v>1448</v>
      </c>
      <c r="D733" s="4" t="s">
        <v>1640</v>
      </c>
      <c r="E733" s="4" t="s">
        <v>1927</v>
      </c>
      <c r="F733" s="4">
        <v>3</v>
      </c>
      <c r="G733" s="4">
        <v>471.19</v>
      </c>
      <c r="H733" s="4">
        <v>0.28000000000000003</v>
      </c>
      <c r="I733" s="4" t="s">
        <v>2004</v>
      </c>
      <c r="J733" s="10">
        <v>1017.7704</v>
      </c>
      <c r="K733" s="4" t="str">
        <f t="shared" si="77"/>
        <v>19-03-2025</v>
      </c>
      <c r="L733" s="4" t="str">
        <f>TEXT(Sales_Fact!$B733,"mmm")</f>
        <v>Mar</v>
      </c>
      <c r="M733" s="4">
        <f t="shared" si="78"/>
        <v>3</v>
      </c>
      <c r="N733" s="10">
        <f t="shared" si="79"/>
        <v>471.19</v>
      </c>
      <c r="O733" s="10">
        <f t="shared" si="80"/>
        <v>1017.7703999999999</v>
      </c>
      <c r="P733" s="10">
        <f t="shared" si="81"/>
        <v>1413.57</v>
      </c>
      <c r="Q733" s="3">
        <f t="shared" si="82"/>
        <v>0.28000000000000003</v>
      </c>
      <c r="R733" s="4" t="str">
        <f>IF(Sales_Fact!$O733&gt;1000,"High","Low")</f>
        <v>High</v>
      </c>
      <c r="S733" s="4" t="str">
        <f>VLOOKUP(C733,Customer_Dim!$A:$N,9,FALSE())</f>
        <v>Justin Johnson</v>
      </c>
      <c r="T733" s="4" t="str">
        <f>VLOOKUP(D733,Product_Dim!$A:$M,3,FALSE())</f>
        <v>Electronics</v>
      </c>
      <c r="U733" s="11" t="str">
        <f>VLOOKUP(D733,Product_Dim!$A:$M,2,FALSE())</f>
        <v>4K Home Projector</v>
      </c>
      <c r="V733" s="11" t="str">
        <f>VLOOKUP(E733,Store_Dim!$A:$E,3,FALSE())</f>
        <v>South</v>
      </c>
      <c r="W733" s="11" t="str">
        <f>VLOOKUP(C733,Customer_Dim!$A:$N,13,FALSE())</f>
        <v>Gold</v>
      </c>
      <c r="X733" s="11" t="str">
        <f t="shared" si="83"/>
        <v>Low</v>
      </c>
    </row>
    <row r="734" spans="1:24" ht="15.75" customHeight="1">
      <c r="A734" s="4" t="s">
        <v>2730</v>
      </c>
      <c r="B734" s="9">
        <v>45237</v>
      </c>
      <c r="C734" s="4" t="s">
        <v>435</v>
      </c>
      <c r="D734" s="4" t="s">
        <v>1613</v>
      </c>
      <c r="E734" s="4" t="s">
        <v>1924</v>
      </c>
      <c r="F734" s="4">
        <v>4</v>
      </c>
      <c r="G734" s="4">
        <v>555.65</v>
      </c>
      <c r="H734" s="4">
        <v>0.25</v>
      </c>
      <c r="I734" s="4" t="s">
        <v>2004</v>
      </c>
      <c r="J734" s="10">
        <v>1666.95</v>
      </c>
      <c r="K734" s="4" t="str">
        <f t="shared" si="77"/>
        <v>07-11-2023</v>
      </c>
      <c r="L734" s="4" t="str">
        <f>TEXT(Sales_Fact!$B734,"mmm")</f>
        <v>Nov</v>
      </c>
      <c r="M734" s="4">
        <f t="shared" si="78"/>
        <v>4</v>
      </c>
      <c r="N734" s="10">
        <f t="shared" si="79"/>
        <v>555.65</v>
      </c>
      <c r="O734" s="10">
        <f t="shared" si="80"/>
        <v>1666.9499999999998</v>
      </c>
      <c r="P734" s="10">
        <f t="shared" si="81"/>
        <v>2222.6</v>
      </c>
      <c r="Q734" s="3">
        <f t="shared" si="82"/>
        <v>0.25000000000000006</v>
      </c>
      <c r="R734" s="4" t="str">
        <f>IF(Sales_Fact!$O734&gt;1000,"High","Low")</f>
        <v>High</v>
      </c>
      <c r="S734" s="4" t="str">
        <f>VLOOKUP(C734,Customer_Dim!$A:$N,9,FALSE())</f>
        <v>Michael Jones</v>
      </c>
      <c r="T734" s="4" t="str">
        <f>VLOOKUP(D734,Product_Dim!$A:$M,3,FALSE())</f>
        <v>Electronics</v>
      </c>
      <c r="U734" s="11" t="str">
        <f>VLOOKUP(D734,Product_Dim!$A:$M,2,FALSE())</f>
        <v>Wireless Bluetooth Earbuds</v>
      </c>
      <c r="V734" s="11" t="str">
        <f>VLOOKUP(E734,Store_Dim!$A:$E,3,FALSE())</f>
        <v>North</v>
      </c>
      <c r="W734" s="11" t="str">
        <f>VLOOKUP(C734,Customer_Dim!$A:$N,13,FALSE())</f>
        <v>Bronze</v>
      </c>
      <c r="X734" s="11" t="str">
        <f t="shared" si="83"/>
        <v>High</v>
      </c>
    </row>
    <row r="735" spans="1:24" ht="15.75" customHeight="1">
      <c r="A735" s="4" t="s">
        <v>2731</v>
      </c>
      <c r="B735" s="9">
        <v>45282</v>
      </c>
      <c r="C735" s="4" t="s">
        <v>162</v>
      </c>
      <c r="D735" s="4" t="s">
        <v>1891</v>
      </c>
      <c r="E735" s="4" t="s">
        <v>1957</v>
      </c>
      <c r="F735" s="4">
        <v>2</v>
      </c>
      <c r="G735" s="4">
        <v>100.42</v>
      </c>
      <c r="H735" s="4">
        <v>0.06</v>
      </c>
      <c r="I735" s="4" t="s">
        <v>1996</v>
      </c>
      <c r="J735" s="10">
        <v>188.78960000000001</v>
      </c>
      <c r="K735" s="4" t="str">
        <f t="shared" si="77"/>
        <v>22-12-2023</v>
      </c>
      <c r="L735" s="4" t="str">
        <f>TEXT(Sales_Fact!$B735,"mmm")</f>
        <v>Dec</v>
      </c>
      <c r="M735" s="4">
        <f t="shared" si="78"/>
        <v>2</v>
      </c>
      <c r="N735" s="10">
        <f t="shared" si="79"/>
        <v>100.42</v>
      </c>
      <c r="O735" s="10">
        <f t="shared" si="80"/>
        <v>188.78959999999998</v>
      </c>
      <c r="P735" s="10">
        <f t="shared" si="81"/>
        <v>200.84</v>
      </c>
      <c r="Q735" s="3">
        <f t="shared" si="82"/>
        <v>6.0000000000000123E-2</v>
      </c>
      <c r="R735" s="4" t="str">
        <f>IF(Sales_Fact!$O735&gt;1000,"High","Low")</f>
        <v>Low</v>
      </c>
      <c r="S735" s="4" t="str">
        <f>VLOOKUP(C735,Customer_Dim!$A:$N,9,FALSE())</f>
        <v>Rachel Myers</v>
      </c>
      <c r="T735" s="4" t="str">
        <f>VLOOKUP(D735,Product_Dim!$A:$M,3,FALSE())</f>
        <v>Sports</v>
      </c>
      <c r="U735" s="11" t="str">
        <f>VLOOKUP(D735,Product_Dim!$A:$M,2,FALSE())</f>
        <v>Sports Stopwatch Basic</v>
      </c>
      <c r="V735" s="11" t="str">
        <f>VLOOKUP(E735,Store_Dim!$A:$E,3,FALSE())</f>
        <v>South</v>
      </c>
      <c r="W735" s="11" t="str">
        <f>VLOOKUP(C735,Customer_Dim!$A:$N,13,FALSE())</f>
        <v>Silver</v>
      </c>
      <c r="X735" s="11" t="str">
        <f t="shared" si="83"/>
        <v>Low</v>
      </c>
    </row>
    <row r="736" spans="1:24" ht="15.75" customHeight="1">
      <c r="A736" s="4" t="s">
        <v>2732</v>
      </c>
      <c r="B736" s="9">
        <v>45337</v>
      </c>
      <c r="C736" s="4" t="s">
        <v>212</v>
      </c>
      <c r="D736" s="4" t="s">
        <v>1900</v>
      </c>
      <c r="E736" s="4" t="s">
        <v>1968</v>
      </c>
      <c r="F736" s="4">
        <v>3</v>
      </c>
      <c r="G736" s="4">
        <v>981.69</v>
      </c>
      <c r="H736" s="4">
        <v>0.05</v>
      </c>
      <c r="I736" s="4" t="s">
        <v>2004</v>
      </c>
      <c r="J736" s="10">
        <v>2797.8164999999999</v>
      </c>
      <c r="K736" s="4" t="str">
        <f t="shared" si="77"/>
        <v>15-02-2024</v>
      </c>
      <c r="L736" s="4" t="str">
        <f>TEXT(Sales_Fact!$B736,"mmm")</f>
        <v>Feb</v>
      </c>
      <c r="M736" s="4">
        <f t="shared" si="78"/>
        <v>3</v>
      </c>
      <c r="N736" s="10">
        <f t="shared" si="79"/>
        <v>981.69</v>
      </c>
      <c r="O736" s="10">
        <f t="shared" si="80"/>
        <v>2797.8164999999999</v>
      </c>
      <c r="P736" s="10">
        <f t="shared" si="81"/>
        <v>2945.07</v>
      </c>
      <c r="Q736" s="3">
        <f t="shared" si="82"/>
        <v>5.0000000000000086E-2</v>
      </c>
      <c r="R736" s="4" t="str">
        <f>IF(Sales_Fact!$O736&gt;1000,"High","Low")</f>
        <v>High</v>
      </c>
      <c r="S736" s="4" t="str">
        <f>VLOOKUP(C736,Customer_Dim!$A:$N,9,FALSE())</f>
        <v>Matthew Hunter Jr.</v>
      </c>
      <c r="T736" s="4" t="str">
        <f>VLOOKUP(D736,Product_Dim!$A:$M,3,FALSE())</f>
        <v>Electronics</v>
      </c>
      <c r="U736" s="11" t="str">
        <f>VLOOKUP(D736,Product_Dim!$A:$M,2,FALSE())</f>
        <v>Portable Bluetooth Speaker</v>
      </c>
      <c r="V736" s="11" t="str">
        <f>VLOOKUP(E736,Store_Dim!$A:$E,3,FALSE())</f>
        <v>East</v>
      </c>
      <c r="W736" s="11" t="str">
        <f>VLOOKUP(C736,Customer_Dim!$A:$N,13,FALSE())</f>
        <v>Gold</v>
      </c>
      <c r="X736" s="11" t="str">
        <f t="shared" si="83"/>
        <v>Low</v>
      </c>
    </row>
    <row r="737" spans="1:24" ht="15.75" customHeight="1">
      <c r="A737" s="4" t="s">
        <v>2733</v>
      </c>
      <c r="B737" s="9">
        <v>45269</v>
      </c>
      <c r="C737" s="4" t="s">
        <v>962</v>
      </c>
      <c r="D737" s="4" t="s">
        <v>1813</v>
      </c>
      <c r="E737" s="4" t="s">
        <v>1940</v>
      </c>
      <c r="F737" s="4">
        <v>4</v>
      </c>
      <c r="G737" s="4">
        <v>714.47</v>
      </c>
      <c r="H737" s="4">
        <v>0.18</v>
      </c>
      <c r="I737" s="4" t="s">
        <v>2004</v>
      </c>
      <c r="J737" s="10">
        <v>2343.4616000000001</v>
      </c>
      <c r="K737" s="4" t="str">
        <f t="shared" si="77"/>
        <v>09-12-2023</v>
      </c>
      <c r="L737" s="4" t="str">
        <f>TEXT(Sales_Fact!$B737,"mmm")</f>
        <v>Dec</v>
      </c>
      <c r="M737" s="4">
        <f t="shared" si="78"/>
        <v>4</v>
      </c>
      <c r="N737" s="10">
        <f t="shared" si="79"/>
        <v>714.47</v>
      </c>
      <c r="O737" s="10">
        <f t="shared" si="80"/>
        <v>2343.4616000000001</v>
      </c>
      <c r="P737" s="10">
        <f t="shared" si="81"/>
        <v>2857.88</v>
      </c>
      <c r="Q737" s="3">
        <f t="shared" si="82"/>
        <v>0.18</v>
      </c>
      <c r="R737" s="4" t="str">
        <f>IF(Sales_Fact!$O737&gt;1000,"High","Low")</f>
        <v>High</v>
      </c>
      <c r="S737" s="4" t="str">
        <f>VLOOKUP(C737,Customer_Dim!$A:$N,9,FALSE())</f>
        <v>Crystal Waters</v>
      </c>
      <c r="T737" s="4" t="str">
        <f>VLOOKUP(D737,Product_Dim!$A:$M,3,FALSE())</f>
        <v>Clothing</v>
      </c>
      <c r="U737" s="11" t="str">
        <f>VLOOKUP(D737,Product_Dim!$A:$M,2,FALSE())</f>
        <v>Men's Sports Shorts</v>
      </c>
      <c r="V737" s="11" t="str">
        <f>VLOOKUP(E737,Store_Dim!$A:$E,3,FALSE())</f>
        <v>West</v>
      </c>
      <c r="W737" s="11" t="str">
        <f>VLOOKUP(C737,Customer_Dim!$A:$N,13,FALSE())</f>
        <v>Bronze</v>
      </c>
      <c r="X737" s="11" t="str">
        <f t="shared" si="83"/>
        <v>High</v>
      </c>
    </row>
    <row r="738" spans="1:24" ht="15.75" customHeight="1">
      <c r="A738" s="4" t="s">
        <v>2734</v>
      </c>
      <c r="B738" s="9">
        <v>45310</v>
      </c>
      <c r="C738" s="4" t="s">
        <v>1057</v>
      </c>
      <c r="D738" s="4" t="s">
        <v>1622</v>
      </c>
      <c r="E738" s="4" t="s">
        <v>1962</v>
      </c>
      <c r="F738" s="4">
        <v>2</v>
      </c>
      <c r="G738" s="4">
        <v>848.87</v>
      </c>
      <c r="H738" s="4">
        <v>0.09</v>
      </c>
      <c r="I738" s="4" t="s">
        <v>2004</v>
      </c>
      <c r="J738" s="10">
        <v>1544.9434000000001</v>
      </c>
      <c r="K738" s="4" t="str">
        <f t="shared" si="77"/>
        <v>19-01-2024</v>
      </c>
      <c r="L738" s="4" t="str">
        <f>TEXT(Sales_Fact!$B738,"mmm")</f>
        <v>Jan</v>
      </c>
      <c r="M738" s="4">
        <f t="shared" si="78"/>
        <v>2</v>
      </c>
      <c r="N738" s="10">
        <f t="shared" si="79"/>
        <v>848.87</v>
      </c>
      <c r="O738" s="10">
        <f t="shared" si="80"/>
        <v>1544.9434000000001</v>
      </c>
      <c r="P738" s="10">
        <f t="shared" si="81"/>
        <v>1697.74</v>
      </c>
      <c r="Q738" s="3">
        <f t="shared" si="82"/>
        <v>8.9999999999999941E-2</v>
      </c>
      <c r="R738" s="4" t="str">
        <f>IF(Sales_Fact!$O738&gt;1000,"High","Low")</f>
        <v>High</v>
      </c>
      <c r="S738" s="4" t="str">
        <f>VLOOKUP(C738,Customer_Dim!$A:$N,9,FALSE())</f>
        <v>Reginald Willis</v>
      </c>
      <c r="T738" s="4" t="str">
        <f>VLOOKUP(D738,Product_Dim!$A:$M,3,FALSE())</f>
        <v>Home</v>
      </c>
      <c r="U738" s="11" t="str">
        <f>VLOOKUP(D738,Product_Dim!$A:$M,2,FALSE())</f>
        <v>Ceramic Kitchen Bowl Set</v>
      </c>
      <c r="V738" s="11" t="str">
        <f>VLOOKUP(E738,Store_Dim!$A:$E,3,FALSE())</f>
        <v>West</v>
      </c>
      <c r="W738" s="11" t="str">
        <f>VLOOKUP(C738,Customer_Dim!$A:$N,13,FALSE())</f>
        <v>Bronze</v>
      </c>
      <c r="X738" s="11" t="str">
        <f t="shared" si="83"/>
        <v>Low</v>
      </c>
    </row>
    <row r="739" spans="1:24" ht="15.75" customHeight="1">
      <c r="A739" s="4" t="s">
        <v>2735</v>
      </c>
      <c r="B739" s="9">
        <v>45230</v>
      </c>
      <c r="C739" s="4" t="s">
        <v>1201</v>
      </c>
      <c r="D739" s="4" t="s">
        <v>1894</v>
      </c>
      <c r="E739" s="4" t="s">
        <v>1947</v>
      </c>
      <c r="F739" s="4">
        <v>3</v>
      </c>
      <c r="G739" s="4">
        <v>582.32000000000005</v>
      </c>
      <c r="H739" s="4">
        <v>0</v>
      </c>
      <c r="I739" s="4" t="s">
        <v>1998</v>
      </c>
      <c r="J739" s="10">
        <v>1746.96</v>
      </c>
      <c r="K739" s="4" t="str">
        <f t="shared" si="77"/>
        <v>31-10-2023</v>
      </c>
      <c r="L739" s="4" t="str">
        <f>TEXT(Sales_Fact!$B739,"mmm")</f>
        <v>Oct</v>
      </c>
      <c r="M739" s="4">
        <f t="shared" si="78"/>
        <v>3</v>
      </c>
      <c r="N739" s="10">
        <f t="shared" si="79"/>
        <v>582.32000000000005</v>
      </c>
      <c r="O739" s="10">
        <f t="shared" si="80"/>
        <v>1746.96</v>
      </c>
      <c r="P739" s="10">
        <f t="shared" si="81"/>
        <v>1746.96</v>
      </c>
      <c r="Q739" s="3">
        <f t="shared" si="82"/>
        <v>0</v>
      </c>
      <c r="R739" s="4" t="str">
        <f>IF(Sales_Fact!$O739&gt;1000,"High","Low")</f>
        <v>High</v>
      </c>
      <c r="S739" s="4" t="str">
        <f>VLOOKUP(C739,Customer_Dim!$A:$N,9,FALSE())</f>
        <v>Joshua Bell</v>
      </c>
      <c r="T739" s="4" t="str">
        <f>VLOOKUP(D739,Product_Dim!$A:$M,3,FALSE())</f>
        <v>Clothing</v>
      </c>
      <c r="U739" s="11" t="str">
        <f>VLOOKUP(D739,Product_Dim!$A:$M,2,FALSE())</f>
        <v>Women's Formal Blazer</v>
      </c>
      <c r="V739" s="11" t="str">
        <f>VLOOKUP(E739,Store_Dim!$A:$E,3,FALSE())</f>
        <v>East</v>
      </c>
      <c r="W739" s="11" t="str">
        <f>VLOOKUP(C739,Customer_Dim!$A:$N,13,FALSE())</f>
        <v>Platinum</v>
      </c>
      <c r="X739" s="11" t="str">
        <f t="shared" si="83"/>
        <v>Low</v>
      </c>
    </row>
    <row r="740" spans="1:24" ht="15.75" customHeight="1">
      <c r="A740" s="4" t="s">
        <v>2736</v>
      </c>
      <c r="B740" s="9">
        <v>45341</v>
      </c>
      <c r="C740" s="4" t="s">
        <v>592</v>
      </c>
      <c r="D740" s="4" t="s">
        <v>1751</v>
      </c>
      <c r="E740" s="4" t="s">
        <v>1965</v>
      </c>
      <c r="F740" s="4">
        <v>2</v>
      </c>
      <c r="G740" s="4">
        <v>869.43</v>
      </c>
      <c r="H740" s="4">
        <v>0.24</v>
      </c>
      <c r="I740" s="4" t="s">
        <v>2004</v>
      </c>
      <c r="J740" s="10">
        <v>1321.5336</v>
      </c>
      <c r="K740" s="4" t="str">
        <f t="shared" si="77"/>
        <v>19-02-2024</v>
      </c>
      <c r="L740" s="4" t="str">
        <f>TEXT(Sales_Fact!$B740,"mmm")</f>
        <v>Feb</v>
      </c>
      <c r="M740" s="4">
        <f t="shared" si="78"/>
        <v>2</v>
      </c>
      <c r="N740" s="10">
        <f t="shared" si="79"/>
        <v>869.43</v>
      </c>
      <c r="O740" s="10">
        <f t="shared" si="80"/>
        <v>1321.5336</v>
      </c>
      <c r="P740" s="10">
        <f t="shared" si="81"/>
        <v>1738.86</v>
      </c>
      <c r="Q740" s="3">
        <f t="shared" si="82"/>
        <v>0.23999999999999996</v>
      </c>
      <c r="R740" s="4" t="str">
        <f>IF(Sales_Fact!$O740&gt;1000,"High","Low")</f>
        <v>High</v>
      </c>
      <c r="S740" s="4" t="str">
        <f>VLOOKUP(C740,Customer_Dim!$A:$N,9,FALSE())</f>
        <v>Amy Wilson</v>
      </c>
      <c r="T740" s="4" t="str">
        <f>VLOOKUP(D740,Product_Dim!$A:$M,3,FALSE())</f>
        <v>Beauty</v>
      </c>
      <c r="U740" s="11" t="str">
        <f>VLOOKUP(D740,Product_Dim!$A:$M,2,FALSE())</f>
        <v>Men's Roll-On Perfume</v>
      </c>
      <c r="V740" s="11" t="str">
        <f>VLOOKUP(E740,Store_Dim!$A:$E,3,FALSE())</f>
        <v>North</v>
      </c>
      <c r="W740" s="11" t="str">
        <f>VLOOKUP(C740,Customer_Dim!$A:$N,13,FALSE())</f>
        <v>Platinum</v>
      </c>
      <c r="X740" s="11" t="str">
        <f t="shared" si="83"/>
        <v>Low</v>
      </c>
    </row>
    <row r="741" spans="1:24" ht="15.75" customHeight="1">
      <c r="A741" s="4" t="s">
        <v>2737</v>
      </c>
      <c r="B741" s="9">
        <v>45440</v>
      </c>
      <c r="C741" s="4" t="s">
        <v>113</v>
      </c>
      <c r="D741" s="4" t="s">
        <v>1767</v>
      </c>
      <c r="E741" s="4" t="s">
        <v>1927</v>
      </c>
      <c r="F741" s="4">
        <v>1</v>
      </c>
      <c r="G741" s="4">
        <v>62.26</v>
      </c>
      <c r="H741" s="4">
        <v>0.03</v>
      </c>
      <c r="I741" s="4" t="s">
        <v>2004</v>
      </c>
      <c r="J741" s="10">
        <v>60.392200000000003</v>
      </c>
      <c r="K741" s="4" t="str">
        <f t="shared" si="77"/>
        <v>28-05-2024</v>
      </c>
      <c r="L741" s="4" t="str">
        <f>TEXT(Sales_Fact!$B741,"mmm")</f>
        <v>May</v>
      </c>
      <c r="M741" s="4">
        <f t="shared" si="78"/>
        <v>1</v>
      </c>
      <c r="N741" s="10">
        <f t="shared" si="79"/>
        <v>62.26</v>
      </c>
      <c r="O741" s="10">
        <f t="shared" si="80"/>
        <v>60.392199999999995</v>
      </c>
      <c r="P741" s="10">
        <f t="shared" si="81"/>
        <v>62.26</v>
      </c>
      <c r="Q741" s="3">
        <f t="shared" si="82"/>
        <v>3.0000000000000041E-2</v>
      </c>
      <c r="R741" s="4" t="str">
        <f>IF(Sales_Fact!$O741&gt;1000,"High","Low")</f>
        <v>Low</v>
      </c>
      <c r="S741" s="4" t="str">
        <f>VLOOKUP(C741,Customer_Dim!$A:$N,9,FALSE())</f>
        <v>Jeff Martinez</v>
      </c>
      <c r="T741" s="4" t="str">
        <f>VLOOKUP(D741,Product_Dim!$A:$M,3,FALSE())</f>
        <v>Sports</v>
      </c>
      <c r="U741" s="11" t="str">
        <f>VLOOKUP(D741,Product_Dim!$A:$M,2,FALSE())</f>
        <v>Sports Stopwatch Pro</v>
      </c>
      <c r="V741" s="11" t="str">
        <f>VLOOKUP(E741,Store_Dim!$A:$E,3,FALSE())</f>
        <v>South</v>
      </c>
      <c r="W741" s="11" t="str">
        <f>VLOOKUP(C741,Customer_Dim!$A:$N,13,FALSE())</f>
        <v>Gold</v>
      </c>
      <c r="X741" s="11" t="str">
        <f t="shared" si="83"/>
        <v>Low</v>
      </c>
    </row>
    <row r="742" spans="1:24" ht="15.75" customHeight="1">
      <c r="A742" s="4" t="s">
        <v>2738</v>
      </c>
      <c r="B742" s="9">
        <v>45798</v>
      </c>
      <c r="C742" s="4" t="s">
        <v>535</v>
      </c>
      <c r="D742" s="4" t="s">
        <v>1719</v>
      </c>
      <c r="E742" s="4" t="s">
        <v>1957</v>
      </c>
      <c r="F742" s="4">
        <v>3</v>
      </c>
      <c r="G742" s="4">
        <v>343.97</v>
      </c>
      <c r="H742" s="4">
        <v>0.04</v>
      </c>
      <c r="I742" s="4" t="s">
        <v>2004</v>
      </c>
      <c r="J742" s="10">
        <v>990.6336</v>
      </c>
      <c r="K742" s="4" t="str">
        <f t="shared" si="77"/>
        <v>21-05-2025</v>
      </c>
      <c r="L742" s="4" t="str">
        <f>TEXT(Sales_Fact!$B742,"mmm")</f>
        <v>May</v>
      </c>
      <c r="M742" s="4">
        <f t="shared" si="78"/>
        <v>3</v>
      </c>
      <c r="N742" s="10">
        <f t="shared" si="79"/>
        <v>343.97</v>
      </c>
      <c r="O742" s="10">
        <f t="shared" si="80"/>
        <v>990.6336</v>
      </c>
      <c r="P742" s="10">
        <f t="shared" si="81"/>
        <v>1031.9100000000001</v>
      </c>
      <c r="Q742" s="3">
        <f t="shared" si="82"/>
        <v>4.0000000000000077E-2</v>
      </c>
      <c r="R742" s="4" t="str">
        <f>IF(Sales_Fact!$O742&gt;1000,"High","Low")</f>
        <v>Low</v>
      </c>
      <c r="S742" s="4" t="str">
        <f>VLOOKUP(C742,Customer_Dim!$A:$N,9,FALSE())</f>
        <v>Patrick Roberts</v>
      </c>
      <c r="T742" s="4" t="str">
        <f>VLOOKUP(D742,Product_Dim!$A:$M,3,FALSE())</f>
        <v>Electronics</v>
      </c>
      <c r="U742" s="11" t="str">
        <f>VLOOKUP(D742,Product_Dim!$A:$M,2,FALSE())</f>
        <v>Portable Power Bank</v>
      </c>
      <c r="V742" s="11" t="str">
        <f>VLOOKUP(E742,Store_Dim!$A:$E,3,FALSE())</f>
        <v>South</v>
      </c>
      <c r="W742" s="11" t="str">
        <f>VLOOKUP(C742,Customer_Dim!$A:$N,13,FALSE())</f>
        <v>Platinum</v>
      </c>
      <c r="X742" s="11" t="str">
        <f t="shared" si="83"/>
        <v>Low</v>
      </c>
    </row>
    <row r="743" spans="1:24" ht="15.75" customHeight="1">
      <c r="A743" s="4" t="s">
        <v>2739</v>
      </c>
      <c r="B743" s="9">
        <v>45293</v>
      </c>
      <c r="C743" s="4" t="s">
        <v>985</v>
      </c>
      <c r="D743" s="4" t="s">
        <v>1671</v>
      </c>
      <c r="E743" s="4" t="s">
        <v>1952</v>
      </c>
      <c r="F743" s="4">
        <v>3</v>
      </c>
      <c r="G743" s="4">
        <v>304.67</v>
      </c>
      <c r="H743" s="4">
        <v>0.11</v>
      </c>
      <c r="I743" s="4" t="s">
        <v>1996</v>
      </c>
      <c r="J743" s="10">
        <v>813.46889999999996</v>
      </c>
      <c r="K743" s="4" t="str">
        <f t="shared" si="77"/>
        <v>02-01-2024</v>
      </c>
      <c r="L743" s="4" t="str">
        <f>TEXT(Sales_Fact!$B743,"mmm")</f>
        <v>Jan</v>
      </c>
      <c r="M743" s="4">
        <f t="shared" si="78"/>
        <v>3</v>
      </c>
      <c r="N743" s="10">
        <f t="shared" si="79"/>
        <v>304.67</v>
      </c>
      <c r="O743" s="10">
        <f t="shared" si="80"/>
        <v>813.46889999999996</v>
      </c>
      <c r="P743" s="10">
        <f t="shared" si="81"/>
        <v>914.01</v>
      </c>
      <c r="Q743" s="3">
        <f t="shared" si="82"/>
        <v>0.11000000000000003</v>
      </c>
      <c r="R743" s="4" t="str">
        <f>IF(Sales_Fact!$O743&gt;1000,"High","Low")</f>
        <v>Low</v>
      </c>
      <c r="S743" s="4" t="str">
        <f>VLOOKUP(C743,Customer_Dim!$A:$N,9,FALSE())</f>
        <v>John Sloan</v>
      </c>
      <c r="T743" s="4" t="str">
        <f>VLOOKUP(D743,Product_Dim!$A:$M,3,FALSE())</f>
        <v>Sports</v>
      </c>
      <c r="U743" s="11" t="str">
        <f>VLOOKUP(D743,Product_Dim!$A:$M,2,FALSE())</f>
        <v>Foldable Camping Chair</v>
      </c>
      <c r="V743" s="11" t="str">
        <f>VLOOKUP(E743,Store_Dim!$A:$E,3,FALSE())</f>
        <v>North</v>
      </c>
      <c r="W743" s="11" t="str">
        <f>VLOOKUP(C743,Customer_Dim!$A:$N,13,FALSE())</f>
        <v>Platinum</v>
      </c>
      <c r="X743" s="11" t="str">
        <f t="shared" si="83"/>
        <v>Low</v>
      </c>
    </row>
    <row r="744" spans="1:24" ht="15.75" customHeight="1">
      <c r="A744" s="4" t="s">
        <v>2740</v>
      </c>
      <c r="B744" s="9">
        <v>45296</v>
      </c>
      <c r="C744" s="4" t="s">
        <v>1171</v>
      </c>
      <c r="D744" s="4" t="s">
        <v>1681</v>
      </c>
      <c r="E744" s="4" t="s">
        <v>1944</v>
      </c>
      <c r="F744" s="4">
        <v>4</v>
      </c>
      <c r="G744" s="4">
        <v>208.34</v>
      </c>
      <c r="H744" s="4">
        <v>0.01</v>
      </c>
      <c r="I744" s="4" t="s">
        <v>1998</v>
      </c>
      <c r="J744" s="10">
        <v>825.02639999999997</v>
      </c>
      <c r="K744" s="4" t="str">
        <f t="shared" si="77"/>
        <v>05-01-2024</v>
      </c>
      <c r="L744" s="4" t="str">
        <f>TEXT(Sales_Fact!$B744,"mmm")</f>
        <v>Jan</v>
      </c>
      <c r="M744" s="4">
        <f t="shared" si="78"/>
        <v>4</v>
      </c>
      <c r="N744" s="10">
        <f t="shared" si="79"/>
        <v>208.34</v>
      </c>
      <c r="O744" s="10">
        <f t="shared" si="80"/>
        <v>825.02639999999997</v>
      </c>
      <c r="P744" s="10">
        <f t="shared" si="81"/>
        <v>833.36</v>
      </c>
      <c r="Q744" s="3">
        <f t="shared" si="82"/>
        <v>1.0000000000000056E-2</v>
      </c>
      <c r="R744" s="4" t="str">
        <f>IF(Sales_Fact!$O744&gt;1000,"High","Low")</f>
        <v>Low</v>
      </c>
      <c r="S744" s="4" t="str">
        <f>VLOOKUP(C744,Customer_Dim!$A:$N,9,FALSE())</f>
        <v>Brandon Mcbride</v>
      </c>
      <c r="T744" s="4" t="str">
        <f>VLOOKUP(D744,Product_Dim!$A:$M,3,FALSE())</f>
        <v>Home</v>
      </c>
      <c r="U744" s="11" t="str">
        <f>VLOOKUP(D744,Product_Dim!$A:$M,2,FALSE())</f>
        <v>Decorative Floor Vase</v>
      </c>
      <c r="V744" s="11" t="str">
        <f>VLOOKUP(E744,Store_Dim!$A:$E,3,FALSE())</f>
        <v>South</v>
      </c>
      <c r="W744" s="11" t="str">
        <f>VLOOKUP(C744,Customer_Dim!$A:$N,13,FALSE())</f>
        <v>Platinum</v>
      </c>
      <c r="X744" s="11" t="str">
        <f t="shared" si="83"/>
        <v>High</v>
      </c>
    </row>
    <row r="745" spans="1:24" ht="15.75" customHeight="1">
      <c r="A745" s="4" t="s">
        <v>2741</v>
      </c>
      <c r="B745" s="9">
        <v>45860</v>
      </c>
      <c r="C745" s="4" t="s">
        <v>1012</v>
      </c>
      <c r="D745" s="4" t="s">
        <v>1864</v>
      </c>
      <c r="E745" s="4" t="s">
        <v>1915</v>
      </c>
      <c r="F745" s="4">
        <v>1</v>
      </c>
      <c r="G745" s="4">
        <v>119.04</v>
      </c>
      <c r="H745" s="4">
        <v>0.13</v>
      </c>
      <c r="I745" s="4" t="s">
        <v>2004</v>
      </c>
      <c r="J745" s="10">
        <v>103.56480000000001</v>
      </c>
      <c r="K745" s="4" t="str">
        <f t="shared" si="77"/>
        <v>22-07-2025</v>
      </c>
      <c r="L745" s="4" t="str">
        <f>TEXT(Sales_Fact!$B745,"mmm")</f>
        <v>Jul</v>
      </c>
      <c r="M745" s="4">
        <f t="shared" si="78"/>
        <v>1</v>
      </c>
      <c r="N745" s="10">
        <f t="shared" si="79"/>
        <v>119.04</v>
      </c>
      <c r="O745" s="10">
        <f t="shared" si="80"/>
        <v>103.56480000000001</v>
      </c>
      <c r="P745" s="10">
        <f t="shared" si="81"/>
        <v>119.04</v>
      </c>
      <c r="Q745" s="3">
        <f t="shared" si="82"/>
        <v>0.13</v>
      </c>
      <c r="R745" s="4" t="str">
        <f>IF(Sales_Fact!$O745&gt;1000,"High","Low")</f>
        <v>Low</v>
      </c>
      <c r="S745" s="4" t="str">
        <f>VLOOKUP(C745,Customer_Dim!$A:$N,9,FALSE())</f>
        <v>Jason Mullins</v>
      </c>
      <c r="T745" s="4" t="str">
        <f>VLOOKUP(D745,Product_Dim!$A:$M,3,FALSE())</f>
        <v>Home</v>
      </c>
      <c r="U745" s="11" t="str">
        <f>VLOOKUP(D745,Product_Dim!$A:$M,2,FALSE())</f>
        <v>Kitchen Cutting Board</v>
      </c>
      <c r="V745" s="11" t="str">
        <f>VLOOKUP(E745,Store_Dim!$A:$E,3,FALSE())</f>
        <v>North</v>
      </c>
      <c r="W745" s="11" t="str">
        <f>VLOOKUP(C745,Customer_Dim!$A:$N,13,FALSE())</f>
        <v>Silver</v>
      </c>
      <c r="X745" s="11" t="str">
        <f t="shared" si="83"/>
        <v>Low</v>
      </c>
    </row>
    <row r="746" spans="1:24" ht="15.75" customHeight="1">
      <c r="A746" s="4" t="s">
        <v>2742</v>
      </c>
      <c r="B746" s="9">
        <v>45843</v>
      </c>
      <c r="C746" s="4" t="s">
        <v>1039</v>
      </c>
      <c r="D746" s="4" t="s">
        <v>1735</v>
      </c>
      <c r="E746" s="4" t="s">
        <v>1944</v>
      </c>
      <c r="F746" s="4">
        <v>4</v>
      </c>
      <c r="G746" s="4">
        <v>791.65</v>
      </c>
      <c r="H746" s="4">
        <v>0.06</v>
      </c>
      <c r="I746" s="4" t="s">
        <v>2004</v>
      </c>
      <c r="J746" s="10">
        <v>2976.6039999999998</v>
      </c>
      <c r="K746" s="4" t="str">
        <f t="shared" si="77"/>
        <v>05-07-2025</v>
      </c>
      <c r="L746" s="4" t="str">
        <f>TEXT(Sales_Fact!$B746,"mmm")</f>
        <v>Jul</v>
      </c>
      <c r="M746" s="4">
        <f t="shared" si="78"/>
        <v>4</v>
      </c>
      <c r="N746" s="10">
        <f t="shared" si="79"/>
        <v>791.65</v>
      </c>
      <c r="O746" s="10">
        <f t="shared" si="80"/>
        <v>2976.6039999999998</v>
      </c>
      <c r="P746" s="10">
        <f t="shared" si="81"/>
        <v>3166.6</v>
      </c>
      <c r="Q746" s="3">
        <f t="shared" si="82"/>
        <v>6.0000000000000032E-2</v>
      </c>
      <c r="R746" s="4" t="str">
        <f>IF(Sales_Fact!$O746&gt;1000,"High","Low")</f>
        <v>High</v>
      </c>
      <c r="S746" s="4" t="str">
        <f>VLOOKUP(C746,Customer_Dim!$A:$N,9,FALSE())</f>
        <v>Darren Burton</v>
      </c>
      <c r="T746" s="4" t="str">
        <f>VLOOKUP(D746,Product_Dim!$A:$M,3,FALSE())</f>
        <v>Sports</v>
      </c>
      <c r="U746" s="11" t="str">
        <f>VLOOKUP(D746,Product_Dim!$A:$M,2,FALSE())</f>
        <v>Adjustable Jump Rope</v>
      </c>
      <c r="V746" s="11" t="str">
        <f>VLOOKUP(E746,Store_Dim!$A:$E,3,FALSE())</f>
        <v>South</v>
      </c>
      <c r="W746" s="11" t="str">
        <f>VLOOKUP(C746,Customer_Dim!$A:$N,13,FALSE())</f>
        <v>Bronze</v>
      </c>
      <c r="X746" s="11" t="str">
        <f t="shared" si="83"/>
        <v>High</v>
      </c>
    </row>
    <row r="747" spans="1:24" ht="15.75" customHeight="1">
      <c r="A747" s="4" t="s">
        <v>2743</v>
      </c>
      <c r="B747" s="9">
        <v>45862</v>
      </c>
      <c r="C747" s="4" t="s">
        <v>219</v>
      </c>
      <c r="D747" s="4" t="s">
        <v>1636</v>
      </c>
      <c r="E747" s="4" t="s">
        <v>1919</v>
      </c>
      <c r="F747" s="4">
        <v>2</v>
      </c>
      <c r="G747" s="4">
        <v>414.86</v>
      </c>
      <c r="H747" s="4">
        <v>0.23</v>
      </c>
      <c r="I747" s="4" t="s">
        <v>1996</v>
      </c>
      <c r="J747" s="10">
        <v>638.88440000000003</v>
      </c>
      <c r="K747" s="4" t="str">
        <f t="shared" si="77"/>
        <v>24-07-2025</v>
      </c>
      <c r="L747" s="4" t="str">
        <f>TEXT(Sales_Fact!$B747,"mmm")</f>
        <v>Jul</v>
      </c>
      <c r="M747" s="4">
        <f t="shared" si="78"/>
        <v>2</v>
      </c>
      <c r="N747" s="10">
        <f t="shared" si="79"/>
        <v>414.86</v>
      </c>
      <c r="O747" s="10">
        <f t="shared" si="80"/>
        <v>638.88440000000003</v>
      </c>
      <c r="P747" s="10">
        <f t="shared" si="81"/>
        <v>829.72</v>
      </c>
      <c r="Q747" s="3">
        <f t="shared" si="82"/>
        <v>0.22999999999999998</v>
      </c>
      <c r="R747" s="4" t="str">
        <f>IF(Sales_Fact!$O747&gt;1000,"High","Low")</f>
        <v>Low</v>
      </c>
      <c r="S747" s="4" t="str">
        <f>VLOOKUP(C747,Customer_Dim!$A:$N,9,FALSE())</f>
        <v>Debra Liu</v>
      </c>
      <c r="T747" s="4" t="str">
        <f>VLOOKUP(D747,Product_Dim!$A:$M,3,FALSE())</f>
        <v>Home</v>
      </c>
      <c r="U747" s="11" t="str">
        <f>VLOOKUP(D747,Product_Dim!$A:$M,2,FALSE())</f>
        <v>Decorative Wall Mirror</v>
      </c>
      <c r="V747" s="11" t="str">
        <f>VLOOKUP(E747,Store_Dim!$A:$E,3,FALSE())</f>
        <v>South</v>
      </c>
      <c r="W747" s="11" t="str">
        <f>VLOOKUP(C747,Customer_Dim!$A:$N,13,FALSE())</f>
        <v>Bronze</v>
      </c>
      <c r="X747" s="11" t="str">
        <f t="shared" si="83"/>
        <v>Low</v>
      </c>
    </row>
    <row r="748" spans="1:24" ht="15.75" customHeight="1">
      <c r="A748" s="4" t="s">
        <v>2744</v>
      </c>
      <c r="B748" s="9">
        <v>45866</v>
      </c>
      <c r="C748" s="4" t="s">
        <v>1318</v>
      </c>
      <c r="D748" s="4" t="s">
        <v>1843</v>
      </c>
      <c r="E748" s="4" t="s">
        <v>1937</v>
      </c>
      <c r="F748" s="4">
        <v>4</v>
      </c>
      <c r="G748" s="4">
        <v>422.09</v>
      </c>
      <c r="H748" s="4">
        <v>0.04</v>
      </c>
      <c r="I748" s="4" t="s">
        <v>1996</v>
      </c>
      <c r="J748" s="10">
        <v>1620.8255999999999</v>
      </c>
      <c r="K748" s="4" t="str">
        <f t="shared" si="77"/>
        <v>28-07-2025</v>
      </c>
      <c r="L748" s="4" t="str">
        <f>TEXT(Sales_Fact!$B748,"mmm")</f>
        <v>Jul</v>
      </c>
      <c r="M748" s="4">
        <f t="shared" si="78"/>
        <v>4</v>
      </c>
      <c r="N748" s="10">
        <f t="shared" si="79"/>
        <v>422.09</v>
      </c>
      <c r="O748" s="10">
        <f t="shared" si="80"/>
        <v>1620.8255999999999</v>
      </c>
      <c r="P748" s="10">
        <f t="shared" si="81"/>
        <v>1688.36</v>
      </c>
      <c r="Q748" s="3">
        <f t="shared" si="82"/>
        <v>4.0000000000000008E-2</v>
      </c>
      <c r="R748" s="4" t="str">
        <f>IF(Sales_Fact!$O748&gt;1000,"High","Low")</f>
        <v>High</v>
      </c>
      <c r="S748" s="4" t="str">
        <f>VLOOKUP(C748,Customer_Dim!$A:$N,9,FALSE())</f>
        <v>Tyler Cook</v>
      </c>
      <c r="T748" s="4" t="str">
        <f>VLOOKUP(D748,Product_Dim!$A:$M,3,FALSE())</f>
        <v>Home</v>
      </c>
      <c r="U748" s="11" t="str">
        <f>VLOOKUP(D748,Product_Dim!$A:$M,2,FALSE())</f>
        <v>Decorative Lamp Shade</v>
      </c>
      <c r="V748" s="11" t="str">
        <f>VLOOKUP(E748,Store_Dim!$A:$E,3,FALSE())</f>
        <v>South</v>
      </c>
      <c r="W748" s="11" t="str">
        <f>VLOOKUP(C748,Customer_Dim!$A:$N,13,FALSE())</f>
        <v>Silver</v>
      </c>
      <c r="X748" s="11" t="str">
        <f t="shared" si="83"/>
        <v>High</v>
      </c>
    </row>
    <row r="749" spans="1:24" ht="15.75" customHeight="1">
      <c r="A749" s="4" t="s">
        <v>2745</v>
      </c>
      <c r="B749" s="9">
        <v>45385</v>
      </c>
      <c r="C749" s="4" t="s">
        <v>1501</v>
      </c>
      <c r="D749" s="4" t="s">
        <v>1716</v>
      </c>
      <c r="E749" s="4" t="s">
        <v>1952</v>
      </c>
      <c r="F749" s="4">
        <v>2</v>
      </c>
      <c r="G749" s="4">
        <v>960.81</v>
      </c>
      <c r="H749" s="4">
        <v>0.28000000000000003</v>
      </c>
      <c r="I749" s="4" t="s">
        <v>1998</v>
      </c>
      <c r="J749" s="10">
        <v>1383.5663999999999</v>
      </c>
      <c r="K749" s="4" t="str">
        <f t="shared" si="77"/>
        <v>03-04-2024</v>
      </c>
      <c r="L749" s="4" t="str">
        <f>TEXT(Sales_Fact!$B749,"mmm")</f>
        <v>Apr</v>
      </c>
      <c r="M749" s="4">
        <f t="shared" si="78"/>
        <v>2</v>
      </c>
      <c r="N749" s="10">
        <f t="shared" si="79"/>
        <v>960.81</v>
      </c>
      <c r="O749" s="10">
        <f t="shared" si="80"/>
        <v>1383.5663999999999</v>
      </c>
      <c r="P749" s="10">
        <f t="shared" si="81"/>
        <v>1921.62</v>
      </c>
      <c r="Q749" s="3">
        <f t="shared" si="82"/>
        <v>0.27999999999999997</v>
      </c>
      <c r="R749" s="4" t="str">
        <f>IF(Sales_Fact!$O749&gt;1000,"High","Low")</f>
        <v>High</v>
      </c>
      <c r="S749" s="4" t="str">
        <f>VLOOKUP(C749,Customer_Dim!$A:$N,9,FALSE())</f>
        <v>Earl Smith Dds</v>
      </c>
      <c r="T749" s="4" t="str">
        <f>VLOOKUP(D749,Product_Dim!$A:$M,3,FALSE())</f>
        <v>Sports</v>
      </c>
      <c r="U749" s="11" t="str">
        <f>VLOOKUP(D749,Product_Dim!$A:$M,2,FALSE())</f>
        <v>Sports Water Hydration Pack</v>
      </c>
      <c r="V749" s="11" t="str">
        <f>VLOOKUP(E749,Store_Dim!$A:$E,3,FALSE())</f>
        <v>North</v>
      </c>
      <c r="W749" s="11" t="str">
        <f>VLOOKUP(C749,Customer_Dim!$A:$N,13,FALSE())</f>
        <v>Gold</v>
      </c>
      <c r="X749" s="11" t="str">
        <f t="shared" si="83"/>
        <v>Low</v>
      </c>
    </row>
    <row r="750" spans="1:24" ht="15.75" customHeight="1">
      <c r="A750" s="4" t="s">
        <v>2746</v>
      </c>
      <c r="B750" s="9">
        <v>45668</v>
      </c>
      <c r="C750" s="4" t="s">
        <v>715</v>
      </c>
      <c r="D750" s="4" t="s">
        <v>1755</v>
      </c>
      <c r="E750" s="4" t="s">
        <v>1927</v>
      </c>
      <c r="F750" s="4">
        <v>4</v>
      </c>
      <c r="G750" s="4">
        <v>943.36</v>
      </c>
      <c r="H750" s="4">
        <v>0.18</v>
      </c>
      <c r="I750" s="4" t="s">
        <v>1998</v>
      </c>
      <c r="J750" s="10">
        <v>3094.2208000000001</v>
      </c>
      <c r="K750" s="4" t="str">
        <f t="shared" si="77"/>
        <v>11-01-2025</v>
      </c>
      <c r="L750" s="4" t="str">
        <f>TEXT(Sales_Fact!$B750,"mmm")</f>
        <v>Jan</v>
      </c>
      <c r="M750" s="4">
        <f t="shared" si="78"/>
        <v>4</v>
      </c>
      <c r="N750" s="10">
        <f t="shared" si="79"/>
        <v>943.36</v>
      </c>
      <c r="O750" s="10">
        <f t="shared" si="80"/>
        <v>3094.2208000000001</v>
      </c>
      <c r="P750" s="10">
        <f t="shared" si="81"/>
        <v>3773.44</v>
      </c>
      <c r="Q750" s="3">
        <f t="shared" si="82"/>
        <v>0.18</v>
      </c>
      <c r="R750" s="4" t="str">
        <f>IF(Sales_Fact!$O750&gt;1000,"High","Low")</f>
        <v>High</v>
      </c>
      <c r="S750" s="4" t="str">
        <f>VLOOKUP(C750,Customer_Dim!$A:$N,9,FALSE())</f>
        <v>Blake Harrison</v>
      </c>
      <c r="T750" s="4" t="str">
        <f>VLOOKUP(D750,Product_Dim!$A:$M,3,FALSE())</f>
        <v>Sports</v>
      </c>
      <c r="U750" s="11" t="str">
        <f>VLOOKUP(D750,Product_Dim!$A:$M,2,FALSE())</f>
        <v>Boxing Hand Wraps</v>
      </c>
      <c r="V750" s="11" t="str">
        <f>VLOOKUP(E750,Store_Dim!$A:$E,3,FALSE())</f>
        <v>South</v>
      </c>
      <c r="W750" s="11" t="str">
        <f>VLOOKUP(C750,Customer_Dim!$A:$N,13,FALSE())</f>
        <v>Platinum</v>
      </c>
      <c r="X750" s="11" t="str">
        <f t="shared" si="83"/>
        <v>High</v>
      </c>
    </row>
    <row r="751" spans="1:24" ht="15.75" customHeight="1">
      <c r="A751" s="4" t="s">
        <v>2747</v>
      </c>
      <c r="B751" s="9">
        <v>45561</v>
      </c>
      <c r="C751" s="4" t="s">
        <v>718</v>
      </c>
      <c r="D751" s="4" t="s">
        <v>1592</v>
      </c>
      <c r="E751" s="4" t="s">
        <v>1955</v>
      </c>
      <c r="F751" s="4">
        <v>1</v>
      </c>
      <c r="G751" s="4">
        <v>830.42</v>
      </c>
      <c r="H751" s="4">
        <v>0.26</v>
      </c>
      <c r="I751" s="4" t="s">
        <v>2004</v>
      </c>
      <c r="J751" s="10">
        <v>614.51080000000002</v>
      </c>
      <c r="K751" s="4" t="str">
        <f t="shared" si="77"/>
        <v>26-09-2024</v>
      </c>
      <c r="L751" s="4" t="str">
        <f>TEXT(Sales_Fact!$B751,"mmm")</f>
        <v>Sep</v>
      </c>
      <c r="M751" s="4">
        <f t="shared" si="78"/>
        <v>1</v>
      </c>
      <c r="N751" s="10">
        <f t="shared" si="79"/>
        <v>830.42</v>
      </c>
      <c r="O751" s="10">
        <f t="shared" si="80"/>
        <v>614.51080000000002</v>
      </c>
      <c r="P751" s="10">
        <f t="shared" si="81"/>
        <v>830.42</v>
      </c>
      <c r="Q751" s="3">
        <f t="shared" si="82"/>
        <v>0.25999999999999995</v>
      </c>
      <c r="R751" s="4" t="str">
        <f>IF(Sales_Fact!$O751&gt;1000,"High","Low")</f>
        <v>Low</v>
      </c>
      <c r="S751" s="4" t="str">
        <f>VLOOKUP(C751,Customer_Dim!$A:$N,9,FALSE())</f>
        <v>Stuart Johnson</v>
      </c>
      <c r="T751" s="4" t="str">
        <f>VLOOKUP(D751,Product_Dim!$A:$M,3,FALSE())</f>
        <v>Clothing</v>
      </c>
      <c r="U751" s="11" t="str">
        <f>VLOOKUP(D751,Product_Dim!$A:$M,2,FALSE())</f>
        <v>Men's Running Jacket</v>
      </c>
      <c r="V751" s="11" t="str">
        <f>VLOOKUP(E751,Store_Dim!$A:$E,3,FALSE())</f>
        <v>East</v>
      </c>
      <c r="W751" s="11" t="str">
        <f>VLOOKUP(C751,Customer_Dim!$A:$N,13,FALSE())</f>
        <v>Platinum</v>
      </c>
      <c r="X751" s="11" t="str">
        <f t="shared" si="83"/>
        <v>Low</v>
      </c>
    </row>
    <row r="752" spans="1:24" ht="15.75" customHeight="1">
      <c r="A752" s="4" t="s">
        <v>2748</v>
      </c>
      <c r="B752" s="9">
        <v>45637</v>
      </c>
      <c r="C752" s="4" t="s">
        <v>1135</v>
      </c>
      <c r="D752" s="4" t="s">
        <v>1806</v>
      </c>
      <c r="E752" s="4" t="s">
        <v>1965</v>
      </c>
      <c r="F752" s="4">
        <v>1</v>
      </c>
      <c r="G752" s="4">
        <v>762.55</v>
      </c>
      <c r="H752" s="4">
        <v>0.19</v>
      </c>
      <c r="I752" s="4" t="s">
        <v>1996</v>
      </c>
      <c r="J752" s="10">
        <v>617.66549999999995</v>
      </c>
      <c r="K752" s="4" t="str">
        <f t="shared" si="77"/>
        <v>11-12-2024</v>
      </c>
      <c r="L752" s="4" t="str">
        <f>TEXT(Sales_Fact!$B752,"mmm")</f>
        <v>Dec</v>
      </c>
      <c r="M752" s="4">
        <f t="shared" si="78"/>
        <v>1</v>
      </c>
      <c r="N752" s="10">
        <f t="shared" si="79"/>
        <v>762.55</v>
      </c>
      <c r="O752" s="10">
        <f t="shared" si="80"/>
        <v>617.66549999999995</v>
      </c>
      <c r="P752" s="10">
        <f t="shared" si="81"/>
        <v>762.55</v>
      </c>
      <c r="Q752" s="3">
        <f t="shared" si="82"/>
        <v>0.19</v>
      </c>
      <c r="R752" s="4" t="str">
        <f>IF(Sales_Fact!$O752&gt;1000,"High","Low")</f>
        <v>Low</v>
      </c>
      <c r="S752" s="4" t="str">
        <f>VLOOKUP(C752,Customer_Dim!$A:$N,9,FALSE())</f>
        <v>Laura Green</v>
      </c>
      <c r="T752" s="4" t="str">
        <f>VLOOKUP(D752,Product_Dim!$A:$M,3,FALSE())</f>
        <v>Electronics</v>
      </c>
      <c r="U752" s="11" t="str">
        <f>VLOOKUP(D752,Product_Dim!$A:$M,2,FALSE())</f>
        <v>Smart LED Light Strip</v>
      </c>
      <c r="V752" s="11" t="str">
        <f>VLOOKUP(E752,Store_Dim!$A:$E,3,FALSE())</f>
        <v>North</v>
      </c>
      <c r="W752" s="11" t="str">
        <f>VLOOKUP(C752,Customer_Dim!$A:$N,13,FALSE())</f>
        <v>Platinum</v>
      </c>
      <c r="X752" s="11" t="str">
        <f t="shared" si="83"/>
        <v>Low</v>
      </c>
    </row>
    <row r="753" spans="1:24" ht="15.75" customHeight="1">
      <c r="A753" s="4" t="s">
        <v>2749</v>
      </c>
      <c r="B753" s="9">
        <v>45839</v>
      </c>
      <c r="C753" s="4" t="s">
        <v>1105</v>
      </c>
      <c r="D753" s="4" t="s">
        <v>1828</v>
      </c>
      <c r="E753" s="4" t="s">
        <v>1968</v>
      </c>
      <c r="F753" s="4">
        <v>2</v>
      </c>
      <c r="G753" s="4">
        <v>464.43</v>
      </c>
      <c r="H753" s="4">
        <v>0.24</v>
      </c>
      <c r="I753" s="4" t="s">
        <v>2004</v>
      </c>
      <c r="J753" s="10">
        <v>705.93359999999996</v>
      </c>
      <c r="K753" s="4" t="str">
        <f t="shared" si="77"/>
        <v>01-07-2025</v>
      </c>
      <c r="L753" s="4" t="str">
        <f>TEXT(Sales_Fact!$B753,"mmm")</f>
        <v>Jul</v>
      </c>
      <c r="M753" s="4">
        <f t="shared" si="78"/>
        <v>2</v>
      </c>
      <c r="N753" s="10">
        <f t="shared" si="79"/>
        <v>464.43</v>
      </c>
      <c r="O753" s="10">
        <f t="shared" si="80"/>
        <v>705.93360000000007</v>
      </c>
      <c r="P753" s="10">
        <f t="shared" si="81"/>
        <v>928.86</v>
      </c>
      <c r="Q753" s="3">
        <f t="shared" si="82"/>
        <v>0.23999999999999994</v>
      </c>
      <c r="R753" s="4" t="str">
        <f>IF(Sales_Fact!$O753&gt;1000,"High","Low")</f>
        <v>Low</v>
      </c>
      <c r="S753" s="4" t="str">
        <f>VLOOKUP(C753,Customer_Dim!$A:$N,9,FALSE())</f>
        <v>Ryan Moore</v>
      </c>
      <c r="T753" s="4" t="str">
        <f>VLOOKUP(D753,Product_Dim!$A:$M,3,FALSE())</f>
        <v>Electronics</v>
      </c>
      <c r="U753" s="11" t="str">
        <f>VLOOKUP(D753,Product_Dim!$A:$M,2,FALSE())</f>
        <v>Bluetooth Car Audio System</v>
      </c>
      <c r="V753" s="11" t="str">
        <f>VLOOKUP(E753,Store_Dim!$A:$E,3,FALSE())</f>
        <v>East</v>
      </c>
      <c r="W753" s="11" t="str">
        <f>VLOOKUP(C753,Customer_Dim!$A:$N,13,FALSE())</f>
        <v>Bronze</v>
      </c>
      <c r="X753" s="11" t="str">
        <f t="shared" si="83"/>
        <v>Low</v>
      </c>
    </row>
    <row r="754" spans="1:24" ht="15.75" customHeight="1">
      <c r="A754" s="4" t="s">
        <v>2750</v>
      </c>
      <c r="B754" s="9">
        <v>45851</v>
      </c>
      <c r="C754" s="4" t="s">
        <v>95</v>
      </c>
      <c r="D754" s="4" t="s">
        <v>1797</v>
      </c>
      <c r="E754" s="4" t="s">
        <v>1968</v>
      </c>
      <c r="F754" s="4">
        <v>1</v>
      </c>
      <c r="G754" s="4">
        <v>711.08</v>
      </c>
      <c r="H754" s="4">
        <v>0.24</v>
      </c>
      <c r="I754" s="4" t="s">
        <v>1998</v>
      </c>
      <c r="J754" s="10">
        <v>540.42079999999999</v>
      </c>
      <c r="K754" s="4" t="str">
        <f t="shared" si="77"/>
        <v>13-07-2025</v>
      </c>
      <c r="L754" s="4" t="str">
        <f>TEXT(Sales_Fact!$B754,"mmm")</f>
        <v>Jul</v>
      </c>
      <c r="M754" s="4">
        <f t="shared" si="78"/>
        <v>1</v>
      </c>
      <c r="N754" s="10">
        <f t="shared" si="79"/>
        <v>711.08</v>
      </c>
      <c r="O754" s="10">
        <f t="shared" si="80"/>
        <v>540.42079999999999</v>
      </c>
      <c r="P754" s="10">
        <f t="shared" si="81"/>
        <v>711.08</v>
      </c>
      <c r="Q754" s="3">
        <f t="shared" si="82"/>
        <v>0.24000000000000007</v>
      </c>
      <c r="R754" s="4" t="str">
        <f>IF(Sales_Fact!$O754&gt;1000,"High","Low")</f>
        <v>Low</v>
      </c>
      <c r="S754" s="4" t="str">
        <f>VLOOKUP(C754,Customer_Dim!$A:$N,9,FALSE())</f>
        <v>John Scott</v>
      </c>
      <c r="T754" s="4" t="str">
        <f>VLOOKUP(D754,Product_Dim!$A:$M,3,FALSE())</f>
        <v>Beauty</v>
      </c>
      <c r="U754" s="11" t="str">
        <f>VLOOKUP(D754,Product_Dim!$A:$M,2,FALSE())</f>
        <v>Matte Lipstick Set</v>
      </c>
      <c r="V754" s="11" t="str">
        <f>VLOOKUP(E754,Store_Dim!$A:$E,3,FALSE())</f>
        <v>East</v>
      </c>
      <c r="W754" s="11" t="str">
        <f>VLOOKUP(C754,Customer_Dim!$A:$N,13,FALSE())</f>
        <v>Bronze</v>
      </c>
      <c r="X754" s="11" t="str">
        <f t="shared" si="83"/>
        <v>Low</v>
      </c>
    </row>
    <row r="755" spans="1:24" ht="15.75" customHeight="1">
      <c r="A755" s="4" t="s">
        <v>2751</v>
      </c>
      <c r="B755" s="9">
        <v>45656</v>
      </c>
      <c r="C755" s="4" t="s">
        <v>831</v>
      </c>
      <c r="D755" s="4" t="s">
        <v>1738</v>
      </c>
      <c r="E755" s="4" t="s">
        <v>1957</v>
      </c>
      <c r="F755" s="4">
        <v>2</v>
      </c>
      <c r="G755" s="4">
        <v>984.96</v>
      </c>
      <c r="H755" s="4">
        <v>0.16</v>
      </c>
      <c r="I755" s="4" t="s">
        <v>1998</v>
      </c>
      <c r="J755" s="10">
        <v>1654.7328</v>
      </c>
      <c r="K755" s="4" t="str">
        <f t="shared" si="77"/>
        <v>30-12-2024</v>
      </c>
      <c r="L755" s="4" t="str">
        <f>TEXT(Sales_Fact!$B755,"mmm")</f>
        <v>Dec</v>
      </c>
      <c r="M755" s="4">
        <f t="shared" si="78"/>
        <v>2</v>
      </c>
      <c r="N755" s="10">
        <f t="shared" si="79"/>
        <v>984.96</v>
      </c>
      <c r="O755" s="10">
        <f t="shared" si="80"/>
        <v>1654.7328</v>
      </c>
      <c r="P755" s="10">
        <f t="shared" si="81"/>
        <v>1969.92</v>
      </c>
      <c r="Q755" s="3">
        <f t="shared" si="82"/>
        <v>0.16000000000000003</v>
      </c>
      <c r="R755" s="4" t="str">
        <f>IF(Sales_Fact!$O755&gt;1000,"High","Low")</f>
        <v>High</v>
      </c>
      <c r="S755" s="4" t="str">
        <f>VLOOKUP(C755,Customer_Dim!$A:$N,9,FALSE())</f>
        <v>Tyler Garner</v>
      </c>
      <c r="T755" s="4" t="str">
        <f>VLOOKUP(D755,Product_Dim!$A:$M,3,FALSE())</f>
        <v>Sports</v>
      </c>
      <c r="U755" s="11" t="str">
        <f>VLOOKUP(D755,Product_Dim!$A:$M,2,FALSE())</f>
        <v>High-Grip Football</v>
      </c>
      <c r="V755" s="11" t="str">
        <f>VLOOKUP(E755,Store_Dim!$A:$E,3,FALSE())</f>
        <v>South</v>
      </c>
      <c r="W755" s="11" t="str">
        <f>VLOOKUP(C755,Customer_Dim!$A:$N,13,FALSE())</f>
        <v>Silver</v>
      </c>
      <c r="X755" s="11" t="str">
        <f t="shared" si="83"/>
        <v>Low</v>
      </c>
    </row>
    <row r="756" spans="1:24" ht="15.75" customHeight="1">
      <c r="A756" s="4" t="s">
        <v>2752</v>
      </c>
      <c r="B756" s="9">
        <v>45759</v>
      </c>
      <c r="C756" s="4" t="s">
        <v>1105</v>
      </c>
      <c r="D756" s="4" t="s">
        <v>1716</v>
      </c>
      <c r="E756" s="4" t="s">
        <v>1952</v>
      </c>
      <c r="F756" s="4">
        <v>1</v>
      </c>
      <c r="G756" s="4">
        <v>21.14</v>
      </c>
      <c r="H756" s="4">
        <v>0.06</v>
      </c>
      <c r="I756" s="4" t="s">
        <v>2004</v>
      </c>
      <c r="J756" s="10">
        <v>19.871600000000001</v>
      </c>
      <c r="K756" s="4" t="str">
        <f t="shared" si="77"/>
        <v>12-04-2025</v>
      </c>
      <c r="L756" s="4" t="str">
        <f>TEXT(Sales_Fact!$B756,"mmm")</f>
        <v>Apr</v>
      </c>
      <c r="M756" s="4">
        <f t="shared" si="78"/>
        <v>1</v>
      </c>
      <c r="N756" s="10">
        <f t="shared" si="79"/>
        <v>21.14</v>
      </c>
      <c r="O756" s="10">
        <f t="shared" si="80"/>
        <v>19.871600000000001</v>
      </c>
      <c r="P756" s="10">
        <f t="shared" si="81"/>
        <v>21.14</v>
      </c>
      <c r="Q756" s="3">
        <f t="shared" si="82"/>
        <v>5.9999999999999984E-2</v>
      </c>
      <c r="R756" s="4" t="str">
        <f>IF(Sales_Fact!$O756&gt;1000,"High","Low")</f>
        <v>Low</v>
      </c>
      <c r="S756" s="4" t="str">
        <f>VLOOKUP(C756,Customer_Dim!$A:$N,9,FALSE())</f>
        <v>Ryan Moore</v>
      </c>
      <c r="T756" s="4" t="str">
        <f>VLOOKUP(D756,Product_Dim!$A:$M,3,FALSE())</f>
        <v>Sports</v>
      </c>
      <c r="U756" s="11" t="str">
        <f>VLOOKUP(D756,Product_Dim!$A:$M,2,FALSE())</f>
        <v>Sports Water Hydration Pack</v>
      </c>
      <c r="V756" s="11" t="str">
        <f>VLOOKUP(E756,Store_Dim!$A:$E,3,FALSE())</f>
        <v>North</v>
      </c>
      <c r="W756" s="11" t="str">
        <f>VLOOKUP(C756,Customer_Dim!$A:$N,13,FALSE())</f>
        <v>Bronze</v>
      </c>
      <c r="X756" s="11" t="str">
        <f t="shared" si="83"/>
        <v>Low</v>
      </c>
    </row>
    <row r="757" spans="1:24" ht="15.75" customHeight="1">
      <c r="A757" s="4" t="s">
        <v>2753</v>
      </c>
      <c r="B757" s="9">
        <v>45679</v>
      </c>
      <c r="C757" s="4" t="s">
        <v>396</v>
      </c>
      <c r="D757" s="4" t="s">
        <v>1900</v>
      </c>
      <c r="E757" s="4" t="s">
        <v>1940</v>
      </c>
      <c r="F757" s="4">
        <v>1</v>
      </c>
      <c r="G757" s="4">
        <v>343.03</v>
      </c>
      <c r="H757" s="4">
        <v>0.16</v>
      </c>
      <c r="I757" s="4" t="s">
        <v>1996</v>
      </c>
      <c r="J757" s="10">
        <v>288.14519999999999</v>
      </c>
      <c r="K757" s="4" t="str">
        <f t="shared" si="77"/>
        <v>22-01-2025</v>
      </c>
      <c r="L757" s="4" t="str">
        <f>TEXT(Sales_Fact!$B757,"mmm")</f>
        <v>Jan</v>
      </c>
      <c r="M757" s="4">
        <f t="shared" si="78"/>
        <v>1</v>
      </c>
      <c r="N757" s="10">
        <f t="shared" si="79"/>
        <v>343.03</v>
      </c>
      <c r="O757" s="10">
        <f t="shared" si="80"/>
        <v>288.14519999999999</v>
      </c>
      <c r="P757" s="10">
        <f t="shared" si="81"/>
        <v>343.03</v>
      </c>
      <c r="Q757" s="3">
        <f t="shared" si="82"/>
        <v>0.15999999999999998</v>
      </c>
      <c r="R757" s="4" t="str">
        <f>IF(Sales_Fact!$O757&gt;1000,"High","Low")</f>
        <v>Low</v>
      </c>
      <c r="S757" s="4" t="str">
        <f>VLOOKUP(C757,Customer_Dim!$A:$N,9,FALSE())</f>
        <v>Howard Summers</v>
      </c>
      <c r="T757" s="4" t="str">
        <f>VLOOKUP(D757,Product_Dim!$A:$M,3,FALSE())</f>
        <v>Electronics</v>
      </c>
      <c r="U757" s="11" t="str">
        <f>VLOOKUP(D757,Product_Dim!$A:$M,2,FALSE())</f>
        <v>Portable Bluetooth Speaker</v>
      </c>
      <c r="V757" s="11" t="str">
        <f>VLOOKUP(E757,Store_Dim!$A:$E,3,FALSE())</f>
        <v>West</v>
      </c>
      <c r="W757" s="11" t="str">
        <f>VLOOKUP(C757,Customer_Dim!$A:$N,13,FALSE())</f>
        <v>Bronze</v>
      </c>
      <c r="X757" s="11" t="str">
        <f t="shared" si="83"/>
        <v>Low</v>
      </c>
    </row>
    <row r="758" spans="1:24" ht="15.75" customHeight="1">
      <c r="A758" s="4" t="s">
        <v>2754</v>
      </c>
      <c r="B758" s="9">
        <v>45237</v>
      </c>
      <c r="C758" s="4" t="s">
        <v>819</v>
      </c>
      <c r="D758" s="4" t="s">
        <v>1658</v>
      </c>
      <c r="E758" s="4" t="s">
        <v>1968</v>
      </c>
      <c r="F758" s="4">
        <v>3</v>
      </c>
      <c r="G758" s="4">
        <v>94.83</v>
      </c>
      <c r="H758" s="4">
        <v>0.16</v>
      </c>
      <c r="I758" s="4" t="s">
        <v>2004</v>
      </c>
      <c r="J758" s="10">
        <v>238.9716</v>
      </c>
      <c r="K758" s="4" t="str">
        <f t="shared" si="77"/>
        <v>07-11-2023</v>
      </c>
      <c r="L758" s="4" t="str">
        <f>TEXT(Sales_Fact!$B758,"mmm")</f>
        <v>Nov</v>
      </c>
      <c r="M758" s="4">
        <f t="shared" si="78"/>
        <v>3</v>
      </c>
      <c r="N758" s="10">
        <f t="shared" si="79"/>
        <v>94.83</v>
      </c>
      <c r="O758" s="10">
        <f t="shared" si="80"/>
        <v>238.9716</v>
      </c>
      <c r="P758" s="10">
        <f t="shared" si="81"/>
        <v>284.49</v>
      </c>
      <c r="Q758" s="3">
        <f t="shared" si="82"/>
        <v>0.16000000000000003</v>
      </c>
      <c r="R758" s="4" t="str">
        <f>IF(Sales_Fact!$O758&gt;1000,"High","Low")</f>
        <v>Low</v>
      </c>
      <c r="S758" s="4" t="str">
        <f>VLOOKUP(C758,Customer_Dim!$A:$N,9,FALSE())</f>
        <v>Douglas Rhodes</v>
      </c>
      <c r="T758" s="4" t="str">
        <f>VLOOKUP(D758,Product_Dim!$A:$M,3,FALSE())</f>
        <v>Sports</v>
      </c>
      <c r="U758" s="11" t="str">
        <f>VLOOKUP(D758,Product_Dim!$A:$M,2,FALSE())</f>
        <v>Outdoor Sports Water Bottle</v>
      </c>
      <c r="V758" s="11" t="str">
        <f>VLOOKUP(E758,Store_Dim!$A:$E,3,FALSE())</f>
        <v>East</v>
      </c>
      <c r="W758" s="11" t="str">
        <f>VLOOKUP(C758,Customer_Dim!$A:$N,13,FALSE())</f>
        <v>Platinum</v>
      </c>
      <c r="X758" s="11" t="str">
        <f t="shared" si="83"/>
        <v>Low</v>
      </c>
    </row>
    <row r="759" spans="1:24" ht="15.75" customHeight="1">
      <c r="A759" s="4" t="s">
        <v>2755</v>
      </c>
      <c r="B759" s="9">
        <v>45462</v>
      </c>
      <c r="C759" s="4" t="s">
        <v>402</v>
      </c>
      <c r="D759" s="4" t="s">
        <v>1690</v>
      </c>
      <c r="E759" s="4" t="s">
        <v>1944</v>
      </c>
      <c r="F759" s="4">
        <v>1</v>
      </c>
      <c r="G759" s="4">
        <v>998.19</v>
      </c>
      <c r="H759" s="4">
        <v>0.2</v>
      </c>
      <c r="I759" s="4" t="s">
        <v>1996</v>
      </c>
      <c r="J759" s="10">
        <v>798.55200000000002</v>
      </c>
      <c r="K759" s="4" t="str">
        <f t="shared" si="77"/>
        <v>19-06-2024</v>
      </c>
      <c r="L759" s="4" t="str">
        <f>TEXT(Sales_Fact!$B759,"mmm")</f>
        <v>Jun</v>
      </c>
      <c r="M759" s="4">
        <f t="shared" si="78"/>
        <v>1</v>
      </c>
      <c r="N759" s="10">
        <f t="shared" si="79"/>
        <v>998.19</v>
      </c>
      <c r="O759" s="10">
        <f t="shared" si="80"/>
        <v>798.55200000000013</v>
      </c>
      <c r="P759" s="10">
        <f t="shared" si="81"/>
        <v>998.19</v>
      </c>
      <c r="Q759" s="3">
        <f t="shared" si="82"/>
        <v>0.1999999999999999</v>
      </c>
      <c r="R759" s="4" t="str">
        <f>IF(Sales_Fact!$O759&gt;1000,"High","Low")</f>
        <v>Low</v>
      </c>
      <c r="S759" s="4" t="str">
        <f>VLOOKUP(C759,Customer_Dim!$A:$N,9,FALSE())</f>
        <v>Travis Holland</v>
      </c>
      <c r="T759" s="4" t="str">
        <f>VLOOKUP(D759,Product_Dim!$A:$M,3,FALSE())</f>
        <v>Home</v>
      </c>
      <c r="U759" s="11" t="str">
        <f>VLOOKUP(D759,Product_Dim!$A:$M,2,FALSE())</f>
        <v>Stainless Steel Cutlery Set</v>
      </c>
      <c r="V759" s="11" t="str">
        <f>VLOOKUP(E759,Store_Dim!$A:$E,3,FALSE())</f>
        <v>South</v>
      </c>
      <c r="W759" s="11" t="str">
        <f>VLOOKUP(C759,Customer_Dim!$A:$N,13,FALSE())</f>
        <v>Bronze</v>
      </c>
      <c r="X759" s="11" t="str">
        <f t="shared" si="83"/>
        <v>Low</v>
      </c>
    </row>
    <row r="760" spans="1:24" ht="15.75" customHeight="1">
      <c r="A760" s="4" t="s">
        <v>2756</v>
      </c>
      <c r="B760" s="9">
        <v>45790</v>
      </c>
      <c r="C760" s="4" t="s">
        <v>102</v>
      </c>
      <c r="D760" s="4" t="s">
        <v>1813</v>
      </c>
      <c r="E760" s="4" t="s">
        <v>1971</v>
      </c>
      <c r="F760" s="4">
        <v>3</v>
      </c>
      <c r="G760" s="4">
        <v>74.66</v>
      </c>
      <c r="H760" s="4">
        <v>0.03</v>
      </c>
      <c r="I760" s="4" t="s">
        <v>1998</v>
      </c>
      <c r="J760" s="10">
        <v>217.26060000000001</v>
      </c>
      <c r="K760" s="4" t="str">
        <f t="shared" si="77"/>
        <v>13-05-2025</v>
      </c>
      <c r="L760" s="4" t="str">
        <f>TEXT(Sales_Fact!$B760,"mmm")</f>
        <v>May</v>
      </c>
      <c r="M760" s="4">
        <f t="shared" si="78"/>
        <v>3</v>
      </c>
      <c r="N760" s="10">
        <f t="shared" si="79"/>
        <v>74.66</v>
      </c>
      <c r="O760" s="10">
        <f t="shared" si="80"/>
        <v>217.26059999999998</v>
      </c>
      <c r="P760" s="10">
        <f t="shared" si="81"/>
        <v>223.98</v>
      </c>
      <c r="Q760" s="3">
        <f t="shared" si="82"/>
        <v>3.0000000000000034E-2</v>
      </c>
      <c r="R760" s="4" t="str">
        <f>IF(Sales_Fact!$O760&gt;1000,"High","Low")</f>
        <v>Low</v>
      </c>
      <c r="S760" s="4" t="str">
        <f>VLOOKUP(C760,Customer_Dim!$A:$N,9,FALSE())</f>
        <v>Rhonda Moss</v>
      </c>
      <c r="T760" s="4" t="str">
        <f>VLOOKUP(D760,Product_Dim!$A:$M,3,FALSE())</f>
        <v>Clothing</v>
      </c>
      <c r="U760" s="11" t="str">
        <f>VLOOKUP(D760,Product_Dim!$A:$M,2,FALSE())</f>
        <v>Men's Sports Shorts</v>
      </c>
      <c r="V760" s="11" t="str">
        <f>VLOOKUP(E760,Store_Dim!$A:$E,3,FALSE())</f>
        <v>East</v>
      </c>
      <c r="W760" s="11" t="str">
        <f>VLOOKUP(C760,Customer_Dim!$A:$N,13,FALSE())</f>
        <v>Standard</v>
      </c>
      <c r="X760" s="11" t="str">
        <f t="shared" si="83"/>
        <v>Low</v>
      </c>
    </row>
    <row r="761" spans="1:24" ht="15.75" customHeight="1">
      <c r="A761" s="4" t="s">
        <v>2757</v>
      </c>
      <c r="B761" s="9">
        <v>45268</v>
      </c>
      <c r="C761" s="4" t="s">
        <v>488</v>
      </c>
      <c r="D761" s="4" t="s">
        <v>1712</v>
      </c>
      <c r="E761" s="4" t="s">
        <v>1959</v>
      </c>
      <c r="F761" s="4">
        <v>3</v>
      </c>
      <c r="G761" s="4">
        <v>281.95999999999998</v>
      </c>
      <c r="H761" s="4">
        <v>0.01</v>
      </c>
      <c r="I761" s="4" t="s">
        <v>2004</v>
      </c>
      <c r="J761" s="10">
        <v>837.4212</v>
      </c>
      <c r="K761" s="4" t="str">
        <f t="shared" si="77"/>
        <v>08-12-2023</v>
      </c>
      <c r="L761" s="4" t="str">
        <f>TEXT(Sales_Fact!$B761,"mmm")</f>
        <v>Dec</v>
      </c>
      <c r="M761" s="4">
        <f t="shared" si="78"/>
        <v>3</v>
      </c>
      <c r="N761" s="10">
        <f t="shared" si="79"/>
        <v>281.95999999999998</v>
      </c>
      <c r="O761" s="10">
        <f t="shared" si="80"/>
        <v>837.42119999999989</v>
      </c>
      <c r="P761" s="10">
        <f t="shared" si="81"/>
        <v>845.87999999999988</v>
      </c>
      <c r="Q761" s="3">
        <f t="shared" si="82"/>
        <v>9.9999999999999967E-3</v>
      </c>
      <c r="R761" s="4" t="str">
        <f>IF(Sales_Fact!$O761&gt;1000,"High","Low")</f>
        <v>Low</v>
      </c>
      <c r="S761" s="4" t="str">
        <f>VLOOKUP(C761,Customer_Dim!$A:$N,9,FALSE())</f>
        <v>Patrick Coleman</v>
      </c>
      <c r="T761" s="4" t="str">
        <f>VLOOKUP(D761,Product_Dim!$A:$M,3,FALSE())</f>
        <v>Clothing</v>
      </c>
      <c r="U761" s="11" t="str">
        <f>VLOOKUP(D761,Product_Dim!$A:$M,2,FALSE())</f>
        <v>Men's Casual Sneakers</v>
      </c>
      <c r="V761" s="11" t="str">
        <f>VLOOKUP(E761,Store_Dim!$A:$E,3,FALSE())</f>
        <v>North</v>
      </c>
      <c r="W761" s="11" t="str">
        <f>VLOOKUP(C761,Customer_Dim!$A:$N,13,FALSE())</f>
        <v>Silver</v>
      </c>
      <c r="X761" s="11" t="str">
        <f t="shared" si="83"/>
        <v>Low</v>
      </c>
    </row>
    <row r="762" spans="1:24" ht="15.75" customHeight="1">
      <c r="A762" s="4" t="s">
        <v>2758</v>
      </c>
      <c r="B762" s="9">
        <v>45664</v>
      </c>
      <c r="C762" s="4" t="s">
        <v>786</v>
      </c>
      <c r="D762" s="4" t="s">
        <v>1819</v>
      </c>
      <c r="E762" s="4" t="s">
        <v>1968</v>
      </c>
      <c r="F762" s="4">
        <v>4</v>
      </c>
      <c r="G762" s="4">
        <v>622.27</v>
      </c>
      <c r="H762" s="4">
        <v>0.02</v>
      </c>
      <c r="I762" s="4" t="s">
        <v>1998</v>
      </c>
      <c r="J762" s="10">
        <v>2439.2984000000001</v>
      </c>
      <c r="K762" s="4" t="str">
        <f t="shared" si="77"/>
        <v>07-01-2025</v>
      </c>
      <c r="L762" s="4" t="str">
        <f>TEXT(Sales_Fact!$B762,"mmm")</f>
        <v>Jan</v>
      </c>
      <c r="M762" s="4">
        <f t="shared" si="78"/>
        <v>4</v>
      </c>
      <c r="N762" s="10">
        <f t="shared" si="79"/>
        <v>622.27</v>
      </c>
      <c r="O762" s="10">
        <f t="shared" si="80"/>
        <v>2439.2983999999997</v>
      </c>
      <c r="P762" s="10">
        <f t="shared" si="81"/>
        <v>2489.08</v>
      </c>
      <c r="Q762" s="3">
        <f t="shared" si="82"/>
        <v>2.0000000000000101E-2</v>
      </c>
      <c r="R762" s="4" t="str">
        <f>IF(Sales_Fact!$O762&gt;1000,"High","Low")</f>
        <v>High</v>
      </c>
      <c r="S762" s="4" t="str">
        <f>VLOOKUP(C762,Customer_Dim!$A:$N,9,FALSE())</f>
        <v>Joshua Wilson</v>
      </c>
      <c r="T762" s="4" t="str">
        <f>VLOOKUP(D762,Product_Dim!$A:$M,3,FALSE())</f>
        <v>Beauty</v>
      </c>
      <c r="U762" s="11" t="str">
        <f>VLOOKUP(D762,Product_Dim!$A:$M,2,FALSE())</f>
        <v>Hair Repair Oil Treatment</v>
      </c>
      <c r="V762" s="11" t="str">
        <f>VLOOKUP(E762,Store_Dim!$A:$E,3,FALSE())</f>
        <v>East</v>
      </c>
      <c r="W762" s="11" t="str">
        <f>VLOOKUP(C762,Customer_Dim!$A:$N,13,FALSE())</f>
        <v>Bronze</v>
      </c>
      <c r="X762" s="11" t="str">
        <f t="shared" si="83"/>
        <v>High</v>
      </c>
    </row>
    <row r="763" spans="1:24" ht="15.75" customHeight="1">
      <c r="A763" s="4" t="s">
        <v>2759</v>
      </c>
      <c r="B763" s="9">
        <v>45475</v>
      </c>
      <c r="C763" s="4" t="s">
        <v>384</v>
      </c>
      <c r="D763" s="4" t="s">
        <v>1712</v>
      </c>
      <c r="E763" s="4" t="s">
        <v>1937</v>
      </c>
      <c r="F763" s="4">
        <v>2</v>
      </c>
      <c r="G763" s="4">
        <v>78.27</v>
      </c>
      <c r="H763" s="4">
        <v>0.28999999999999998</v>
      </c>
      <c r="I763" s="4" t="s">
        <v>2004</v>
      </c>
      <c r="J763" s="10">
        <v>111.1434</v>
      </c>
      <c r="K763" s="4" t="str">
        <f t="shared" si="77"/>
        <v>02-07-2024</v>
      </c>
      <c r="L763" s="4" t="str">
        <f>TEXT(Sales_Fact!$B763,"mmm")</f>
        <v>Jul</v>
      </c>
      <c r="M763" s="4">
        <f t="shared" si="78"/>
        <v>2</v>
      </c>
      <c r="N763" s="10">
        <f t="shared" si="79"/>
        <v>78.27</v>
      </c>
      <c r="O763" s="10">
        <f t="shared" si="80"/>
        <v>111.14339999999999</v>
      </c>
      <c r="P763" s="10">
        <f t="shared" si="81"/>
        <v>156.54</v>
      </c>
      <c r="Q763" s="3">
        <f t="shared" si="82"/>
        <v>0.29000000000000004</v>
      </c>
      <c r="R763" s="4" t="str">
        <f>IF(Sales_Fact!$O763&gt;1000,"High","Low")</f>
        <v>Low</v>
      </c>
      <c r="S763" s="4" t="str">
        <f>VLOOKUP(C763,Customer_Dim!$A:$N,9,FALSE())</f>
        <v>Sarah Schneider</v>
      </c>
      <c r="T763" s="4" t="str">
        <f>VLOOKUP(D763,Product_Dim!$A:$M,3,FALSE())</f>
        <v>Clothing</v>
      </c>
      <c r="U763" s="11" t="str">
        <f>VLOOKUP(D763,Product_Dim!$A:$M,2,FALSE())</f>
        <v>Men's Casual Sneakers</v>
      </c>
      <c r="V763" s="11" t="str">
        <f>VLOOKUP(E763,Store_Dim!$A:$E,3,FALSE())</f>
        <v>South</v>
      </c>
      <c r="W763" s="11" t="str">
        <f>VLOOKUP(C763,Customer_Dim!$A:$N,13,FALSE())</f>
        <v>Bronze</v>
      </c>
      <c r="X763" s="11" t="str">
        <f t="shared" si="83"/>
        <v>Low</v>
      </c>
    </row>
    <row r="764" spans="1:24" ht="15.75" customHeight="1">
      <c r="A764" s="4" t="s">
        <v>2760</v>
      </c>
      <c r="B764" s="9">
        <v>45845</v>
      </c>
      <c r="C764" s="4" t="s">
        <v>79</v>
      </c>
      <c r="D764" s="4" t="s">
        <v>1791</v>
      </c>
      <c r="E764" s="4" t="s">
        <v>1955</v>
      </c>
      <c r="F764" s="4">
        <v>4</v>
      </c>
      <c r="G764" s="4">
        <v>676.58</v>
      </c>
      <c r="H764" s="4">
        <v>0.23</v>
      </c>
      <c r="I764" s="4" t="s">
        <v>2004</v>
      </c>
      <c r="J764" s="10">
        <v>2083.8663999999999</v>
      </c>
      <c r="K764" s="4" t="str">
        <f t="shared" si="77"/>
        <v>07-07-2025</v>
      </c>
      <c r="L764" s="4" t="str">
        <f>TEXT(Sales_Fact!$B764,"mmm")</f>
        <v>Jul</v>
      </c>
      <c r="M764" s="4">
        <f t="shared" si="78"/>
        <v>4</v>
      </c>
      <c r="N764" s="10">
        <f t="shared" si="79"/>
        <v>676.58</v>
      </c>
      <c r="O764" s="10">
        <f t="shared" si="80"/>
        <v>2083.8664000000003</v>
      </c>
      <c r="P764" s="10">
        <f t="shared" si="81"/>
        <v>2706.32</v>
      </c>
      <c r="Q764" s="3">
        <f t="shared" si="82"/>
        <v>0.22999999999999993</v>
      </c>
      <c r="R764" s="4" t="str">
        <f>IF(Sales_Fact!$O764&gt;1000,"High","Low")</f>
        <v>High</v>
      </c>
      <c r="S764" s="4" t="str">
        <f>VLOOKUP(C764,Customer_Dim!$A:$N,9,FALSE())</f>
        <v>Kenneth Lambert</v>
      </c>
      <c r="T764" s="4" t="str">
        <f>VLOOKUP(D764,Product_Dim!$A:$M,3,FALSE())</f>
        <v>Electronics</v>
      </c>
      <c r="U764" s="11" t="str">
        <f>VLOOKUP(D764,Product_Dim!$A:$M,2,FALSE())</f>
        <v>Laptop Cooling Pad</v>
      </c>
      <c r="V764" s="11" t="str">
        <f>VLOOKUP(E764,Store_Dim!$A:$E,3,FALSE())</f>
        <v>East</v>
      </c>
      <c r="W764" s="11" t="str">
        <f>VLOOKUP(C764,Customer_Dim!$A:$N,13,FALSE())</f>
        <v>Platinum</v>
      </c>
      <c r="X764" s="11" t="str">
        <f t="shared" si="83"/>
        <v>High</v>
      </c>
    </row>
    <row r="765" spans="1:24" ht="15.75" customHeight="1">
      <c r="A765" s="4" t="s">
        <v>2761</v>
      </c>
      <c r="B765" s="9">
        <v>45446</v>
      </c>
      <c r="C765" s="4" t="s">
        <v>1524</v>
      </c>
      <c r="D765" s="4" t="s">
        <v>1693</v>
      </c>
      <c r="E765" s="4" t="s">
        <v>1915</v>
      </c>
      <c r="F765" s="4">
        <v>2</v>
      </c>
      <c r="G765" s="4">
        <v>938.6</v>
      </c>
      <c r="H765" s="4">
        <v>0.04</v>
      </c>
      <c r="I765" s="4" t="s">
        <v>1998</v>
      </c>
      <c r="J765" s="10">
        <v>1802.1120000000001</v>
      </c>
      <c r="K765" s="4" t="str">
        <f t="shared" si="77"/>
        <v>03-06-2024</v>
      </c>
      <c r="L765" s="4" t="str">
        <f>TEXT(Sales_Fact!$B765,"mmm")</f>
        <v>Jun</v>
      </c>
      <c r="M765" s="4">
        <f t="shared" si="78"/>
        <v>2</v>
      </c>
      <c r="N765" s="10">
        <f t="shared" si="79"/>
        <v>938.6</v>
      </c>
      <c r="O765" s="10">
        <f t="shared" si="80"/>
        <v>1802.1120000000001</v>
      </c>
      <c r="P765" s="10">
        <f t="shared" si="81"/>
        <v>1877.2</v>
      </c>
      <c r="Q765" s="3">
        <f t="shared" si="82"/>
        <v>3.999999999999998E-2</v>
      </c>
      <c r="R765" s="4" t="str">
        <f>IF(Sales_Fact!$O765&gt;1000,"High","Low")</f>
        <v>High</v>
      </c>
      <c r="S765" s="4" t="str">
        <f>VLOOKUP(C765,Customer_Dim!$A:$N,9,FALSE())</f>
        <v>Eric Lee</v>
      </c>
      <c r="T765" s="4" t="str">
        <f>VLOOKUP(D765,Product_Dim!$A:$M,3,FALSE())</f>
        <v>Sports</v>
      </c>
      <c r="U765" s="11" t="str">
        <f>VLOOKUP(D765,Product_Dim!$A:$M,2,FALSE())</f>
        <v>Basketball</v>
      </c>
      <c r="V765" s="11" t="str">
        <f>VLOOKUP(E765,Store_Dim!$A:$E,3,FALSE())</f>
        <v>North</v>
      </c>
      <c r="W765" s="11" t="str">
        <f>VLOOKUP(C765,Customer_Dim!$A:$N,13,FALSE())</f>
        <v>Bronze</v>
      </c>
      <c r="X765" s="11" t="str">
        <f t="shared" si="83"/>
        <v>Low</v>
      </c>
    </row>
    <row r="766" spans="1:24" ht="15.75" customHeight="1">
      <c r="A766" s="4" t="s">
        <v>2762</v>
      </c>
      <c r="B766" s="9">
        <v>45761</v>
      </c>
      <c r="C766" s="4" t="s">
        <v>1141</v>
      </c>
      <c r="D766" s="4" t="s">
        <v>1633</v>
      </c>
      <c r="E766" s="4" t="s">
        <v>1957</v>
      </c>
      <c r="F766" s="4">
        <v>2</v>
      </c>
      <c r="G766" s="4">
        <v>859.47</v>
      </c>
      <c r="H766" s="4">
        <v>0.01</v>
      </c>
      <c r="I766" s="4" t="s">
        <v>1996</v>
      </c>
      <c r="J766" s="10">
        <v>1701.7506000000001</v>
      </c>
      <c r="K766" s="4" t="str">
        <f t="shared" si="77"/>
        <v>14-04-2025</v>
      </c>
      <c r="L766" s="4" t="str">
        <f>TEXT(Sales_Fact!$B766,"mmm")</f>
        <v>Apr</v>
      </c>
      <c r="M766" s="4">
        <f t="shared" si="78"/>
        <v>2</v>
      </c>
      <c r="N766" s="10">
        <f t="shared" si="79"/>
        <v>859.47</v>
      </c>
      <c r="O766" s="10">
        <f t="shared" si="80"/>
        <v>1701.7506000000001</v>
      </c>
      <c r="P766" s="10">
        <f t="shared" si="81"/>
        <v>1718.94</v>
      </c>
      <c r="Q766" s="3">
        <f t="shared" si="82"/>
        <v>9.9999999999999863E-3</v>
      </c>
      <c r="R766" s="4" t="str">
        <f>IF(Sales_Fact!$O766&gt;1000,"High","Low")</f>
        <v>High</v>
      </c>
      <c r="S766" s="4" t="str">
        <f>VLOOKUP(C766,Customer_Dim!$A:$N,9,FALSE())</f>
        <v>Carlos Flores</v>
      </c>
      <c r="T766" s="4" t="str">
        <f>VLOOKUP(D766,Product_Dim!$A:$M,3,FALSE())</f>
        <v>Electronics</v>
      </c>
      <c r="U766" s="11" t="str">
        <f>VLOOKUP(D766,Product_Dim!$A:$M,2,FALSE())</f>
        <v>USB-C Fast Charger</v>
      </c>
      <c r="V766" s="11" t="str">
        <f>VLOOKUP(E766,Store_Dim!$A:$E,3,FALSE())</f>
        <v>South</v>
      </c>
      <c r="W766" s="11" t="str">
        <f>VLOOKUP(C766,Customer_Dim!$A:$N,13,FALSE())</f>
        <v>Gold</v>
      </c>
      <c r="X766" s="11" t="str">
        <f t="shared" si="83"/>
        <v>Low</v>
      </c>
    </row>
    <row r="767" spans="1:24" ht="15.75" customHeight="1">
      <c r="A767" s="4" t="s">
        <v>2763</v>
      </c>
      <c r="B767" s="9">
        <v>45363</v>
      </c>
      <c r="C767" s="4" t="s">
        <v>235</v>
      </c>
      <c r="D767" s="4" t="s">
        <v>1681</v>
      </c>
      <c r="E767" s="4" t="s">
        <v>1957</v>
      </c>
      <c r="F767" s="4">
        <v>3</v>
      </c>
      <c r="G767" s="4">
        <v>672.98</v>
      </c>
      <c r="H767" s="4">
        <v>0.23</v>
      </c>
      <c r="I767" s="4" t="s">
        <v>1998</v>
      </c>
      <c r="J767" s="10">
        <v>1554.5838000000001</v>
      </c>
      <c r="K767" s="4" t="str">
        <f t="shared" si="77"/>
        <v>12-03-2024</v>
      </c>
      <c r="L767" s="4" t="str">
        <f>TEXT(Sales_Fact!$B767,"mmm")</f>
        <v>Mar</v>
      </c>
      <c r="M767" s="4">
        <f t="shared" si="78"/>
        <v>3</v>
      </c>
      <c r="N767" s="10">
        <f t="shared" si="79"/>
        <v>672.98</v>
      </c>
      <c r="O767" s="10">
        <f t="shared" si="80"/>
        <v>1554.5838000000001</v>
      </c>
      <c r="P767" s="10">
        <f t="shared" si="81"/>
        <v>2018.94</v>
      </c>
      <c r="Q767" s="3">
        <f t="shared" si="82"/>
        <v>0.22999999999999995</v>
      </c>
      <c r="R767" s="4" t="str">
        <f>IF(Sales_Fact!$O767&gt;1000,"High","Low")</f>
        <v>High</v>
      </c>
      <c r="S767" s="4" t="str">
        <f>VLOOKUP(C767,Customer_Dim!$A:$N,9,FALSE())</f>
        <v>Jay Patel</v>
      </c>
      <c r="T767" s="4" t="str">
        <f>VLOOKUP(D767,Product_Dim!$A:$M,3,FALSE())</f>
        <v>Home</v>
      </c>
      <c r="U767" s="11" t="str">
        <f>VLOOKUP(D767,Product_Dim!$A:$M,2,FALSE())</f>
        <v>Decorative Floor Vase</v>
      </c>
      <c r="V767" s="11" t="str">
        <f>VLOOKUP(E767,Store_Dim!$A:$E,3,FALSE())</f>
        <v>South</v>
      </c>
      <c r="W767" s="11" t="str">
        <f>VLOOKUP(C767,Customer_Dim!$A:$N,13,FALSE())</f>
        <v>Platinum</v>
      </c>
      <c r="X767" s="11" t="str">
        <f t="shared" si="83"/>
        <v>Low</v>
      </c>
    </row>
    <row r="768" spans="1:24" ht="15.75" customHeight="1">
      <c r="A768" s="4" t="s">
        <v>2764</v>
      </c>
      <c r="B768" s="9">
        <v>45420</v>
      </c>
      <c r="C768" s="4" t="s">
        <v>697</v>
      </c>
      <c r="D768" s="4" t="s">
        <v>1773</v>
      </c>
      <c r="E768" s="4" t="s">
        <v>1968</v>
      </c>
      <c r="F768" s="4">
        <v>1</v>
      </c>
      <c r="G768" s="4">
        <v>75.8</v>
      </c>
      <c r="H768" s="4">
        <v>0.28999999999999998</v>
      </c>
      <c r="I768" s="4" t="s">
        <v>1998</v>
      </c>
      <c r="J768" s="10">
        <v>53.817999999999998</v>
      </c>
      <c r="K768" s="4" t="str">
        <f t="shared" si="77"/>
        <v>08-05-2024</v>
      </c>
      <c r="L768" s="4" t="str">
        <f>TEXT(Sales_Fact!$B768,"mmm")</f>
        <v>May</v>
      </c>
      <c r="M768" s="4">
        <f t="shared" si="78"/>
        <v>1</v>
      </c>
      <c r="N768" s="10">
        <f t="shared" si="79"/>
        <v>75.8</v>
      </c>
      <c r="O768" s="10">
        <f t="shared" si="80"/>
        <v>53.817999999999998</v>
      </c>
      <c r="P768" s="10">
        <f t="shared" si="81"/>
        <v>75.8</v>
      </c>
      <c r="Q768" s="3">
        <f t="shared" si="82"/>
        <v>0.28999999999999998</v>
      </c>
      <c r="R768" s="4" t="str">
        <f>IF(Sales_Fact!$O768&gt;1000,"High","Low")</f>
        <v>Low</v>
      </c>
      <c r="S768" s="4" t="str">
        <f>VLOOKUP(C768,Customer_Dim!$A:$N,9,FALSE())</f>
        <v>Ronald Jones</v>
      </c>
      <c r="T768" s="4" t="str">
        <f>VLOOKUP(D768,Product_Dim!$A:$M,3,FALSE())</f>
        <v>Home</v>
      </c>
      <c r="U768" s="11" t="str">
        <f>VLOOKUP(D768,Product_Dim!$A:$M,2,FALSE())</f>
        <v>Premium Blanket Throw</v>
      </c>
      <c r="V768" s="11" t="str">
        <f>VLOOKUP(E768,Store_Dim!$A:$E,3,FALSE())</f>
        <v>East</v>
      </c>
      <c r="W768" s="11" t="str">
        <f>VLOOKUP(C768,Customer_Dim!$A:$N,13,FALSE())</f>
        <v>Silver</v>
      </c>
      <c r="X768" s="11" t="str">
        <f t="shared" si="83"/>
        <v>Low</v>
      </c>
    </row>
    <row r="769" spans="1:24" ht="15.75" customHeight="1">
      <c r="A769" s="4" t="s">
        <v>2765</v>
      </c>
      <c r="B769" s="9">
        <v>45536</v>
      </c>
      <c r="C769" s="4" t="s">
        <v>158</v>
      </c>
      <c r="D769" s="4" t="s">
        <v>1648</v>
      </c>
      <c r="E769" s="4" t="s">
        <v>1959</v>
      </c>
      <c r="F769" s="4">
        <v>4</v>
      </c>
      <c r="G769" s="4">
        <v>742.15</v>
      </c>
      <c r="H769" s="4">
        <v>0.1</v>
      </c>
      <c r="I769" s="4" t="s">
        <v>2004</v>
      </c>
      <c r="J769" s="10">
        <v>2671.74</v>
      </c>
      <c r="K769" s="4" t="str">
        <f t="shared" si="77"/>
        <v>01-09-2024</v>
      </c>
      <c r="L769" s="4" t="str">
        <f>TEXT(Sales_Fact!$B769,"mmm")</f>
        <v>Sep</v>
      </c>
      <c r="M769" s="4">
        <f t="shared" si="78"/>
        <v>4</v>
      </c>
      <c r="N769" s="10">
        <f t="shared" si="79"/>
        <v>742.15</v>
      </c>
      <c r="O769" s="10">
        <f t="shared" si="80"/>
        <v>2671.74</v>
      </c>
      <c r="P769" s="10">
        <f t="shared" si="81"/>
        <v>2968.6</v>
      </c>
      <c r="Q769" s="3">
        <f t="shared" si="82"/>
        <v>0.10000000000000005</v>
      </c>
      <c r="R769" s="4" t="str">
        <f>IF(Sales_Fact!$O769&gt;1000,"High","Low")</f>
        <v>High</v>
      </c>
      <c r="S769" s="4" t="str">
        <f>VLOOKUP(C769,Customer_Dim!$A:$N,9,FALSE())</f>
        <v>Christopher Olson</v>
      </c>
      <c r="T769" s="4" t="str">
        <f>VLOOKUP(D769,Product_Dim!$A:$M,3,FALSE())</f>
        <v>Sports</v>
      </c>
      <c r="U769" s="11" t="str">
        <f>VLOOKUP(D769,Product_Dim!$A:$M,2,FALSE())</f>
        <v>Soccer Training Cone Set</v>
      </c>
      <c r="V769" s="11" t="str">
        <f>VLOOKUP(E769,Store_Dim!$A:$E,3,FALSE())</f>
        <v>North</v>
      </c>
      <c r="W769" s="11" t="str">
        <f>VLOOKUP(C769,Customer_Dim!$A:$N,13,FALSE())</f>
        <v>Platinum</v>
      </c>
      <c r="X769" s="11" t="str">
        <f t="shared" si="83"/>
        <v>High</v>
      </c>
    </row>
    <row r="770" spans="1:24" ht="15.75" customHeight="1">
      <c r="A770" s="4" t="s">
        <v>2766</v>
      </c>
      <c r="B770" s="9">
        <v>45313</v>
      </c>
      <c r="C770" s="4" t="s">
        <v>1195</v>
      </c>
      <c r="D770" s="4" t="s">
        <v>1822</v>
      </c>
      <c r="E770" s="4" t="s">
        <v>1937</v>
      </c>
      <c r="F770" s="4">
        <v>2</v>
      </c>
      <c r="G770" s="4">
        <v>343.42</v>
      </c>
      <c r="H770" s="4">
        <v>0.12</v>
      </c>
      <c r="I770" s="4" t="s">
        <v>2004</v>
      </c>
      <c r="J770" s="10">
        <v>604.41920000000005</v>
      </c>
      <c r="K770" s="4" t="str">
        <f t="shared" ref="K770:K833" si="84">TEXT(B770,"dd-mm-yyyy")</f>
        <v>22-01-2024</v>
      </c>
      <c r="L770" s="4" t="str">
        <f>TEXT(Sales_Fact!$B770,"mmm")</f>
        <v>Jan</v>
      </c>
      <c r="M770" s="4">
        <f t="shared" ref="M770:M833" si="85">IF(ISBLANK(F770),1,F770)</f>
        <v>2</v>
      </c>
      <c r="N770" s="10">
        <f t="shared" ref="N770:N833" si="86">ROUNDUP(IF(ISBLANK(G770),AVERAGE(C:C,G770,G:G),G770),2)</f>
        <v>343.42</v>
      </c>
      <c r="O770" s="10">
        <f t="shared" ref="O770:O833" si="87">M770*N770*(1-H770)</f>
        <v>604.41920000000005</v>
      </c>
      <c r="P770" s="10">
        <f t="shared" ref="P770:P833" si="88">M770*N770</f>
        <v>686.84</v>
      </c>
      <c r="Q770" s="3">
        <f t="shared" ref="Q770:Q833" si="89">(P770-O770)/P770</f>
        <v>0.11999999999999997</v>
      </c>
      <c r="R770" s="4" t="str">
        <f>IF(Sales_Fact!$O770&gt;1000,"High","Low")</f>
        <v>Low</v>
      </c>
      <c r="S770" s="4" t="str">
        <f>VLOOKUP(C770,Customer_Dim!$A:$N,9,FALSE())</f>
        <v>James Orozco</v>
      </c>
      <c r="T770" s="4" t="str">
        <f>VLOOKUP(D770,Product_Dim!$A:$M,3,FALSE())</f>
        <v>Sports</v>
      </c>
      <c r="U770" s="11" t="str">
        <f>VLOOKUP(D770,Product_Dim!$A:$M,2,FALSE())</f>
        <v>Professional Jump Rope</v>
      </c>
      <c r="V770" s="11" t="str">
        <f>VLOOKUP(E770,Store_Dim!$A:$E,3,FALSE())</f>
        <v>South</v>
      </c>
      <c r="W770" s="11" t="str">
        <f>VLOOKUP(C770,Customer_Dim!$A:$N,13,FALSE())</f>
        <v>Gold</v>
      </c>
      <c r="X770" s="11" t="str">
        <f t="shared" ref="X770:X833" si="90">IF(F770&gt;3,"High","Low")</f>
        <v>Low</v>
      </c>
    </row>
    <row r="771" spans="1:24" ht="15.75" customHeight="1">
      <c r="A771" s="4" t="s">
        <v>2767</v>
      </c>
      <c r="B771" s="9">
        <v>45445</v>
      </c>
      <c r="C771" s="4" t="s">
        <v>285</v>
      </c>
      <c r="D771" s="4" t="s">
        <v>1690</v>
      </c>
      <c r="E771" s="4" t="s">
        <v>1937</v>
      </c>
      <c r="F771" s="4">
        <v>1</v>
      </c>
      <c r="G771" s="4">
        <v>637.39</v>
      </c>
      <c r="H771" s="4">
        <v>0.22</v>
      </c>
      <c r="I771" s="4" t="s">
        <v>1998</v>
      </c>
      <c r="J771" s="10">
        <v>497.16419999999999</v>
      </c>
      <c r="K771" s="4" t="str">
        <f t="shared" si="84"/>
        <v>02-06-2024</v>
      </c>
      <c r="L771" s="4" t="str">
        <f>TEXT(Sales_Fact!$B771,"mmm")</f>
        <v>Jun</v>
      </c>
      <c r="M771" s="4">
        <f t="shared" si="85"/>
        <v>1</v>
      </c>
      <c r="N771" s="10">
        <f t="shared" si="86"/>
        <v>637.39</v>
      </c>
      <c r="O771" s="10">
        <f t="shared" si="87"/>
        <v>497.16419999999999</v>
      </c>
      <c r="P771" s="10">
        <f t="shared" si="88"/>
        <v>637.39</v>
      </c>
      <c r="Q771" s="3">
        <f t="shared" si="89"/>
        <v>0.22</v>
      </c>
      <c r="R771" s="4" t="str">
        <f>IF(Sales_Fact!$O771&gt;1000,"High","Low")</f>
        <v>Low</v>
      </c>
      <c r="S771" s="4" t="str">
        <f>VLOOKUP(C771,Customer_Dim!$A:$N,9,FALSE())</f>
        <v>Tonya Burch</v>
      </c>
      <c r="T771" s="4" t="str">
        <f>VLOOKUP(D771,Product_Dim!$A:$M,3,FALSE())</f>
        <v>Home</v>
      </c>
      <c r="U771" s="11" t="str">
        <f>VLOOKUP(D771,Product_Dim!$A:$M,2,FALSE())</f>
        <v>Stainless Steel Cutlery Set</v>
      </c>
      <c r="V771" s="11" t="str">
        <f>VLOOKUP(E771,Store_Dim!$A:$E,3,FALSE())</f>
        <v>South</v>
      </c>
      <c r="W771" s="11" t="str">
        <f>VLOOKUP(C771,Customer_Dim!$A:$N,13,FALSE())</f>
        <v>Gold</v>
      </c>
      <c r="X771" s="11" t="str">
        <f t="shared" si="90"/>
        <v>Low</v>
      </c>
    </row>
    <row r="772" spans="1:24" ht="15.75" customHeight="1">
      <c r="A772" s="4" t="s">
        <v>2768</v>
      </c>
      <c r="B772" s="9">
        <v>45230</v>
      </c>
      <c r="C772" s="4" t="s">
        <v>1249</v>
      </c>
      <c r="D772" s="4" t="s">
        <v>1603</v>
      </c>
      <c r="E772" s="4" t="s">
        <v>1965</v>
      </c>
      <c r="F772" s="4">
        <v>1</v>
      </c>
      <c r="G772" s="4">
        <v>631</v>
      </c>
      <c r="H772" s="4">
        <v>0.04</v>
      </c>
      <c r="I772" s="4" t="s">
        <v>1996</v>
      </c>
      <c r="J772" s="10">
        <v>605.76</v>
      </c>
      <c r="K772" s="4" t="str">
        <f t="shared" si="84"/>
        <v>31-10-2023</v>
      </c>
      <c r="L772" s="4" t="str">
        <f>TEXT(Sales_Fact!$B772,"mmm")</f>
        <v>Oct</v>
      </c>
      <c r="M772" s="4">
        <f t="shared" si="85"/>
        <v>1</v>
      </c>
      <c r="N772" s="10">
        <f t="shared" si="86"/>
        <v>631</v>
      </c>
      <c r="O772" s="10">
        <f t="shared" si="87"/>
        <v>605.76</v>
      </c>
      <c r="P772" s="10">
        <f t="shared" si="88"/>
        <v>631</v>
      </c>
      <c r="Q772" s="3">
        <f t="shared" si="89"/>
        <v>4.0000000000000015E-2</v>
      </c>
      <c r="R772" s="4" t="str">
        <f>IF(Sales_Fact!$O772&gt;1000,"High","Low")</f>
        <v>Low</v>
      </c>
      <c r="S772" s="4" t="str">
        <f>VLOOKUP(C772,Customer_Dim!$A:$N,9,FALSE())</f>
        <v>Heidi Tyler</v>
      </c>
      <c r="T772" s="4" t="str">
        <f>VLOOKUP(D772,Product_Dim!$A:$M,3,FALSE())</f>
        <v>Beauty</v>
      </c>
      <c r="U772" s="11" t="str">
        <f>VLOOKUP(D772,Product_Dim!$A:$M,2,FALSE())</f>
        <v>Herbal Face Moisturizer</v>
      </c>
      <c r="V772" s="11" t="str">
        <f>VLOOKUP(E772,Store_Dim!$A:$E,3,FALSE())</f>
        <v>North</v>
      </c>
      <c r="W772" s="11" t="str">
        <f>VLOOKUP(C772,Customer_Dim!$A:$N,13,FALSE())</f>
        <v>Bronze</v>
      </c>
      <c r="X772" s="11" t="str">
        <f t="shared" si="90"/>
        <v>Low</v>
      </c>
    </row>
    <row r="773" spans="1:24" ht="15.75" customHeight="1">
      <c r="A773" s="4" t="s">
        <v>2769</v>
      </c>
      <c r="B773" s="9">
        <v>45916</v>
      </c>
      <c r="C773" s="4" t="s">
        <v>1255</v>
      </c>
      <c r="D773" s="4" t="s">
        <v>1846</v>
      </c>
      <c r="E773" s="4" t="s">
        <v>1924</v>
      </c>
      <c r="F773" s="4">
        <v>4</v>
      </c>
      <c r="G773" s="4">
        <v>983.98</v>
      </c>
      <c r="H773" s="4">
        <v>0.11</v>
      </c>
      <c r="I773" s="4" t="s">
        <v>2004</v>
      </c>
      <c r="J773" s="10">
        <v>3502.9688000000001</v>
      </c>
      <c r="K773" s="4" t="str">
        <f t="shared" si="84"/>
        <v>16-09-2025</v>
      </c>
      <c r="L773" s="4" t="str">
        <f>TEXT(Sales_Fact!$B773,"mmm")</f>
        <v>Sep</v>
      </c>
      <c r="M773" s="4">
        <f t="shared" si="85"/>
        <v>4</v>
      </c>
      <c r="N773" s="10">
        <f t="shared" si="86"/>
        <v>983.98</v>
      </c>
      <c r="O773" s="10">
        <f t="shared" si="87"/>
        <v>3502.9688000000001</v>
      </c>
      <c r="P773" s="10">
        <f t="shared" si="88"/>
        <v>3935.92</v>
      </c>
      <c r="Q773" s="3">
        <f t="shared" si="89"/>
        <v>0.10999999999999999</v>
      </c>
      <c r="R773" s="4" t="str">
        <f>IF(Sales_Fact!$O773&gt;1000,"High","Low")</f>
        <v>High</v>
      </c>
      <c r="S773" s="4" t="str">
        <f>VLOOKUP(C773,Customer_Dim!$A:$N,9,FALSE())</f>
        <v>Michael Mcneil</v>
      </c>
      <c r="T773" s="4" t="str">
        <f>VLOOKUP(D773,Product_Dim!$A:$M,3,FALSE())</f>
        <v>Home</v>
      </c>
      <c r="U773" s="11" t="str">
        <f>VLOOKUP(D773,Product_Dim!$A:$M,2,FALSE())</f>
        <v>Wall-Mounted Spice Rack</v>
      </c>
      <c r="V773" s="11" t="str">
        <f>VLOOKUP(E773,Store_Dim!$A:$E,3,FALSE())</f>
        <v>North</v>
      </c>
      <c r="W773" s="11" t="str">
        <f>VLOOKUP(C773,Customer_Dim!$A:$N,13,FALSE())</f>
        <v>Bronze</v>
      </c>
      <c r="X773" s="11" t="str">
        <f t="shared" si="90"/>
        <v>High</v>
      </c>
    </row>
    <row r="774" spans="1:24" ht="15.75" customHeight="1">
      <c r="A774" s="4" t="s">
        <v>2770</v>
      </c>
      <c r="B774" s="9">
        <v>45353</v>
      </c>
      <c r="C774" s="4" t="s">
        <v>226</v>
      </c>
      <c r="D774" s="4" t="s">
        <v>1770</v>
      </c>
      <c r="E774" s="4" t="s">
        <v>1950</v>
      </c>
      <c r="F774" s="4">
        <v>4</v>
      </c>
      <c r="G774" s="4">
        <v>73.69</v>
      </c>
      <c r="H774" s="4">
        <v>0.08</v>
      </c>
      <c r="I774" s="4" t="s">
        <v>1996</v>
      </c>
      <c r="J774" s="10">
        <v>271.17919999999998</v>
      </c>
      <c r="K774" s="4" t="str">
        <f t="shared" si="84"/>
        <v>02-03-2024</v>
      </c>
      <c r="L774" s="4" t="str">
        <f>TEXT(Sales_Fact!$B774,"mmm")</f>
        <v>Mar</v>
      </c>
      <c r="M774" s="4">
        <f t="shared" si="85"/>
        <v>4</v>
      </c>
      <c r="N774" s="10">
        <f t="shared" si="86"/>
        <v>73.69</v>
      </c>
      <c r="O774" s="10">
        <f t="shared" si="87"/>
        <v>271.17919999999998</v>
      </c>
      <c r="P774" s="10">
        <f t="shared" si="88"/>
        <v>294.76</v>
      </c>
      <c r="Q774" s="3">
        <f t="shared" si="89"/>
        <v>8.0000000000000043E-2</v>
      </c>
      <c r="R774" s="4" t="str">
        <f>IF(Sales_Fact!$O774&gt;1000,"High","Low")</f>
        <v>Low</v>
      </c>
      <c r="S774" s="4" t="str">
        <f>VLOOKUP(C774,Customer_Dim!$A:$N,9,FALSE())</f>
        <v>Katherine Dorsey</v>
      </c>
      <c r="T774" s="4" t="str">
        <f>VLOOKUP(D774,Product_Dim!$A:$M,3,FALSE())</f>
        <v>Home</v>
      </c>
      <c r="U774" s="11" t="str">
        <f>VLOOKUP(D774,Product_Dim!$A:$M,2,FALSE())</f>
        <v>Ceramic Plant Pot</v>
      </c>
      <c r="V774" s="11" t="str">
        <f>VLOOKUP(E774,Store_Dim!$A:$E,3,FALSE())</f>
        <v>South</v>
      </c>
      <c r="W774" s="11" t="str">
        <f>VLOOKUP(C774,Customer_Dim!$A:$N,13,FALSE())</f>
        <v>Platinum</v>
      </c>
      <c r="X774" s="11" t="str">
        <f t="shared" si="90"/>
        <v>High</v>
      </c>
    </row>
    <row r="775" spans="1:24" ht="15.75" customHeight="1">
      <c r="A775" s="4" t="s">
        <v>2771</v>
      </c>
      <c r="B775" s="9">
        <v>45490</v>
      </c>
      <c r="C775" s="4" t="s">
        <v>1372</v>
      </c>
      <c r="D775" s="4" t="s">
        <v>1626</v>
      </c>
      <c r="E775" s="4" t="s">
        <v>1937</v>
      </c>
      <c r="F775" s="4">
        <v>3</v>
      </c>
      <c r="G775" s="4">
        <v>110.99</v>
      </c>
      <c r="H775" s="4">
        <v>0.21</v>
      </c>
      <c r="I775" s="4" t="s">
        <v>1996</v>
      </c>
      <c r="J775" s="10">
        <v>263.04629999999997</v>
      </c>
      <c r="K775" s="4" t="str">
        <f t="shared" si="84"/>
        <v>17-07-2024</v>
      </c>
      <c r="L775" s="4" t="str">
        <f>TEXT(Sales_Fact!$B775,"mmm")</f>
        <v>Jul</v>
      </c>
      <c r="M775" s="4">
        <f t="shared" si="85"/>
        <v>3</v>
      </c>
      <c r="N775" s="10">
        <f t="shared" si="86"/>
        <v>110.99</v>
      </c>
      <c r="O775" s="10">
        <f t="shared" si="87"/>
        <v>263.04629999999997</v>
      </c>
      <c r="P775" s="10">
        <f t="shared" si="88"/>
        <v>332.96999999999997</v>
      </c>
      <c r="Q775" s="3">
        <f t="shared" si="89"/>
        <v>0.21000000000000002</v>
      </c>
      <c r="R775" s="4" t="str">
        <f>IF(Sales_Fact!$O775&gt;1000,"High","Low")</f>
        <v>Low</v>
      </c>
      <c r="S775" s="4" t="str">
        <f>VLOOKUP(C775,Customer_Dim!$A:$N,9,FALSE())</f>
        <v>Thomas Moore</v>
      </c>
      <c r="T775" s="4" t="str">
        <f>VLOOKUP(D775,Product_Dim!$A:$M,3,FALSE())</f>
        <v>Electronics</v>
      </c>
      <c r="U775" s="11" t="str">
        <f>VLOOKUP(D775,Product_Dim!$A:$M,2,FALSE())</f>
        <v>HD Smart TV Stick</v>
      </c>
      <c r="V775" s="11" t="str">
        <f>VLOOKUP(E775,Store_Dim!$A:$E,3,FALSE())</f>
        <v>South</v>
      </c>
      <c r="W775" s="11" t="str">
        <f>VLOOKUP(C775,Customer_Dim!$A:$N,13,FALSE())</f>
        <v>Silver</v>
      </c>
      <c r="X775" s="11" t="str">
        <f t="shared" si="90"/>
        <v>Low</v>
      </c>
    </row>
    <row r="776" spans="1:24" ht="15.75" customHeight="1">
      <c r="A776" s="4" t="s">
        <v>2772</v>
      </c>
      <c r="B776" s="9">
        <v>45850</v>
      </c>
      <c r="C776" s="4" t="s">
        <v>322</v>
      </c>
      <c r="D776" s="4" t="s">
        <v>1622</v>
      </c>
      <c r="E776" s="4" t="s">
        <v>1937</v>
      </c>
      <c r="F776" s="4">
        <v>1</v>
      </c>
      <c r="G776" s="4">
        <v>66.86</v>
      </c>
      <c r="H776" s="4">
        <v>0.22</v>
      </c>
      <c r="I776" s="4" t="s">
        <v>2004</v>
      </c>
      <c r="J776" s="10">
        <v>52.150799999999997</v>
      </c>
      <c r="K776" s="4" t="str">
        <f t="shared" si="84"/>
        <v>12-07-2025</v>
      </c>
      <c r="L776" s="4" t="str">
        <f>TEXT(Sales_Fact!$B776,"mmm")</f>
        <v>Jul</v>
      </c>
      <c r="M776" s="4">
        <f t="shared" si="85"/>
        <v>1</v>
      </c>
      <c r="N776" s="10">
        <f t="shared" si="86"/>
        <v>66.86</v>
      </c>
      <c r="O776" s="10">
        <f t="shared" si="87"/>
        <v>52.150800000000004</v>
      </c>
      <c r="P776" s="10">
        <f t="shared" si="88"/>
        <v>66.86</v>
      </c>
      <c r="Q776" s="3">
        <f t="shared" si="89"/>
        <v>0.21999999999999995</v>
      </c>
      <c r="R776" s="4" t="str">
        <f>IF(Sales_Fact!$O776&gt;1000,"High","Low")</f>
        <v>Low</v>
      </c>
      <c r="S776" s="4" t="str">
        <f>VLOOKUP(C776,Customer_Dim!$A:$N,9,FALSE())</f>
        <v>Thomas Robinson</v>
      </c>
      <c r="T776" s="4" t="str">
        <f>VLOOKUP(D776,Product_Dim!$A:$M,3,FALSE())</f>
        <v>Home</v>
      </c>
      <c r="U776" s="11" t="str">
        <f>VLOOKUP(D776,Product_Dim!$A:$M,2,FALSE())</f>
        <v>Ceramic Kitchen Bowl Set</v>
      </c>
      <c r="V776" s="11" t="str">
        <f>VLOOKUP(E776,Store_Dim!$A:$E,3,FALSE())</f>
        <v>South</v>
      </c>
      <c r="W776" s="11" t="str">
        <f>VLOOKUP(C776,Customer_Dim!$A:$N,13,FALSE())</f>
        <v>Bronze</v>
      </c>
      <c r="X776" s="11" t="str">
        <f t="shared" si="90"/>
        <v>Low</v>
      </c>
    </row>
    <row r="777" spans="1:24" ht="15.75" customHeight="1">
      <c r="A777" s="4" t="s">
        <v>2773</v>
      </c>
      <c r="B777" s="9">
        <v>45515</v>
      </c>
      <c r="C777" s="4" t="s">
        <v>1324</v>
      </c>
      <c r="D777" s="4" t="s">
        <v>1806</v>
      </c>
      <c r="E777" s="4" t="s">
        <v>1968</v>
      </c>
      <c r="F777" s="4">
        <v>1</v>
      </c>
      <c r="G777" s="4">
        <v>980.26</v>
      </c>
      <c r="H777" s="4">
        <v>0.14000000000000001</v>
      </c>
      <c r="I777" s="4" t="s">
        <v>1998</v>
      </c>
      <c r="J777" s="10">
        <v>843.02359999999999</v>
      </c>
      <c r="K777" s="4" t="str">
        <f t="shared" si="84"/>
        <v>11-08-2024</v>
      </c>
      <c r="L777" s="4" t="str">
        <f>TEXT(Sales_Fact!$B777,"mmm")</f>
        <v>Aug</v>
      </c>
      <c r="M777" s="4">
        <f t="shared" si="85"/>
        <v>1</v>
      </c>
      <c r="N777" s="10">
        <f t="shared" si="86"/>
        <v>980.26</v>
      </c>
      <c r="O777" s="10">
        <f t="shared" si="87"/>
        <v>843.02359999999999</v>
      </c>
      <c r="P777" s="10">
        <f t="shared" si="88"/>
        <v>980.26</v>
      </c>
      <c r="Q777" s="3">
        <f t="shared" si="89"/>
        <v>0.14000000000000001</v>
      </c>
      <c r="R777" s="4" t="str">
        <f>IF(Sales_Fact!$O777&gt;1000,"High","Low")</f>
        <v>Low</v>
      </c>
      <c r="S777" s="4" t="str">
        <f>VLOOKUP(C777,Customer_Dim!$A:$N,9,FALSE())</f>
        <v>Karen King</v>
      </c>
      <c r="T777" s="4" t="str">
        <f>VLOOKUP(D777,Product_Dim!$A:$M,3,FALSE())</f>
        <v>Electronics</v>
      </c>
      <c r="U777" s="11" t="str">
        <f>VLOOKUP(D777,Product_Dim!$A:$M,2,FALSE())</f>
        <v>Smart LED Light Strip</v>
      </c>
      <c r="V777" s="11" t="str">
        <f>VLOOKUP(E777,Store_Dim!$A:$E,3,FALSE())</f>
        <v>East</v>
      </c>
      <c r="W777" s="11" t="str">
        <f>VLOOKUP(C777,Customer_Dim!$A:$N,13,FALSE())</f>
        <v>Bronze</v>
      </c>
      <c r="X777" s="11" t="str">
        <f t="shared" si="90"/>
        <v>Low</v>
      </c>
    </row>
    <row r="778" spans="1:24" ht="15.75" customHeight="1">
      <c r="A778" s="4" t="s">
        <v>2774</v>
      </c>
      <c r="B778" s="9">
        <v>45322</v>
      </c>
      <c r="C778" s="4" t="s">
        <v>168</v>
      </c>
      <c r="D778" s="4" t="s">
        <v>1651</v>
      </c>
      <c r="E778" s="4" t="s">
        <v>1968</v>
      </c>
      <c r="F778" s="4">
        <v>1</v>
      </c>
      <c r="G778" s="4">
        <v>235.28</v>
      </c>
      <c r="H778" s="4">
        <v>0.05</v>
      </c>
      <c r="I778" s="4" t="s">
        <v>1998</v>
      </c>
      <c r="J778" s="10">
        <v>223.51599999999999</v>
      </c>
      <c r="K778" s="4" t="str">
        <f t="shared" si="84"/>
        <v>31-01-2024</v>
      </c>
      <c r="L778" s="4" t="str">
        <f>TEXT(Sales_Fact!$B778,"mmm")</f>
        <v>Jan</v>
      </c>
      <c r="M778" s="4">
        <f t="shared" si="85"/>
        <v>1</v>
      </c>
      <c r="N778" s="10">
        <f t="shared" si="86"/>
        <v>235.28</v>
      </c>
      <c r="O778" s="10">
        <f t="shared" si="87"/>
        <v>223.51599999999999</v>
      </c>
      <c r="P778" s="10">
        <f t="shared" si="88"/>
        <v>235.28</v>
      </c>
      <c r="Q778" s="3">
        <f t="shared" si="89"/>
        <v>5.0000000000000044E-2</v>
      </c>
      <c r="R778" s="4" t="str">
        <f>IF(Sales_Fact!$O778&gt;1000,"High","Low")</f>
        <v>Low</v>
      </c>
      <c r="S778" s="4" t="str">
        <f>VLOOKUP(C778,Customer_Dim!$A:$N,9,FALSE())</f>
        <v>Christopher Carter</v>
      </c>
      <c r="T778" s="4" t="str">
        <f>VLOOKUP(D778,Product_Dim!$A:$M,3,FALSE())</f>
        <v>Clothing</v>
      </c>
      <c r="U778" s="11" t="str">
        <f>VLOOKUP(D778,Product_Dim!$A:$M,2,FALSE())</f>
        <v>Women's Denim Jeans</v>
      </c>
      <c r="V778" s="11" t="str">
        <f>VLOOKUP(E778,Store_Dim!$A:$E,3,FALSE())</f>
        <v>East</v>
      </c>
      <c r="W778" s="11" t="str">
        <f>VLOOKUP(C778,Customer_Dim!$A:$N,13,FALSE())</f>
        <v>Standard</v>
      </c>
      <c r="X778" s="11" t="str">
        <f t="shared" si="90"/>
        <v>Low</v>
      </c>
    </row>
    <row r="779" spans="1:24" ht="15.75" customHeight="1">
      <c r="A779" s="4" t="s">
        <v>2775</v>
      </c>
      <c r="B779" s="9">
        <v>45542</v>
      </c>
      <c r="C779" s="4" t="s">
        <v>1321</v>
      </c>
      <c r="D779" s="4" t="s">
        <v>1578</v>
      </c>
      <c r="E779" s="4" t="s">
        <v>1959</v>
      </c>
      <c r="F779" s="4">
        <v>3</v>
      </c>
      <c r="G779" s="4">
        <v>407.39</v>
      </c>
      <c r="H779" s="4">
        <v>0.08</v>
      </c>
      <c r="I779" s="4" t="s">
        <v>1998</v>
      </c>
      <c r="J779" s="10">
        <v>1124.3964000000001</v>
      </c>
      <c r="K779" s="4" t="str">
        <f t="shared" si="84"/>
        <v>07-09-2024</v>
      </c>
      <c r="L779" s="4" t="str">
        <f>TEXT(Sales_Fact!$B779,"mmm")</f>
        <v>Sep</v>
      </c>
      <c r="M779" s="4">
        <f t="shared" si="85"/>
        <v>3</v>
      </c>
      <c r="N779" s="10">
        <f t="shared" si="86"/>
        <v>407.39</v>
      </c>
      <c r="O779" s="10">
        <f t="shared" si="87"/>
        <v>1124.3964000000001</v>
      </c>
      <c r="P779" s="10">
        <f t="shared" si="88"/>
        <v>1222.17</v>
      </c>
      <c r="Q779" s="3">
        <f t="shared" si="89"/>
        <v>7.9999999999999988E-2</v>
      </c>
      <c r="R779" s="4" t="str">
        <f>IF(Sales_Fact!$O779&gt;1000,"High","Low")</f>
        <v>High</v>
      </c>
      <c r="S779" s="4" t="str">
        <f>VLOOKUP(C779,Customer_Dim!$A:$N,9,FALSE())</f>
        <v>Jennifer Myers</v>
      </c>
      <c r="T779" s="4" t="str">
        <f>VLOOKUP(D779,Product_Dim!$A:$M,3,FALSE())</f>
        <v>Electronics</v>
      </c>
      <c r="U779" s="11" t="str">
        <f>VLOOKUP(D779,Product_Dim!$A:$M,2,FALSE())</f>
        <v>Brother Laser Printer</v>
      </c>
      <c r="V779" s="11" t="str">
        <f>VLOOKUP(E779,Store_Dim!$A:$E,3,FALSE())</f>
        <v>North</v>
      </c>
      <c r="W779" s="11" t="str">
        <f>VLOOKUP(C779,Customer_Dim!$A:$N,13,FALSE())</f>
        <v>Platinum</v>
      </c>
      <c r="X779" s="11" t="str">
        <f t="shared" si="90"/>
        <v>Low</v>
      </c>
    </row>
    <row r="780" spans="1:24" ht="15.75" customHeight="1">
      <c r="A780" s="4" t="s">
        <v>2776</v>
      </c>
      <c r="B780" s="9">
        <v>45675</v>
      </c>
      <c r="C780" s="4" t="s">
        <v>272</v>
      </c>
      <c r="D780" s="4" t="s">
        <v>1681</v>
      </c>
      <c r="E780" s="4" t="s">
        <v>1957</v>
      </c>
      <c r="F780" s="4">
        <v>4</v>
      </c>
      <c r="G780" s="4">
        <v>459.83</v>
      </c>
      <c r="H780" s="4">
        <v>0.12</v>
      </c>
      <c r="I780" s="4" t="s">
        <v>2004</v>
      </c>
      <c r="J780" s="10">
        <v>1618.6016</v>
      </c>
      <c r="K780" s="4" t="str">
        <f t="shared" si="84"/>
        <v>18-01-2025</v>
      </c>
      <c r="L780" s="4" t="str">
        <f>TEXT(Sales_Fact!$B780,"mmm")</f>
        <v>Jan</v>
      </c>
      <c r="M780" s="4">
        <f t="shared" si="85"/>
        <v>4</v>
      </c>
      <c r="N780" s="10">
        <f t="shared" si="86"/>
        <v>459.83</v>
      </c>
      <c r="O780" s="10">
        <f t="shared" si="87"/>
        <v>1618.6016</v>
      </c>
      <c r="P780" s="10">
        <f t="shared" si="88"/>
        <v>1839.32</v>
      </c>
      <c r="Q780" s="3">
        <f t="shared" si="89"/>
        <v>0.12</v>
      </c>
      <c r="R780" s="4" t="str">
        <f>IF(Sales_Fact!$O780&gt;1000,"High","Low")</f>
        <v>High</v>
      </c>
      <c r="S780" s="4" t="str">
        <f>VLOOKUP(C780,Customer_Dim!$A:$N,9,FALSE())</f>
        <v>Mr. Mark Beasley</v>
      </c>
      <c r="T780" s="4" t="str">
        <f>VLOOKUP(D780,Product_Dim!$A:$M,3,FALSE())</f>
        <v>Home</v>
      </c>
      <c r="U780" s="11" t="str">
        <f>VLOOKUP(D780,Product_Dim!$A:$M,2,FALSE())</f>
        <v>Decorative Floor Vase</v>
      </c>
      <c r="V780" s="11" t="str">
        <f>VLOOKUP(E780,Store_Dim!$A:$E,3,FALSE())</f>
        <v>South</v>
      </c>
      <c r="W780" s="11" t="str">
        <f>VLOOKUP(C780,Customer_Dim!$A:$N,13,FALSE())</f>
        <v>Silver</v>
      </c>
      <c r="X780" s="11" t="str">
        <f t="shared" si="90"/>
        <v>High</v>
      </c>
    </row>
    <row r="781" spans="1:24" ht="15.75" customHeight="1">
      <c r="A781" s="4" t="s">
        <v>2777</v>
      </c>
      <c r="B781" s="9">
        <v>45637</v>
      </c>
      <c r="C781" s="4" t="s">
        <v>309</v>
      </c>
      <c r="D781" s="4" t="s">
        <v>1681</v>
      </c>
      <c r="E781" s="4" t="s">
        <v>1927</v>
      </c>
      <c r="F781" s="4">
        <v>2</v>
      </c>
      <c r="G781" s="4">
        <v>502.69</v>
      </c>
      <c r="H781" s="4">
        <v>0.23</v>
      </c>
      <c r="I781" s="4" t="s">
        <v>1996</v>
      </c>
      <c r="J781" s="10">
        <v>774.14260000000002</v>
      </c>
      <c r="K781" s="4" t="str">
        <f t="shared" si="84"/>
        <v>11-12-2024</v>
      </c>
      <c r="L781" s="4" t="str">
        <f>TEXT(Sales_Fact!$B781,"mmm")</f>
        <v>Dec</v>
      </c>
      <c r="M781" s="4">
        <f t="shared" si="85"/>
        <v>2</v>
      </c>
      <c r="N781" s="10">
        <f t="shared" si="86"/>
        <v>502.69</v>
      </c>
      <c r="O781" s="10">
        <f t="shared" si="87"/>
        <v>774.14260000000002</v>
      </c>
      <c r="P781" s="10">
        <f t="shared" si="88"/>
        <v>1005.38</v>
      </c>
      <c r="Q781" s="3">
        <f t="shared" si="89"/>
        <v>0.22999999999999998</v>
      </c>
      <c r="R781" s="4" t="str">
        <f>IF(Sales_Fact!$O781&gt;1000,"High","Low")</f>
        <v>Low</v>
      </c>
      <c r="S781" s="4" t="str">
        <f>VLOOKUP(C781,Customer_Dim!$A:$N,9,FALSE())</f>
        <v>Molly Gardner</v>
      </c>
      <c r="T781" s="4" t="str">
        <f>VLOOKUP(D781,Product_Dim!$A:$M,3,FALSE())</f>
        <v>Home</v>
      </c>
      <c r="U781" s="11" t="str">
        <f>VLOOKUP(D781,Product_Dim!$A:$M,2,FALSE())</f>
        <v>Decorative Floor Vase</v>
      </c>
      <c r="V781" s="11" t="str">
        <f>VLOOKUP(E781,Store_Dim!$A:$E,3,FALSE())</f>
        <v>South</v>
      </c>
      <c r="W781" s="11" t="str">
        <f>VLOOKUP(C781,Customer_Dim!$A:$N,13,FALSE())</f>
        <v>Platinum</v>
      </c>
      <c r="X781" s="11" t="str">
        <f t="shared" si="90"/>
        <v>Low</v>
      </c>
    </row>
    <row r="782" spans="1:24" ht="15.75" customHeight="1">
      <c r="A782" s="4" t="s">
        <v>2778</v>
      </c>
      <c r="B782" s="9">
        <v>45390</v>
      </c>
      <c r="C782" s="4" t="s">
        <v>846</v>
      </c>
      <c r="D782" s="4" t="s">
        <v>1703</v>
      </c>
      <c r="E782" s="4" t="s">
        <v>1934</v>
      </c>
      <c r="F782" s="4">
        <v>1</v>
      </c>
      <c r="G782" s="4">
        <v>152.16999999999999</v>
      </c>
      <c r="H782" s="4">
        <v>0.28000000000000003</v>
      </c>
      <c r="I782" s="4" t="s">
        <v>2004</v>
      </c>
      <c r="J782" s="10">
        <v>109.5624</v>
      </c>
      <c r="K782" s="4" t="str">
        <f t="shared" si="84"/>
        <v>08-04-2024</v>
      </c>
      <c r="L782" s="4" t="str">
        <f>TEXT(Sales_Fact!$B782,"mmm")</f>
        <v>Apr</v>
      </c>
      <c r="M782" s="4">
        <f t="shared" si="85"/>
        <v>1</v>
      </c>
      <c r="N782" s="10">
        <f t="shared" si="86"/>
        <v>152.16999999999999</v>
      </c>
      <c r="O782" s="10">
        <f t="shared" si="87"/>
        <v>109.56239999999998</v>
      </c>
      <c r="P782" s="10">
        <f t="shared" si="88"/>
        <v>152.16999999999999</v>
      </c>
      <c r="Q782" s="3">
        <f t="shared" si="89"/>
        <v>0.28000000000000008</v>
      </c>
      <c r="R782" s="4" t="str">
        <f>IF(Sales_Fact!$O782&gt;1000,"High","Low")</f>
        <v>Low</v>
      </c>
      <c r="S782" s="4" t="str">
        <f>VLOOKUP(C782,Customer_Dim!$A:$N,9,FALSE())</f>
        <v>Kristen Fischer</v>
      </c>
      <c r="T782" s="4" t="str">
        <f>VLOOKUP(D782,Product_Dim!$A:$M,3,FALSE())</f>
        <v>Electronics</v>
      </c>
      <c r="U782" s="11" t="str">
        <f>VLOOKUP(D782,Product_Dim!$A:$M,2,FALSE())</f>
        <v>Gaming Mechanical Keyboard</v>
      </c>
      <c r="V782" s="11" t="str">
        <f>VLOOKUP(E782,Store_Dim!$A:$E,3,FALSE())</f>
        <v>East</v>
      </c>
      <c r="W782" s="11" t="str">
        <f>VLOOKUP(C782,Customer_Dim!$A:$N,13,FALSE())</f>
        <v>Platinum</v>
      </c>
      <c r="X782" s="11" t="str">
        <f t="shared" si="90"/>
        <v>Low</v>
      </c>
    </row>
    <row r="783" spans="1:24" ht="15.75" customHeight="1">
      <c r="A783" s="4" t="s">
        <v>2779</v>
      </c>
      <c r="B783" s="9">
        <v>45333</v>
      </c>
      <c r="C783" s="4" t="s">
        <v>520</v>
      </c>
      <c r="D783" s="4" t="s">
        <v>1885</v>
      </c>
      <c r="E783" s="4" t="s">
        <v>1927</v>
      </c>
      <c r="F783" s="4">
        <v>3</v>
      </c>
      <c r="G783" s="4">
        <v>706.6</v>
      </c>
      <c r="H783" s="4">
        <v>0.17</v>
      </c>
      <c r="I783" s="4" t="s">
        <v>1998</v>
      </c>
      <c r="J783" s="10">
        <v>1759.434</v>
      </c>
      <c r="K783" s="4" t="str">
        <f t="shared" si="84"/>
        <v>11-02-2024</v>
      </c>
      <c r="L783" s="4" t="str">
        <f>TEXT(Sales_Fact!$B783,"mmm")</f>
        <v>Feb</v>
      </c>
      <c r="M783" s="4">
        <f t="shared" si="85"/>
        <v>3</v>
      </c>
      <c r="N783" s="10">
        <f t="shared" si="86"/>
        <v>706.6</v>
      </c>
      <c r="O783" s="10">
        <f t="shared" si="87"/>
        <v>1759.434</v>
      </c>
      <c r="P783" s="10">
        <f t="shared" si="88"/>
        <v>2119.8000000000002</v>
      </c>
      <c r="Q783" s="3">
        <f t="shared" si="89"/>
        <v>0.1700000000000001</v>
      </c>
      <c r="R783" s="4" t="str">
        <f>IF(Sales_Fact!$O783&gt;1000,"High","Low")</f>
        <v>High</v>
      </c>
      <c r="S783" s="4" t="str">
        <f>VLOOKUP(C783,Customer_Dim!$A:$N,9,FALSE())</f>
        <v>Rhonda Young</v>
      </c>
      <c r="T783" s="4" t="str">
        <f>VLOOKUP(D783,Product_Dim!$A:$M,3,FALSE())</f>
        <v>Electronics</v>
      </c>
      <c r="U783" s="11" t="str">
        <f>VLOOKUP(D783,Product_Dim!$A:$M,2,FALSE())</f>
        <v>USB-C Laptop Charger</v>
      </c>
      <c r="V783" s="11" t="str">
        <f>VLOOKUP(E783,Store_Dim!$A:$E,3,FALSE())</f>
        <v>South</v>
      </c>
      <c r="W783" s="11" t="str">
        <f>VLOOKUP(C783,Customer_Dim!$A:$N,13,FALSE())</f>
        <v>Platinum</v>
      </c>
      <c r="X783" s="11" t="str">
        <f t="shared" si="90"/>
        <v>Low</v>
      </c>
    </row>
    <row r="784" spans="1:24" ht="15.75" customHeight="1">
      <c r="A784" s="4" t="s">
        <v>2780</v>
      </c>
      <c r="B784" s="9">
        <v>45819</v>
      </c>
      <c r="C784" s="4" t="s">
        <v>1454</v>
      </c>
      <c r="D784" s="4" t="s">
        <v>1879</v>
      </c>
      <c r="E784" s="4" t="s">
        <v>1971</v>
      </c>
      <c r="F784" s="4">
        <v>3</v>
      </c>
      <c r="G784" s="4">
        <v>811.16</v>
      </c>
      <c r="H784" s="4">
        <v>0.1</v>
      </c>
      <c r="I784" s="4" t="s">
        <v>2004</v>
      </c>
      <c r="J784" s="10">
        <v>2190.1320000000001</v>
      </c>
      <c r="K784" s="4" t="str">
        <f t="shared" si="84"/>
        <v>11-06-2025</v>
      </c>
      <c r="L784" s="4" t="str">
        <f>TEXT(Sales_Fact!$B784,"mmm")</f>
        <v>Jun</v>
      </c>
      <c r="M784" s="4">
        <f t="shared" si="85"/>
        <v>3</v>
      </c>
      <c r="N784" s="10">
        <f t="shared" si="86"/>
        <v>811.16</v>
      </c>
      <c r="O784" s="10">
        <f t="shared" si="87"/>
        <v>2190.1320000000001</v>
      </c>
      <c r="P784" s="10">
        <f t="shared" si="88"/>
        <v>2433.48</v>
      </c>
      <c r="Q784" s="3">
        <f t="shared" si="89"/>
        <v>9.9999999999999978E-2</v>
      </c>
      <c r="R784" s="4" t="str">
        <f>IF(Sales_Fact!$O784&gt;1000,"High","Low")</f>
        <v>High</v>
      </c>
      <c r="S784" s="4" t="str">
        <f>VLOOKUP(C784,Customer_Dim!$A:$N,9,FALSE())</f>
        <v>Beth Martin</v>
      </c>
      <c r="T784" s="4" t="str">
        <f>VLOOKUP(D784,Product_Dim!$A:$M,3,FALSE())</f>
        <v>Clothing</v>
      </c>
      <c r="U784" s="11" t="str">
        <f>VLOOKUP(D784,Product_Dim!$A:$M,2,FALSE())</f>
        <v>Women's High Heels</v>
      </c>
      <c r="V784" s="11" t="str">
        <f>VLOOKUP(E784,Store_Dim!$A:$E,3,FALSE())</f>
        <v>East</v>
      </c>
      <c r="W784" s="11" t="str">
        <f>VLOOKUP(C784,Customer_Dim!$A:$N,13,FALSE())</f>
        <v>Silver</v>
      </c>
      <c r="X784" s="11" t="str">
        <f t="shared" si="90"/>
        <v>Low</v>
      </c>
    </row>
    <row r="785" spans="1:24" ht="15.75" customHeight="1">
      <c r="A785" s="4" t="s">
        <v>2781</v>
      </c>
      <c r="B785" s="9">
        <v>45268</v>
      </c>
      <c r="C785" s="4" t="s">
        <v>730</v>
      </c>
      <c r="D785" s="4" t="s">
        <v>1712</v>
      </c>
      <c r="E785" s="4" t="s">
        <v>1937</v>
      </c>
      <c r="F785" s="4">
        <v>2</v>
      </c>
      <c r="G785" s="4">
        <v>985.79</v>
      </c>
      <c r="H785" s="4">
        <v>0.04</v>
      </c>
      <c r="I785" s="4" t="s">
        <v>1998</v>
      </c>
      <c r="J785" s="10">
        <v>1892.7167999999999</v>
      </c>
      <c r="K785" s="4" t="str">
        <f t="shared" si="84"/>
        <v>08-12-2023</v>
      </c>
      <c r="L785" s="4" t="str">
        <f>TEXT(Sales_Fact!$B785,"mmm")</f>
        <v>Dec</v>
      </c>
      <c r="M785" s="4">
        <f t="shared" si="85"/>
        <v>2</v>
      </c>
      <c r="N785" s="10">
        <f t="shared" si="86"/>
        <v>985.79</v>
      </c>
      <c r="O785" s="10">
        <f t="shared" si="87"/>
        <v>1892.7167999999999</v>
      </c>
      <c r="P785" s="10">
        <f t="shared" si="88"/>
        <v>1971.58</v>
      </c>
      <c r="Q785" s="3">
        <f t="shared" si="89"/>
        <v>4.0000000000000008E-2</v>
      </c>
      <c r="R785" s="4" t="str">
        <f>IF(Sales_Fact!$O785&gt;1000,"High","Low")</f>
        <v>High</v>
      </c>
      <c r="S785" s="4" t="str">
        <f>VLOOKUP(C785,Customer_Dim!$A:$N,9,FALSE())</f>
        <v>Kathy Copeland</v>
      </c>
      <c r="T785" s="4" t="str">
        <f>VLOOKUP(D785,Product_Dim!$A:$M,3,FALSE())</f>
        <v>Clothing</v>
      </c>
      <c r="U785" s="11" t="str">
        <f>VLOOKUP(D785,Product_Dim!$A:$M,2,FALSE())</f>
        <v>Men's Casual Sneakers</v>
      </c>
      <c r="V785" s="11" t="str">
        <f>VLOOKUP(E785,Store_Dim!$A:$E,3,FALSE())</f>
        <v>South</v>
      </c>
      <c r="W785" s="11" t="str">
        <f>VLOOKUP(C785,Customer_Dim!$A:$N,13,FALSE())</f>
        <v>Silver</v>
      </c>
      <c r="X785" s="11" t="str">
        <f t="shared" si="90"/>
        <v>Low</v>
      </c>
    </row>
    <row r="786" spans="1:24" ht="15.75" customHeight="1">
      <c r="A786" s="4" t="s">
        <v>2782</v>
      </c>
      <c r="B786" s="9">
        <v>45521</v>
      </c>
      <c r="C786" s="4" t="s">
        <v>641</v>
      </c>
      <c r="D786" s="4" t="s">
        <v>1700</v>
      </c>
      <c r="E786" s="4" t="s">
        <v>1957</v>
      </c>
      <c r="F786" s="4">
        <v>1</v>
      </c>
      <c r="G786" s="4">
        <v>255.02</v>
      </c>
      <c r="H786" s="4">
        <v>0.3</v>
      </c>
      <c r="I786" s="4" t="s">
        <v>1996</v>
      </c>
      <c r="J786" s="10">
        <v>178.51400000000001</v>
      </c>
      <c r="K786" s="4" t="str">
        <f t="shared" si="84"/>
        <v>17-08-2024</v>
      </c>
      <c r="L786" s="4" t="str">
        <f>TEXT(Sales_Fact!$B786,"mmm")</f>
        <v>Aug</v>
      </c>
      <c r="M786" s="4">
        <f t="shared" si="85"/>
        <v>1</v>
      </c>
      <c r="N786" s="10">
        <f t="shared" si="86"/>
        <v>255.02</v>
      </c>
      <c r="O786" s="10">
        <f t="shared" si="87"/>
        <v>178.51400000000001</v>
      </c>
      <c r="P786" s="10">
        <f t="shared" si="88"/>
        <v>255.02</v>
      </c>
      <c r="Q786" s="3">
        <f t="shared" si="89"/>
        <v>0.3</v>
      </c>
      <c r="R786" s="4" t="str">
        <f>IF(Sales_Fact!$O786&gt;1000,"High","Low")</f>
        <v>Low</v>
      </c>
      <c r="S786" s="4" t="str">
        <f>VLOOKUP(C786,Customer_Dim!$A:$N,9,FALSE())</f>
        <v>Dr. Suzanne Bullock</v>
      </c>
      <c r="T786" s="4" t="str">
        <f>VLOOKUP(D786,Product_Dim!$A:$M,3,FALSE())</f>
        <v>Home</v>
      </c>
      <c r="U786" s="11" t="str">
        <f>VLOOKUP(D786,Product_Dim!$A:$M,2,FALSE())</f>
        <v>Modern Wall Clock</v>
      </c>
      <c r="V786" s="11" t="str">
        <f>VLOOKUP(E786,Store_Dim!$A:$E,3,FALSE())</f>
        <v>South</v>
      </c>
      <c r="W786" s="11" t="str">
        <f>VLOOKUP(C786,Customer_Dim!$A:$N,13,FALSE())</f>
        <v>Platinum</v>
      </c>
      <c r="X786" s="11" t="str">
        <f t="shared" si="90"/>
        <v>Low</v>
      </c>
    </row>
    <row r="787" spans="1:24" ht="15.75" customHeight="1">
      <c r="A787" s="4" t="s">
        <v>2783</v>
      </c>
      <c r="B787" s="9">
        <v>45693</v>
      </c>
      <c r="C787" s="4" t="s">
        <v>362</v>
      </c>
      <c r="D787" s="4" t="s">
        <v>1654</v>
      </c>
      <c r="E787" s="4" t="s">
        <v>1940</v>
      </c>
      <c r="F787" s="4">
        <v>1</v>
      </c>
      <c r="G787" s="4">
        <v>153.57</v>
      </c>
      <c r="H787" s="4">
        <v>0.01</v>
      </c>
      <c r="I787" s="4" t="s">
        <v>1998</v>
      </c>
      <c r="J787" s="10">
        <v>152.0343</v>
      </c>
      <c r="K787" s="4" t="str">
        <f t="shared" si="84"/>
        <v>05-02-2025</v>
      </c>
      <c r="L787" s="4" t="str">
        <f>TEXT(Sales_Fact!$B787,"mmm")</f>
        <v>Feb</v>
      </c>
      <c r="M787" s="4">
        <f t="shared" si="85"/>
        <v>1</v>
      </c>
      <c r="N787" s="10">
        <f t="shared" si="86"/>
        <v>153.57</v>
      </c>
      <c r="O787" s="10">
        <f t="shared" si="87"/>
        <v>152.0343</v>
      </c>
      <c r="P787" s="10">
        <f t="shared" si="88"/>
        <v>153.57</v>
      </c>
      <c r="Q787" s="3">
        <f t="shared" si="89"/>
        <v>9.9999999999999447E-3</v>
      </c>
      <c r="R787" s="4" t="str">
        <f>IF(Sales_Fact!$O787&gt;1000,"High","Low")</f>
        <v>Low</v>
      </c>
      <c r="S787" s="4" t="str">
        <f>VLOOKUP(C787,Customer_Dim!$A:$N,9,FALSE())</f>
        <v>Amy Fowler</v>
      </c>
      <c r="T787" s="4" t="str">
        <f>VLOOKUP(D787,Product_Dim!$A:$M,3,FALSE())</f>
        <v>Sports</v>
      </c>
      <c r="U787" s="11" t="str">
        <f>VLOOKUP(D787,Product_Dim!$A:$M,2,FALSE())</f>
        <v>Knee Support Brace</v>
      </c>
      <c r="V787" s="11" t="str">
        <f>VLOOKUP(E787,Store_Dim!$A:$E,3,FALSE())</f>
        <v>West</v>
      </c>
      <c r="W787" s="11" t="str">
        <f>VLOOKUP(C787,Customer_Dim!$A:$N,13,FALSE())</f>
        <v>Platinum</v>
      </c>
      <c r="X787" s="11" t="str">
        <f t="shared" si="90"/>
        <v>Low</v>
      </c>
    </row>
    <row r="788" spans="1:24" ht="15.75" customHeight="1">
      <c r="A788" s="4" t="s">
        <v>2784</v>
      </c>
      <c r="B788" s="9">
        <v>45734</v>
      </c>
      <c r="C788" s="4" t="s">
        <v>837</v>
      </c>
      <c r="D788" s="4" t="s">
        <v>1732</v>
      </c>
      <c r="E788" s="4" t="s">
        <v>1968</v>
      </c>
      <c r="F788" s="4">
        <v>3</v>
      </c>
      <c r="G788" s="4">
        <v>962.98</v>
      </c>
      <c r="H788" s="4">
        <v>0.21</v>
      </c>
      <c r="I788" s="4" t="s">
        <v>1996</v>
      </c>
      <c r="J788" s="10">
        <v>2282.2626</v>
      </c>
      <c r="K788" s="4" t="str">
        <f t="shared" si="84"/>
        <v>18-03-2025</v>
      </c>
      <c r="L788" s="4" t="str">
        <f>TEXT(Sales_Fact!$B788,"mmm")</f>
        <v>Mar</v>
      </c>
      <c r="M788" s="4">
        <f t="shared" si="85"/>
        <v>3</v>
      </c>
      <c r="N788" s="10">
        <f t="shared" si="86"/>
        <v>962.98</v>
      </c>
      <c r="O788" s="10">
        <f t="shared" si="87"/>
        <v>2282.2626</v>
      </c>
      <c r="P788" s="10">
        <f t="shared" si="88"/>
        <v>2888.94</v>
      </c>
      <c r="Q788" s="3">
        <f t="shared" si="89"/>
        <v>0.21000000000000002</v>
      </c>
      <c r="R788" s="4" t="str">
        <f>IF(Sales_Fact!$O788&gt;1000,"High","Low")</f>
        <v>High</v>
      </c>
      <c r="S788" s="4" t="str">
        <f>VLOOKUP(C788,Customer_Dim!$A:$N,9,FALSE())</f>
        <v>Dr. Ashley Yates Md</v>
      </c>
      <c r="T788" s="4" t="str">
        <f>VLOOKUP(D788,Product_Dim!$A:$M,3,FALSE())</f>
        <v>Electronics</v>
      </c>
      <c r="U788" s="11" t="str">
        <f>VLOOKUP(D788,Product_Dim!$A:$M,2,FALSE())</f>
        <v>USB External Hard Drive</v>
      </c>
      <c r="V788" s="11" t="str">
        <f>VLOOKUP(E788,Store_Dim!$A:$E,3,FALSE())</f>
        <v>East</v>
      </c>
      <c r="W788" s="11" t="str">
        <f>VLOOKUP(C788,Customer_Dim!$A:$N,13,FALSE())</f>
        <v>Bronze</v>
      </c>
      <c r="X788" s="11" t="str">
        <f t="shared" si="90"/>
        <v>Low</v>
      </c>
    </row>
    <row r="789" spans="1:24" ht="15.75" customHeight="1">
      <c r="A789" s="4" t="s">
        <v>2785</v>
      </c>
      <c r="B789" s="9">
        <v>45377</v>
      </c>
      <c r="C789" s="4" t="s">
        <v>235</v>
      </c>
      <c r="D789" s="4" t="s">
        <v>1735</v>
      </c>
      <c r="E789" s="4" t="s">
        <v>1940</v>
      </c>
      <c r="F789" s="4">
        <v>3</v>
      </c>
      <c r="G789" s="4">
        <v>884.46</v>
      </c>
      <c r="H789" s="4">
        <v>0.25</v>
      </c>
      <c r="I789" s="4" t="s">
        <v>1996</v>
      </c>
      <c r="J789" s="10">
        <v>1990.0350000000001</v>
      </c>
      <c r="K789" s="4" t="str">
        <f t="shared" si="84"/>
        <v>26-03-2024</v>
      </c>
      <c r="L789" s="4" t="str">
        <f>TEXT(Sales_Fact!$B789,"mmm")</f>
        <v>Mar</v>
      </c>
      <c r="M789" s="4">
        <f t="shared" si="85"/>
        <v>3</v>
      </c>
      <c r="N789" s="10">
        <f t="shared" si="86"/>
        <v>884.46</v>
      </c>
      <c r="O789" s="10">
        <f t="shared" si="87"/>
        <v>1990.0350000000001</v>
      </c>
      <c r="P789" s="10">
        <f t="shared" si="88"/>
        <v>2653.38</v>
      </c>
      <c r="Q789" s="3">
        <f t="shared" si="89"/>
        <v>0.25</v>
      </c>
      <c r="R789" s="4" t="str">
        <f>IF(Sales_Fact!$O789&gt;1000,"High","Low")</f>
        <v>High</v>
      </c>
      <c r="S789" s="4" t="str">
        <f>VLOOKUP(C789,Customer_Dim!$A:$N,9,FALSE())</f>
        <v>Jay Patel</v>
      </c>
      <c r="T789" s="4" t="str">
        <f>VLOOKUP(D789,Product_Dim!$A:$M,3,FALSE())</f>
        <v>Sports</v>
      </c>
      <c r="U789" s="11" t="str">
        <f>VLOOKUP(D789,Product_Dim!$A:$M,2,FALSE())</f>
        <v>Adjustable Jump Rope</v>
      </c>
      <c r="V789" s="11" t="str">
        <f>VLOOKUP(E789,Store_Dim!$A:$E,3,FALSE())</f>
        <v>West</v>
      </c>
      <c r="W789" s="11" t="str">
        <f>VLOOKUP(C789,Customer_Dim!$A:$N,13,FALSE())</f>
        <v>Platinum</v>
      </c>
      <c r="X789" s="11" t="str">
        <f t="shared" si="90"/>
        <v>Low</v>
      </c>
    </row>
    <row r="790" spans="1:24" ht="15.75" customHeight="1">
      <c r="A790" s="4" t="s">
        <v>2786</v>
      </c>
      <c r="B790" s="9">
        <v>45778</v>
      </c>
      <c r="C790" s="4" t="s">
        <v>1384</v>
      </c>
      <c r="D790" s="4" t="s">
        <v>1806</v>
      </c>
      <c r="E790" s="4" t="s">
        <v>1947</v>
      </c>
      <c r="F790" s="4">
        <v>4</v>
      </c>
      <c r="G790" s="4">
        <v>359.71</v>
      </c>
      <c r="H790" s="4">
        <v>0.05</v>
      </c>
      <c r="I790" s="4" t="s">
        <v>1998</v>
      </c>
      <c r="J790" s="10">
        <v>1366.8979999999999</v>
      </c>
      <c r="K790" s="4" t="str">
        <f t="shared" si="84"/>
        <v>01-05-2025</v>
      </c>
      <c r="L790" s="4" t="str">
        <f>TEXT(Sales_Fact!$B790,"mmm")</f>
        <v>May</v>
      </c>
      <c r="M790" s="4">
        <f t="shared" si="85"/>
        <v>4</v>
      </c>
      <c r="N790" s="10">
        <f t="shared" si="86"/>
        <v>359.71</v>
      </c>
      <c r="O790" s="10">
        <f t="shared" si="87"/>
        <v>1366.8979999999999</v>
      </c>
      <c r="P790" s="10">
        <f t="shared" si="88"/>
        <v>1438.84</v>
      </c>
      <c r="Q790" s="3">
        <f t="shared" si="89"/>
        <v>5.000000000000001E-2</v>
      </c>
      <c r="R790" s="4" t="str">
        <f>IF(Sales_Fact!$O790&gt;1000,"High","Low")</f>
        <v>High</v>
      </c>
      <c r="S790" s="4" t="str">
        <f>VLOOKUP(C790,Customer_Dim!$A:$N,9,FALSE())</f>
        <v>Melinda Rivera</v>
      </c>
      <c r="T790" s="4" t="str">
        <f>VLOOKUP(D790,Product_Dim!$A:$M,3,FALSE())</f>
        <v>Electronics</v>
      </c>
      <c r="U790" s="11" t="str">
        <f>VLOOKUP(D790,Product_Dim!$A:$M,2,FALSE())</f>
        <v>Smart LED Light Strip</v>
      </c>
      <c r="V790" s="11" t="str">
        <f>VLOOKUP(E790,Store_Dim!$A:$E,3,FALSE())</f>
        <v>East</v>
      </c>
      <c r="W790" s="11" t="str">
        <f>VLOOKUP(C790,Customer_Dim!$A:$N,13,FALSE())</f>
        <v>Platinum</v>
      </c>
      <c r="X790" s="11" t="str">
        <f t="shared" si="90"/>
        <v>High</v>
      </c>
    </row>
    <row r="791" spans="1:24" ht="15.75" customHeight="1">
      <c r="A791" s="4" t="s">
        <v>2787</v>
      </c>
      <c r="B791" s="9">
        <v>45715</v>
      </c>
      <c r="C791" s="4" t="s">
        <v>216</v>
      </c>
      <c r="D791" s="4" t="s">
        <v>1755</v>
      </c>
      <c r="E791" s="4" t="s">
        <v>1927</v>
      </c>
      <c r="F791" s="4">
        <v>3</v>
      </c>
      <c r="G791" s="4">
        <v>766.47</v>
      </c>
      <c r="H791" s="4">
        <v>0.18</v>
      </c>
      <c r="I791" s="4" t="s">
        <v>1996</v>
      </c>
      <c r="J791" s="10">
        <v>1885.5162</v>
      </c>
      <c r="K791" s="4" t="str">
        <f t="shared" si="84"/>
        <v>27-02-2025</v>
      </c>
      <c r="L791" s="4" t="str">
        <f>TEXT(Sales_Fact!$B791,"mmm")</f>
        <v>Feb</v>
      </c>
      <c r="M791" s="4">
        <f t="shared" si="85"/>
        <v>3</v>
      </c>
      <c r="N791" s="10">
        <f t="shared" si="86"/>
        <v>766.47</v>
      </c>
      <c r="O791" s="10">
        <f t="shared" si="87"/>
        <v>1885.5162</v>
      </c>
      <c r="P791" s="10">
        <f t="shared" si="88"/>
        <v>2299.41</v>
      </c>
      <c r="Q791" s="3">
        <f t="shared" si="89"/>
        <v>0.17999999999999994</v>
      </c>
      <c r="R791" s="4" t="str">
        <f>IF(Sales_Fact!$O791&gt;1000,"High","Low")</f>
        <v>High</v>
      </c>
      <c r="S791" s="4" t="str">
        <f>VLOOKUP(C791,Customer_Dim!$A:$N,9,FALSE())</f>
        <v>Sarah Rodgers</v>
      </c>
      <c r="T791" s="4" t="str">
        <f>VLOOKUP(D791,Product_Dim!$A:$M,3,FALSE())</f>
        <v>Sports</v>
      </c>
      <c r="U791" s="11" t="str">
        <f>VLOOKUP(D791,Product_Dim!$A:$M,2,FALSE())</f>
        <v>Boxing Hand Wraps</v>
      </c>
      <c r="V791" s="11" t="str">
        <f>VLOOKUP(E791,Store_Dim!$A:$E,3,FALSE())</f>
        <v>South</v>
      </c>
      <c r="W791" s="11" t="str">
        <f>VLOOKUP(C791,Customer_Dim!$A:$N,13,FALSE())</f>
        <v>Gold</v>
      </c>
      <c r="X791" s="11" t="str">
        <f t="shared" si="90"/>
        <v>Low</v>
      </c>
    </row>
    <row r="792" spans="1:24" ht="15.75" customHeight="1">
      <c r="A792" s="4" t="s">
        <v>2788</v>
      </c>
      <c r="B792" s="9">
        <v>45492</v>
      </c>
      <c r="C792" s="4" t="s">
        <v>749</v>
      </c>
      <c r="D792" s="4" t="s">
        <v>1773</v>
      </c>
      <c r="E792" s="4" t="s">
        <v>1968</v>
      </c>
      <c r="F792" s="4">
        <v>1</v>
      </c>
      <c r="G792" s="4">
        <v>772.07</v>
      </c>
      <c r="H792" s="4">
        <v>0.26</v>
      </c>
      <c r="I792" s="4" t="s">
        <v>1998</v>
      </c>
      <c r="J792" s="10">
        <v>571.33180000000004</v>
      </c>
      <c r="K792" s="4" t="str">
        <f t="shared" si="84"/>
        <v>19-07-2024</v>
      </c>
      <c r="L792" s="4" t="str">
        <f>TEXT(Sales_Fact!$B792,"mmm")</f>
        <v>Jul</v>
      </c>
      <c r="M792" s="4">
        <f t="shared" si="85"/>
        <v>1</v>
      </c>
      <c r="N792" s="10">
        <f t="shared" si="86"/>
        <v>772.07</v>
      </c>
      <c r="O792" s="10">
        <f t="shared" si="87"/>
        <v>571.33180000000004</v>
      </c>
      <c r="P792" s="10">
        <f t="shared" si="88"/>
        <v>772.07</v>
      </c>
      <c r="Q792" s="3">
        <f t="shared" si="89"/>
        <v>0.26</v>
      </c>
      <c r="R792" s="4" t="str">
        <f>IF(Sales_Fact!$O792&gt;1000,"High","Low")</f>
        <v>Low</v>
      </c>
      <c r="S792" s="4" t="str">
        <f>VLOOKUP(C792,Customer_Dim!$A:$N,9,FALSE())</f>
        <v>Robert Harris</v>
      </c>
      <c r="T792" s="4" t="str">
        <f>VLOOKUP(D792,Product_Dim!$A:$M,3,FALSE())</f>
        <v>Home</v>
      </c>
      <c r="U792" s="11" t="str">
        <f>VLOOKUP(D792,Product_Dim!$A:$M,2,FALSE())</f>
        <v>Premium Blanket Throw</v>
      </c>
      <c r="V792" s="11" t="str">
        <f>VLOOKUP(E792,Store_Dim!$A:$E,3,FALSE())</f>
        <v>East</v>
      </c>
      <c r="W792" s="11" t="str">
        <f>VLOOKUP(C792,Customer_Dim!$A:$N,13,FALSE())</f>
        <v>Platinum</v>
      </c>
      <c r="X792" s="11" t="str">
        <f t="shared" si="90"/>
        <v>Low</v>
      </c>
    </row>
    <row r="793" spans="1:24" ht="15.75" customHeight="1">
      <c r="A793" s="4" t="s">
        <v>2789</v>
      </c>
      <c r="B793" s="9">
        <v>45795</v>
      </c>
      <c r="C793" s="4" t="s">
        <v>604</v>
      </c>
      <c r="D793" s="4" t="s">
        <v>1751</v>
      </c>
      <c r="E793" s="4" t="s">
        <v>1950</v>
      </c>
      <c r="F793" s="4">
        <v>1</v>
      </c>
      <c r="G793" s="4">
        <v>325.08</v>
      </c>
      <c r="H793" s="4">
        <v>0.26</v>
      </c>
      <c r="I793" s="4" t="s">
        <v>1998</v>
      </c>
      <c r="J793" s="10">
        <v>240.5592</v>
      </c>
      <c r="K793" s="4" t="str">
        <f t="shared" si="84"/>
        <v>18-05-2025</v>
      </c>
      <c r="L793" s="4" t="str">
        <f>TEXT(Sales_Fact!$B793,"mmm")</f>
        <v>May</v>
      </c>
      <c r="M793" s="4">
        <f t="shared" si="85"/>
        <v>1</v>
      </c>
      <c r="N793" s="10">
        <f t="shared" si="86"/>
        <v>325.08</v>
      </c>
      <c r="O793" s="10">
        <f t="shared" si="87"/>
        <v>240.55919999999998</v>
      </c>
      <c r="P793" s="10">
        <f t="shared" si="88"/>
        <v>325.08</v>
      </c>
      <c r="Q793" s="3">
        <f t="shared" si="89"/>
        <v>0.26000000000000006</v>
      </c>
      <c r="R793" s="4" t="str">
        <f>IF(Sales_Fact!$O793&gt;1000,"High","Low")</f>
        <v>Low</v>
      </c>
      <c r="S793" s="4" t="str">
        <f>VLOOKUP(C793,Customer_Dim!$A:$N,9,FALSE())</f>
        <v>Michelle Rogers</v>
      </c>
      <c r="T793" s="4" t="str">
        <f>VLOOKUP(D793,Product_Dim!$A:$M,3,FALSE())</f>
        <v>Beauty</v>
      </c>
      <c r="U793" s="11" t="str">
        <f>VLOOKUP(D793,Product_Dim!$A:$M,2,FALSE())</f>
        <v>Men's Roll-On Perfume</v>
      </c>
      <c r="V793" s="11" t="str">
        <f>VLOOKUP(E793,Store_Dim!$A:$E,3,FALSE())</f>
        <v>South</v>
      </c>
      <c r="W793" s="11" t="str">
        <f>VLOOKUP(C793,Customer_Dim!$A:$N,13,FALSE())</f>
        <v>Platinum</v>
      </c>
      <c r="X793" s="11" t="str">
        <f t="shared" si="90"/>
        <v>Low</v>
      </c>
    </row>
    <row r="794" spans="1:24" ht="15.75" customHeight="1">
      <c r="A794" s="4" t="s">
        <v>2790</v>
      </c>
      <c r="B794" s="9">
        <v>45292</v>
      </c>
      <c r="C794" s="4" t="s">
        <v>909</v>
      </c>
      <c r="D794" s="4" t="s">
        <v>1654</v>
      </c>
      <c r="E794" s="4" t="s">
        <v>1931</v>
      </c>
      <c r="F794" s="4">
        <v>3</v>
      </c>
      <c r="G794" s="4">
        <v>108.31</v>
      </c>
      <c r="H794" s="4">
        <v>0.26</v>
      </c>
      <c r="I794" s="4" t="s">
        <v>2004</v>
      </c>
      <c r="J794" s="10">
        <v>240.44820000000001</v>
      </c>
      <c r="K794" s="4" t="str">
        <f t="shared" si="84"/>
        <v>01-01-2024</v>
      </c>
      <c r="L794" s="4" t="str">
        <f>TEXT(Sales_Fact!$B794,"mmm")</f>
        <v>Jan</v>
      </c>
      <c r="M794" s="4">
        <f t="shared" si="85"/>
        <v>3</v>
      </c>
      <c r="N794" s="10">
        <f t="shared" si="86"/>
        <v>108.31</v>
      </c>
      <c r="O794" s="10">
        <f t="shared" si="87"/>
        <v>240.44820000000001</v>
      </c>
      <c r="P794" s="10">
        <f t="shared" si="88"/>
        <v>324.93</v>
      </c>
      <c r="Q794" s="3">
        <f t="shared" si="89"/>
        <v>0.25999999999999995</v>
      </c>
      <c r="R794" s="4" t="str">
        <f>IF(Sales_Fact!$O794&gt;1000,"High","Low")</f>
        <v>Low</v>
      </c>
      <c r="S794" s="4" t="str">
        <f>VLOOKUP(C794,Customer_Dim!$A:$N,9,FALSE())</f>
        <v>Jeffrey Gomez</v>
      </c>
      <c r="T794" s="4" t="str">
        <f>VLOOKUP(D794,Product_Dim!$A:$M,3,FALSE())</f>
        <v>Sports</v>
      </c>
      <c r="U794" s="11" t="str">
        <f>VLOOKUP(D794,Product_Dim!$A:$M,2,FALSE())</f>
        <v>Knee Support Brace</v>
      </c>
      <c r="V794" s="11" t="str">
        <f>VLOOKUP(E794,Store_Dim!$A:$E,3,FALSE())</f>
        <v>North</v>
      </c>
      <c r="W794" s="11" t="str">
        <f>VLOOKUP(C794,Customer_Dim!$A:$N,13,FALSE())</f>
        <v>Platinum</v>
      </c>
      <c r="X794" s="11" t="str">
        <f t="shared" si="90"/>
        <v>Low</v>
      </c>
    </row>
    <row r="795" spans="1:24" ht="15.75" customHeight="1">
      <c r="A795" s="4" t="s">
        <v>2791</v>
      </c>
      <c r="B795" s="9">
        <v>45316</v>
      </c>
      <c r="C795" s="4" t="s">
        <v>733</v>
      </c>
      <c r="D795" s="4" t="s">
        <v>1843</v>
      </c>
      <c r="E795" s="4" t="s">
        <v>1934</v>
      </c>
      <c r="F795" s="4">
        <v>1</v>
      </c>
      <c r="G795" s="4">
        <v>502.53</v>
      </c>
      <c r="H795" s="4">
        <v>0</v>
      </c>
      <c r="I795" s="4" t="s">
        <v>1998</v>
      </c>
      <c r="J795" s="10">
        <v>502.53</v>
      </c>
      <c r="K795" s="4" t="str">
        <f t="shared" si="84"/>
        <v>25-01-2024</v>
      </c>
      <c r="L795" s="4" t="str">
        <f>TEXT(Sales_Fact!$B795,"mmm")</f>
        <v>Jan</v>
      </c>
      <c r="M795" s="4">
        <f t="shared" si="85"/>
        <v>1</v>
      </c>
      <c r="N795" s="10">
        <f t="shared" si="86"/>
        <v>502.53</v>
      </c>
      <c r="O795" s="10">
        <f t="shared" si="87"/>
        <v>502.53</v>
      </c>
      <c r="P795" s="10">
        <f t="shared" si="88"/>
        <v>502.53</v>
      </c>
      <c r="Q795" s="3">
        <f t="shared" si="89"/>
        <v>0</v>
      </c>
      <c r="R795" s="4" t="str">
        <f>IF(Sales_Fact!$O795&gt;1000,"High","Low")</f>
        <v>Low</v>
      </c>
      <c r="S795" s="4" t="str">
        <f>VLOOKUP(C795,Customer_Dim!$A:$N,9,FALSE())</f>
        <v>Julia Jackson</v>
      </c>
      <c r="T795" s="4" t="str">
        <f>VLOOKUP(D795,Product_Dim!$A:$M,3,FALSE())</f>
        <v>Home</v>
      </c>
      <c r="U795" s="11" t="str">
        <f>VLOOKUP(D795,Product_Dim!$A:$M,2,FALSE())</f>
        <v>Decorative Lamp Shade</v>
      </c>
      <c r="V795" s="11" t="str">
        <f>VLOOKUP(E795,Store_Dim!$A:$E,3,FALSE())</f>
        <v>East</v>
      </c>
      <c r="W795" s="11" t="str">
        <f>VLOOKUP(C795,Customer_Dim!$A:$N,13,FALSE())</f>
        <v>Platinum</v>
      </c>
      <c r="X795" s="11" t="str">
        <f t="shared" si="90"/>
        <v>Low</v>
      </c>
    </row>
    <row r="796" spans="1:24" ht="15.75" customHeight="1">
      <c r="A796" s="4" t="s">
        <v>2792</v>
      </c>
      <c r="B796" s="9">
        <v>45548</v>
      </c>
      <c r="C796" s="4" t="s">
        <v>299</v>
      </c>
      <c r="D796" s="4" t="s">
        <v>1583</v>
      </c>
      <c r="E796" s="4" t="s">
        <v>1962</v>
      </c>
      <c r="F796" s="4">
        <v>2</v>
      </c>
      <c r="G796" s="4">
        <v>508.52</v>
      </c>
      <c r="H796" s="4">
        <v>0.11</v>
      </c>
      <c r="I796" s="4" t="s">
        <v>2004</v>
      </c>
      <c r="J796" s="10">
        <v>905.16560000000004</v>
      </c>
      <c r="K796" s="4" t="str">
        <f t="shared" si="84"/>
        <v>13-09-2024</v>
      </c>
      <c r="L796" s="4" t="str">
        <f>TEXT(Sales_Fact!$B796,"mmm")</f>
        <v>Sep</v>
      </c>
      <c r="M796" s="4">
        <f t="shared" si="85"/>
        <v>2</v>
      </c>
      <c r="N796" s="10">
        <f t="shared" si="86"/>
        <v>508.52</v>
      </c>
      <c r="O796" s="10">
        <f t="shared" si="87"/>
        <v>905.16559999999993</v>
      </c>
      <c r="P796" s="10">
        <f t="shared" si="88"/>
        <v>1017.04</v>
      </c>
      <c r="Q796" s="3">
        <f t="shared" si="89"/>
        <v>0.11000000000000004</v>
      </c>
      <c r="R796" s="4" t="str">
        <f>IF(Sales_Fact!$O796&gt;1000,"High","Low")</f>
        <v>Low</v>
      </c>
      <c r="S796" s="4" t="str">
        <f>VLOOKUP(C796,Customer_Dim!$A:$N,9,FALSE())</f>
        <v>Nathan Campbell</v>
      </c>
      <c r="T796" s="4" t="str">
        <f>VLOOKUP(D796,Product_Dim!$A:$M,3,FALSE())</f>
        <v>Clothing</v>
      </c>
      <c r="U796" s="11" t="str">
        <f>VLOOKUP(D796,Product_Dim!$A:$M,2,FALSE())</f>
        <v>Men's Graphic T-Shirt</v>
      </c>
      <c r="V796" s="11" t="str">
        <f>VLOOKUP(E796,Store_Dim!$A:$E,3,FALSE())</f>
        <v>West</v>
      </c>
      <c r="W796" s="11" t="str">
        <f>VLOOKUP(C796,Customer_Dim!$A:$N,13,FALSE())</f>
        <v>Gold</v>
      </c>
      <c r="X796" s="11" t="str">
        <f t="shared" si="90"/>
        <v>Low</v>
      </c>
    </row>
    <row r="797" spans="1:24" ht="15.75" customHeight="1">
      <c r="A797" s="4" t="s">
        <v>2793</v>
      </c>
      <c r="B797" s="9">
        <v>45572</v>
      </c>
      <c r="C797" s="4" t="s">
        <v>1472</v>
      </c>
      <c r="D797" s="4" t="s">
        <v>1828</v>
      </c>
      <c r="E797" s="4" t="s">
        <v>1924</v>
      </c>
      <c r="F797" s="4">
        <v>1</v>
      </c>
      <c r="G797" s="4">
        <v>492</v>
      </c>
      <c r="H797" s="4">
        <v>0.26</v>
      </c>
      <c r="I797" s="4" t="s">
        <v>1998</v>
      </c>
      <c r="J797" s="10">
        <v>364.08</v>
      </c>
      <c r="K797" s="4" t="str">
        <f t="shared" si="84"/>
        <v>07-10-2024</v>
      </c>
      <c r="L797" s="4" t="str">
        <f>TEXT(Sales_Fact!$B797,"mmm")</f>
        <v>Oct</v>
      </c>
      <c r="M797" s="4">
        <f t="shared" si="85"/>
        <v>1</v>
      </c>
      <c r="N797" s="10">
        <f t="shared" si="86"/>
        <v>492</v>
      </c>
      <c r="O797" s="10">
        <f t="shared" si="87"/>
        <v>364.08</v>
      </c>
      <c r="P797" s="10">
        <f t="shared" si="88"/>
        <v>492</v>
      </c>
      <c r="Q797" s="3">
        <f t="shared" si="89"/>
        <v>0.26</v>
      </c>
      <c r="R797" s="4" t="str">
        <f>IF(Sales_Fact!$O797&gt;1000,"High","Low")</f>
        <v>Low</v>
      </c>
      <c r="S797" s="4" t="str">
        <f>VLOOKUP(C797,Customer_Dim!$A:$N,9,FALSE())</f>
        <v>Gregory Curtis</v>
      </c>
      <c r="T797" s="4" t="str">
        <f>VLOOKUP(D797,Product_Dim!$A:$M,3,FALSE())</f>
        <v>Electronics</v>
      </c>
      <c r="U797" s="11" t="str">
        <f>VLOOKUP(D797,Product_Dim!$A:$M,2,FALSE())</f>
        <v>Bluetooth Car Audio System</v>
      </c>
      <c r="V797" s="11" t="str">
        <f>VLOOKUP(E797,Store_Dim!$A:$E,3,FALSE())</f>
        <v>North</v>
      </c>
      <c r="W797" s="11" t="str">
        <f>VLOOKUP(C797,Customer_Dim!$A:$N,13,FALSE())</f>
        <v>Bronze</v>
      </c>
      <c r="X797" s="11" t="str">
        <f t="shared" si="90"/>
        <v>Low</v>
      </c>
    </row>
    <row r="798" spans="1:24" ht="15.75" customHeight="1">
      <c r="A798" s="4" t="s">
        <v>2794</v>
      </c>
      <c r="B798" s="9">
        <v>45347</v>
      </c>
      <c r="C798" s="4" t="s">
        <v>1521</v>
      </c>
      <c r="D798" s="4" t="s">
        <v>1712</v>
      </c>
      <c r="E798" s="4" t="s">
        <v>1957</v>
      </c>
      <c r="F798" s="4">
        <v>4</v>
      </c>
      <c r="G798" s="4">
        <v>746.36</v>
      </c>
      <c r="H798" s="4">
        <v>0.02</v>
      </c>
      <c r="I798" s="4" t="s">
        <v>1996</v>
      </c>
      <c r="J798" s="10">
        <v>2925.7312000000002</v>
      </c>
      <c r="K798" s="4" t="str">
        <f t="shared" si="84"/>
        <v>25-02-2024</v>
      </c>
      <c r="L798" s="4" t="str">
        <f>TEXT(Sales_Fact!$B798,"mmm")</f>
        <v>Feb</v>
      </c>
      <c r="M798" s="4">
        <f t="shared" si="85"/>
        <v>4</v>
      </c>
      <c r="N798" s="10">
        <f t="shared" si="86"/>
        <v>746.36</v>
      </c>
      <c r="O798" s="10">
        <f t="shared" si="87"/>
        <v>2925.7312000000002</v>
      </c>
      <c r="P798" s="10">
        <f t="shared" si="88"/>
        <v>2985.44</v>
      </c>
      <c r="Q798" s="3">
        <f t="shared" si="89"/>
        <v>1.9999999999999959E-2</v>
      </c>
      <c r="R798" s="4" t="str">
        <f>IF(Sales_Fact!$O798&gt;1000,"High","Low")</f>
        <v>High</v>
      </c>
      <c r="S798" s="4" t="str">
        <f>VLOOKUP(C798,Customer_Dim!$A:$N,9,FALSE())</f>
        <v>Sara Ingram</v>
      </c>
      <c r="T798" s="4" t="str">
        <f>VLOOKUP(D798,Product_Dim!$A:$M,3,FALSE())</f>
        <v>Clothing</v>
      </c>
      <c r="U798" s="11" t="str">
        <f>VLOOKUP(D798,Product_Dim!$A:$M,2,FALSE())</f>
        <v>Men's Casual Sneakers</v>
      </c>
      <c r="V798" s="11" t="str">
        <f>VLOOKUP(E798,Store_Dim!$A:$E,3,FALSE())</f>
        <v>South</v>
      </c>
      <c r="W798" s="11" t="str">
        <f>VLOOKUP(C798,Customer_Dim!$A:$N,13,FALSE())</f>
        <v>Bronze</v>
      </c>
      <c r="X798" s="11" t="str">
        <f t="shared" si="90"/>
        <v>High</v>
      </c>
    </row>
    <row r="799" spans="1:24" ht="15.75" customHeight="1">
      <c r="A799" s="4" t="s">
        <v>2795</v>
      </c>
      <c r="B799" s="9">
        <v>45823</v>
      </c>
      <c r="C799" s="4" t="s">
        <v>1372</v>
      </c>
      <c r="D799" s="4" t="s">
        <v>1629</v>
      </c>
      <c r="E799" s="4" t="s">
        <v>1915</v>
      </c>
      <c r="F799" s="4">
        <v>1</v>
      </c>
      <c r="G799" s="4">
        <v>120.83</v>
      </c>
      <c r="H799" s="4">
        <v>0.08</v>
      </c>
      <c r="I799" s="4" t="s">
        <v>1996</v>
      </c>
      <c r="J799" s="10">
        <v>111.1636</v>
      </c>
      <c r="K799" s="4" t="str">
        <f t="shared" si="84"/>
        <v>15-06-2025</v>
      </c>
      <c r="L799" s="4" t="str">
        <f>TEXT(Sales_Fact!$B799,"mmm")</f>
        <v>Jun</v>
      </c>
      <c r="M799" s="4">
        <f t="shared" si="85"/>
        <v>1</v>
      </c>
      <c r="N799" s="10">
        <f t="shared" si="86"/>
        <v>120.83</v>
      </c>
      <c r="O799" s="10">
        <f t="shared" si="87"/>
        <v>111.1636</v>
      </c>
      <c r="P799" s="10">
        <f t="shared" si="88"/>
        <v>120.83</v>
      </c>
      <c r="Q799" s="3">
        <f t="shared" si="89"/>
        <v>7.9999999999999974E-2</v>
      </c>
      <c r="R799" s="4" t="str">
        <f>IF(Sales_Fact!$O799&gt;1000,"High","Low")</f>
        <v>Low</v>
      </c>
      <c r="S799" s="4" t="str">
        <f>VLOOKUP(C799,Customer_Dim!$A:$N,9,FALSE())</f>
        <v>Thomas Moore</v>
      </c>
      <c r="T799" s="4" t="str">
        <f>VLOOKUP(D799,Product_Dim!$A:$M,3,FALSE())</f>
        <v>Beauty</v>
      </c>
      <c r="U799" s="11" t="str">
        <f>VLOOKUP(D799,Product_Dim!$A:$M,2,FALSE())</f>
        <v>Hair Strengthening Shampoo</v>
      </c>
      <c r="V799" s="11" t="str">
        <f>VLOOKUP(E799,Store_Dim!$A:$E,3,FALSE())</f>
        <v>North</v>
      </c>
      <c r="W799" s="11" t="str">
        <f>VLOOKUP(C799,Customer_Dim!$A:$N,13,FALSE())</f>
        <v>Silver</v>
      </c>
      <c r="X799" s="11" t="str">
        <f t="shared" si="90"/>
        <v>Low</v>
      </c>
    </row>
    <row r="800" spans="1:24" ht="15.75" customHeight="1">
      <c r="A800" s="4" t="s">
        <v>2796</v>
      </c>
      <c r="B800" s="9">
        <v>45394</v>
      </c>
      <c r="C800" s="4" t="s">
        <v>1272</v>
      </c>
      <c r="D800" s="4" t="s">
        <v>1837</v>
      </c>
      <c r="E800" s="4" t="s">
        <v>1968</v>
      </c>
      <c r="F800" s="4">
        <v>2</v>
      </c>
      <c r="G800" s="4">
        <v>68.31</v>
      </c>
      <c r="H800" s="4">
        <v>0.28999999999999998</v>
      </c>
      <c r="I800" s="4" t="s">
        <v>2004</v>
      </c>
      <c r="J800" s="10">
        <v>97.000200000000007</v>
      </c>
      <c r="K800" s="4" t="str">
        <f t="shared" si="84"/>
        <v>12-04-2024</v>
      </c>
      <c r="L800" s="4" t="str">
        <f>TEXT(Sales_Fact!$B800,"mmm")</f>
        <v>Apr</v>
      </c>
      <c r="M800" s="4">
        <f t="shared" si="85"/>
        <v>2</v>
      </c>
      <c r="N800" s="10">
        <f t="shared" si="86"/>
        <v>68.31</v>
      </c>
      <c r="O800" s="10">
        <f t="shared" si="87"/>
        <v>97.000199999999992</v>
      </c>
      <c r="P800" s="10">
        <f t="shared" si="88"/>
        <v>136.62</v>
      </c>
      <c r="Q800" s="3">
        <f t="shared" si="89"/>
        <v>0.29000000000000009</v>
      </c>
      <c r="R800" s="4" t="str">
        <f>IF(Sales_Fact!$O800&gt;1000,"High","Low")</f>
        <v>Low</v>
      </c>
      <c r="S800" s="4" t="str">
        <f>VLOOKUP(C800,Customer_Dim!$A:$N,9,FALSE())</f>
        <v>John Donaldson</v>
      </c>
      <c r="T800" s="4" t="str">
        <f>VLOOKUP(D800,Product_Dim!$A:$M,3,FALSE())</f>
        <v>Electronics</v>
      </c>
      <c r="U800" s="11" t="str">
        <f>VLOOKUP(D800,Product_Dim!$A:$M,2,FALSE())</f>
        <v>WiFi Mesh Router</v>
      </c>
      <c r="V800" s="11" t="str">
        <f>VLOOKUP(E800,Store_Dim!$A:$E,3,FALSE())</f>
        <v>East</v>
      </c>
      <c r="W800" s="11" t="str">
        <f>VLOOKUP(C800,Customer_Dim!$A:$N,13,FALSE())</f>
        <v>Bronze</v>
      </c>
      <c r="X800" s="11" t="str">
        <f t="shared" si="90"/>
        <v>Low</v>
      </c>
    </row>
    <row r="801" spans="1:24" ht="15.75" customHeight="1">
      <c r="A801" s="4" t="s">
        <v>2797</v>
      </c>
      <c r="B801" s="9">
        <v>45265</v>
      </c>
      <c r="C801" s="4" t="s">
        <v>251</v>
      </c>
      <c r="D801" s="4" t="s">
        <v>1665</v>
      </c>
      <c r="E801" s="4" t="s">
        <v>1968</v>
      </c>
      <c r="F801" s="4">
        <v>2</v>
      </c>
      <c r="G801" s="4">
        <v>761.71</v>
      </c>
      <c r="H801" s="4">
        <v>0.02</v>
      </c>
      <c r="I801" s="4" t="s">
        <v>1998</v>
      </c>
      <c r="J801" s="10">
        <v>1492.9516000000001</v>
      </c>
      <c r="K801" s="4" t="str">
        <f t="shared" si="84"/>
        <v>05-12-2023</v>
      </c>
      <c r="L801" s="4" t="str">
        <f>TEXT(Sales_Fact!$B801,"mmm")</f>
        <v>Dec</v>
      </c>
      <c r="M801" s="4">
        <f t="shared" si="85"/>
        <v>2</v>
      </c>
      <c r="N801" s="10">
        <f t="shared" si="86"/>
        <v>761.71</v>
      </c>
      <c r="O801" s="10">
        <f t="shared" si="87"/>
        <v>1492.9516000000001</v>
      </c>
      <c r="P801" s="10">
        <f t="shared" si="88"/>
        <v>1523.42</v>
      </c>
      <c r="Q801" s="3">
        <f t="shared" si="89"/>
        <v>1.9999999999999983E-2</v>
      </c>
      <c r="R801" s="4" t="str">
        <f>IF(Sales_Fact!$O801&gt;1000,"High","Low")</f>
        <v>High</v>
      </c>
      <c r="S801" s="4" t="str">
        <f>VLOOKUP(C801,Customer_Dim!$A:$N,9,FALSE())</f>
        <v>James Bean</v>
      </c>
      <c r="T801" s="4" t="str">
        <f>VLOOKUP(D801,Product_Dim!$A:$M,3,FALSE())</f>
        <v>Sports</v>
      </c>
      <c r="U801" s="11" t="str">
        <f>VLOOKUP(D801,Product_Dim!$A:$M,2,FALSE())</f>
        <v>Carbon Fiber Tennis Racket</v>
      </c>
      <c r="V801" s="11" t="str">
        <f>VLOOKUP(E801,Store_Dim!$A:$E,3,FALSE())</f>
        <v>East</v>
      </c>
      <c r="W801" s="11" t="str">
        <f>VLOOKUP(C801,Customer_Dim!$A:$N,13,FALSE())</f>
        <v>Bronze</v>
      </c>
      <c r="X801" s="11" t="str">
        <f t="shared" si="90"/>
        <v>Low</v>
      </c>
    </row>
    <row r="802" spans="1:24" ht="15.75" customHeight="1">
      <c r="A802" s="4" t="s">
        <v>2798</v>
      </c>
      <c r="B802" s="9">
        <v>45261</v>
      </c>
      <c r="C802" s="4" t="s">
        <v>265</v>
      </c>
      <c r="D802" s="4" t="s">
        <v>1840</v>
      </c>
      <c r="E802" s="4" t="s">
        <v>1924</v>
      </c>
      <c r="F802" s="4">
        <v>4</v>
      </c>
      <c r="G802" s="4">
        <v>346.37</v>
      </c>
      <c r="H802" s="4">
        <v>0.18</v>
      </c>
      <c r="I802" s="4" t="s">
        <v>2004</v>
      </c>
      <c r="J802" s="10">
        <v>1136.0935999999999</v>
      </c>
      <c r="K802" s="4" t="str">
        <f t="shared" si="84"/>
        <v>01-12-2023</v>
      </c>
      <c r="L802" s="4" t="str">
        <f>TEXT(Sales_Fact!$B802,"mmm")</f>
        <v>Dec</v>
      </c>
      <c r="M802" s="4">
        <f t="shared" si="85"/>
        <v>4</v>
      </c>
      <c r="N802" s="10">
        <f t="shared" si="86"/>
        <v>346.37</v>
      </c>
      <c r="O802" s="10">
        <f t="shared" si="87"/>
        <v>1136.0936000000002</v>
      </c>
      <c r="P802" s="10">
        <f t="shared" si="88"/>
        <v>1385.48</v>
      </c>
      <c r="Q802" s="3">
        <f t="shared" si="89"/>
        <v>0.17999999999999991</v>
      </c>
      <c r="R802" s="4" t="str">
        <f>IF(Sales_Fact!$O802&gt;1000,"High","Low")</f>
        <v>High</v>
      </c>
      <c r="S802" s="4" t="str">
        <f>VLOOKUP(C802,Customer_Dim!$A:$N,9,FALSE())</f>
        <v>Cody Diaz</v>
      </c>
      <c r="T802" s="4" t="str">
        <f>VLOOKUP(D802,Product_Dim!$A:$M,3,FALSE())</f>
        <v>Home</v>
      </c>
      <c r="U802" s="11" t="str">
        <f>VLOOKUP(D802,Product_Dim!$A:$M,2,FALSE())</f>
        <v>Essential Oil Diffuser</v>
      </c>
      <c r="V802" s="11" t="str">
        <f>VLOOKUP(E802,Store_Dim!$A:$E,3,FALSE())</f>
        <v>North</v>
      </c>
      <c r="W802" s="11" t="str">
        <f>VLOOKUP(C802,Customer_Dim!$A:$N,13,FALSE())</f>
        <v>Silver</v>
      </c>
      <c r="X802" s="11" t="str">
        <f t="shared" si="90"/>
        <v>High</v>
      </c>
    </row>
    <row r="803" spans="1:24" ht="15.75" customHeight="1">
      <c r="A803" s="4" t="s">
        <v>2799</v>
      </c>
      <c r="B803" s="9">
        <v>45702</v>
      </c>
      <c r="C803" s="4" t="s">
        <v>59</v>
      </c>
      <c r="D803" s="4" t="s">
        <v>1770</v>
      </c>
      <c r="E803" s="4" t="s">
        <v>1952</v>
      </c>
      <c r="F803" s="4">
        <v>1</v>
      </c>
      <c r="G803" s="4">
        <v>846.3</v>
      </c>
      <c r="H803" s="4">
        <v>0.14000000000000001</v>
      </c>
      <c r="I803" s="4" t="s">
        <v>1998</v>
      </c>
      <c r="J803" s="10">
        <v>727.81799999999998</v>
      </c>
      <c r="K803" s="4" t="str">
        <f t="shared" si="84"/>
        <v>14-02-2025</v>
      </c>
      <c r="L803" s="4" t="str">
        <f>TEXT(Sales_Fact!$B803,"mmm")</f>
        <v>Feb</v>
      </c>
      <c r="M803" s="4">
        <f t="shared" si="85"/>
        <v>1</v>
      </c>
      <c r="N803" s="10">
        <f t="shared" si="86"/>
        <v>846.3</v>
      </c>
      <c r="O803" s="10">
        <f t="shared" si="87"/>
        <v>727.81799999999998</v>
      </c>
      <c r="P803" s="10">
        <f t="shared" si="88"/>
        <v>846.3</v>
      </c>
      <c r="Q803" s="3">
        <f t="shared" si="89"/>
        <v>0.13999999999999999</v>
      </c>
      <c r="R803" s="4" t="str">
        <f>IF(Sales_Fact!$O803&gt;1000,"High","Low")</f>
        <v>Low</v>
      </c>
      <c r="S803" s="4" t="str">
        <f>VLOOKUP(C803,Customer_Dim!$A:$N,9,FALSE())</f>
        <v>Daniel Boyd</v>
      </c>
      <c r="T803" s="4" t="str">
        <f>VLOOKUP(D803,Product_Dim!$A:$M,3,FALSE())</f>
        <v>Home</v>
      </c>
      <c r="U803" s="11" t="str">
        <f>VLOOKUP(D803,Product_Dim!$A:$M,2,FALSE())</f>
        <v>Ceramic Plant Pot</v>
      </c>
      <c r="V803" s="11" t="str">
        <f>VLOOKUP(E803,Store_Dim!$A:$E,3,FALSE())</f>
        <v>North</v>
      </c>
      <c r="W803" s="11" t="str">
        <f>VLOOKUP(C803,Customer_Dim!$A:$N,13,FALSE())</f>
        <v>Bronze</v>
      </c>
      <c r="X803" s="11" t="str">
        <f t="shared" si="90"/>
        <v>Low</v>
      </c>
    </row>
    <row r="804" spans="1:24" ht="15.75" customHeight="1">
      <c r="A804" s="4" t="s">
        <v>2800</v>
      </c>
      <c r="B804" s="9">
        <v>45267</v>
      </c>
      <c r="C804" s="4" t="s">
        <v>1108</v>
      </c>
      <c r="D804" s="4" t="s">
        <v>1873</v>
      </c>
      <c r="E804" s="4" t="s">
        <v>1947</v>
      </c>
      <c r="F804" s="4">
        <v>2</v>
      </c>
      <c r="G804" s="4">
        <v>827.92</v>
      </c>
      <c r="H804" s="4">
        <v>0.25</v>
      </c>
      <c r="I804" s="4" t="s">
        <v>2004</v>
      </c>
      <c r="J804" s="10">
        <v>1241.8800000000001</v>
      </c>
      <c r="K804" s="4" t="str">
        <f t="shared" si="84"/>
        <v>07-12-2023</v>
      </c>
      <c r="L804" s="4" t="str">
        <f>TEXT(Sales_Fact!$B804,"mmm")</f>
        <v>Dec</v>
      </c>
      <c r="M804" s="4">
        <f t="shared" si="85"/>
        <v>2</v>
      </c>
      <c r="N804" s="10">
        <f t="shared" si="86"/>
        <v>827.92</v>
      </c>
      <c r="O804" s="10">
        <f t="shared" si="87"/>
        <v>1241.8799999999999</v>
      </c>
      <c r="P804" s="10">
        <f t="shared" si="88"/>
        <v>1655.84</v>
      </c>
      <c r="Q804" s="3">
        <f t="shared" si="89"/>
        <v>0.25000000000000006</v>
      </c>
      <c r="R804" s="4" t="str">
        <f>IF(Sales_Fact!$O804&gt;1000,"High","Low")</f>
        <v>High</v>
      </c>
      <c r="S804" s="4" t="str">
        <f>VLOOKUP(C804,Customer_Dim!$A:$N,9,FALSE())</f>
        <v>Evelyn Brown</v>
      </c>
      <c r="T804" s="4" t="str">
        <f>VLOOKUP(D804,Product_Dim!$A:$M,3,FALSE())</f>
        <v>Beauty</v>
      </c>
      <c r="U804" s="11" t="str">
        <f>VLOOKUP(D804,Product_Dim!$A:$M,2,FALSE())</f>
        <v>Face Foundation Kit</v>
      </c>
      <c r="V804" s="11" t="str">
        <f>VLOOKUP(E804,Store_Dim!$A:$E,3,FALSE())</f>
        <v>East</v>
      </c>
      <c r="W804" s="11" t="str">
        <f>VLOOKUP(C804,Customer_Dim!$A:$N,13,FALSE())</f>
        <v>Gold</v>
      </c>
      <c r="X804" s="11" t="str">
        <f t="shared" si="90"/>
        <v>Low</v>
      </c>
    </row>
    <row r="805" spans="1:24" ht="15.75" customHeight="1">
      <c r="A805" s="4" t="s">
        <v>2801</v>
      </c>
      <c r="B805" s="9">
        <v>45624</v>
      </c>
      <c r="C805" s="4" t="s">
        <v>1369</v>
      </c>
      <c r="D805" s="4" t="s">
        <v>1578</v>
      </c>
      <c r="E805" s="4" t="s">
        <v>1971</v>
      </c>
      <c r="F805" s="4">
        <v>1</v>
      </c>
      <c r="G805" s="4">
        <v>458.97</v>
      </c>
      <c r="H805" s="4">
        <v>0.1</v>
      </c>
      <c r="I805" s="4" t="s">
        <v>1998</v>
      </c>
      <c r="J805" s="10">
        <v>413.07299999999998</v>
      </c>
      <c r="K805" s="4" t="str">
        <f t="shared" si="84"/>
        <v>28-11-2024</v>
      </c>
      <c r="L805" s="4" t="str">
        <f>TEXT(Sales_Fact!$B805,"mmm")</f>
        <v>Nov</v>
      </c>
      <c r="M805" s="4">
        <f t="shared" si="85"/>
        <v>1</v>
      </c>
      <c r="N805" s="10">
        <f t="shared" si="86"/>
        <v>458.97</v>
      </c>
      <c r="O805" s="10">
        <f t="shared" si="87"/>
        <v>413.07300000000004</v>
      </c>
      <c r="P805" s="10">
        <f t="shared" si="88"/>
        <v>458.97</v>
      </c>
      <c r="Q805" s="3">
        <f t="shared" si="89"/>
        <v>9.9999999999999978E-2</v>
      </c>
      <c r="R805" s="4" t="str">
        <f>IF(Sales_Fact!$O805&gt;1000,"High","Low")</f>
        <v>Low</v>
      </c>
      <c r="S805" s="4" t="str">
        <f>VLOOKUP(C805,Customer_Dim!$A:$N,9,FALSE())</f>
        <v>Summer Weiss</v>
      </c>
      <c r="T805" s="4" t="str">
        <f>VLOOKUP(D805,Product_Dim!$A:$M,3,FALSE())</f>
        <v>Electronics</v>
      </c>
      <c r="U805" s="11" t="str">
        <f>VLOOKUP(D805,Product_Dim!$A:$M,2,FALSE())</f>
        <v>Brother Laser Printer</v>
      </c>
      <c r="V805" s="11" t="str">
        <f>VLOOKUP(E805,Store_Dim!$A:$E,3,FALSE())</f>
        <v>East</v>
      </c>
      <c r="W805" s="11" t="str">
        <f>VLOOKUP(C805,Customer_Dim!$A:$N,13,FALSE())</f>
        <v>Bronze</v>
      </c>
      <c r="X805" s="11" t="str">
        <f t="shared" si="90"/>
        <v>Low</v>
      </c>
    </row>
    <row r="806" spans="1:24" ht="15.75" customHeight="1">
      <c r="A806" s="4" t="s">
        <v>2802</v>
      </c>
      <c r="B806" s="9">
        <v>45736</v>
      </c>
      <c r="C806" s="4" t="s">
        <v>945</v>
      </c>
      <c r="D806" s="4" t="s">
        <v>1732</v>
      </c>
      <c r="E806" s="4" t="s">
        <v>1937</v>
      </c>
      <c r="F806" s="4">
        <v>2</v>
      </c>
      <c r="G806" s="4">
        <v>536.61</v>
      </c>
      <c r="H806" s="4">
        <v>0.14000000000000001</v>
      </c>
      <c r="I806" s="4" t="s">
        <v>1996</v>
      </c>
      <c r="J806" s="10">
        <v>922.9692</v>
      </c>
      <c r="K806" s="4" t="str">
        <f t="shared" si="84"/>
        <v>20-03-2025</v>
      </c>
      <c r="L806" s="4" t="str">
        <f>TEXT(Sales_Fact!$B806,"mmm")</f>
        <v>Mar</v>
      </c>
      <c r="M806" s="4">
        <f t="shared" si="85"/>
        <v>2</v>
      </c>
      <c r="N806" s="10">
        <f t="shared" si="86"/>
        <v>536.61</v>
      </c>
      <c r="O806" s="10">
        <f t="shared" si="87"/>
        <v>922.9692</v>
      </c>
      <c r="P806" s="10">
        <f t="shared" si="88"/>
        <v>1073.22</v>
      </c>
      <c r="Q806" s="3">
        <f t="shared" si="89"/>
        <v>0.14000000000000001</v>
      </c>
      <c r="R806" s="4" t="str">
        <f>IF(Sales_Fact!$O806&gt;1000,"High","Low")</f>
        <v>Low</v>
      </c>
      <c r="S806" s="4" t="str">
        <f>VLOOKUP(C806,Customer_Dim!$A:$N,9,FALSE())</f>
        <v>Jennifer Figueroa</v>
      </c>
      <c r="T806" s="4" t="str">
        <f>VLOOKUP(D806,Product_Dim!$A:$M,3,FALSE())</f>
        <v>Electronics</v>
      </c>
      <c r="U806" s="11" t="str">
        <f>VLOOKUP(D806,Product_Dim!$A:$M,2,FALSE())</f>
        <v>USB External Hard Drive</v>
      </c>
      <c r="V806" s="11" t="str">
        <f>VLOOKUP(E806,Store_Dim!$A:$E,3,FALSE())</f>
        <v>South</v>
      </c>
      <c r="W806" s="11" t="str">
        <f>VLOOKUP(C806,Customer_Dim!$A:$N,13,FALSE())</f>
        <v>Bronze</v>
      </c>
      <c r="X806" s="11" t="str">
        <f t="shared" si="90"/>
        <v>Low</v>
      </c>
    </row>
    <row r="807" spans="1:24" ht="15.75" customHeight="1">
      <c r="A807" s="4" t="s">
        <v>2803</v>
      </c>
      <c r="B807" s="9">
        <v>45709</v>
      </c>
      <c r="C807" s="4" t="s">
        <v>1333</v>
      </c>
      <c r="D807" s="4" t="s">
        <v>1779</v>
      </c>
      <c r="E807" s="4" t="s">
        <v>1910</v>
      </c>
      <c r="F807" s="4">
        <v>3</v>
      </c>
      <c r="G807" s="4">
        <v>130.41</v>
      </c>
      <c r="H807" s="4">
        <v>0.14000000000000001</v>
      </c>
      <c r="I807" s="4" t="s">
        <v>1998</v>
      </c>
      <c r="J807" s="10">
        <v>336.45780000000002</v>
      </c>
      <c r="K807" s="4" t="str">
        <f t="shared" si="84"/>
        <v>21-02-2025</v>
      </c>
      <c r="L807" s="4" t="str">
        <f>TEXT(Sales_Fact!$B807,"mmm")</f>
        <v>Feb</v>
      </c>
      <c r="M807" s="4">
        <f t="shared" si="85"/>
        <v>3</v>
      </c>
      <c r="N807" s="10">
        <f t="shared" si="86"/>
        <v>130.41</v>
      </c>
      <c r="O807" s="10">
        <f t="shared" si="87"/>
        <v>336.45780000000002</v>
      </c>
      <c r="P807" s="10">
        <f t="shared" si="88"/>
        <v>391.23</v>
      </c>
      <c r="Q807" s="3">
        <f t="shared" si="89"/>
        <v>0.13999999999999999</v>
      </c>
      <c r="R807" s="4" t="str">
        <f>IF(Sales_Fact!$O807&gt;1000,"High","Low")</f>
        <v>Low</v>
      </c>
      <c r="S807" s="4" t="str">
        <f>VLOOKUP(C807,Customer_Dim!$A:$N,9,FALSE())</f>
        <v>Dr. Tamara White Md</v>
      </c>
      <c r="T807" s="4" t="str">
        <f>VLOOKUP(D807,Product_Dim!$A:$M,3,FALSE())</f>
        <v>Clothing</v>
      </c>
      <c r="U807" s="11" t="str">
        <f>VLOOKUP(D807,Product_Dim!$A:$M,2,FALSE())</f>
        <v>Womens Cotton Scarf</v>
      </c>
      <c r="V807" s="11" t="str">
        <f>VLOOKUP(E807,Store_Dim!$A:$E,3,FALSE())</f>
        <v>East</v>
      </c>
      <c r="W807" s="11" t="str">
        <f>VLOOKUP(C807,Customer_Dim!$A:$N,13,FALSE())</f>
        <v>Bronze</v>
      </c>
      <c r="X807" s="11" t="str">
        <f t="shared" si="90"/>
        <v>Low</v>
      </c>
    </row>
    <row r="808" spans="1:24" ht="15.75" customHeight="1">
      <c r="A808" s="4" t="s">
        <v>2804</v>
      </c>
      <c r="B808" s="9">
        <v>45738</v>
      </c>
      <c r="C808" s="4" t="s">
        <v>1553</v>
      </c>
      <c r="D808" s="4" t="s">
        <v>1873</v>
      </c>
      <c r="E808" s="4" t="s">
        <v>1952</v>
      </c>
      <c r="F808" s="4">
        <v>4</v>
      </c>
      <c r="G808" s="4">
        <v>706.67</v>
      </c>
      <c r="H808" s="4">
        <v>0.01</v>
      </c>
      <c r="I808" s="4" t="s">
        <v>1996</v>
      </c>
      <c r="J808" s="10">
        <v>2798.4132</v>
      </c>
      <c r="K808" s="4" t="str">
        <f t="shared" si="84"/>
        <v>22-03-2025</v>
      </c>
      <c r="L808" s="4" t="str">
        <f>TEXT(Sales_Fact!$B808,"mmm")</f>
        <v>Mar</v>
      </c>
      <c r="M808" s="4">
        <f t="shared" si="85"/>
        <v>4</v>
      </c>
      <c r="N808" s="10">
        <f t="shared" si="86"/>
        <v>706.67</v>
      </c>
      <c r="O808" s="10">
        <f t="shared" si="87"/>
        <v>2798.4132</v>
      </c>
      <c r="P808" s="10">
        <f t="shared" si="88"/>
        <v>2826.68</v>
      </c>
      <c r="Q808" s="3">
        <f t="shared" si="89"/>
        <v>9.9999999999999568E-3</v>
      </c>
      <c r="R808" s="4" t="str">
        <f>IF(Sales_Fact!$O808&gt;1000,"High","Low")</f>
        <v>High</v>
      </c>
      <c r="S808" s="4" t="str">
        <f>VLOOKUP(C808,Customer_Dim!$A:$N,9,FALSE())</f>
        <v>Christopher Ford</v>
      </c>
      <c r="T808" s="4" t="str">
        <f>VLOOKUP(D808,Product_Dim!$A:$M,3,FALSE())</f>
        <v>Beauty</v>
      </c>
      <c r="U808" s="11" t="str">
        <f>VLOOKUP(D808,Product_Dim!$A:$M,2,FALSE())</f>
        <v>Face Foundation Kit</v>
      </c>
      <c r="V808" s="11" t="str">
        <f>VLOOKUP(E808,Store_Dim!$A:$E,3,FALSE())</f>
        <v>North</v>
      </c>
      <c r="W808" s="11" t="str">
        <f>VLOOKUP(C808,Customer_Dim!$A:$N,13,FALSE())</f>
        <v>Bronze</v>
      </c>
      <c r="X808" s="11" t="str">
        <f t="shared" si="90"/>
        <v>High</v>
      </c>
    </row>
    <row r="809" spans="1:24" ht="15.75" customHeight="1">
      <c r="A809" s="4" t="s">
        <v>2805</v>
      </c>
      <c r="B809" s="9">
        <v>45685</v>
      </c>
      <c r="C809" s="4" t="s">
        <v>1252</v>
      </c>
      <c r="D809" s="4" t="s">
        <v>1681</v>
      </c>
      <c r="E809" s="4" t="s">
        <v>1924</v>
      </c>
      <c r="F809" s="4">
        <v>3</v>
      </c>
      <c r="G809" s="4">
        <v>523.45000000000005</v>
      </c>
      <c r="H809" s="4">
        <v>0.17</v>
      </c>
      <c r="I809" s="4" t="s">
        <v>1996</v>
      </c>
      <c r="J809" s="10">
        <v>1303.3905</v>
      </c>
      <c r="K809" s="4" t="str">
        <f t="shared" si="84"/>
        <v>28-01-2025</v>
      </c>
      <c r="L809" s="4" t="str">
        <f>TEXT(Sales_Fact!$B809,"mmm")</f>
        <v>Jan</v>
      </c>
      <c r="M809" s="4">
        <f t="shared" si="85"/>
        <v>3</v>
      </c>
      <c r="N809" s="10">
        <f t="shared" si="86"/>
        <v>523.45000000000005</v>
      </c>
      <c r="O809" s="10">
        <f t="shared" si="87"/>
        <v>1303.3905</v>
      </c>
      <c r="P809" s="10">
        <f t="shared" si="88"/>
        <v>1570.3500000000001</v>
      </c>
      <c r="Q809" s="3">
        <f t="shared" si="89"/>
        <v>0.1700000000000001</v>
      </c>
      <c r="R809" s="4" t="str">
        <f>IF(Sales_Fact!$O809&gt;1000,"High","Low")</f>
        <v>High</v>
      </c>
      <c r="S809" s="4" t="str">
        <f>VLOOKUP(C809,Customer_Dim!$A:$N,9,FALSE())</f>
        <v>Jacqueline Payne</v>
      </c>
      <c r="T809" s="4" t="str">
        <f>VLOOKUP(D809,Product_Dim!$A:$M,3,FALSE())</f>
        <v>Home</v>
      </c>
      <c r="U809" s="11" t="str">
        <f>VLOOKUP(D809,Product_Dim!$A:$M,2,FALSE())</f>
        <v>Decorative Floor Vase</v>
      </c>
      <c r="V809" s="11" t="str">
        <f>VLOOKUP(E809,Store_Dim!$A:$E,3,FALSE())</f>
        <v>North</v>
      </c>
      <c r="W809" s="11" t="str">
        <f>VLOOKUP(C809,Customer_Dim!$A:$N,13,FALSE())</f>
        <v>Gold</v>
      </c>
      <c r="X809" s="11" t="str">
        <f t="shared" si="90"/>
        <v>Low</v>
      </c>
    </row>
    <row r="810" spans="1:24" ht="15.75" customHeight="1">
      <c r="A810" s="4" t="s">
        <v>2806</v>
      </c>
      <c r="B810" s="9">
        <v>45701</v>
      </c>
      <c r="C810" s="4" t="s">
        <v>68</v>
      </c>
      <c r="D810" s="4" t="s">
        <v>1879</v>
      </c>
      <c r="E810" s="4" t="s">
        <v>1968</v>
      </c>
      <c r="F810" s="4">
        <v>3</v>
      </c>
      <c r="G810" s="4">
        <v>482.2</v>
      </c>
      <c r="H810" s="4">
        <v>0.23</v>
      </c>
      <c r="I810" s="4" t="s">
        <v>2004</v>
      </c>
      <c r="J810" s="10">
        <v>1113.8820000000001</v>
      </c>
      <c r="K810" s="4" t="str">
        <f t="shared" si="84"/>
        <v>13-02-2025</v>
      </c>
      <c r="L810" s="4" t="str">
        <f>TEXT(Sales_Fact!$B810,"mmm")</f>
        <v>Feb</v>
      </c>
      <c r="M810" s="4">
        <f t="shared" si="85"/>
        <v>3</v>
      </c>
      <c r="N810" s="10">
        <f t="shared" si="86"/>
        <v>482.2</v>
      </c>
      <c r="O810" s="10">
        <f t="shared" si="87"/>
        <v>1113.8820000000001</v>
      </c>
      <c r="P810" s="10">
        <f t="shared" si="88"/>
        <v>1446.6</v>
      </c>
      <c r="Q810" s="3">
        <f t="shared" si="89"/>
        <v>0.2299999999999999</v>
      </c>
      <c r="R810" s="4" t="str">
        <f>IF(Sales_Fact!$O810&gt;1000,"High","Low")</f>
        <v>High</v>
      </c>
      <c r="S810" s="4" t="str">
        <f>VLOOKUP(C810,Customer_Dim!$A:$N,9,FALSE())</f>
        <v>Ms. Maria Leach</v>
      </c>
      <c r="T810" s="4" t="str">
        <f>VLOOKUP(D810,Product_Dim!$A:$M,3,FALSE())</f>
        <v>Clothing</v>
      </c>
      <c r="U810" s="11" t="str">
        <f>VLOOKUP(D810,Product_Dim!$A:$M,2,FALSE())</f>
        <v>Women's High Heels</v>
      </c>
      <c r="V810" s="11" t="str">
        <f>VLOOKUP(E810,Store_Dim!$A:$E,3,FALSE())</f>
        <v>East</v>
      </c>
      <c r="W810" s="11" t="str">
        <f>VLOOKUP(C810,Customer_Dim!$A:$N,13,FALSE())</f>
        <v>Platinum</v>
      </c>
      <c r="X810" s="11" t="str">
        <f t="shared" si="90"/>
        <v>Low</v>
      </c>
    </row>
    <row r="811" spans="1:24" ht="15.75" customHeight="1">
      <c r="A811" s="4" t="s">
        <v>2807</v>
      </c>
      <c r="B811" s="9">
        <v>45745</v>
      </c>
      <c r="C811" s="4" t="s">
        <v>450</v>
      </c>
      <c r="D811" s="4" t="s">
        <v>1794</v>
      </c>
      <c r="E811" s="4" t="s">
        <v>1931</v>
      </c>
      <c r="F811" s="4">
        <v>4</v>
      </c>
      <c r="G811" s="4">
        <v>688.86</v>
      </c>
      <c r="H811" s="4">
        <v>0.02</v>
      </c>
      <c r="I811" s="4" t="s">
        <v>2004</v>
      </c>
      <c r="J811" s="10">
        <v>2700.3312000000001</v>
      </c>
      <c r="K811" s="4" t="str">
        <f t="shared" si="84"/>
        <v>29-03-2025</v>
      </c>
      <c r="L811" s="4" t="str">
        <f>TEXT(Sales_Fact!$B811,"mmm")</f>
        <v>Mar</v>
      </c>
      <c r="M811" s="4">
        <f t="shared" si="85"/>
        <v>4</v>
      </c>
      <c r="N811" s="10">
        <f t="shared" si="86"/>
        <v>688.86</v>
      </c>
      <c r="O811" s="10">
        <f t="shared" si="87"/>
        <v>2700.3312000000001</v>
      </c>
      <c r="P811" s="10">
        <f t="shared" si="88"/>
        <v>2755.44</v>
      </c>
      <c r="Q811" s="3">
        <f t="shared" si="89"/>
        <v>1.999999999999999E-2</v>
      </c>
      <c r="R811" s="4" t="str">
        <f>IF(Sales_Fact!$O811&gt;1000,"High","Low")</f>
        <v>High</v>
      </c>
      <c r="S811" s="4" t="str">
        <f>VLOOKUP(C811,Customer_Dim!$A:$N,9,FALSE())</f>
        <v>Donald Lee</v>
      </c>
      <c r="T811" s="4" t="str">
        <f>VLOOKUP(D811,Product_Dim!$A:$M,3,FALSE())</f>
        <v>Beauty</v>
      </c>
      <c r="U811" s="11" t="str">
        <f>VLOOKUP(D811,Product_Dim!$A:$M,2,FALSE())</f>
        <v>Organic Sunscreen Lotion</v>
      </c>
      <c r="V811" s="11" t="str">
        <f>VLOOKUP(E811,Store_Dim!$A:$E,3,FALSE())</f>
        <v>North</v>
      </c>
      <c r="W811" s="11" t="str">
        <f>VLOOKUP(C811,Customer_Dim!$A:$N,13,FALSE())</f>
        <v>Bronze</v>
      </c>
      <c r="X811" s="11" t="str">
        <f t="shared" si="90"/>
        <v>High</v>
      </c>
    </row>
    <row r="812" spans="1:24" ht="15.75" customHeight="1">
      <c r="A812" s="4" t="s">
        <v>2808</v>
      </c>
      <c r="B812" s="9">
        <v>45214</v>
      </c>
      <c r="C812" s="4" t="s">
        <v>121</v>
      </c>
      <c r="D812" s="4" t="s">
        <v>1629</v>
      </c>
      <c r="E812" s="4" t="s">
        <v>1910</v>
      </c>
      <c r="F812" s="4">
        <v>1</v>
      </c>
      <c r="G812" s="4">
        <v>145.47999999999999</v>
      </c>
      <c r="H812" s="4">
        <v>0.1</v>
      </c>
      <c r="I812" s="4" t="s">
        <v>2004</v>
      </c>
      <c r="J812" s="10">
        <v>130.93199999999999</v>
      </c>
      <c r="K812" s="4" t="str">
        <f t="shared" si="84"/>
        <v>15-10-2023</v>
      </c>
      <c r="L812" s="4" t="str">
        <f>TEXT(Sales_Fact!$B812,"mmm")</f>
        <v>Oct</v>
      </c>
      <c r="M812" s="4">
        <f t="shared" si="85"/>
        <v>1</v>
      </c>
      <c r="N812" s="10">
        <f t="shared" si="86"/>
        <v>145.47999999999999</v>
      </c>
      <c r="O812" s="10">
        <f t="shared" si="87"/>
        <v>130.93199999999999</v>
      </c>
      <c r="P812" s="10">
        <f t="shared" si="88"/>
        <v>145.47999999999999</v>
      </c>
      <c r="Q812" s="3">
        <f t="shared" si="89"/>
        <v>0.10000000000000002</v>
      </c>
      <c r="R812" s="4" t="str">
        <f>IF(Sales_Fact!$O812&gt;1000,"High","Low")</f>
        <v>Low</v>
      </c>
      <c r="S812" s="4" t="str">
        <f>VLOOKUP(C812,Customer_Dim!$A:$N,9,FALSE())</f>
        <v>Jonathan Steele</v>
      </c>
      <c r="T812" s="4" t="str">
        <f>VLOOKUP(D812,Product_Dim!$A:$M,3,FALSE())</f>
        <v>Beauty</v>
      </c>
      <c r="U812" s="11" t="str">
        <f>VLOOKUP(D812,Product_Dim!$A:$M,2,FALSE())</f>
        <v>Hair Strengthening Shampoo</v>
      </c>
      <c r="V812" s="11" t="str">
        <f>VLOOKUP(E812,Store_Dim!$A:$E,3,FALSE())</f>
        <v>East</v>
      </c>
      <c r="W812" s="11" t="str">
        <f>VLOOKUP(C812,Customer_Dim!$A:$N,13,FALSE())</f>
        <v>Silver</v>
      </c>
      <c r="X812" s="11" t="str">
        <f t="shared" si="90"/>
        <v>Low</v>
      </c>
    </row>
    <row r="813" spans="1:24" ht="15.75" customHeight="1">
      <c r="A813" s="4" t="s">
        <v>2809</v>
      </c>
      <c r="B813" s="9">
        <v>45547</v>
      </c>
      <c r="C813" s="4" t="s">
        <v>219</v>
      </c>
      <c r="D813" s="4" t="s">
        <v>1693</v>
      </c>
      <c r="E813" s="4" t="s">
        <v>1950</v>
      </c>
      <c r="F813" s="4">
        <v>4</v>
      </c>
      <c r="G813" s="4">
        <v>862.25</v>
      </c>
      <c r="H813" s="4">
        <v>0.28000000000000003</v>
      </c>
      <c r="I813" s="4" t="s">
        <v>1998</v>
      </c>
      <c r="J813" s="10">
        <v>2483.2800000000002</v>
      </c>
      <c r="K813" s="4" t="str">
        <f t="shared" si="84"/>
        <v>12-09-2024</v>
      </c>
      <c r="L813" s="4" t="str">
        <f>TEXT(Sales_Fact!$B813,"mmm")</f>
        <v>Sep</v>
      </c>
      <c r="M813" s="4">
        <f t="shared" si="85"/>
        <v>4</v>
      </c>
      <c r="N813" s="10">
        <f t="shared" si="86"/>
        <v>862.25</v>
      </c>
      <c r="O813" s="10">
        <f t="shared" si="87"/>
        <v>2483.2799999999997</v>
      </c>
      <c r="P813" s="10">
        <f t="shared" si="88"/>
        <v>3449</v>
      </c>
      <c r="Q813" s="3">
        <f t="shared" si="89"/>
        <v>0.28000000000000008</v>
      </c>
      <c r="R813" s="4" t="str">
        <f>IF(Sales_Fact!$O813&gt;1000,"High","Low")</f>
        <v>High</v>
      </c>
      <c r="S813" s="4" t="str">
        <f>VLOOKUP(C813,Customer_Dim!$A:$N,9,FALSE())</f>
        <v>Debra Liu</v>
      </c>
      <c r="T813" s="4" t="str">
        <f>VLOOKUP(D813,Product_Dim!$A:$M,3,FALSE())</f>
        <v>Sports</v>
      </c>
      <c r="U813" s="11" t="str">
        <f>VLOOKUP(D813,Product_Dim!$A:$M,2,FALSE())</f>
        <v>Basketball</v>
      </c>
      <c r="V813" s="11" t="str">
        <f>VLOOKUP(E813,Store_Dim!$A:$E,3,FALSE())</f>
        <v>South</v>
      </c>
      <c r="W813" s="11" t="str">
        <f>VLOOKUP(C813,Customer_Dim!$A:$N,13,FALSE())</f>
        <v>Bronze</v>
      </c>
      <c r="X813" s="11" t="str">
        <f t="shared" si="90"/>
        <v>High</v>
      </c>
    </row>
    <row r="814" spans="1:24" ht="15.75" customHeight="1">
      <c r="A814" s="4" t="s">
        <v>2810</v>
      </c>
      <c r="B814" s="9">
        <v>45296</v>
      </c>
      <c r="C814" s="4" t="s">
        <v>954</v>
      </c>
      <c r="D814" s="4" t="s">
        <v>1583</v>
      </c>
      <c r="E814" s="4" t="s">
        <v>1957</v>
      </c>
      <c r="F814" s="4">
        <v>4</v>
      </c>
      <c r="G814" s="4">
        <v>146.12</v>
      </c>
      <c r="H814" s="4">
        <v>0.12</v>
      </c>
      <c r="I814" s="4" t="s">
        <v>2004</v>
      </c>
      <c r="J814" s="10">
        <v>514.3424</v>
      </c>
      <c r="K814" s="4" t="str">
        <f t="shared" si="84"/>
        <v>05-01-2024</v>
      </c>
      <c r="L814" s="4" t="str">
        <f>TEXT(Sales_Fact!$B814,"mmm")</f>
        <v>Jan</v>
      </c>
      <c r="M814" s="4">
        <f t="shared" si="85"/>
        <v>4</v>
      </c>
      <c r="N814" s="10">
        <f t="shared" si="86"/>
        <v>146.12</v>
      </c>
      <c r="O814" s="10">
        <f t="shared" si="87"/>
        <v>514.3424</v>
      </c>
      <c r="P814" s="10">
        <f t="shared" si="88"/>
        <v>584.48</v>
      </c>
      <c r="Q814" s="3">
        <f t="shared" si="89"/>
        <v>0.12000000000000004</v>
      </c>
      <c r="R814" s="4" t="str">
        <f>IF(Sales_Fact!$O814&gt;1000,"High","Low")</f>
        <v>Low</v>
      </c>
      <c r="S814" s="4" t="str">
        <f>VLOOKUP(C814,Customer_Dim!$A:$N,9,FALSE())</f>
        <v>Ricardo Jones</v>
      </c>
      <c r="T814" s="4" t="str">
        <f>VLOOKUP(D814,Product_Dim!$A:$M,3,FALSE())</f>
        <v>Clothing</v>
      </c>
      <c r="U814" s="11" t="str">
        <f>VLOOKUP(D814,Product_Dim!$A:$M,2,FALSE())</f>
        <v>Men's Graphic T-Shirt</v>
      </c>
      <c r="V814" s="11" t="str">
        <f>VLOOKUP(E814,Store_Dim!$A:$E,3,FALSE())</f>
        <v>South</v>
      </c>
      <c r="W814" s="11" t="str">
        <f>VLOOKUP(C814,Customer_Dim!$A:$N,13,FALSE())</f>
        <v>Silver</v>
      </c>
      <c r="X814" s="11" t="str">
        <f t="shared" si="90"/>
        <v>High</v>
      </c>
    </row>
    <row r="815" spans="1:24" ht="15.75" customHeight="1">
      <c r="A815" s="4" t="s">
        <v>2811</v>
      </c>
      <c r="B815" s="9">
        <v>45314</v>
      </c>
      <c r="C815" s="4" t="s">
        <v>1521</v>
      </c>
      <c r="D815" s="4" t="s">
        <v>1678</v>
      </c>
      <c r="E815" s="4" t="s">
        <v>1919</v>
      </c>
      <c r="F815" s="4">
        <v>2</v>
      </c>
      <c r="G815" s="4">
        <v>593.47</v>
      </c>
      <c r="H815" s="4">
        <v>0.1</v>
      </c>
      <c r="I815" s="4" t="s">
        <v>2004</v>
      </c>
      <c r="J815" s="10">
        <v>1068.2460000000001</v>
      </c>
      <c r="K815" s="4" t="str">
        <f t="shared" si="84"/>
        <v>23-01-2024</v>
      </c>
      <c r="L815" s="4" t="str">
        <f>TEXT(Sales_Fact!$B815,"mmm")</f>
        <v>Jan</v>
      </c>
      <c r="M815" s="4">
        <f t="shared" si="85"/>
        <v>2</v>
      </c>
      <c r="N815" s="10">
        <f t="shared" si="86"/>
        <v>593.47</v>
      </c>
      <c r="O815" s="10">
        <f t="shared" si="87"/>
        <v>1068.2460000000001</v>
      </c>
      <c r="P815" s="10">
        <f t="shared" si="88"/>
        <v>1186.94</v>
      </c>
      <c r="Q815" s="3">
        <f t="shared" si="89"/>
        <v>9.9999999999999964E-2</v>
      </c>
      <c r="R815" s="4" t="str">
        <f>IF(Sales_Fact!$O815&gt;1000,"High","Low")</f>
        <v>High</v>
      </c>
      <c r="S815" s="4" t="str">
        <f>VLOOKUP(C815,Customer_Dim!$A:$N,9,FALSE())</f>
        <v>Sara Ingram</v>
      </c>
      <c r="T815" s="4" t="str">
        <f>VLOOKUP(D815,Product_Dim!$A:$M,3,FALSE())</f>
        <v>Electronics</v>
      </c>
      <c r="U815" s="11" t="str">
        <f>VLOOKUP(D815,Product_Dim!$A:$M,2,FALSE())</f>
        <v>Wireless Bluetooth Speaker</v>
      </c>
      <c r="V815" s="11" t="str">
        <f>VLOOKUP(E815,Store_Dim!$A:$E,3,FALSE())</f>
        <v>South</v>
      </c>
      <c r="W815" s="11" t="str">
        <f>VLOOKUP(C815,Customer_Dim!$A:$N,13,FALSE())</f>
        <v>Bronze</v>
      </c>
      <c r="X815" s="11" t="str">
        <f t="shared" si="90"/>
        <v>Low</v>
      </c>
    </row>
    <row r="816" spans="1:24" ht="15.75" customHeight="1">
      <c r="A816" s="4" t="s">
        <v>2812</v>
      </c>
      <c r="B816" s="9">
        <v>45549</v>
      </c>
      <c r="C816" s="4" t="s">
        <v>1501</v>
      </c>
      <c r="D816" s="4" t="s">
        <v>1693</v>
      </c>
      <c r="E816" s="4" t="s">
        <v>1968</v>
      </c>
      <c r="F816" s="4">
        <v>2</v>
      </c>
      <c r="G816" s="4">
        <v>695.02</v>
      </c>
      <c r="H816" s="4">
        <v>0.3</v>
      </c>
      <c r="I816" s="4" t="s">
        <v>2004</v>
      </c>
      <c r="J816" s="10">
        <v>973.02800000000002</v>
      </c>
      <c r="K816" s="4" t="str">
        <f t="shared" si="84"/>
        <v>14-09-2024</v>
      </c>
      <c r="L816" s="4" t="str">
        <f>TEXT(Sales_Fact!$B816,"mmm")</f>
        <v>Sep</v>
      </c>
      <c r="M816" s="4">
        <f t="shared" si="85"/>
        <v>2</v>
      </c>
      <c r="N816" s="10">
        <f t="shared" si="86"/>
        <v>695.02</v>
      </c>
      <c r="O816" s="10">
        <f t="shared" si="87"/>
        <v>973.02799999999991</v>
      </c>
      <c r="P816" s="10">
        <f t="shared" si="88"/>
        <v>1390.04</v>
      </c>
      <c r="Q816" s="3">
        <f t="shared" si="89"/>
        <v>0.30000000000000004</v>
      </c>
      <c r="R816" s="4" t="str">
        <f>IF(Sales_Fact!$O816&gt;1000,"High","Low")</f>
        <v>Low</v>
      </c>
      <c r="S816" s="4" t="str">
        <f>VLOOKUP(C816,Customer_Dim!$A:$N,9,FALSE())</f>
        <v>Earl Smith Dds</v>
      </c>
      <c r="T816" s="4" t="str">
        <f>VLOOKUP(D816,Product_Dim!$A:$M,3,FALSE())</f>
        <v>Sports</v>
      </c>
      <c r="U816" s="11" t="str">
        <f>VLOOKUP(D816,Product_Dim!$A:$M,2,FALSE())</f>
        <v>Basketball</v>
      </c>
      <c r="V816" s="11" t="str">
        <f>VLOOKUP(E816,Store_Dim!$A:$E,3,FALSE())</f>
        <v>East</v>
      </c>
      <c r="W816" s="11" t="str">
        <f>VLOOKUP(C816,Customer_Dim!$A:$N,13,FALSE())</f>
        <v>Gold</v>
      </c>
      <c r="X816" s="11" t="str">
        <f t="shared" si="90"/>
        <v>Low</v>
      </c>
    </row>
    <row r="817" spans="1:24" ht="15.75" customHeight="1">
      <c r="A817" s="4" t="s">
        <v>2813</v>
      </c>
      <c r="B817" s="9">
        <v>45231</v>
      </c>
      <c r="C817" s="4" t="s">
        <v>736</v>
      </c>
      <c r="D817" s="4" t="s">
        <v>1888</v>
      </c>
      <c r="E817" s="4" t="s">
        <v>1947</v>
      </c>
      <c r="F817" s="4">
        <v>2</v>
      </c>
      <c r="G817" s="4">
        <v>886.67</v>
      </c>
      <c r="H817" s="4">
        <v>0.24</v>
      </c>
      <c r="I817" s="4" t="s">
        <v>1998</v>
      </c>
      <c r="J817" s="10">
        <v>1347.7384</v>
      </c>
      <c r="K817" s="4" t="str">
        <f t="shared" si="84"/>
        <v>01-11-2023</v>
      </c>
      <c r="L817" s="4" t="str">
        <f>TEXT(Sales_Fact!$B817,"mmm")</f>
        <v>Nov</v>
      </c>
      <c r="M817" s="4">
        <f t="shared" si="85"/>
        <v>2</v>
      </c>
      <c r="N817" s="10">
        <f t="shared" si="86"/>
        <v>886.67</v>
      </c>
      <c r="O817" s="10">
        <f t="shared" si="87"/>
        <v>1347.7384</v>
      </c>
      <c r="P817" s="10">
        <f t="shared" si="88"/>
        <v>1773.34</v>
      </c>
      <c r="Q817" s="3">
        <f t="shared" si="89"/>
        <v>0.24</v>
      </c>
      <c r="R817" s="4" t="str">
        <f>IF(Sales_Fact!$O817&gt;1000,"High","Low")</f>
        <v>High</v>
      </c>
      <c r="S817" s="4" t="str">
        <f>VLOOKUP(C817,Customer_Dim!$A:$N,9,FALSE())</f>
        <v>Jordan Wells</v>
      </c>
      <c r="T817" s="4" t="str">
        <f>VLOOKUP(D817,Product_Dim!$A:$M,3,FALSE())</f>
        <v>Beauty</v>
      </c>
      <c r="U817" s="11" t="str">
        <f>VLOOKUP(D817,Product_Dim!$A:$M,2,FALSE())</f>
        <v>Vitamin E Body Lotion</v>
      </c>
      <c r="V817" s="11" t="str">
        <f>VLOOKUP(E817,Store_Dim!$A:$E,3,FALSE())</f>
        <v>East</v>
      </c>
      <c r="W817" s="11" t="str">
        <f>VLOOKUP(C817,Customer_Dim!$A:$N,13,FALSE())</f>
        <v>Gold</v>
      </c>
      <c r="X817" s="11" t="str">
        <f t="shared" si="90"/>
        <v>Low</v>
      </c>
    </row>
    <row r="818" spans="1:24" ht="15.75" customHeight="1">
      <c r="A818" s="4" t="s">
        <v>2814</v>
      </c>
      <c r="B818" s="9">
        <v>45628</v>
      </c>
      <c r="C818" s="4" t="s">
        <v>226</v>
      </c>
      <c r="D818" s="4" t="s">
        <v>1803</v>
      </c>
      <c r="E818" s="4" t="s">
        <v>1968</v>
      </c>
      <c r="F818" s="4">
        <v>2</v>
      </c>
      <c r="G818" s="4">
        <v>864.09</v>
      </c>
      <c r="H818" s="4">
        <v>0.06</v>
      </c>
      <c r="I818" s="4" t="s">
        <v>2004</v>
      </c>
      <c r="J818" s="10">
        <v>1624.4892</v>
      </c>
      <c r="K818" s="4" t="str">
        <f t="shared" si="84"/>
        <v>02-12-2024</v>
      </c>
      <c r="L818" s="4" t="str">
        <f>TEXT(Sales_Fact!$B818,"mmm")</f>
        <v>Dec</v>
      </c>
      <c r="M818" s="4">
        <f t="shared" si="85"/>
        <v>2</v>
      </c>
      <c r="N818" s="10">
        <f t="shared" si="86"/>
        <v>864.09</v>
      </c>
      <c r="O818" s="10">
        <f t="shared" si="87"/>
        <v>1624.4892</v>
      </c>
      <c r="P818" s="10">
        <f t="shared" si="88"/>
        <v>1728.18</v>
      </c>
      <c r="Q818" s="3">
        <f t="shared" si="89"/>
        <v>6.0000000000000046E-2</v>
      </c>
      <c r="R818" s="4" t="str">
        <f>IF(Sales_Fact!$O818&gt;1000,"High","Low")</f>
        <v>High</v>
      </c>
      <c r="S818" s="4" t="str">
        <f>VLOOKUP(C818,Customer_Dim!$A:$N,9,FALSE())</f>
        <v>Katherine Dorsey</v>
      </c>
      <c r="T818" s="4" t="str">
        <f>VLOOKUP(D818,Product_Dim!$A:$M,3,FALSE())</f>
        <v>Beauty</v>
      </c>
      <c r="U818" s="11" t="str">
        <f>VLOOKUP(D818,Product_Dim!$A:$M,2,FALSE())</f>
        <v>Women's Hair Dryer Brush</v>
      </c>
      <c r="V818" s="11" t="str">
        <f>VLOOKUP(E818,Store_Dim!$A:$E,3,FALSE())</f>
        <v>East</v>
      </c>
      <c r="W818" s="11" t="str">
        <f>VLOOKUP(C818,Customer_Dim!$A:$N,13,FALSE())</f>
        <v>Platinum</v>
      </c>
      <c r="X818" s="11" t="str">
        <f t="shared" si="90"/>
        <v>Low</v>
      </c>
    </row>
    <row r="819" spans="1:24" ht="15.75" customHeight="1">
      <c r="A819" s="4" t="s">
        <v>2815</v>
      </c>
      <c r="B819" s="9">
        <v>45862</v>
      </c>
      <c r="C819" s="4" t="s">
        <v>40</v>
      </c>
      <c r="D819" s="4" t="s">
        <v>1629</v>
      </c>
      <c r="E819" s="4" t="s">
        <v>1944</v>
      </c>
      <c r="F819" s="4">
        <v>1</v>
      </c>
      <c r="G819" s="4">
        <v>437.65</v>
      </c>
      <c r="H819" s="4">
        <v>0.02</v>
      </c>
      <c r="I819" s="4" t="s">
        <v>1998</v>
      </c>
      <c r="J819" s="10">
        <v>428.89699999999999</v>
      </c>
      <c r="K819" s="4" t="str">
        <f t="shared" si="84"/>
        <v>24-07-2025</v>
      </c>
      <c r="L819" s="4" t="str">
        <f>TEXT(Sales_Fact!$B819,"mmm")</f>
        <v>Jul</v>
      </c>
      <c r="M819" s="4">
        <f t="shared" si="85"/>
        <v>1</v>
      </c>
      <c r="N819" s="10">
        <f t="shared" si="86"/>
        <v>437.65</v>
      </c>
      <c r="O819" s="10">
        <f t="shared" si="87"/>
        <v>428.89699999999999</v>
      </c>
      <c r="P819" s="10">
        <f t="shared" si="88"/>
        <v>437.65</v>
      </c>
      <c r="Q819" s="3">
        <f t="shared" si="89"/>
        <v>1.9999999999999969E-2</v>
      </c>
      <c r="R819" s="4" t="str">
        <f>IF(Sales_Fact!$O819&gt;1000,"High","Low")</f>
        <v>Low</v>
      </c>
      <c r="S819" s="4" t="str">
        <f>VLOOKUP(C819,Customer_Dim!$A:$N,9,FALSE())</f>
        <v>Jeremy Harris</v>
      </c>
      <c r="T819" s="4" t="str">
        <f>VLOOKUP(D819,Product_Dim!$A:$M,3,FALSE())</f>
        <v>Beauty</v>
      </c>
      <c r="U819" s="11" t="str">
        <f>VLOOKUP(D819,Product_Dim!$A:$M,2,FALSE())</f>
        <v>Hair Strengthening Shampoo</v>
      </c>
      <c r="V819" s="11" t="str">
        <f>VLOOKUP(E819,Store_Dim!$A:$E,3,FALSE())</f>
        <v>South</v>
      </c>
      <c r="W819" s="11" t="str">
        <f>VLOOKUP(C819,Customer_Dim!$A:$N,13,FALSE())</f>
        <v>Bronze</v>
      </c>
      <c r="X819" s="11" t="str">
        <f t="shared" si="90"/>
        <v>Low</v>
      </c>
    </row>
    <row r="820" spans="1:24" ht="15.75" customHeight="1">
      <c r="A820" s="4" t="s">
        <v>2816</v>
      </c>
      <c r="B820" s="9">
        <v>45843</v>
      </c>
      <c r="C820" s="4" t="s">
        <v>685</v>
      </c>
      <c r="D820" s="4" t="s">
        <v>1709</v>
      </c>
      <c r="E820" s="4" t="s">
        <v>1955</v>
      </c>
      <c r="F820" s="4">
        <v>2</v>
      </c>
      <c r="G820" s="4">
        <v>208.09</v>
      </c>
      <c r="H820" s="4">
        <v>0.27</v>
      </c>
      <c r="I820" s="4" t="s">
        <v>1996</v>
      </c>
      <c r="J820" s="10">
        <v>303.81139999999999</v>
      </c>
      <c r="K820" s="4" t="str">
        <f t="shared" si="84"/>
        <v>05-07-2025</v>
      </c>
      <c r="L820" s="4" t="str">
        <f>TEXT(Sales_Fact!$B820,"mmm")</f>
        <v>Jul</v>
      </c>
      <c r="M820" s="4">
        <f t="shared" si="85"/>
        <v>2</v>
      </c>
      <c r="N820" s="10">
        <f t="shared" si="86"/>
        <v>208.09</v>
      </c>
      <c r="O820" s="10">
        <f t="shared" si="87"/>
        <v>303.81139999999999</v>
      </c>
      <c r="P820" s="10">
        <f t="shared" si="88"/>
        <v>416.18</v>
      </c>
      <c r="Q820" s="3">
        <f t="shared" si="89"/>
        <v>0.27</v>
      </c>
      <c r="R820" s="4" t="str">
        <f>IF(Sales_Fact!$O820&gt;1000,"High","Low")</f>
        <v>Low</v>
      </c>
      <c r="S820" s="4" t="str">
        <f>VLOOKUP(C820,Customer_Dim!$A:$N,9,FALSE())</f>
        <v>Christina Garcia</v>
      </c>
      <c r="T820" s="4" t="str">
        <f>VLOOKUP(D820,Product_Dim!$A:$M,3,FALSE())</f>
        <v>Clothing</v>
      </c>
      <c r="U820" s="11" t="str">
        <f>VLOOKUP(D820,Product_Dim!$A:$M,2,FALSE())</f>
        <v>Women's Summer Dress</v>
      </c>
      <c r="V820" s="11" t="str">
        <f>VLOOKUP(E820,Store_Dim!$A:$E,3,FALSE())</f>
        <v>East</v>
      </c>
      <c r="W820" s="11" t="str">
        <f>VLOOKUP(C820,Customer_Dim!$A:$N,13,FALSE())</f>
        <v>Platinum</v>
      </c>
      <c r="X820" s="11" t="str">
        <f t="shared" si="90"/>
        <v>Low</v>
      </c>
    </row>
    <row r="821" spans="1:24" ht="15.75" customHeight="1">
      <c r="A821" s="4" t="s">
        <v>2817</v>
      </c>
      <c r="B821" s="9">
        <v>45482</v>
      </c>
      <c r="C821" s="4" t="s">
        <v>226</v>
      </c>
      <c r="D821" s="4" t="s">
        <v>1885</v>
      </c>
      <c r="E821" s="4" t="s">
        <v>1965</v>
      </c>
      <c r="F821" s="4">
        <v>4</v>
      </c>
      <c r="G821" s="4">
        <v>825.78</v>
      </c>
      <c r="H821" s="4">
        <v>0.02</v>
      </c>
      <c r="I821" s="4" t="s">
        <v>1996</v>
      </c>
      <c r="J821" s="10">
        <v>3237.0576000000001</v>
      </c>
      <c r="K821" s="4" t="str">
        <f t="shared" si="84"/>
        <v>09-07-2024</v>
      </c>
      <c r="L821" s="4" t="str">
        <f>TEXT(Sales_Fact!$B821,"mmm")</f>
        <v>Jul</v>
      </c>
      <c r="M821" s="4">
        <f t="shared" si="85"/>
        <v>4</v>
      </c>
      <c r="N821" s="10">
        <f t="shared" si="86"/>
        <v>825.78</v>
      </c>
      <c r="O821" s="10">
        <f t="shared" si="87"/>
        <v>3237.0575999999996</v>
      </c>
      <c r="P821" s="10">
        <f t="shared" si="88"/>
        <v>3303.12</v>
      </c>
      <c r="Q821" s="3">
        <f t="shared" si="89"/>
        <v>2.0000000000000077E-2</v>
      </c>
      <c r="R821" s="4" t="str">
        <f>IF(Sales_Fact!$O821&gt;1000,"High","Low")</f>
        <v>High</v>
      </c>
      <c r="S821" s="4" t="str">
        <f>VLOOKUP(C821,Customer_Dim!$A:$N,9,FALSE())</f>
        <v>Katherine Dorsey</v>
      </c>
      <c r="T821" s="4" t="str">
        <f>VLOOKUP(D821,Product_Dim!$A:$M,3,FALSE())</f>
        <v>Electronics</v>
      </c>
      <c r="U821" s="11" t="str">
        <f>VLOOKUP(D821,Product_Dim!$A:$M,2,FALSE())</f>
        <v>USB-C Laptop Charger</v>
      </c>
      <c r="V821" s="11" t="str">
        <f>VLOOKUP(E821,Store_Dim!$A:$E,3,FALSE())</f>
        <v>North</v>
      </c>
      <c r="W821" s="11" t="str">
        <f>VLOOKUP(C821,Customer_Dim!$A:$N,13,FALSE())</f>
        <v>Platinum</v>
      </c>
      <c r="X821" s="11" t="str">
        <f t="shared" si="90"/>
        <v>High</v>
      </c>
    </row>
    <row r="822" spans="1:24" ht="15.75" customHeight="1">
      <c r="A822" s="4" t="s">
        <v>2818</v>
      </c>
      <c r="B822" s="9">
        <v>45313</v>
      </c>
      <c r="C822" s="4" t="s">
        <v>426</v>
      </c>
      <c r="D822" s="4" t="s">
        <v>1675</v>
      </c>
      <c r="E822" s="4" t="s">
        <v>1965</v>
      </c>
      <c r="F822" s="4">
        <v>3</v>
      </c>
      <c r="G822" s="4">
        <v>849.77</v>
      </c>
      <c r="H822" s="4">
        <v>0.12</v>
      </c>
      <c r="I822" s="4" t="s">
        <v>1998</v>
      </c>
      <c r="J822" s="10">
        <v>2243.3928000000001</v>
      </c>
      <c r="K822" s="4" t="str">
        <f t="shared" si="84"/>
        <v>22-01-2024</v>
      </c>
      <c r="L822" s="4" t="str">
        <f>TEXT(Sales_Fact!$B822,"mmm")</f>
        <v>Jan</v>
      </c>
      <c r="M822" s="4">
        <f t="shared" si="85"/>
        <v>3</v>
      </c>
      <c r="N822" s="10">
        <f t="shared" si="86"/>
        <v>849.77</v>
      </c>
      <c r="O822" s="10">
        <f t="shared" si="87"/>
        <v>2243.3928000000001</v>
      </c>
      <c r="P822" s="10">
        <f t="shared" si="88"/>
        <v>2549.31</v>
      </c>
      <c r="Q822" s="3">
        <f t="shared" si="89"/>
        <v>0.11999999999999995</v>
      </c>
      <c r="R822" s="4" t="str">
        <f>IF(Sales_Fact!$O822&gt;1000,"High","Low")</f>
        <v>High</v>
      </c>
      <c r="S822" s="4" t="str">
        <f>VLOOKUP(C822,Customer_Dim!$A:$N,9,FALSE())</f>
        <v>Anthony Phillips</v>
      </c>
      <c r="T822" s="4" t="str">
        <f>VLOOKUP(D822,Product_Dim!$A:$M,3,FALSE())</f>
        <v>Clothing</v>
      </c>
      <c r="U822" s="11" t="str">
        <f>VLOOKUP(D822,Product_Dim!$A:$M,2,FALSE())</f>
        <v>Women's Scarf Set</v>
      </c>
      <c r="V822" s="11" t="str">
        <f>VLOOKUP(E822,Store_Dim!$A:$E,3,FALSE())</f>
        <v>North</v>
      </c>
      <c r="W822" s="11" t="str">
        <f>VLOOKUP(C822,Customer_Dim!$A:$N,13,FALSE())</f>
        <v>Platinum</v>
      </c>
      <c r="X822" s="11" t="str">
        <f t="shared" si="90"/>
        <v>Low</v>
      </c>
    </row>
    <row r="823" spans="1:24" ht="15.75" customHeight="1">
      <c r="A823" s="4" t="s">
        <v>2819</v>
      </c>
      <c r="B823" s="9">
        <v>45314</v>
      </c>
      <c r="C823" s="4" t="s">
        <v>1108</v>
      </c>
      <c r="D823" s="4" t="s">
        <v>1785</v>
      </c>
      <c r="E823" s="4" t="s">
        <v>1927</v>
      </c>
      <c r="F823" s="4">
        <v>1</v>
      </c>
      <c r="G823" s="4">
        <v>88.78</v>
      </c>
      <c r="H823" s="4">
        <v>0.18</v>
      </c>
      <c r="I823" s="4" t="s">
        <v>1996</v>
      </c>
      <c r="J823" s="10">
        <v>72.799599999999998</v>
      </c>
      <c r="K823" s="4" t="str">
        <f t="shared" si="84"/>
        <v>23-01-2024</v>
      </c>
      <c r="L823" s="4" t="str">
        <f>TEXT(Sales_Fact!$B823,"mmm")</f>
        <v>Jan</v>
      </c>
      <c r="M823" s="4">
        <f t="shared" si="85"/>
        <v>1</v>
      </c>
      <c r="N823" s="10">
        <f t="shared" si="86"/>
        <v>88.78</v>
      </c>
      <c r="O823" s="10">
        <f t="shared" si="87"/>
        <v>72.799600000000012</v>
      </c>
      <c r="P823" s="10">
        <f t="shared" si="88"/>
        <v>88.78</v>
      </c>
      <c r="Q823" s="3">
        <f t="shared" si="89"/>
        <v>0.17999999999999988</v>
      </c>
      <c r="R823" s="4" t="str">
        <f>IF(Sales_Fact!$O823&gt;1000,"High","Low")</f>
        <v>Low</v>
      </c>
      <c r="S823" s="4" t="str">
        <f>VLOOKUP(C823,Customer_Dim!$A:$N,9,FALSE())</f>
        <v>Evelyn Brown</v>
      </c>
      <c r="T823" s="4" t="str">
        <f>VLOOKUP(D823,Product_Dim!$A:$M,3,FALSE())</f>
        <v>Beauty</v>
      </c>
      <c r="U823" s="11" t="str">
        <f>VLOOKUP(D823,Product_Dim!$A:$M,2,FALSE())</f>
        <v>Luxury Perfume Spray</v>
      </c>
      <c r="V823" s="11" t="str">
        <f>VLOOKUP(E823,Store_Dim!$A:$E,3,FALSE())</f>
        <v>South</v>
      </c>
      <c r="W823" s="11" t="str">
        <f>VLOOKUP(C823,Customer_Dim!$A:$N,13,FALSE())</f>
        <v>Gold</v>
      </c>
      <c r="X823" s="11" t="str">
        <f t="shared" si="90"/>
        <v>Low</v>
      </c>
    </row>
    <row r="824" spans="1:24" ht="15.75" customHeight="1">
      <c r="A824" s="4" t="s">
        <v>2820</v>
      </c>
      <c r="B824" s="9">
        <v>45526</v>
      </c>
      <c r="C824" s="4" t="s">
        <v>653</v>
      </c>
      <c r="D824" s="4" t="s">
        <v>1840</v>
      </c>
      <c r="E824" s="4" t="s">
        <v>1927</v>
      </c>
      <c r="F824" s="4">
        <v>4</v>
      </c>
      <c r="G824" s="4">
        <v>507.22</v>
      </c>
      <c r="H824" s="4">
        <v>0.14000000000000001</v>
      </c>
      <c r="I824" s="4" t="s">
        <v>1998</v>
      </c>
      <c r="J824" s="10">
        <v>1744.8368</v>
      </c>
      <c r="K824" s="4" t="str">
        <f t="shared" si="84"/>
        <v>22-08-2024</v>
      </c>
      <c r="L824" s="4" t="str">
        <f>TEXT(Sales_Fact!$B824,"mmm")</f>
        <v>Aug</v>
      </c>
      <c r="M824" s="4">
        <f t="shared" si="85"/>
        <v>4</v>
      </c>
      <c r="N824" s="10">
        <f t="shared" si="86"/>
        <v>507.22</v>
      </c>
      <c r="O824" s="10">
        <f t="shared" si="87"/>
        <v>1744.8368</v>
      </c>
      <c r="P824" s="10">
        <f t="shared" si="88"/>
        <v>2028.88</v>
      </c>
      <c r="Q824" s="3">
        <f t="shared" si="89"/>
        <v>0.14000000000000001</v>
      </c>
      <c r="R824" s="4" t="str">
        <f>IF(Sales_Fact!$O824&gt;1000,"High","Low")</f>
        <v>High</v>
      </c>
      <c r="S824" s="4" t="str">
        <f>VLOOKUP(C824,Customer_Dim!$A:$N,9,FALSE())</f>
        <v>Todd Poole</v>
      </c>
      <c r="T824" s="4" t="str">
        <f>VLOOKUP(D824,Product_Dim!$A:$M,3,FALSE())</f>
        <v>Home</v>
      </c>
      <c r="U824" s="11" t="str">
        <f>VLOOKUP(D824,Product_Dim!$A:$M,2,FALSE())</f>
        <v>Essential Oil Diffuser</v>
      </c>
      <c r="V824" s="11" t="str">
        <f>VLOOKUP(E824,Store_Dim!$A:$E,3,FALSE())</f>
        <v>South</v>
      </c>
      <c r="W824" s="11" t="str">
        <f>VLOOKUP(C824,Customer_Dim!$A:$N,13,FALSE())</f>
        <v>Bronze</v>
      </c>
      <c r="X824" s="11" t="str">
        <f t="shared" si="90"/>
        <v>High</v>
      </c>
    </row>
    <row r="825" spans="1:24" ht="15.75" customHeight="1">
      <c r="A825" s="4" t="s">
        <v>2821</v>
      </c>
      <c r="B825" s="9">
        <v>45887</v>
      </c>
      <c r="C825" s="4" t="s">
        <v>1024</v>
      </c>
      <c r="D825" s="4" t="s">
        <v>1894</v>
      </c>
      <c r="E825" s="4" t="s">
        <v>1910</v>
      </c>
      <c r="F825" s="4">
        <v>3</v>
      </c>
      <c r="G825" s="4">
        <v>330.98</v>
      </c>
      <c r="H825" s="4">
        <v>0.11</v>
      </c>
      <c r="I825" s="4" t="s">
        <v>1996</v>
      </c>
      <c r="J825" s="10">
        <v>883.71659999999997</v>
      </c>
      <c r="K825" s="4" t="str">
        <f t="shared" si="84"/>
        <v>18-08-2025</v>
      </c>
      <c r="L825" s="4" t="str">
        <f>TEXT(Sales_Fact!$B825,"mmm")</f>
        <v>Aug</v>
      </c>
      <c r="M825" s="4">
        <f t="shared" si="85"/>
        <v>3</v>
      </c>
      <c r="N825" s="10">
        <f t="shared" si="86"/>
        <v>330.98</v>
      </c>
      <c r="O825" s="10">
        <f t="shared" si="87"/>
        <v>883.71660000000008</v>
      </c>
      <c r="P825" s="10">
        <f t="shared" si="88"/>
        <v>992.94</v>
      </c>
      <c r="Q825" s="3">
        <f t="shared" si="89"/>
        <v>0.10999999999999996</v>
      </c>
      <c r="R825" s="4" t="str">
        <f>IF(Sales_Fact!$O825&gt;1000,"High","Low")</f>
        <v>Low</v>
      </c>
      <c r="S825" s="4" t="str">
        <f>VLOOKUP(C825,Customer_Dim!$A:$N,9,FALSE())</f>
        <v>Robert House</v>
      </c>
      <c r="T825" s="4" t="str">
        <f>VLOOKUP(D825,Product_Dim!$A:$M,3,FALSE())</f>
        <v>Clothing</v>
      </c>
      <c r="U825" s="11" t="str">
        <f>VLOOKUP(D825,Product_Dim!$A:$M,2,FALSE())</f>
        <v>Women's Formal Blazer</v>
      </c>
      <c r="V825" s="11" t="str">
        <f>VLOOKUP(E825,Store_Dim!$A:$E,3,FALSE())</f>
        <v>East</v>
      </c>
      <c r="W825" s="11" t="str">
        <f>VLOOKUP(C825,Customer_Dim!$A:$N,13,FALSE())</f>
        <v>Gold</v>
      </c>
      <c r="X825" s="11" t="str">
        <f t="shared" si="90"/>
        <v>Low</v>
      </c>
    </row>
    <row r="826" spans="1:24" ht="15.75" customHeight="1">
      <c r="A826" s="4" t="s">
        <v>2822</v>
      </c>
      <c r="B826" s="9">
        <v>45267</v>
      </c>
      <c r="C826" s="4" t="s">
        <v>957</v>
      </c>
      <c r="D826" s="4" t="s">
        <v>1658</v>
      </c>
      <c r="E826" s="4" t="s">
        <v>1937</v>
      </c>
      <c r="F826" s="4">
        <v>4</v>
      </c>
      <c r="G826" s="4">
        <v>756.28</v>
      </c>
      <c r="H826" s="4">
        <v>0.05</v>
      </c>
      <c r="I826" s="4" t="s">
        <v>2004</v>
      </c>
      <c r="J826" s="10">
        <v>2873.864</v>
      </c>
      <c r="K826" s="4" t="str">
        <f t="shared" si="84"/>
        <v>07-12-2023</v>
      </c>
      <c r="L826" s="4" t="str">
        <f>TEXT(Sales_Fact!$B826,"mmm")</f>
        <v>Dec</v>
      </c>
      <c r="M826" s="4">
        <f t="shared" si="85"/>
        <v>4</v>
      </c>
      <c r="N826" s="10">
        <f t="shared" si="86"/>
        <v>756.28</v>
      </c>
      <c r="O826" s="10">
        <f t="shared" si="87"/>
        <v>2873.8639999999996</v>
      </c>
      <c r="P826" s="10">
        <f t="shared" si="88"/>
        <v>3025.12</v>
      </c>
      <c r="Q826" s="3">
        <f t="shared" si="89"/>
        <v>5.0000000000000107E-2</v>
      </c>
      <c r="R826" s="4" t="str">
        <f>IF(Sales_Fact!$O826&gt;1000,"High","Low")</f>
        <v>High</v>
      </c>
      <c r="S826" s="4" t="str">
        <f>VLOOKUP(C826,Customer_Dim!$A:$N,9,FALSE())</f>
        <v>Gloria Taylor</v>
      </c>
      <c r="T826" s="4" t="str">
        <f>VLOOKUP(D826,Product_Dim!$A:$M,3,FALSE())</f>
        <v>Sports</v>
      </c>
      <c r="U826" s="11" t="str">
        <f>VLOOKUP(D826,Product_Dim!$A:$M,2,FALSE())</f>
        <v>Outdoor Sports Water Bottle</v>
      </c>
      <c r="V826" s="11" t="str">
        <f>VLOOKUP(E826,Store_Dim!$A:$E,3,FALSE())</f>
        <v>South</v>
      </c>
      <c r="W826" s="11" t="str">
        <f>VLOOKUP(C826,Customer_Dim!$A:$N,13,FALSE())</f>
        <v>Platinum</v>
      </c>
      <c r="X826" s="11" t="str">
        <f t="shared" si="90"/>
        <v>High</v>
      </c>
    </row>
    <row r="827" spans="1:24" ht="15.75" customHeight="1">
      <c r="A827" s="4" t="s">
        <v>2823</v>
      </c>
      <c r="B827" s="9">
        <v>45562</v>
      </c>
      <c r="C827" s="4" t="s">
        <v>216</v>
      </c>
      <c r="D827" s="4" t="s">
        <v>1712</v>
      </c>
      <c r="E827" s="4" t="s">
        <v>1971</v>
      </c>
      <c r="F827" s="4">
        <v>4</v>
      </c>
      <c r="G827" s="4">
        <v>442.87</v>
      </c>
      <c r="H827" s="4">
        <v>0.08</v>
      </c>
      <c r="I827" s="4" t="s">
        <v>1996</v>
      </c>
      <c r="J827" s="10">
        <v>1629.7616</v>
      </c>
      <c r="K827" s="4" t="str">
        <f t="shared" si="84"/>
        <v>27-09-2024</v>
      </c>
      <c r="L827" s="4" t="str">
        <f>TEXT(Sales_Fact!$B827,"mmm")</f>
        <v>Sep</v>
      </c>
      <c r="M827" s="4">
        <f t="shared" si="85"/>
        <v>4</v>
      </c>
      <c r="N827" s="10">
        <f t="shared" si="86"/>
        <v>442.87</v>
      </c>
      <c r="O827" s="10">
        <f t="shared" si="87"/>
        <v>1629.7616</v>
      </c>
      <c r="P827" s="10">
        <f t="shared" si="88"/>
        <v>1771.48</v>
      </c>
      <c r="Q827" s="3">
        <f t="shared" si="89"/>
        <v>7.9999999999999988E-2</v>
      </c>
      <c r="R827" s="4" t="str">
        <f>IF(Sales_Fact!$O827&gt;1000,"High","Low")</f>
        <v>High</v>
      </c>
      <c r="S827" s="4" t="str">
        <f>VLOOKUP(C827,Customer_Dim!$A:$N,9,FALSE())</f>
        <v>Sarah Rodgers</v>
      </c>
      <c r="T827" s="4" t="str">
        <f>VLOOKUP(D827,Product_Dim!$A:$M,3,FALSE())</f>
        <v>Clothing</v>
      </c>
      <c r="U827" s="11" t="str">
        <f>VLOOKUP(D827,Product_Dim!$A:$M,2,FALSE())</f>
        <v>Men's Casual Sneakers</v>
      </c>
      <c r="V827" s="11" t="str">
        <f>VLOOKUP(E827,Store_Dim!$A:$E,3,FALSE())</f>
        <v>East</v>
      </c>
      <c r="W827" s="11" t="str">
        <f>VLOOKUP(C827,Customer_Dim!$A:$N,13,FALSE())</f>
        <v>Gold</v>
      </c>
      <c r="X827" s="11" t="str">
        <f t="shared" si="90"/>
        <v>High</v>
      </c>
    </row>
    <row r="828" spans="1:24" ht="15.75" customHeight="1">
      <c r="A828" s="4" t="s">
        <v>2824</v>
      </c>
      <c r="B828" s="9">
        <v>45880</v>
      </c>
      <c r="C828" s="4" t="s">
        <v>68</v>
      </c>
      <c r="D828" s="4" t="s">
        <v>1894</v>
      </c>
      <c r="E828" s="4" t="s">
        <v>1919</v>
      </c>
      <c r="F828" s="4">
        <v>2</v>
      </c>
      <c r="G828" s="4">
        <v>939.66</v>
      </c>
      <c r="H828" s="4">
        <v>0.14000000000000001</v>
      </c>
      <c r="I828" s="4" t="s">
        <v>1998</v>
      </c>
      <c r="J828" s="10">
        <v>1616.2152000000001</v>
      </c>
      <c r="K828" s="4" t="str">
        <f t="shared" si="84"/>
        <v>11-08-2025</v>
      </c>
      <c r="L828" s="4" t="str">
        <f>TEXT(Sales_Fact!$B828,"mmm")</f>
        <v>Aug</v>
      </c>
      <c r="M828" s="4">
        <f t="shared" si="85"/>
        <v>2</v>
      </c>
      <c r="N828" s="10">
        <f t="shared" si="86"/>
        <v>939.66</v>
      </c>
      <c r="O828" s="10">
        <f t="shared" si="87"/>
        <v>1616.2151999999999</v>
      </c>
      <c r="P828" s="10">
        <f t="shared" si="88"/>
        <v>1879.32</v>
      </c>
      <c r="Q828" s="3">
        <f t="shared" si="89"/>
        <v>0.14000000000000004</v>
      </c>
      <c r="R828" s="4" t="str">
        <f>IF(Sales_Fact!$O828&gt;1000,"High","Low")</f>
        <v>High</v>
      </c>
      <c r="S828" s="4" t="str">
        <f>VLOOKUP(C828,Customer_Dim!$A:$N,9,FALSE())</f>
        <v>Ms. Maria Leach</v>
      </c>
      <c r="T828" s="4" t="str">
        <f>VLOOKUP(D828,Product_Dim!$A:$M,3,FALSE())</f>
        <v>Clothing</v>
      </c>
      <c r="U828" s="11" t="str">
        <f>VLOOKUP(D828,Product_Dim!$A:$M,2,FALSE())</f>
        <v>Women's Formal Blazer</v>
      </c>
      <c r="V828" s="11" t="str">
        <f>VLOOKUP(E828,Store_Dim!$A:$E,3,FALSE())</f>
        <v>South</v>
      </c>
      <c r="W828" s="11" t="str">
        <f>VLOOKUP(C828,Customer_Dim!$A:$N,13,FALSE())</f>
        <v>Platinum</v>
      </c>
      <c r="X828" s="11" t="str">
        <f t="shared" si="90"/>
        <v>Low</v>
      </c>
    </row>
    <row r="829" spans="1:24" ht="15.75" customHeight="1">
      <c r="A829" s="4" t="s">
        <v>2825</v>
      </c>
      <c r="B829" s="9">
        <v>45556</v>
      </c>
      <c r="C829" s="4" t="s">
        <v>957</v>
      </c>
      <c r="D829" s="4" t="s">
        <v>1825</v>
      </c>
      <c r="E829" s="4" t="s">
        <v>1924</v>
      </c>
      <c r="F829" s="4">
        <v>1</v>
      </c>
      <c r="G829" s="4">
        <v>24.13</v>
      </c>
      <c r="H829" s="4">
        <v>0</v>
      </c>
      <c r="I829" s="4" t="s">
        <v>1996</v>
      </c>
      <c r="J829" s="10">
        <v>24.13</v>
      </c>
      <c r="K829" s="4" t="str">
        <f t="shared" si="84"/>
        <v>21-09-2024</v>
      </c>
      <c r="L829" s="4" t="str">
        <f>TEXT(Sales_Fact!$B829,"mmm")</f>
        <v>Sep</v>
      </c>
      <c r="M829" s="4">
        <f t="shared" si="85"/>
        <v>1</v>
      </c>
      <c r="N829" s="10">
        <f t="shared" si="86"/>
        <v>24.13</v>
      </c>
      <c r="O829" s="10">
        <f t="shared" si="87"/>
        <v>24.13</v>
      </c>
      <c r="P829" s="10">
        <f t="shared" si="88"/>
        <v>24.13</v>
      </c>
      <c r="Q829" s="3">
        <f t="shared" si="89"/>
        <v>0</v>
      </c>
      <c r="R829" s="4" t="str">
        <f>IF(Sales_Fact!$O829&gt;1000,"High","Low")</f>
        <v>Low</v>
      </c>
      <c r="S829" s="4" t="str">
        <f>VLOOKUP(C829,Customer_Dim!$A:$N,9,FALSE())</f>
        <v>Gloria Taylor</v>
      </c>
      <c r="T829" s="4" t="str">
        <f>VLOOKUP(D829,Product_Dim!$A:$M,3,FALSE())</f>
        <v>Sports</v>
      </c>
      <c r="U829" s="11" t="str">
        <f>VLOOKUP(D829,Product_Dim!$A:$M,2,FALSE())</f>
        <v>Shin Guards – Adult</v>
      </c>
      <c r="V829" s="11" t="str">
        <f>VLOOKUP(E829,Store_Dim!$A:$E,3,FALSE())</f>
        <v>North</v>
      </c>
      <c r="W829" s="11" t="str">
        <f>VLOOKUP(C829,Customer_Dim!$A:$N,13,FALSE())</f>
        <v>Platinum</v>
      </c>
      <c r="X829" s="11" t="str">
        <f t="shared" si="90"/>
        <v>Low</v>
      </c>
    </row>
    <row r="830" spans="1:24" ht="15.75" customHeight="1">
      <c r="A830" s="4" t="s">
        <v>2826</v>
      </c>
      <c r="B830" s="9">
        <v>45355</v>
      </c>
      <c r="C830" s="4" t="s">
        <v>1168</v>
      </c>
      <c r="D830" s="4" t="s">
        <v>1726</v>
      </c>
      <c r="E830" s="4" t="s">
        <v>1924</v>
      </c>
      <c r="F830" s="4">
        <v>3</v>
      </c>
      <c r="G830" s="4">
        <v>239.54</v>
      </c>
      <c r="H830" s="4">
        <v>0.28999999999999998</v>
      </c>
      <c r="I830" s="4" t="s">
        <v>2004</v>
      </c>
      <c r="J830" s="10">
        <v>510.22019999999998</v>
      </c>
      <c r="K830" s="4" t="str">
        <f t="shared" si="84"/>
        <v>04-03-2024</v>
      </c>
      <c r="L830" s="4" t="str">
        <f>TEXT(Sales_Fact!$B830,"mmm")</f>
        <v>Mar</v>
      </c>
      <c r="M830" s="4">
        <f t="shared" si="85"/>
        <v>3</v>
      </c>
      <c r="N830" s="10">
        <f t="shared" si="86"/>
        <v>239.54</v>
      </c>
      <c r="O830" s="10">
        <f t="shared" si="87"/>
        <v>510.22019999999998</v>
      </c>
      <c r="P830" s="10">
        <f t="shared" si="88"/>
        <v>718.62</v>
      </c>
      <c r="Q830" s="3">
        <f t="shared" si="89"/>
        <v>0.29000000000000004</v>
      </c>
      <c r="R830" s="4" t="str">
        <f>IF(Sales_Fact!$O830&gt;1000,"High","Low")</f>
        <v>Low</v>
      </c>
      <c r="S830" s="4" t="str">
        <f>VLOOKUP(C830,Customer_Dim!$A:$N,9,FALSE())</f>
        <v>Chloe Aguilar</v>
      </c>
      <c r="T830" s="4" t="str">
        <f>VLOOKUP(D830,Product_Dim!$A:$M,3,FALSE())</f>
        <v>Sports</v>
      </c>
      <c r="U830" s="11" t="str">
        <f>VLOOKUP(D830,Product_Dim!$A:$M,2,FALSE())</f>
        <v>Yoga Exercise Mat</v>
      </c>
      <c r="V830" s="11" t="str">
        <f>VLOOKUP(E830,Store_Dim!$A:$E,3,FALSE())</f>
        <v>North</v>
      </c>
      <c r="W830" s="11" t="str">
        <f>VLOOKUP(C830,Customer_Dim!$A:$N,13,FALSE())</f>
        <v>Bronze</v>
      </c>
      <c r="X830" s="11" t="str">
        <f t="shared" si="90"/>
        <v>Low</v>
      </c>
    </row>
    <row r="831" spans="1:24" ht="15.75" customHeight="1">
      <c r="A831" s="4" t="s">
        <v>2827</v>
      </c>
      <c r="B831" s="9">
        <v>45244</v>
      </c>
      <c r="C831" s="4" t="s">
        <v>1513</v>
      </c>
      <c r="D831" s="4" t="s">
        <v>1741</v>
      </c>
      <c r="E831" s="4" t="s">
        <v>1957</v>
      </c>
      <c r="F831" s="4">
        <v>1</v>
      </c>
      <c r="G831" s="4">
        <v>588.53</v>
      </c>
      <c r="H831" s="4">
        <v>0.1</v>
      </c>
      <c r="I831" s="4" t="s">
        <v>1996</v>
      </c>
      <c r="J831" s="10">
        <v>529.67700000000002</v>
      </c>
      <c r="K831" s="4" t="str">
        <f t="shared" si="84"/>
        <v>14-11-2023</v>
      </c>
      <c r="L831" s="4" t="str">
        <f>TEXT(Sales_Fact!$B831,"mmm")</f>
        <v>Nov</v>
      </c>
      <c r="M831" s="4">
        <f t="shared" si="85"/>
        <v>1</v>
      </c>
      <c r="N831" s="10">
        <f t="shared" si="86"/>
        <v>588.53</v>
      </c>
      <c r="O831" s="10">
        <f t="shared" si="87"/>
        <v>529.67700000000002</v>
      </c>
      <c r="P831" s="10">
        <f t="shared" si="88"/>
        <v>588.53</v>
      </c>
      <c r="Q831" s="3">
        <f t="shared" si="89"/>
        <v>9.9999999999999922E-2</v>
      </c>
      <c r="R831" s="4" t="str">
        <f>IF(Sales_Fact!$O831&gt;1000,"High","Low")</f>
        <v>Low</v>
      </c>
      <c r="S831" s="4" t="str">
        <f>VLOOKUP(C831,Customer_Dim!$A:$N,9,FALSE())</f>
        <v>Sheri Joyce</v>
      </c>
      <c r="T831" s="4" t="str">
        <f>VLOOKUP(D831,Product_Dim!$A:$M,3,FALSE())</f>
        <v>Clothing</v>
      </c>
      <c r="U831" s="11" t="str">
        <f>VLOOKUP(D831,Product_Dim!$A:$M,2,FALSE())</f>
        <v>Men's Winter Jacket</v>
      </c>
      <c r="V831" s="11" t="str">
        <f>VLOOKUP(E831,Store_Dim!$A:$E,3,FALSE())</f>
        <v>South</v>
      </c>
      <c r="W831" s="11" t="str">
        <f>VLOOKUP(C831,Customer_Dim!$A:$N,13,FALSE())</f>
        <v>Platinum</v>
      </c>
      <c r="X831" s="11" t="str">
        <f t="shared" si="90"/>
        <v>Low</v>
      </c>
    </row>
    <row r="832" spans="1:24" ht="15.75" customHeight="1">
      <c r="A832" s="4" t="s">
        <v>2828</v>
      </c>
      <c r="B832" s="9">
        <v>45863</v>
      </c>
      <c r="C832" s="4" t="s">
        <v>942</v>
      </c>
      <c r="D832" s="4" t="s">
        <v>1785</v>
      </c>
      <c r="E832" s="4" t="s">
        <v>1959</v>
      </c>
      <c r="F832" s="4">
        <v>1</v>
      </c>
      <c r="G832" s="4">
        <v>145.96</v>
      </c>
      <c r="H832" s="4">
        <v>0.3</v>
      </c>
      <c r="I832" s="4" t="s">
        <v>1996</v>
      </c>
      <c r="J832" s="10">
        <v>102.172</v>
      </c>
      <c r="K832" s="4" t="str">
        <f t="shared" si="84"/>
        <v>25-07-2025</v>
      </c>
      <c r="L832" s="4" t="str">
        <f>TEXT(Sales_Fact!$B832,"mmm")</f>
        <v>Jul</v>
      </c>
      <c r="M832" s="4">
        <f t="shared" si="85"/>
        <v>1</v>
      </c>
      <c r="N832" s="10">
        <f t="shared" si="86"/>
        <v>145.96</v>
      </c>
      <c r="O832" s="10">
        <f t="shared" si="87"/>
        <v>102.172</v>
      </c>
      <c r="P832" s="10">
        <f t="shared" si="88"/>
        <v>145.96</v>
      </c>
      <c r="Q832" s="3">
        <f t="shared" si="89"/>
        <v>0.30000000000000004</v>
      </c>
      <c r="R832" s="4" t="str">
        <f>IF(Sales_Fact!$O832&gt;1000,"High","Low")</f>
        <v>Low</v>
      </c>
      <c r="S832" s="4" t="str">
        <f>VLOOKUP(C832,Customer_Dim!$A:$N,9,FALSE())</f>
        <v>Misty Ferguson</v>
      </c>
      <c r="T832" s="4" t="str">
        <f>VLOOKUP(D832,Product_Dim!$A:$M,3,FALSE())</f>
        <v>Beauty</v>
      </c>
      <c r="U832" s="11" t="str">
        <f>VLOOKUP(D832,Product_Dim!$A:$M,2,FALSE())</f>
        <v>Luxury Perfume Spray</v>
      </c>
      <c r="V832" s="11" t="str">
        <f>VLOOKUP(E832,Store_Dim!$A:$E,3,FALSE())</f>
        <v>North</v>
      </c>
      <c r="W832" s="11" t="str">
        <f>VLOOKUP(C832,Customer_Dim!$A:$N,13,FALSE())</f>
        <v>Gold</v>
      </c>
      <c r="X832" s="11" t="str">
        <f t="shared" si="90"/>
        <v>Low</v>
      </c>
    </row>
    <row r="833" spans="1:24" ht="15.75" customHeight="1">
      <c r="A833" s="4" t="s">
        <v>2829</v>
      </c>
      <c r="B833" s="9">
        <v>45573</v>
      </c>
      <c r="C833" s="4" t="s">
        <v>381</v>
      </c>
      <c r="D833" s="4" t="s">
        <v>1816</v>
      </c>
      <c r="E833" s="4" t="s">
        <v>1927</v>
      </c>
      <c r="F833" s="4">
        <v>4</v>
      </c>
      <c r="G833" s="4">
        <v>640.91</v>
      </c>
      <c r="H833" s="4">
        <v>0.06</v>
      </c>
      <c r="I833" s="4" t="s">
        <v>1996</v>
      </c>
      <c r="J833" s="10">
        <v>2409.8216000000002</v>
      </c>
      <c r="K833" s="4" t="str">
        <f t="shared" si="84"/>
        <v>08-10-2024</v>
      </c>
      <c r="L833" s="4" t="str">
        <f>TEXT(Sales_Fact!$B833,"mmm")</f>
        <v>Oct</v>
      </c>
      <c r="M833" s="4">
        <f t="shared" si="85"/>
        <v>4</v>
      </c>
      <c r="N833" s="10">
        <f t="shared" si="86"/>
        <v>640.91</v>
      </c>
      <c r="O833" s="10">
        <f t="shared" si="87"/>
        <v>2409.8215999999998</v>
      </c>
      <c r="P833" s="10">
        <f t="shared" si="88"/>
        <v>2563.64</v>
      </c>
      <c r="Q833" s="3">
        <f t="shared" si="89"/>
        <v>6.0000000000000046E-2</v>
      </c>
      <c r="R833" s="4" t="str">
        <f>IF(Sales_Fact!$O833&gt;1000,"High","Low")</f>
        <v>High</v>
      </c>
      <c r="S833" s="4" t="str">
        <f>VLOOKUP(C833,Customer_Dim!$A:$N,9,FALSE())</f>
        <v>Colleen Maynard</v>
      </c>
      <c r="T833" s="4" t="str">
        <f>VLOOKUP(D833,Product_Dim!$A:$M,3,FALSE())</f>
        <v>Home</v>
      </c>
      <c r="U833" s="11" t="str">
        <f>VLOOKUP(D833,Product_Dim!$A:$M,2,FALSE())</f>
        <v>Kitchen Storage Rack</v>
      </c>
      <c r="V833" s="11" t="str">
        <f>VLOOKUP(E833,Store_Dim!$A:$E,3,FALSE())</f>
        <v>South</v>
      </c>
      <c r="W833" s="11" t="str">
        <f>VLOOKUP(C833,Customer_Dim!$A:$N,13,FALSE())</f>
        <v>Gold</v>
      </c>
      <c r="X833" s="11" t="str">
        <f t="shared" si="90"/>
        <v>High</v>
      </c>
    </row>
    <row r="834" spans="1:24" ht="15.75" customHeight="1">
      <c r="A834" s="4" t="s">
        <v>2830</v>
      </c>
      <c r="B834" s="9">
        <v>45792</v>
      </c>
      <c r="C834" s="4" t="s">
        <v>185</v>
      </c>
      <c r="D834" s="4" t="s">
        <v>1797</v>
      </c>
      <c r="E834" s="4" t="s">
        <v>1950</v>
      </c>
      <c r="F834" s="4">
        <v>3</v>
      </c>
      <c r="G834" s="4">
        <v>773.86</v>
      </c>
      <c r="H834" s="4">
        <v>0.22</v>
      </c>
      <c r="I834" s="4" t="s">
        <v>1996</v>
      </c>
      <c r="J834" s="10">
        <v>1810.8324</v>
      </c>
      <c r="K834" s="4" t="str">
        <f t="shared" ref="K834:K897" si="91">TEXT(B834,"dd-mm-yyyy")</f>
        <v>15-05-2025</v>
      </c>
      <c r="L834" s="4" t="str">
        <f>TEXT(Sales_Fact!$B834,"mmm")</f>
        <v>May</v>
      </c>
      <c r="M834" s="4">
        <f t="shared" ref="M834:M897" si="92">IF(ISBLANK(F834),1,F834)</f>
        <v>3</v>
      </c>
      <c r="N834" s="10">
        <f t="shared" ref="N834:N897" si="93">ROUNDUP(IF(ISBLANK(G834),AVERAGE(C:C,G834,G:G),G834),2)</f>
        <v>773.86</v>
      </c>
      <c r="O834" s="10">
        <f t="shared" ref="O834:O897" si="94">M834*N834*(1-H834)</f>
        <v>1810.8324</v>
      </c>
      <c r="P834" s="10">
        <f t="shared" ref="P834:P897" si="95">M834*N834</f>
        <v>2321.58</v>
      </c>
      <c r="Q834" s="3">
        <f t="shared" ref="Q834:Q897" si="96">(P834-O834)/P834</f>
        <v>0.21999999999999997</v>
      </c>
      <c r="R834" s="4" t="str">
        <f>IF(Sales_Fact!$O834&gt;1000,"High","Low")</f>
        <v>High</v>
      </c>
      <c r="S834" s="4" t="str">
        <f>VLOOKUP(C834,Customer_Dim!$A:$N,9,FALSE())</f>
        <v>William Martin</v>
      </c>
      <c r="T834" s="4" t="str">
        <f>VLOOKUP(D834,Product_Dim!$A:$M,3,FALSE())</f>
        <v>Beauty</v>
      </c>
      <c r="U834" s="11" t="str">
        <f>VLOOKUP(D834,Product_Dim!$A:$M,2,FALSE())</f>
        <v>Matte Lipstick Set</v>
      </c>
      <c r="V834" s="11" t="str">
        <f>VLOOKUP(E834,Store_Dim!$A:$E,3,FALSE())</f>
        <v>South</v>
      </c>
      <c r="W834" s="11" t="str">
        <f>VLOOKUP(C834,Customer_Dim!$A:$N,13,FALSE())</f>
        <v>Platinum</v>
      </c>
      <c r="X834" s="11" t="str">
        <f t="shared" ref="X834:X897" si="97">IF(F834&gt;3,"High","Low")</f>
        <v>Low</v>
      </c>
    </row>
    <row r="835" spans="1:24" ht="15.75" customHeight="1">
      <c r="A835" s="4" t="s">
        <v>2831</v>
      </c>
      <c r="B835" s="9">
        <v>45744</v>
      </c>
      <c r="C835" s="4" t="s">
        <v>1457</v>
      </c>
      <c r="D835" s="4" t="s">
        <v>1693</v>
      </c>
      <c r="E835" s="4" t="s">
        <v>1959</v>
      </c>
      <c r="F835" s="4">
        <v>2</v>
      </c>
      <c r="G835" s="4">
        <v>31.28</v>
      </c>
      <c r="H835" s="4">
        <v>0.2</v>
      </c>
      <c r="I835" s="4" t="s">
        <v>2004</v>
      </c>
      <c r="J835" s="10">
        <v>50.048000000000002</v>
      </c>
      <c r="K835" s="4" t="str">
        <f t="shared" si="91"/>
        <v>28-03-2025</v>
      </c>
      <c r="L835" s="4" t="str">
        <f>TEXT(Sales_Fact!$B835,"mmm")</f>
        <v>Mar</v>
      </c>
      <c r="M835" s="4">
        <f t="shared" si="92"/>
        <v>2</v>
      </c>
      <c r="N835" s="10">
        <f t="shared" si="93"/>
        <v>31.28</v>
      </c>
      <c r="O835" s="10">
        <f t="shared" si="94"/>
        <v>50.048000000000002</v>
      </c>
      <c r="P835" s="10">
        <f t="shared" si="95"/>
        <v>62.56</v>
      </c>
      <c r="Q835" s="3">
        <f t="shared" si="96"/>
        <v>0.2</v>
      </c>
      <c r="R835" s="4" t="str">
        <f>IF(Sales_Fact!$O835&gt;1000,"High","Low")</f>
        <v>Low</v>
      </c>
      <c r="S835" s="4" t="str">
        <f>VLOOKUP(C835,Customer_Dim!$A:$N,9,FALSE())</f>
        <v>Samantha Lee</v>
      </c>
      <c r="T835" s="4" t="str">
        <f>VLOOKUP(D835,Product_Dim!$A:$M,3,FALSE())</f>
        <v>Sports</v>
      </c>
      <c r="U835" s="11" t="str">
        <f>VLOOKUP(D835,Product_Dim!$A:$M,2,FALSE())</f>
        <v>Basketball</v>
      </c>
      <c r="V835" s="11" t="str">
        <f>VLOOKUP(E835,Store_Dim!$A:$E,3,FALSE())</f>
        <v>North</v>
      </c>
      <c r="W835" s="11" t="str">
        <f>VLOOKUP(C835,Customer_Dim!$A:$N,13,FALSE())</f>
        <v>Bronze</v>
      </c>
      <c r="X835" s="11" t="str">
        <f t="shared" si="97"/>
        <v>Low</v>
      </c>
    </row>
    <row r="836" spans="1:24" ht="15.75" customHeight="1">
      <c r="A836" s="4" t="s">
        <v>2832</v>
      </c>
      <c r="B836" s="9">
        <v>45842</v>
      </c>
      <c r="C836" s="4" t="s">
        <v>1195</v>
      </c>
      <c r="D836" s="4" t="s">
        <v>1852</v>
      </c>
      <c r="E836" s="4" t="s">
        <v>1934</v>
      </c>
      <c r="F836" s="4">
        <v>4</v>
      </c>
      <c r="G836" s="4">
        <v>389.22</v>
      </c>
      <c r="H836" s="4">
        <v>0.18</v>
      </c>
      <c r="I836" s="4" t="s">
        <v>1996</v>
      </c>
      <c r="J836" s="10">
        <v>1276.6415999999999</v>
      </c>
      <c r="K836" s="4" t="str">
        <f t="shared" si="91"/>
        <v>04-07-2025</v>
      </c>
      <c r="L836" s="4" t="str">
        <f>TEXT(Sales_Fact!$B836,"mmm")</f>
        <v>Jul</v>
      </c>
      <c r="M836" s="4">
        <f t="shared" si="92"/>
        <v>4</v>
      </c>
      <c r="N836" s="10">
        <f t="shared" si="93"/>
        <v>389.22</v>
      </c>
      <c r="O836" s="10">
        <f t="shared" si="94"/>
        <v>1276.6416000000002</v>
      </c>
      <c r="P836" s="10">
        <f t="shared" si="95"/>
        <v>1556.88</v>
      </c>
      <c r="Q836" s="3">
        <f t="shared" si="96"/>
        <v>0.17999999999999997</v>
      </c>
      <c r="R836" s="4" t="str">
        <f>IF(Sales_Fact!$O836&gt;1000,"High","Low")</f>
        <v>High</v>
      </c>
      <c r="S836" s="4" t="str">
        <f>VLOOKUP(C836,Customer_Dim!$A:$N,9,FALSE())</f>
        <v>James Orozco</v>
      </c>
      <c r="T836" s="4" t="str">
        <f>VLOOKUP(D836,Product_Dim!$A:$M,3,FALSE())</f>
        <v>Sports</v>
      </c>
      <c r="U836" s="11" t="str">
        <f>VLOOKUP(D836,Product_Dim!$A:$M,2,FALSE())</f>
        <v>Fitness Resistance Bands</v>
      </c>
      <c r="V836" s="11" t="str">
        <f>VLOOKUP(E836,Store_Dim!$A:$E,3,FALSE())</f>
        <v>East</v>
      </c>
      <c r="W836" s="11" t="str">
        <f>VLOOKUP(C836,Customer_Dim!$A:$N,13,FALSE())</f>
        <v>Gold</v>
      </c>
      <c r="X836" s="11" t="str">
        <f t="shared" si="97"/>
        <v>High</v>
      </c>
    </row>
    <row r="837" spans="1:24" ht="15.75" customHeight="1">
      <c r="A837" s="4" t="s">
        <v>2833</v>
      </c>
      <c r="B837" s="9">
        <v>45641</v>
      </c>
      <c r="C837" s="4" t="s">
        <v>1207</v>
      </c>
      <c r="D837" s="4" t="s">
        <v>1882</v>
      </c>
      <c r="E837" s="4" t="s">
        <v>1915</v>
      </c>
      <c r="F837" s="4">
        <v>2</v>
      </c>
      <c r="G837" s="4">
        <v>707.65</v>
      </c>
      <c r="H837" s="4">
        <v>0.14000000000000001</v>
      </c>
      <c r="I837" s="4" t="s">
        <v>1996</v>
      </c>
      <c r="J837" s="10">
        <v>1217.1579999999999</v>
      </c>
      <c r="K837" s="4" t="str">
        <f t="shared" si="91"/>
        <v>15-12-2024</v>
      </c>
      <c r="L837" s="4" t="str">
        <f>TEXT(Sales_Fact!$B837,"mmm")</f>
        <v>Dec</v>
      </c>
      <c r="M837" s="4">
        <f t="shared" si="92"/>
        <v>2</v>
      </c>
      <c r="N837" s="10">
        <f t="shared" si="93"/>
        <v>707.65</v>
      </c>
      <c r="O837" s="10">
        <f t="shared" si="94"/>
        <v>1217.1579999999999</v>
      </c>
      <c r="P837" s="10">
        <f t="shared" si="95"/>
        <v>1415.3</v>
      </c>
      <c r="Q837" s="3">
        <f t="shared" si="96"/>
        <v>0.14000000000000004</v>
      </c>
      <c r="R837" s="4" t="str">
        <f>IF(Sales_Fact!$O837&gt;1000,"High","Low")</f>
        <v>High</v>
      </c>
      <c r="S837" s="4" t="str">
        <f>VLOOKUP(C837,Customer_Dim!$A:$N,9,FALSE())</f>
        <v>Charles Conley</v>
      </c>
      <c r="T837" s="4" t="str">
        <f>VLOOKUP(D837,Product_Dim!$A:$M,3,FALSE())</f>
        <v>Home</v>
      </c>
      <c r="U837" s="11" t="str">
        <f>VLOOKUP(D837,Product_Dim!$A:$M,2,FALSE())</f>
        <v>Microwave Oven</v>
      </c>
      <c r="V837" s="11" t="str">
        <f>VLOOKUP(E837,Store_Dim!$A:$E,3,FALSE())</f>
        <v>North</v>
      </c>
      <c r="W837" s="11" t="str">
        <f>VLOOKUP(C837,Customer_Dim!$A:$N,13,FALSE())</f>
        <v>Gold</v>
      </c>
      <c r="X837" s="11" t="str">
        <f t="shared" si="97"/>
        <v>Low</v>
      </c>
    </row>
    <row r="838" spans="1:24" ht="15.75" customHeight="1">
      <c r="A838" s="4" t="s">
        <v>2834</v>
      </c>
      <c r="B838" s="9">
        <v>45502</v>
      </c>
      <c r="C838" s="4" t="s">
        <v>91</v>
      </c>
      <c r="D838" s="4" t="s">
        <v>1797</v>
      </c>
      <c r="E838" s="4" t="s">
        <v>1959</v>
      </c>
      <c r="F838" s="4">
        <v>3</v>
      </c>
      <c r="G838" s="4">
        <v>543.44000000000005</v>
      </c>
      <c r="H838" s="4">
        <v>0.13</v>
      </c>
      <c r="I838" s="4" t="s">
        <v>1998</v>
      </c>
      <c r="J838" s="10">
        <v>1418.3784000000001</v>
      </c>
      <c r="K838" s="4" t="str">
        <f t="shared" si="91"/>
        <v>29-07-2024</v>
      </c>
      <c r="L838" s="4" t="str">
        <f>TEXT(Sales_Fact!$B838,"mmm")</f>
        <v>Jul</v>
      </c>
      <c r="M838" s="4">
        <f t="shared" si="92"/>
        <v>3</v>
      </c>
      <c r="N838" s="10">
        <f t="shared" si="93"/>
        <v>543.44000000000005</v>
      </c>
      <c r="O838" s="10">
        <f t="shared" si="94"/>
        <v>1418.3784000000001</v>
      </c>
      <c r="P838" s="10">
        <f t="shared" si="95"/>
        <v>1630.3200000000002</v>
      </c>
      <c r="Q838" s="3">
        <f t="shared" si="96"/>
        <v>0.13000000000000006</v>
      </c>
      <c r="R838" s="4" t="str">
        <f>IF(Sales_Fact!$O838&gt;1000,"High","Low")</f>
        <v>High</v>
      </c>
      <c r="S838" s="4" t="str">
        <f>VLOOKUP(C838,Customer_Dim!$A:$N,9,FALSE())</f>
        <v>Laura Alvarez</v>
      </c>
      <c r="T838" s="4" t="str">
        <f>VLOOKUP(D838,Product_Dim!$A:$M,3,FALSE())</f>
        <v>Beauty</v>
      </c>
      <c r="U838" s="11" t="str">
        <f>VLOOKUP(D838,Product_Dim!$A:$M,2,FALSE())</f>
        <v>Matte Lipstick Set</v>
      </c>
      <c r="V838" s="11" t="str">
        <f>VLOOKUP(E838,Store_Dim!$A:$E,3,FALSE())</f>
        <v>North</v>
      </c>
      <c r="W838" s="11" t="str">
        <f>VLOOKUP(C838,Customer_Dim!$A:$N,13,FALSE())</f>
        <v>Platinum</v>
      </c>
      <c r="X838" s="11" t="str">
        <f t="shared" si="97"/>
        <v>Low</v>
      </c>
    </row>
    <row r="839" spans="1:24" ht="15.75" customHeight="1">
      <c r="A839" s="4" t="s">
        <v>2835</v>
      </c>
      <c r="B839" s="9">
        <v>45296</v>
      </c>
      <c r="C839" s="4" t="s">
        <v>849</v>
      </c>
      <c r="D839" s="4" t="s">
        <v>1897</v>
      </c>
      <c r="E839" s="4" t="s">
        <v>1971</v>
      </c>
      <c r="F839" s="4">
        <v>4</v>
      </c>
      <c r="G839" s="4">
        <v>715.42</v>
      </c>
      <c r="H839" s="4">
        <v>0.28999999999999998</v>
      </c>
      <c r="I839" s="4" t="s">
        <v>1998</v>
      </c>
      <c r="J839" s="10">
        <v>2031.7927999999999</v>
      </c>
      <c r="K839" s="4" t="str">
        <f t="shared" si="91"/>
        <v>05-01-2024</v>
      </c>
      <c r="L839" s="4" t="str">
        <f>TEXT(Sales_Fact!$B839,"mmm")</f>
        <v>Jan</v>
      </c>
      <c r="M839" s="4">
        <f t="shared" si="92"/>
        <v>4</v>
      </c>
      <c r="N839" s="10">
        <f t="shared" si="93"/>
        <v>715.42</v>
      </c>
      <c r="O839" s="10">
        <f t="shared" si="94"/>
        <v>2031.7927999999997</v>
      </c>
      <c r="P839" s="10">
        <f t="shared" si="95"/>
        <v>2861.68</v>
      </c>
      <c r="Q839" s="3">
        <f t="shared" si="96"/>
        <v>0.29000000000000004</v>
      </c>
      <c r="R839" s="4" t="str">
        <f>IF(Sales_Fact!$O839&gt;1000,"High","Low")</f>
        <v>High</v>
      </c>
      <c r="S839" s="4" t="str">
        <f>VLOOKUP(C839,Customer_Dim!$A:$N,9,FALSE())</f>
        <v>Christopher David</v>
      </c>
      <c r="T839" s="4" t="str">
        <f>VLOOKUP(D839,Product_Dim!$A:$M,3,FALSE())</f>
        <v>Sports</v>
      </c>
      <c r="U839" s="11" t="str">
        <f>VLOOKUP(D839,Product_Dim!$A:$M,2,FALSE())</f>
        <v>Cricket Bat</v>
      </c>
      <c r="V839" s="11" t="str">
        <f>VLOOKUP(E839,Store_Dim!$A:$E,3,FALSE())</f>
        <v>East</v>
      </c>
      <c r="W839" s="11" t="str">
        <f>VLOOKUP(C839,Customer_Dim!$A:$N,13,FALSE())</f>
        <v>Silver</v>
      </c>
      <c r="X839" s="11" t="str">
        <f t="shared" si="97"/>
        <v>High</v>
      </c>
    </row>
    <row r="840" spans="1:24" ht="15.75" customHeight="1">
      <c r="A840" s="4" t="s">
        <v>2836</v>
      </c>
      <c r="B840" s="9">
        <v>45886</v>
      </c>
      <c r="C840" s="4" t="s">
        <v>216</v>
      </c>
      <c r="D840" s="4" t="s">
        <v>1629</v>
      </c>
      <c r="E840" s="4" t="s">
        <v>1927</v>
      </c>
      <c r="F840" s="4">
        <v>4</v>
      </c>
      <c r="G840" s="4">
        <v>676.14</v>
      </c>
      <c r="H840" s="4">
        <v>0.11</v>
      </c>
      <c r="I840" s="4" t="s">
        <v>2004</v>
      </c>
      <c r="J840" s="10">
        <v>2407.0583999999999</v>
      </c>
      <c r="K840" s="4" t="str">
        <f t="shared" si="91"/>
        <v>17-08-2025</v>
      </c>
      <c r="L840" s="4" t="str">
        <f>TEXT(Sales_Fact!$B840,"mmm")</f>
        <v>Aug</v>
      </c>
      <c r="M840" s="4">
        <f t="shared" si="92"/>
        <v>4</v>
      </c>
      <c r="N840" s="10">
        <f t="shared" si="93"/>
        <v>676.14</v>
      </c>
      <c r="O840" s="10">
        <f t="shared" si="94"/>
        <v>2407.0583999999999</v>
      </c>
      <c r="P840" s="10">
        <f t="shared" si="95"/>
        <v>2704.56</v>
      </c>
      <c r="Q840" s="3">
        <f t="shared" si="96"/>
        <v>0.11000000000000003</v>
      </c>
      <c r="R840" s="4" t="str">
        <f>IF(Sales_Fact!$O840&gt;1000,"High","Low")</f>
        <v>High</v>
      </c>
      <c r="S840" s="4" t="str">
        <f>VLOOKUP(C840,Customer_Dim!$A:$N,9,FALSE())</f>
        <v>Sarah Rodgers</v>
      </c>
      <c r="T840" s="4" t="str">
        <f>VLOOKUP(D840,Product_Dim!$A:$M,3,FALSE())</f>
        <v>Beauty</v>
      </c>
      <c r="U840" s="11" t="str">
        <f>VLOOKUP(D840,Product_Dim!$A:$M,2,FALSE())</f>
        <v>Hair Strengthening Shampoo</v>
      </c>
      <c r="V840" s="11" t="str">
        <f>VLOOKUP(E840,Store_Dim!$A:$E,3,FALSE())</f>
        <v>South</v>
      </c>
      <c r="W840" s="11" t="str">
        <f>VLOOKUP(C840,Customer_Dim!$A:$N,13,FALSE())</f>
        <v>Gold</v>
      </c>
      <c r="X840" s="11" t="str">
        <f t="shared" si="97"/>
        <v>High</v>
      </c>
    </row>
    <row r="841" spans="1:24" ht="15.75" customHeight="1">
      <c r="A841" s="4" t="s">
        <v>2837</v>
      </c>
      <c r="B841" s="9">
        <v>45425</v>
      </c>
      <c r="C841" s="4" t="s">
        <v>342</v>
      </c>
      <c r="D841" s="4" t="s">
        <v>1719</v>
      </c>
      <c r="E841" s="4" t="s">
        <v>1915</v>
      </c>
      <c r="F841" s="4">
        <v>4</v>
      </c>
      <c r="G841" s="4">
        <v>352.72</v>
      </c>
      <c r="H841" s="4">
        <v>0.25</v>
      </c>
      <c r="I841" s="4" t="s">
        <v>1996</v>
      </c>
      <c r="J841" s="10">
        <v>1058.1600000000001</v>
      </c>
      <c r="K841" s="4" t="str">
        <f t="shared" si="91"/>
        <v>13-05-2024</v>
      </c>
      <c r="L841" s="4" t="str">
        <f>TEXT(Sales_Fact!$B841,"mmm")</f>
        <v>May</v>
      </c>
      <c r="M841" s="4">
        <f t="shared" si="92"/>
        <v>4</v>
      </c>
      <c r="N841" s="10">
        <f t="shared" si="93"/>
        <v>352.72</v>
      </c>
      <c r="O841" s="10">
        <f t="shared" si="94"/>
        <v>1058.1600000000001</v>
      </c>
      <c r="P841" s="10">
        <f t="shared" si="95"/>
        <v>1410.88</v>
      </c>
      <c r="Q841" s="3">
        <f t="shared" si="96"/>
        <v>0.25</v>
      </c>
      <c r="R841" s="4" t="str">
        <f>IF(Sales_Fact!$O841&gt;1000,"High","Low")</f>
        <v>High</v>
      </c>
      <c r="S841" s="4" t="str">
        <f>VLOOKUP(C841,Customer_Dim!$A:$N,9,FALSE())</f>
        <v>Jamie Yoder</v>
      </c>
      <c r="T841" s="4" t="str">
        <f>VLOOKUP(D841,Product_Dim!$A:$M,3,FALSE())</f>
        <v>Electronics</v>
      </c>
      <c r="U841" s="11" t="str">
        <f>VLOOKUP(D841,Product_Dim!$A:$M,2,FALSE())</f>
        <v>Portable Power Bank</v>
      </c>
      <c r="V841" s="11" t="str">
        <f>VLOOKUP(E841,Store_Dim!$A:$E,3,FALSE())</f>
        <v>North</v>
      </c>
      <c r="W841" s="11" t="str">
        <f>VLOOKUP(C841,Customer_Dim!$A:$N,13,FALSE())</f>
        <v>Platinum</v>
      </c>
      <c r="X841" s="11" t="str">
        <f t="shared" si="97"/>
        <v>High</v>
      </c>
    </row>
    <row r="842" spans="1:24" ht="15.75" customHeight="1">
      <c r="A842" s="4" t="s">
        <v>2838</v>
      </c>
      <c r="B842" s="9">
        <v>45797</v>
      </c>
      <c r="C842" s="4" t="s">
        <v>598</v>
      </c>
      <c r="D842" s="4" t="s">
        <v>1626</v>
      </c>
      <c r="E842" s="4" t="s">
        <v>1952</v>
      </c>
      <c r="F842" s="4">
        <v>1</v>
      </c>
      <c r="G842" s="4">
        <v>470.18</v>
      </c>
      <c r="H842" s="4">
        <v>0.19</v>
      </c>
      <c r="I842" s="4" t="s">
        <v>1998</v>
      </c>
      <c r="J842" s="10">
        <v>380.8458</v>
      </c>
      <c r="K842" s="4" t="str">
        <f t="shared" si="91"/>
        <v>20-05-2025</v>
      </c>
      <c r="L842" s="4" t="str">
        <f>TEXT(Sales_Fact!$B842,"mmm")</f>
        <v>May</v>
      </c>
      <c r="M842" s="4">
        <f t="shared" si="92"/>
        <v>1</v>
      </c>
      <c r="N842" s="10">
        <f t="shared" si="93"/>
        <v>470.18</v>
      </c>
      <c r="O842" s="10">
        <f t="shared" si="94"/>
        <v>380.84580000000005</v>
      </c>
      <c r="P842" s="10">
        <f t="shared" si="95"/>
        <v>470.18</v>
      </c>
      <c r="Q842" s="3">
        <f t="shared" si="96"/>
        <v>0.18999999999999989</v>
      </c>
      <c r="R842" s="4" t="str">
        <f>IF(Sales_Fact!$O842&gt;1000,"High","Low")</f>
        <v>Low</v>
      </c>
      <c r="S842" s="4" t="str">
        <f>VLOOKUP(C842,Customer_Dim!$A:$N,9,FALSE())</f>
        <v>Teresa Stokes</v>
      </c>
      <c r="T842" s="4" t="str">
        <f>VLOOKUP(D842,Product_Dim!$A:$M,3,FALSE())</f>
        <v>Electronics</v>
      </c>
      <c r="U842" s="11" t="str">
        <f>VLOOKUP(D842,Product_Dim!$A:$M,2,FALSE())</f>
        <v>HD Smart TV Stick</v>
      </c>
      <c r="V842" s="11" t="str">
        <f>VLOOKUP(E842,Store_Dim!$A:$E,3,FALSE())</f>
        <v>North</v>
      </c>
      <c r="W842" s="11" t="str">
        <f>VLOOKUP(C842,Customer_Dim!$A:$N,13,FALSE())</f>
        <v>Platinum</v>
      </c>
      <c r="X842" s="11" t="str">
        <f t="shared" si="97"/>
        <v>Low</v>
      </c>
    </row>
    <row r="843" spans="1:24" ht="15.75" customHeight="1">
      <c r="A843" s="4" t="s">
        <v>2839</v>
      </c>
      <c r="B843" s="9">
        <v>45898</v>
      </c>
      <c r="C843" s="4" t="s">
        <v>768</v>
      </c>
      <c r="D843" s="4" t="s">
        <v>1803</v>
      </c>
      <c r="E843" s="4" t="s">
        <v>1950</v>
      </c>
      <c r="F843" s="4">
        <v>1</v>
      </c>
      <c r="G843" s="4">
        <v>891.79</v>
      </c>
      <c r="H843" s="4">
        <v>0.03</v>
      </c>
      <c r="I843" s="4" t="s">
        <v>1996</v>
      </c>
      <c r="J843" s="10">
        <v>865.03629999999998</v>
      </c>
      <c r="K843" s="4" t="str">
        <f t="shared" si="91"/>
        <v>29-08-2025</v>
      </c>
      <c r="L843" s="4" t="str">
        <f>TEXT(Sales_Fact!$B843,"mmm")</f>
        <v>Aug</v>
      </c>
      <c r="M843" s="4">
        <f t="shared" si="92"/>
        <v>1</v>
      </c>
      <c r="N843" s="10">
        <f t="shared" si="93"/>
        <v>891.79</v>
      </c>
      <c r="O843" s="10">
        <f t="shared" si="94"/>
        <v>865.03629999999998</v>
      </c>
      <c r="P843" s="10">
        <f t="shared" si="95"/>
        <v>891.79</v>
      </c>
      <c r="Q843" s="3">
        <f t="shared" si="96"/>
        <v>2.9999999999999978E-2</v>
      </c>
      <c r="R843" s="4" t="str">
        <f>IF(Sales_Fact!$O843&gt;1000,"High","Low")</f>
        <v>Low</v>
      </c>
      <c r="S843" s="4" t="str">
        <f>VLOOKUP(C843,Customer_Dim!$A:$N,9,FALSE())</f>
        <v>Timothy Sanders</v>
      </c>
      <c r="T843" s="4" t="str">
        <f>VLOOKUP(D843,Product_Dim!$A:$M,3,FALSE())</f>
        <v>Beauty</v>
      </c>
      <c r="U843" s="11" t="str">
        <f>VLOOKUP(D843,Product_Dim!$A:$M,2,FALSE())</f>
        <v>Women's Hair Dryer Brush</v>
      </c>
      <c r="V843" s="11" t="str">
        <f>VLOOKUP(E843,Store_Dim!$A:$E,3,FALSE())</f>
        <v>South</v>
      </c>
      <c r="W843" s="11" t="str">
        <f>VLOOKUP(C843,Customer_Dim!$A:$N,13,FALSE())</f>
        <v>Bronze</v>
      </c>
      <c r="X843" s="11" t="str">
        <f t="shared" si="97"/>
        <v>Low</v>
      </c>
    </row>
    <row r="844" spans="1:24" ht="15.75" customHeight="1">
      <c r="A844" s="4" t="s">
        <v>2840</v>
      </c>
      <c r="B844" s="9">
        <v>45390</v>
      </c>
      <c r="C844" s="4" t="s">
        <v>1120</v>
      </c>
      <c r="D844" s="4" t="s">
        <v>1873</v>
      </c>
      <c r="E844" s="4" t="s">
        <v>1965</v>
      </c>
      <c r="F844" s="4">
        <v>2</v>
      </c>
      <c r="G844" s="4">
        <v>433.07</v>
      </c>
      <c r="H844" s="4">
        <v>0.25</v>
      </c>
      <c r="I844" s="4" t="s">
        <v>2004</v>
      </c>
      <c r="J844" s="10">
        <v>649.60500000000002</v>
      </c>
      <c r="K844" s="4" t="str">
        <f t="shared" si="91"/>
        <v>08-04-2024</v>
      </c>
      <c r="L844" s="4" t="str">
        <f>TEXT(Sales_Fact!$B844,"mmm")</f>
        <v>Apr</v>
      </c>
      <c r="M844" s="4">
        <f t="shared" si="92"/>
        <v>2</v>
      </c>
      <c r="N844" s="10">
        <f t="shared" si="93"/>
        <v>433.07</v>
      </c>
      <c r="O844" s="10">
        <f t="shared" si="94"/>
        <v>649.60500000000002</v>
      </c>
      <c r="P844" s="10">
        <f t="shared" si="95"/>
        <v>866.14</v>
      </c>
      <c r="Q844" s="3">
        <f t="shared" si="96"/>
        <v>0.24999999999999997</v>
      </c>
      <c r="R844" s="4" t="str">
        <f>IF(Sales_Fact!$O844&gt;1000,"High","Low")</f>
        <v>Low</v>
      </c>
      <c r="S844" s="4" t="str">
        <f>VLOOKUP(C844,Customer_Dim!$A:$N,9,FALSE())</f>
        <v>Sherry Cabrera</v>
      </c>
      <c r="T844" s="4" t="str">
        <f>VLOOKUP(D844,Product_Dim!$A:$M,3,FALSE())</f>
        <v>Beauty</v>
      </c>
      <c r="U844" s="11" t="str">
        <f>VLOOKUP(D844,Product_Dim!$A:$M,2,FALSE())</f>
        <v>Face Foundation Kit</v>
      </c>
      <c r="V844" s="11" t="str">
        <f>VLOOKUP(E844,Store_Dim!$A:$E,3,FALSE())</f>
        <v>North</v>
      </c>
      <c r="W844" s="11" t="str">
        <f>VLOOKUP(C844,Customer_Dim!$A:$N,13,FALSE())</f>
        <v>Silver</v>
      </c>
      <c r="X844" s="11" t="str">
        <f t="shared" si="97"/>
        <v>Low</v>
      </c>
    </row>
    <row r="845" spans="1:24" ht="15.75" customHeight="1">
      <c r="A845" s="4" t="s">
        <v>2841</v>
      </c>
      <c r="B845" s="9">
        <v>45355</v>
      </c>
      <c r="C845" s="4" t="s">
        <v>79</v>
      </c>
      <c r="D845" s="4" t="s">
        <v>1803</v>
      </c>
      <c r="E845" s="4" t="s">
        <v>1971</v>
      </c>
      <c r="F845" s="4">
        <v>3</v>
      </c>
      <c r="G845" s="4">
        <v>626.71</v>
      </c>
      <c r="H845" s="4">
        <v>7.0000000000000007E-2</v>
      </c>
      <c r="I845" s="4" t="s">
        <v>2004</v>
      </c>
      <c r="J845" s="10">
        <v>1748.5209</v>
      </c>
      <c r="K845" s="4" t="str">
        <f t="shared" si="91"/>
        <v>04-03-2024</v>
      </c>
      <c r="L845" s="4" t="str">
        <f>TEXT(Sales_Fact!$B845,"mmm")</f>
        <v>Mar</v>
      </c>
      <c r="M845" s="4">
        <f t="shared" si="92"/>
        <v>3</v>
      </c>
      <c r="N845" s="10">
        <f t="shared" si="93"/>
        <v>626.71</v>
      </c>
      <c r="O845" s="10">
        <f t="shared" si="94"/>
        <v>1748.5209</v>
      </c>
      <c r="P845" s="10">
        <f t="shared" si="95"/>
        <v>1880.13</v>
      </c>
      <c r="Q845" s="3">
        <f t="shared" si="96"/>
        <v>7.0000000000000062E-2</v>
      </c>
      <c r="R845" s="4" t="str">
        <f>IF(Sales_Fact!$O845&gt;1000,"High","Low")</f>
        <v>High</v>
      </c>
      <c r="S845" s="4" t="str">
        <f>VLOOKUP(C845,Customer_Dim!$A:$N,9,FALSE())</f>
        <v>Kenneth Lambert</v>
      </c>
      <c r="T845" s="4" t="str">
        <f>VLOOKUP(D845,Product_Dim!$A:$M,3,FALSE())</f>
        <v>Beauty</v>
      </c>
      <c r="U845" s="11" t="str">
        <f>VLOOKUP(D845,Product_Dim!$A:$M,2,FALSE())</f>
        <v>Women's Hair Dryer Brush</v>
      </c>
      <c r="V845" s="11" t="str">
        <f>VLOOKUP(E845,Store_Dim!$A:$E,3,FALSE())</f>
        <v>East</v>
      </c>
      <c r="W845" s="11" t="str">
        <f>VLOOKUP(C845,Customer_Dim!$A:$N,13,FALSE())</f>
        <v>Platinum</v>
      </c>
      <c r="X845" s="11" t="str">
        <f t="shared" si="97"/>
        <v>Low</v>
      </c>
    </row>
    <row r="846" spans="1:24" ht="15.75" customHeight="1">
      <c r="A846" s="4" t="s">
        <v>2842</v>
      </c>
      <c r="B846" s="9">
        <v>45916</v>
      </c>
      <c r="C846" s="4" t="s">
        <v>299</v>
      </c>
      <c r="D846" s="4" t="s">
        <v>1709</v>
      </c>
      <c r="E846" s="4" t="s">
        <v>1910</v>
      </c>
      <c r="F846" s="4">
        <v>2</v>
      </c>
      <c r="G846" s="4">
        <v>324.18</v>
      </c>
      <c r="H846" s="4">
        <v>0.06</v>
      </c>
      <c r="I846" s="4" t="s">
        <v>2004</v>
      </c>
      <c r="J846" s="10">
        <v>609.45839999999998</v>
      </c>
      <c r="K846" s="4" t="str">
        <f t="shared" si="91"/>
        <v>16-09-2025</v>
      </c>
      <c r="L846" s="4" t="str">
        <f>TEXT(Sales_Fact!$B846,"mmm")</f>
        <v>Sep</v>
      </c>
      <c r="M846" s="4">
        <f t="shared" si="92"/>
        <v>2</v>
      </c>
      <c r="N846" s="10">
        <f t="shared" si="93"/>
        <v>324.18</v>
      </c>
      <c r="O846" s="10">
        <f t="shared" si="94"/>
        <v>609.45839999999998</v>
      </c>
      <c r="P846" s="10">
        <f t="shared" si="95"/>
        <v>648.36</v>
      </c>
      <c r="Q846" s="3">
        <f t="shared" si="96"/>
        <v>6.0000000000000046E-2</v>
      </c>
      <c r="R846" s="4" t="str">
        <f>IF(Sales_Fact!$O846&gt;1000,"High","Low")</f>
        <v>Low</v>
      </c>
      <c r="S846" s="4" t="str">
        <f>VLOOKUP(C846,Customer_Dim!$A:$N,9,FALSE())</f>
        <v>Nathan Campbell</v>
      </c>
      <c r="T846" s="4" t="str">
        <f>VLOOKUP(D846,Product_Dim!$A:$M,3,FALSE())</f>
        <v>Clothing</v>
      </c>
      <c r="U846" s="11" t="str">
        <f>VLOOKUP(D846,Product_Dim!$A:$M,2,FALSE())</f>
        <v>Women's Summer Dress</v>
      </c>
      <c r="V846" s="11" t="str">
        <f>VLOOKUP(E846,Store_Dim!$A:$E,3,FALSE())</f>
        <v>East</v>
      </c>
      <c r="W846" s="11" t="str">
        <f>VLOOKUP(C846,Customer_Dim!$A:$N,13,FALSE())</f>
        <v>Gold</v>
      </c>
      <c r="X846" s="11" t="str">
        <f t="shared" si="97"/>
        <v>Low</v>
      </c>
    </row>
    <row r="847" spans="1:24" ht="15.75" customHeight="1">
      <c r="A847" s="4" t="s">
        <v>2843</v>
      </c>
      <c r="B847" s="9">
        <v>45448</v>
      </c>
      <c r="C847" s="4" t="s">
        <v>83</v>
      </c>
      <c r="D847" s="4" t="s">
        <v>1636</v>
      </c>
      <c r="E847" s="4" t="s">
        <v>1965</v>
      </c>
      <c r="F847" s="4">
        <v>4</v>
      </c>
      <c r="G847" s="4">
        <v>839.74</v>
      </c>
      <c r="H847" s="4">
        <v>0.13</v>
      </c>
      <c r="I847" s="4" t="s">
        <v>1998</v>
      </c>
      <c r="J847" s="10">
        <v>2922.2952</v>
      </c>
      <c r="K847" s="4" t="str">
        <f t="shared" si="91"/>
        <v>05-06-2024</v>
      </c>
      <c r="L847" s="4" t="str">
        <f>TEXT(Sales_Fact!$B847,"mmm")</f>
        <v>Jun</v>
      </c>
      <c r="M847" s="4">
        <f t="shared" si="92"/>
        <v>4</v>
      </c>
      <c r="N847" s="10">
        <f t="shared" si="93"/>
        <v>839.74</v>
      </c>
      <c r="O847" s="10">
        <f t="shared" si="94"/>
        <v>2922.2952</v>
      </c>
      <c r="P847" s="10">
        <f t="shared" si="95"/>
        <v>3358.96</v>
      </c>
      <c r="Q847" s="3">
        <f t="shared" si="96"/>
        <v>0.13</v>
      </c>
      <c r="R847" s="4" t="str">
        <f>IF(Sales_Fact!$O847&gt;1000,"High","Low")</f>
        <v>High</v>
      </c>
      <c r="S847" s="4" t="str">
        <f>VLOOKUP(C847,Customer_Dim!$A:$N,9,FALSE())</f>
        <v>Nathan Hernandez</v>
      </c>
      <c r="T847" s="4" t="str">
        <f>VLOOKUP(D847,Product_Dim!$A:$M,3,FALSE())</f>
        <v>Home</v>
      </c>
      <c r="U847" s="11" t="str">
        <f>VLOOKUP(D847,Product_Dim!$A:$M,2,FALSE())</f>
        <v>Decorative Wall Mirror</v>
      </c>
      <c r="V847" s="11" t="str">
        <f>VLOOKUP(E847,Store_Dim!$A:$E,3,FALSE())</f>
        <v>North</v>
      </c>
      <c r="W847" s="11" t="str">
        <f>VLOOKUP(C847,Customer_Dim!$A:$N,13,FALSE())</f>
        <v>Silver</v>
      </c>
      <c r="X847" s="11" t="str">
        <f t="shared" si="97"/>
        <v>High</v>
      </c>
    </row>
    <row r="848" spans="1:24" ht="15.75" customHeight="1">
      <c r="A848" s="4" t="s">
        <v>2844</v>
      </c>
      <c r="B848" s="9">
        <v>45371</v>
      </c>
      <c r="C848" s="4" t="s">
        <v>463</v>
      </c>
      <c r="D848" s="4" t="s">
        <v>1675</v>
      </c>
      <c r="E848" s="4" t="s">
        <v>1959</v>
      </c>
      <c r="F848" s="4">
        <v>1</v>
      </c>
      <c r="G848" s="4">
        <v>857.35</v>
      </c>
      <c r="H848" s="4">
        <v>0.28000000000000003</v>
      </c>
      <c r="I848" s="4" t="s">
        <v>1998</v>
      </c>
      <c r="J848" s="10">
        <v>617.29200000000003</v>
      </c>
      <c r="K848" s="4" t="str">
        <f t="shared" si="91"/>
        <v>20-03-2024</v>
      </c>
      <c r="L848" s="4" t="str">
        <f>TEXT(Sales_Fact!$B848,"mmm")</f>
        <v>Mar</v>
      </c>
      <c r="M848" s="4">
        <f t="shared" si="92"/>
        <v>1</v>
      </c>
      <c r="N848" s="10">
        <f t="shared" si="93"/>
        <v>857.35</v>
      </c>
      <c r="O848" s="10">
        <f t="shared" si="94"/>
        <v>617.29200000000003</v>
      </c>
      <c r="P848" s="10">
        <f t="shared" si="95"/>
        <v>857.35</v>
      </c>
      <c r="Q848" s="3">
        <f t="shared" si="96"/>
        <v>0.27999999999999997</v>
      </c>
      <c r="R848" s="4" t="str">
        <f>IF(Sales_Fact!$O848&gt;1000,"High","Low")</f>
        <v>Low</v>
      </c>
      <c r="S848" s="4" t="str">
        <f>VLOOKUP(C848,Customer_Dim!$A:$N,9,FALSE())</f>
        <v>Susan Mcdonald</v>
      </c>
      <c r="T848" s="4" t="str">
        <f>VLOOKUP(D848,Product_Dim!$A:$M,3,FALSE())</f>
        <v>Clothing</v>
      </c>
      <c r="U848" s="11" t="str">
        <f>VLOOKUP(D848,Product_Dim!$A:$M,2,FALSE())</f>
        <v>Women's Scarf Set</v>
      </c>
      <c r="V848" s="11" t="str">
        <f>VLOOKUP(E848,Store_Dim!$A:$E,3,FALSE())</f>
        <v>North</v>
      </c>
      <c r="W848" s="11" t="str">
        <f>VLOOKUP(C848,Customer_Dim!$A:$N,13,FALSE())</f>
        <v>Silver</v>
      </c>
      <c r="X848" s="11" t="str">
        <f t="shared" si="97"/>
        <v>Low</v>
      </c>
    </row>
    <row r="849" spans="1:24" ht="15.75" customHeight="1">
      <c r="A849" s="4" t="s">
        <v>2845</v>
      </c>
      <c r="B849" s="9">
        <v>45402</v>
      </c>
      <c r="C849" s="4" t="s">
        <v>547</v>
      </c>
      <c r="D849" s="4" t="s">
        <v>1791</v>
      </c>
      <c r="E849" s="4" t="s">
        <v>1959</v>
      </c>
      <c r="F849" s="4">
        <v>3</v>
      </c>
      <c r="G849" s="4">
        <v>252.63</v>
      </c>
      <c r="H849" s="4">
        <v>0.28000000000000003</v>
      </c>
      <c r="I849" s="4" t="s">
        <v>1996</v>
      </c>
      <c r="J849" s="10">
        <v>545.68079999999998</v>
      </c>
      <c r="K849" s="4" t="str">
        <f t="shared" si="91"/>
        <v>20-04-2024</v>
      </c>
      <c r="L849" s="4" t="str">
        <f>TEXT(Sales_Fact!$B849,"mmm")</f>
        <v>Apr</v>
      </c>
      <c r="M849" s="4">
        <f t="shared" si="92"/>
        <v>3</v>
      </c>
      <c r="N849" s="10">
        <f t="shared" si="93"/>
        <v>252.63</v>
      </c>
      <c r="O849" s="10">
        <f t="shared" si="94"/>
        <v>545.68079999999998</v>
      </c>
      <c r="P849" s="10">
        <f t="shared" si="95"/>
        <v>757.89</v>
      </c>
      <c r="Q849" s="3">
        <f t="shared" si="96"/>
        <v>0.28000000000000003</v>
      </c>
      <c r="R849" s="4" t="str">
        <f>IF(Sales_Fact!$O849&gt;1000,"High","Low")</f>
        <v>Low</v>
      </c>
      <c r="S849" s="4" t="str">
        <f>VLOOKUP(C849,Customer_Dim!$A:$N,9,FALSE())</f>
        <v>Maria Sanchez</v>
      </c>
      <c r="T849" s="4" t="str">
        <f>VLOOKUP(D849,Product_Dim!$A:$M,3,FALSE())</f>
        <v>Electronics</v>
      </c>
      <c r="U849" s="11" t="str">
        <f>VLOOKUP(D849,Product_Dim!$A:$M,2,FALSE())</f>
        <v>Laptop Cooling Pad</v>
      </c>
      <c r="V849" s="11" t="str">
        <f>VLOOKUP(E849,Store_Dim!$A:$E,3,FALSE())</f>
        <v>North</v>
      </c>
      <c r="W849" s="11" t="str">
        <f>VLOOKUP(C849,Customer_Dim!$A:$N,13,FALSE())</f>
        <v>Bronze</v>
      </c>
      <c r="X849" s="11" t="str">
        <f t="shared" si="97"/>
        <v>Low</v>
      </c>
    </row>
    <row r="850" spans="1:24" ht="15.75" customHeight="1">
      <c r="A850" s="4" t="s">
        <v>2846</v>
      </c>
      <c r="B850" s="9">
        <v>45581</v>
      </c>
      <c r="C850" s="4" t="s">
        <v>843</v>
      </c>
      <c r="D850" s="4" t="s">
        <v>1843</v>
      </c>
      <c r="E850" s="4" t="s">
        <v>1971</v>
      </c>
      <c r="F850" s="4">
        <v>2</v>
      </c>
      <c r="G850" s="4">
        <v>60.53</v>
      </c>
      <c r="H850" s="4">
        <v>0.18</v>
      </c>
      <c r="I850" s="4" t="s">
        <v>1996</v>
      </c>
      <c r="J850" s="10">
        <v>99.269199999999998</v>
      </c>
      <c r="K850" s="4" t="str">
        <f t="shared" si="91"/>
        <v>16-10-2024</v>
      </c>
      <c r="L850" s="4" t="str">
        <f>TEXT(Sales_Fact!$B850,"mmm")</f>
        <v>Oct</v>
      </c>
      <c r="M850" s="4">
        <f t="shared" si="92"/>
        <v>2</v>
      </c>
      <c r="N850" s="10">
        <f t="shared" si="93"/>
        <v>60.53</v>
      </c>
      <c r="O850" s="10">
        <f t="shared" si="94"/>
        <v>99.269200000000012</v>
      </c>
      <c r="P850" s="10">
        <f t="shared" si="95"/>
        <v>121.06</v>
      </c>
      <c r="Q850" s="3">
        <f t="shared" si="96"/>
        <v>0.17999999999999991</v>
      </c>
      <c r="R850" s="4" t="str">
        <f>IF(Sales_Fact!$O850&gt;1000,"High","Low")</f>
        <v>Low</v>
      </c>
      <c r="S850" s="4" t="str">
        <f>VLOOKUP(C850,Customer_Dim!$A:$N,9,FALSE())</f>
        <v>Damon Perez</v>
      </c>
      <c r="T850" s="4" t="str">
        <f>VLOOKUP(D850,Product_Dim!$A:$M,3,FALSE())</f>
        <v>Home</v>
      </c>
      <c r="U850" s="11" t="str">
        <f>VLOOKUP(D850,Product_Dim!$A:$M,2,FALSE())</f>
        <v>Decorative Lamp Shade</v>
      </c>
      <c r="V850" s="11" t="str">
        <f>VLOOKUP(E850,Store_Dim!$A:$E,3,FALSE())</f>
        <v>East</v>
      </c>
      <c r="W850" s="11" t="str">
        <f>VLOOKUP(C850,Customer_Dim!$A:$N,13,FALSE())</f>
        <v>Gold</v>
      </c>
      <c r="X850" s="11" t="str">
        <f t="shared" si="97"/>
        <v>Low</v>
      </c>
    </row>
    <row r="851" spans="1:24" ht="15.75" customHeight="1">
      <c r="A851" s="4" t="s">
        <v>2847</v>
      </c>
      <c r="B851" s="9">
        <v>45610</v>
      </c>
      <c r="C851" s="4" t="s">
        <v>226</v>
      </c>
      <c r="D851" s="4" t="s">
        <v>1858</v>
      </c>
      <c r="E851" s="4" t="s">
        <v>1955</v>
      </c>
      <c r="F851" s="4">
        <v>4</v>
      </c>
      <c r="G851" s="4">
        <v>341.95</v>
      </c>
      <c r="H851" s="4">
        <v>0.25</v>
      </c>
      <c r="I851" s="4" t="s">
        <v>1996</v>
      </c>
      <c r="J851" s="10">
        <v>1025.8499999999999</v>
      </c>
      <c r="K851" s="4" t="str">
        <f t="shared" si="91"/>
        <v>14-11-2024</v>
      </c>
      <c r="L851" s="4" t="str">
        <f>TEXT(Sales_Fact!$B851,"mmm")</f>
        <v>Nov</v>
      </c>
      <c r="M851" s="4">
        <f t="shared" si="92"/>
        <v>4</v>
      </c>
      <c r="N851" s="10">
        <f t="shared" si="93"/>
        <v>341.95</v>
      </c>
      <c r="O851" s="10">
        <f t="shared" si="94"/>
        <v>1025.8499999999999</v>
      </c>
      <c r="P851" s="10">
        <f t="shared" si="95"/>
        <v>1367.8</v>
      </c>
      <c r="Q851" s="3">
        <f t="shared" si="96"/>
        <v>0.25000000000000006</v>
      </c>
      <c r="R851" s="4" t="str">
        <f>IF(Sales_Fact!$O851&gt;1000,"High","Low")</f>
        <v>High</v>
      </c>
      <c r="S851" s="4" t="str">
        <f>VLOOKUP(C851,Customer_Dim!$A:$N,9,FALSE())</f>
        <v>Katherine Dorsey</v>
      </c>
      <c r="T851" s="4" t="str">
        <f>VLOOKUP(D851,Product_Dim!$A:$M,3,FALSE())</f>
        <v>Home</v>
      </c>
      <c r="U851" s="11" t="str">
        <f>VLOOKUP(D851,Product_Dim!$A:$M,2,FALSE())</f>
        <v>Wooden Bookshelf</v>
      </c>
      <c r="V851" s="11" t="str">
        <f>VLOOKUP(E851,Store_Dim!$A:$E,3,FALSE())</f>
        <v>East</v>
      </c>
      <c r="W851" s="11" t="str">
        <f>VLOOKUP(C851,Customer_Dim!$A:$N,13,FALSE())</f>
        <v>Platinum</v>
      </c>
      <c r="X851" s="11" t="str">
        <f t="shared" si="97"/>
        <v>High</v>
      </c>
    </row>
    <row r="852" spans="1:24" ht="15.75" customHeight="1">
      <c r="A852" s="4" t="s">
        <v>2848</v>
      </c>
      <c r="B852" s="9">
        <v>45438</v>
      </c>
      <c r="C852" s="4" t="s">
        <v>927</v>
      </c>
      <c r="D852" s="4" t="s">
        <v>1665</v>
      </c>
      <c r="E852" s="4" t="s">
        <v>1962</v>
      </c>
      <c r="F852" s="4">
        <v>4</v>
      </c>
      <c r="G852" s="4">
        <v>300.12</v>
      </c>
      <c r="H852" s="4">
        <v>0.05</v>
      </c>
      <c r="I852" s="4" t="s">
        <v>1998</v>
      </c>
      <c r="J852" s="10">
        <v>1140.4559999999999</v>
      </c>
      <c r="K852" s="4" t="str">
        <f t="shared" si="91"/>
        <v>26-05-2024</v>
      </c>
      <c r="L852" s="4" t="str">
        <f>TEXT(Sales_Fact!$B852,"mmm")</f>
        <v>May</v>
      </c>
      <c r="M852" s="4">
        <f t="shared" si="92"/>
        <v>4</v>
      </c>
      <c r="N852" s="10">
        <f t="shared" si="93"/>
        <v>300.12</v>
      </c>
      <c r="O852" s="10">
        <f t="shared" si="94"/>
        <v>1140.4559999999999</v>
      </c>
      <c r="P852" s="10">
        <f t="shared" si="95"/>
        <v>1200.48</v>
      </c>
      <c r="Q852" s="3">
        <f t="shared" si="96"/>
        <v>5.0000000000000093E-2</v>
      </c>
      <c r="R852" s="4" t="str">
        <f>IF(Sales_Fact!$O852&gt;1000,"High","Low")</f>
        <v>High</v>
      </c>
      <c r="S852" s="4" t="str">
        <f>VLOOKUP(C852,Customer_Dim!$A:$N,9,FALSE())</f>
        <v>Bryan Garcia</v>
      </c>
      <c r="T852" s="4" t="str">
        <f>VLOOKUP(D852,Product_Dim!$A:$M,3,FALSE())</f>
        <v>Sports</v>
      </c>
      <c r="U852" s="11" t="str">
        <f>VLOOKUP(D852,Product_Dim!$A:$M,2,FALSE())</f>
        <v>Carbon Fiber Tennis Racket</v>
      </c>
      <c r="V852" s="11" t="str">
        <f>VLOOKUP(E852,Store_Dim!$A:$E,3,FALSE())</f>
        <v>West</v>
      </c>
      <c r="W852" s="11" t="str">
        <f>VLOOKUP(C852,Customer_Dim!$A:$N,13,FALSE())</f>
        <v>Silver</v>
      </c>
      <c r="X852" s="11" t="str">
        <f t="shared" si="97"/>
        <v>High</v>
      </c>
    </row>
    <row r="853" spans="1:24" ht="15.75" customHeight="1">
      <c r="A853" s="4" t="s">
        <v>2849</v>
      </c>
      <c r="B853" s="9">
        <v>45705</v>
      </c>
      <c r="C853" s="4" t="s">
        <v>423</v>
      </c>
      <c r="D853" s="4" t="s">
        <v>1684</v>
      </c>
      <c r="E853" s="4" t="s">
        <v>1965</v>
      </c>
      <c r="F853" s="4">
        <v>2</v>
      </c>
      <c r="G853" s="4">
        <v>289.14</v>
      </c>
      <c r="H853" s="4">
        <v>0.12</v>
      </c>
      <c r="I853" s="4" t="s">
        <v>2004</v>
      </c>
      <c r="J853" s="10">
        <v>508.88639999999998</v>
      </c>
      <c r="K853" s="4" t="str">
        <f t="shared" si="91"/>
        <v>17-02-2025</v>
      </c>
      <c r="L853" s="4" t="str">
        <f>TEXT(Sales_Fact!$B853,"mmm")</f>
        <v>Feb</v>
      </c>
      <c r="M853" s="4">
        <f t="shared" si="92"/>
        <v>2</v>
      </c>
      <c r="N853" s="10">
        <f t="shared" si="93"/>
        <v>289.14</v>
      </c>
      <c r="O853" s="10">
        <f t="shared" si="94"/>
        <v>508.88639999999998</v>
      </c>
      <c r="P853" s="10">
        <f t="shared" si="95"/>
        <v>578.28</v>
      </c>
      <c r="Q853" s="3">
        <f t="shared" si="96"/>
        <v>0.12</v>
      </c>
      <c r="R853" s="4" t="str">
        <f>IF(Sales_Fact!$O853&gt;1000,"High","Low")</f>
        <v>Low</v>
      </c>
      <c r="S853" s="4" t="str">
        <f>VLOOKUP(C853,Customer_Dim!$A:$N,9,FALSE())</f>
        <v>Tyler Conrad</v>
      </c>
      <c r="T853" s="4" t="str">
        <f>VLOOKUP(D853,Product_Dim!$A:$M,3,FALSE())</f>
        <v>Sports</v>
      </c>
      <c r="U853" s="11" t="str">
        <f>VLOOKUP(D853,Product_Dim!$A:$M,2,FALSE())</f>
        <v>Sports Stopwatch Timer</v>
      </c>
      <c r="V853" s="11" t="str">
        <f>VLOOKUP(E853,Store_Dim!$A:$E,3,FALSE())</f>
        <v>North</v>
      </c>
      <c r="W853" s="11" t="str">
        <f>VLOOKUP(C853,Customer_Dim!$A:$N,13,FALSE())</f>
        <v>Platinum</v>
      </c>
      <c r="X853" s="11" t="str">
        <f t="shared" si="97"/>
        <v>Low</v>
      </c>
    </row>
    <row r="854" spans="1:24" ht="15.75" customHeight="1">
      <c r="A854" s="4" t="s">
        <v>2850</v>
      </c>
      <c r="B854" s="9">
        <v>45695</v>
      </c>
      <c r="C854" s="4" t="s">
        <v>196</v>
      </c>
      <c r="D854" s="4" t="s">
        <v>1675</v>
      </c>
      <c r="E854" s="4" t="s">
        <v>1910</v>
      </c>
      <c r="F854" s="4">
        <v>2</v>
      </c>
      <c r="G854" s="4">
        <v>596.84</v>
      </c>
      <c r="H854" s="4">
        <v>0.01</v>
      </c>
      <c r="I854" s="4" t="s">
        <v>1998</v>
      </c>
      <c r="J854" s="10">
        <v>1181.7431999999999</v>
      </c>
      <c r="K854" s="4" t="str">
        <f t="shared" si="91"/>
        <v>07-02-2025</v>
      </c>
      <c r="L854" s="4" t="str">
        <f>TEXT(Sales_Fact!$B854,"mmm")</f>
        <v>Feb</v>
      </c>
      <c r="M854" s="4">
        <f t="shared" si="92"/>
        <v>2</v>
      </c>
      <c r="N854" s="10">
        <f t="shared" si="93"/>
        <v>596.84</v>
      </c>
      <c r="O854" s="10">
        <f t="shared" si="94"/>
        <v>1181.7432000000001</v>
      </c>
      <c r="P854" s="10">
        <f t="shared" si="95"/>
        <v>1193.68</v>
      </c>
      <c r="Q854" s="3">
        <f t="shared" si="96"/>
        <v>9.9999999999999568E-3</v>
      </c>
      <c r="R854" s="4" t="str">
        <f>IF(Sales_Fact!$O854&gt;1000,"High","Low")</f>
        <v>High</v>
      </c>
      <c r="S854" s="4" t="str">
        <f>VLOOKUP(C854,Customer_Dim!$A:$N,9,FALSE())</f>
        <v>Jordan Jackson Dds</v>
      </c>
      <c r="T854" s="4" t="str">
        <f>VLOOKUP(D854,Product_Dim!$A:$M,3,FALSE())</f>
        <v>Clothing</v>
      </c>
      <c r="U854" s="11" t="str">
        <f>VLOOKUP(D854,Product_Dim!$A:$M,2,FALSE())</f>
        <v>Women's Scarf Set</v>
      </c>
      <c r="V854" s="11" t="str">
        <f>VLOOKUP(E854,Store_Dim!$A:$E,3,FALSE())</f>
        <v>East</v>
      </c>
      <c r="W854" s="11" t="str">
        <f>VLOOKUP(C854,Customer_Dim!$A:$N,13,FALSE())</f>
        <v>Gold</v>
      </c>
      <c r="X854" s="11" t="str">
        <f t="shared" si="97"/>
        <v>Low</v>
      </c>
    </row>
    <row r="855" spans="1:24" ht="15.75" customHeight="1">
      <c r="A855" s="4" t="s">
        <v>2851</v>
      </c>
      <c r="B855" s="9">
        <v>45571</v>
      </c>
      <c r="C855" s="4" t="s">
        <v>1381</v>
      </c>
      <c r="D855" s="4" t="s">
        <v>1654</v>
      </c>
      <c r="E855" s="4" t="s">
        <v>1940</v>
      </c>
      <c r="F855" s="4">
        <v>4</v>
      </c>
      <c r="G855" s="4">
        <v>466.24</v>
      </c>
      <c r="H855" s="4">
        <v>0.16</v>
      </c>
      <c r="I855" s="4" t="s">
        <v>1996</v>
      </c>
      <c r="J855" s="10">
        <v>1566.5663999999999</v>
      </c>
      <c r="K855" s="4" t="str">
        <f t="shared" si="91"/>
        <v>06-10-2024</v>
      </c>
      <c r="L855" s="4" t="str">
        <f>TEXT(Sales_Fact!$B855,"mmm")</f>
        <v>Oct</v>
      </c>
      <c r="M855" s="4">
        <f t="shared" si="92"/>
        <v>4</v>
      </c>
      <c r="N855" s="10">
        <f t="shared" si="93"/>
        <v>466.24</v>
      </c>
      <c r="O855" s="10">
        <f t="shared" si="94"/>
        <v>1566.5663999999999</v>
      </c>
      <c r="P855" s="10">
        <f t="shared" si="95"/>
        <v>1864.96</v>
      </c>
      <c r="Q855" s="3">
        <f t="shared" si="96"/>
        <v>0.16000000000000006</v>
      </c>
      <c r="R855" s="4" t="str">
        <f>IF(Sales_Fact!$O855&gt;1000,"High","Low")</f>
        <v>High</v>
      </c>
      <c r="S855" s="4" t="str">
        <f>VLOOKUP(C855,Customer_Dim!$A:$N,9,FALSE())</f>
        <v>Sharon Simpson</v>
      </c>
      <c r="T855" s="4" t="str">
        <f>VLOOKUP(D855,Product_Dim!$A:$M,3,FALSE())</f>
        <v>Sports</v>
      </c>
      <c r="U855" s="11" t="str">
        <f>VLOOKUP(D855,Product_Dim!$A:$M,2,FALSE())</f>
        <v>Knee Support Brace</v>
      </c>
      <c r="V855" s="11" t="str">
        <f>VLOOKUP(E855,Store_Dim!$A:$E,3,FALSE())</f>
        <v>West</v>
      </c>
      <c r="W855" s="11" t="str">
        <f>VLOOKUP(C855,Customer_Dim!$A:$N,13,FALSE())</f>
        <v>Gold</v>
      </c>
      <c r="X855" s="11" t="str">
        <f t="shared" si="97"/>
        <v>High</v>
      </c>
    </row>
    <row r="856" spans="1:24" ht="15.75" customHeight="1">
      <c r="A856" s="4" t="s">
        <v>2852</v>
      </c>
      <c r="B856" s="9">
        <v>45544</v>
      </c>
      <c r="C856" s="4" t="s">
        <v>834</v>
      </c>
      <c r="D856" s="4" t="s">
        <v>1633</v>
      </c>
      <c r="E856" s="4" t="s">
        <v>1962</v>
      </c>
      <c r="F856" s="4">
        <v>2</v>
      </c>
      <c r="G856" s="4">
        <v>330.59</v>
      </c>
      <c r="H856" s="4">
        <v>0.14000000000000001</v>
      </c>
      <c r="I856" s="4" t="s">
        <v>1996</v>
      </c>
      <c r="J856" s="10">
        <v>568.61479999999995</v>
      </c>
      <c r="K856" s="4" t="str">
        <f t="shared" si="91"/>
        <v>09-09-2024</v>
      </c>
      <c r="L856" s="4" t="str">
        <f>TEXT(Sales_Fact!$B856,"mmm")</f>
        <v>Sep</v>
      </c>
      <c r="M856" s="4">
        <f t="shared" si="92"/>
        <v>2</v>
      </c>
      <c r="N856" s="10">
        <f t="shared" si="93"/>
        <v>330.59</v>
      </c>
      <c r="O856" s="10">
        <f t="shared" si="94"/>
        <v>568.61479999999995</v>
      </c>
      <c r="P856" s="10">
        <f t="shared" si="95"/>
        <v>661.18</v>
      </c>
      <c r="Q856" s="3">
        <f t="shared" si="96"/>
        <v>0.14000000000000001</v>
      </c>
      <c r="R856" s="4" t="str">
        <f>IF(Sales_Fact!$O856&gt;1000,"High","Low")</f>
        <v>Low</v>
      </c>
      <c r="S856" s="4" t="str">
        <f>VLOOKUP(C856,Customer_Dim!$A:$N,9,FALSE())</f>
        <v>John Mccoy</v>
      </c>
      <c r="T856" s="4" t="str">
        <f>VLOOKUP(D856,Product_Dim!$A:$M,3,FALSE())</f>
        <v>Electronics</v>
      </c>
      <c r="U856" s="11" t="str">
        <f>VLOOKUP(D856,Product_Dim!$A:$M,2,FALSE())</f>
        <v>USB-C Fast Charger</v>
      </c>
      <c r="V856" s="11" t="str">
        <f>VLOOKUP(E856,Store_Dim!$A:$E,3,FALSE())</f>
        <v>West</v>
      </c>
      <c r="W856" s="11" t="str">
        <f>VLOOKUP(C856,Customer_Dim!$A:$N,13,FALSE())</f>
        <v>Silver</v>
      </c>
      <c r="X856" s="11" t="str">
        <f t="shared" si="97"/>
        <v>Low</v>
      </c>
    </row>
    <row r="857" spans="1:24" ht="15.75" customHeight="1">
      <c r="A857" s="4" t="s">
        <v>2853</v>
      </c>
      <c r="B857" s="9">
        <v>45654</v>
      </c>
      <c r="C857" s="4" t="s">
        <v>1545</v>
      </c>
      <c r="D857" s="4" t="s">
        <v>1665</v>
      </c>
      <c r="E857" s="4" t="s">
        <v>1934</v>
      </c>
      <c r="F857" s="4">
        <v>2</v>
      </c>
      <c r="G857" s="4">
        <v>616.42999999999995</v>
      </c>
      <c r="H857" s="4">
        <v>0.02</v>
      </c>
      <c r="I857" s="4" t="s">
        <v>2004</v>
      </c>
      <c r="J857" s="10">
        <v>1208.2028</v>
      </c>
      <c r="K857" s="4" t="str">
        <f t="shared" si="91"/>
        <v>28-12-2024</v>
      </c>
      <c r="L857" s="4" t="str">
        <f>TEXT(Sales_Fact!$B857,"mmm")</f>
        <v>Dec</v>
      </c>
      <c r="M857" s="4">
        <f t="shared" si="92"/>
        <v>2</v>
      </c>
      <c r="N857" s="10">
        <f t="shared" si="93"/>
        <v>616.42999999999995</v>
      </c>
      <c r="O857" s="10">
        <f t="shared" si="94"/>
        <v>1208.2027999999998</v>
      </c>
      <c r="P857" s="10">
        <f t="shared" si="95"/>
        <v>1232.8599999999999</v>
      </c>
      <c r="Q857" s="3">
        <f t="shared" si="96"/>
        <v>2.0000000000000084E-2</v>
      </c>
      <c r="R857" s="4" t="str">
        <f>IF(Sales_Fact!$O857&gt;1000,"High","Low")</f>
        <v>High</v>
      </c>
      <c r="S857" s="4" t="str">
        <f>VLOOKUP(C857,Customer_Dim!$A:$N,9,FALSE())</f>
        <v>Amanda Powell</v>
      </c>
      <c r="T857" s="4" t="str">
        <f>VLOOKUP(D857,Product_Dim!$A:$M,3,FALSE())</f>
        <v>Sports</v>
      </c>
      <c r="U857" s="11" t="str">
        <f>VLOOKUP(D857,Product_Dim!$A:$M,2,FALSE())</f>
        <v>Carbon Fiber Tennis Racket</v>
      </c>
      <c r="V857" s="11" t="str">
        <f>VLOOKUP(E857,Store_Dim!$A:$E,3,FALSE())</f>
        <v>East</v>
      </c>
      <c r="W857" s="11" t="str">
        <f>VLOOKUP(C857,Customer_Dim!$A:$N,13,FALSE())</f>
        <v>Silver</v>
      </c>
      <c r="X857" s="11" t="str">
        <f t="shared" si="97"/>
        <v>Low</v>
      </c>
    </row>
    <row r="858" spans="1:24" ht="15.75" customHeight="1">
      <c r="A858" s="4" t="s">
        <v>2854</v>
      </c>
      <c r="B858" s="9">
        <v>45589</v>
      </c>
      <c r="C858" s="4" t="s">
        <v>1283</v>
      </c>
      <c r="D858" s="4" t="s">
        <v>1794</v>
      </c>
      <c r="E858" s="4" t="s">
        <v>1934</v>
      </c>
      <c r="F858" s="4">
        <v>3</v>
      </c>
      <c r="G858" s="4">
        <v>195.89</v>
      </c>
      <c r="H858" s="4">
        <v>0.16</v>
      </c>
      <c r="I858" s="4" t="s">
        <v>1998</v>
      </c>
      <c r="J858" s="10">
        <v>493.64280000000002</v>
      </c>
      <c r="K858" s="4" t="str">
        <f t="shared" si="91"/>
        <v>24-10-2024</v>
      </c>
      <c r="L858" s="4" t="str">
        <f>TEXT(Sales_Fact!$B858,"mmm")</f>
        <v>Oct</v>
      </c>
      <c r="M858" s="4">
        <f t="shared" si="92"/>
        <v>3</v>
      </c>
      <c r="N858" s="10">
        <f t="shared" si="93"/>
        <v>195.89</v>
      </c>
      <c r="O858" s="10">
        <f t="shared" si="94"/>
        <v>493.64279999999997</v>
      </c>
      <c r="P858" s="10">
        <f t="shared" si="95"/>
        <v>587.66999999999996</v>
      </c>
      <c r="Q858" s="3">
        <f t="shared" si="96"/>
        <v>0.16</v>
      </c>
      <c r="R858" s="4" t="str">
        <f>IF(Sales_Fact!$O858&gt;1000,"High","Low")</f>
        <v>Low</v>
      </c>
      <c r="S858" s="4" t="str">
        <f>VLOOKUP(C858,Customer_Dim!$A:$N,9,FALSE())</f>
        <v>Justin Ingram</v>
      </c>
      <c r="T858" s="4" t="str">
        <f>VLOOKUP(D858,Product_Dim!$A:$M,3,FALSE())</f>
        <v>Beauty</v>
      </c>
      <c r="U858" s="11" t="str">
        <f>VLOOKUP(D858,Product_Dim!$A:$M,2,FALSE())</f>
        <v>Organic Sunscreen Lotion</v>
      </c>
      <c r="V858" s="11" t="str">
        <f>VLOOKUP(E858,Store_Dim!$A:$E,3,FALSE())</f>
        <v>East</v>
      </c>
      <c r="W858" s="11" t="str">
        <f>VLOOKUP(C858,Customer_Dim!$A:$N,13,FALSE())</f>
        <v>Bronze</v>
      </c>
      <c r="X858" s="11" t="str">
        <f t="shared" si="97"/>
        <v>Low</v>
      </c>
    </row>
    <row r="859" spans="1:24" ht="15.75" customHeight="1">
      <c r="A859" s="4" t="s">
        <v>2855</v>
      </c>
      <c r="B859" s="9">
        <v>45670</v>
      </c>
      <c r="C859" s="4" t="s">
        <v>1562</v>
      </c>
      <c r="D859" s="4" t="s">
        <v>1770</v>
      </c>
      <c r="E859" s="4" t="s">
        <v>1940</v>
      </c>
      <c r="F859" s="4">
        <v>1</v>
      </c>
      <c r="G859" s="4">
        <v>79</v>
      </c>
      <c r="H859" s="4">
        <v>0.04</v>
      </c>
      <c r="I859" s="4" t="s">
        <v>1998</v>
      </c>
      <c r="J859" s="10">
        <v>75.84</v>
      </c>
      <c r="K859" s="4" t="str">
        <f t="shared" si="91"/>
        <v>13-01-2025</v>
      </c>
      <c r="L859" s="4" t="str">
        <f>TEXT(Sales_Fact!$B859,"mmm")</f>
        <v>Jan</v>
      </c>
      <c r="M859" s="4">
        <f t="shared" si="92"/>
        <v>1</v>
      </c>
      <c r="N859" s="10">
        <f t="shared" si="93"/>
        <v>79</v>
      </c>
      <c r="O859" s="10">
        <f t="shared" si="94"/>
        <v>75.84</v>
      </c>
      <c r="P859" s="10">
        <f t="shared" si="95"/>
        <v>79</v>
      </c>
      <c r="Q859" s="3">
        <f t="shared" si="96"/>
        <v>3.9999999999999959E-2</v>
      </c>
      <c r="R859" s="4" t="str">
        <f>IF(Sales_Fact!$O859&gt;1000,"High","Low")</f>
        <v>Low</v>
      </c>
      <c r="S859" s="4" t="str">
        <f>VLOOKUP(C859,Customer_Dim!$A:$N,9,FALSE())</f>
        <v>Philip Pennington</v>
      </c>
      <c r="T859" s="4" t="str">
        <f>VLOOKUP(D859,Product_Dim!$A:$M,3,FALSE())</f>
        <v>Home</v>
      </c>
      <c r="U859" s="11" t="str">
        <f>VLOOKUP(D859,Product_Dim!$A:$M,2,FALSE())</f>
        <v>Ceramic Plant Pot</v>
      </c>
      <c r="V859" s="11" t="str">
        <f>VLOOKUP(E859,Store_Dim!$A:$E,3,FALSE())</f>
        <v>West</v>
      </c>
      <c r="W859" s="11" t="str">
        <f>VLOOKUP(C859,Customer_Dim!$A:$N,13,FALSE())</f>
        <v>Platinum</v>
      </c>
      <c r="X859" s="11" t="str">
        <f t="shared" si="97"/>
        <v>Low</v>
      </c>
    </row>
    <row r="860" spans="1:24" ht="15.75" customHeight="1">
      <c r="A860" s="4" t="s">
        <v>2856</v>
      </c>
      <c r="B860" s="9">
        <v>45487</v>
      </c>
      <c r="C860" s="4" t="s">
        <v>1105</v>
      </c>
      <c r="D860" s="4" t="s">
        <v>1608</v>
      </c>
      <c r="E860" s="4" t="s">
        <v>1947</v>
      </c>
      <c r="F860" s="4">
        <v>4</v>
      </c>
      <c r="G860" s="4">
        <v>614.76</v>
      </c>
      <c r="H860" s="4">
        <v>0.16</v>
      </c>
      <c r="I860" s="4" t="s">
        <v>1996</v>
      </c>
      <c r="J860" s="10">
        <v>2065.5936000000002</v>
      </c>
      <c r="K860" s="4" t="str">
        <f t="shared" si="91"/>
        <v>14-07-2024</v>
      </c>
      <c r="L860" s="4" t="str">
        <f>TEXT(Sales_Fact!$B860,"mmm")</f>
        <v>Jul</v>
      </c>
      <c r="M860" s="4">
        <f t="shared" si="92"/>
        <v>4</v>
      </c>
      <c r="N860" s="10">
        <f t="shared" si="93"/>
        <v>614.76</v>
      </c>
      <c r="O860" s="10">
        <f t="shared" si="94"/>
        <v>2065.5935999999997</v>
      </c>
      <c r="P860" s="10">
        <f t="shared" si="95"/>
        <v>2459.04</v>
      </c>
      <c r="Q860" s="3">
        <f t="shared" si="96"/>
        <v>0.16000000000000011</v>
      </c>
      <c r="R860" s="4" t="str">
        <f>IF(Sales_Fact!$O860&gt;1000,"High","Low")</f>
        <v>High</v>
      </c>
      <c r="S860" s="4" t="str">
        <f>VLOOKUP(C860,Customer_Dim!$A:$N,9,FALSE())</f>
        <v>Ryan Moore</v>
      </c>
      <c r="T860" s="4" t="str">
        <f>VLOOKUP(D860,Product_Dim!$A:$M,3,FALSE())</f>
        <v>Home</v>
      </c>
      <c r="U860" s="11" t="str">
        <f>VLOOKUP(D860,Product_Dim!$A:$M,2,FALSE())</f>
        <v>LED Table Lamp</v>
      </c>
      <c r="V860" s="11" t="str">
        <f>VLOOKUP(E860,Store_Dim!$A:$E,3,FALSE())</f>
        <v>East</v>
      </c>
      <c r="W860" s="11" t="str">
        <f>VLOOKUP(C860,Customer_Dim!$A:$N,13,FALSE())</f>
        <v>Bronze</v>
      </c>
      <c r="X860" s="11" t="str">
        <f t="shared" si="97"/>
        <v>High</v>
      </c>
    </row>
    <row r="861" spans="1:24" ht="15.75" customHeight="1">
      <c r="A861" s="4" t="s">
        <v>2857</v>
      </c>
      <c r="B861" s="9">
        <v>45418</v>
      </c>
      <c r="C861" s="4" t="s">
        <v>1286</v>
      </c>
      <c r="D861" s="4" t="s">
        <v>1843</v>
      </c>
      <c r="E861" s="4" t="s">
        <v>1937</v>
      </c>
      <c r="F861" s="4">
        <v>1</v>
      </c>
      <c r="G861" s="4">
        <v>224.49</v>
      </c>
      <c r="H861" s="4">
        <v>0.11</v>
      </c>
      <c r="I861" s="4" t="s">
        <v>1998</v>
      </c>
      <c r="J861" s="10">
        <v>199.7961</v>
      </c>
      <c r="K861" s="4" t="str">
        <f t="shared" si="91"/>
        <v>06-05-2024</v>
      </c>
      <c r="L861" s="4" t="str">
        <f>TEXT(Sales_Fact!$B861,"mmm")</f>
        <v>May</v>
      </c>
      <c r="M861" s="4">
        <f t="shared" si="92"/>
        <v>1</v>
      </c>
      <c r="N861" s="10">
        <f t="shared" si="93"/>
        <v>224.49</v>
      </c>
      <c r="O861" s="10">
        <f t="shared" si="94"/>
        <v>199.79610000000002</v>
      </c>
      <c r="P861" s="10">
        <f t="shared" si="95"/>
        <v>224.49</v>
      </c>
      <c r="Q861" s="3">
        <f t="shared" si="96"/>
        <v>0.10999999999999993</v>
      </c>
      <c r="R861" s="4" t="str">
        <f>IF(Sales_Fact!$O861&gt;1000,"High","Low")</f>
        <v>Low</v>
      </c>
      <c r="S861" s="4" t="str">
        <f>VLOOKUP(C861,Customer_Dim!$A:$N,9,FALSE())</f>
        <v>David Ross</v>
      </c>
      <c r="T861" s="4" t="str">
        <f>VLOOKUP(D861,Product_Dim!$A:$M,3,FALSE())</f>
        <v>Home</v>
      </c>
      <c r="U861" s="11" t="str">
        <f>VLOOKUP(D861,Product_Dim!$A:$M,2,FALSE())</f>
        <v>Decorative Lamp Shade</v>
      </c>
      <c r="V861" s="11" t="str">
        <f>VLOOKUP(E861,Store_Dim!$A:$E,3,FALSE())</f>
        <v>South</v>
      </c>
      <c r="W861" s="11" t="str">
        <f>VLOOKUP(C861,Customer_Dim!$A:$N,13,FALSE())</f>
        <v>Silver</v>
      </c>
      <c r="X861" s="11" t="str">
        <f t="shared" si="97"/>
        <v>Low</v>
      </c>
    </row>
    <row r="862" spans="1:24" ht="15.75" customHeight="1">
      <c r="A862" s="4" t="s">
        <v>2858</v>
      </c>
      <c r="B862" s="9">
        <v>45338</v>
      </c>
      <c r="C862" s="4" t="s">
        <v>1144</v>
      </c>
      <c r="D862" s="4" t="s">
        <v>1770</v>
      </c>
      <c r="E862" s="4" t="s">
        <v>1952</v>
      </c>
      <c r="F862" s="4">
        <v>1</v>
      </c>
      <c r="G862" s="4">
        <v>967.76</v>
      </c>
      <c r="H862" s="4">
        <v>0.09</v>
      </c>
      <c r="I862" s="4" t="s">
        <v>1996</v>
      </c>
      <c r="J862" s="10">
        <v>880.66160000000002</v>
      </c>
      <c r="K862" s="4" t="str">
        <f t="shared" si="91"/>
        <v>16-02-2024</v>
      </c>
      <c r="L862" s="4" t="str">
        <f>TEXT(Sales_Fact!$B862,"mmm")</f>
        <v>Feb</v>
      </c>
      <c r="M862" s="4">
        <f t="shared" si="92"/>
        <v>1</v>
      </c>
      <c r="N862" s="10">
        <f t="shared" si="93"/>
        <v>967.76</v>
      </c>
      <c r="O862" s="10">
        <f t="shared" si="94"/>
        <v>880.66160000000002</v>
      </c>
      <c r="P862" s="10">
        <f t="shared" si="95"/>
        <v>967.76</v>
      </c>
      <c r="Q862" s="3">
        <f t="shared" si="96"/>
        <v>8.9999999999999969E-2</v>
      </c>
      <c r="R862" s="4" t="str">
        <f>IF(Sales_Fact!$O862&gt;1000,"High","Low")</f>
        <v>Low</v>
      </c>
      <c r="S862" s="4" t="str">
        <f>VLOOKUP(C862,Customer_Dim!$A:$N,9,FALSE())</f>
        <v>Steve Hunt</v>
      </c>
      <c r="T862" s="4" t="str">
        <f>VLOOKUP(D862,Product_Dim!$A:$M,3,FALSE())</f>
        <v>Home</v>
      </c>
      <c r="U862" s="11" t="str">
        <f>VLOOKUP(D862,Product_Dim!$A:$M,2,FALSE())</f>
        <v>Ceramic Plant Pot</v>
      </c>
      <c r="V862" s="11" t="str">
        <f>VLOOKUP(E862,Store_Dim!$A:$E,3,FALSE())</f>
        <v>North</v>
      </c>
      <c r="W862" s="11" t="str">
        <f>VLOOKUP(C862,Customer_Dim!$A:$N,13,FALSE())</f>
        <v>Bronze</v>
      </c>
      <c r="X862" s="11" t="str">
        <f t="shared" si="97"/>
        <v>Low</v>
      </c>
    </row>
    <row r="863" spans="1:24" ht="15.75" customHeight="1">
      <c r="A863" s="4" t="s">
        <v>2859</v>
      </c>
      <c r="B863" s="9">
        <v>45507</v>
      </c>
      <c r="C863" s="4" t="s">
        <v>268</v>
      </c>
      <c r="D863" s="4" t="s">
        <v>1726</v>
      </c>
      <c r="E863" s="4" t="s">
        <v>1971</v>
      </c>
      <c r="F863" s="4">
        <v>2</v>
      </c>
      <c r="G863" s="4">
        <v>56.52</v>
      </c>
      <c r="H863" s="4">
        <v>0.17</v>
      </c>
      <c r="I863" s="4" t="s">
        <v>1998</v>
      </c>
      <c r="J863" s="10">
        <v>93.8232</v>
      </c>
      <c r="K863" s="4" t="str">
        <f t="shared" si="91"/>
        <v>03-08-2024</v>
      </c>
      <c r="L863" s="4" t="str">
        <f>TEXT(Sales_Fact!$B863,"mmm")</f>
        <v>Aug</v>
      </c>
      <c r="M863" s="4">
        <f t="shared" si="92"/>
        <v>2</v>
      </c>
      <c r="N863" s="10">
        <f t="shared" si="93"/>
        <v>56.52</v>
      </c>
      <c r="O863" s="10">
        <f t="shared" si="94"/>
        <v>93.8232</v>
      </c>
      <c r="P863" s="10">
        <f t="shared" si="95"/>
        <v>113.04</v>
      </c>
      <c r="Q863" s="3">
        <f t="shared" si="96"/>
        <v>0.17000000000000004</v>
      </c>
      <c r="R863" s="4" t="str">
        <f>IF(Sales_Fact!$O863&gt;1000,"High","Low")</f>
        <v>Low</v>
      </c>
      <c r="S863" s="4" t="str">
        <f>VLOOKUP(C863,Customer_Dim!$A:$N,9,FALSE())</f>
        <v>Amber Mcclain</v>
      </c>
      <c r="T863" s="4" t="str">
        <f>VLOOKUP(D863,Product_Dim!$A:$M,3,FALSE())</f>
        <v>Sports</v>
      </c>
      <c r="U863" s="11" t="str">
        <f>VLOOKUP(D863,Product_Dim!$A:$M,2,FALSE())</f>
        <v>Yoga Exercise Mat</v>
      </c>
      <c r="V863" s="11" t="str">
        <f>VLOOKUP(E863,Store_Dim!$A:$E,3,FALSE())</f>
        <v>East</v>
      </c>
      <c r="W863" s="11" t="str">
        <f>VLOOKUP(C863,Customer_Dim!$A:$N,13,FALSE())</f>
        <v>Silver</v>
      </c>
      <c r="X863" s="11" t="str">
        <f t="shared" si="97"/>
        <v>Low</v>
      </c>
    </row>
    <row r="864" spans="1:24" ht="15.75" customHeight="1">
      <c r="A864" s="4" t="s">
        <v>2860</v>
      </c>
      <c r="B864" s="9">
        <v>45275</v>
      </c>
      <c r="C864" s="4" t="s">
        <v>1536</v>
      </c>
      <c r="D864" s="4" t="s">
        <v>1806</v>
      </c>
      <c r="E864" s="4" t="s">
        <v>1915</v>
      </c>
      <c r="F864" s="4">
        <v>4</v>
      </c>
      <c r="G864" s="4">
        <v>921.84</v>
      </c>
      <c r="H864" s="4">
        <v>0.04</v>
      </c>
      <c r="I864" s="4" t="s">
        <v>1996</v>
      </c>
      <c r="J864" s="10">
        <v>3539.8656000000001</v>
      </c>
      <c r="K864" s="4" t="str">
        <f t="shared" si="91"/>
        <v>15-12-2023</v>
      </c>
      <c r="L864" s="4" t="str">
        <f>TEXT(Sales_Fact!$B864,"mmm")</f>
        <v>Dec</v>
      </c>
      <c r="M864" s="4">
        <f t="shared" si="92"/>
        <v>4</v>
      </c>
      <c r="N864" s="10">
        <f t="shared" si="93"/>
        <v>921.84</v>
      </c>
      <c r="O864" s="10">
        <f t="shared" si="94"/>
        <v>3539.8656000000001</v>
      </c>
      <c r="P864" s="10">
        <f t="shared" si="95"/>
        <v>3687.36</v>
      </c>
      <c r="Q864" s="3">
        <f t="shared" si="96"/>
        <v>4.0000000000000008E-2</v>
      </c>
      <c r="R864" s="4" t="str">
        <f>IF(Sales_Fact!$O864&gt;1000,"High","Low")</f>
        <v>High</v>
      </c>
      <c r="S864" s="4" t="str">
        <f>VLOOKUP(C864,Customer_Dim!$A:$N,9,FALSE())</f>
        <v>Scott Harris</v>
      </c>
      <c r="T864" s="4" t="str">
        <f>VLOOKUP(D864,Product_Dim!$A:$M,3,FALSE())</f>
        <v>Electronics</v>
      </c>
      <c r="U864" s="11" t="str">
        <f>VLOOKUP(D864,Product_Dim!$A:$M,2,FALSE())</f>
        <v>Smart LED Light Strip</v>
      </c>
      <c r="V864" s="11" t="str">
        <f>VLOOKUP(E864,Store_Dim!$A:$E,3,FALSE())</f>
        <v>North</v>
      </c>
      <c r="W864" s="11" t="str">
        <f>VLOOKUP(C864,Customer_Dim!$A:$N,13,FALSE())</f>
        <v>Platinum</v>
      </c>
      <c r="X864" s="11" t="str">
        <f t="shared" si="97"/>
        <v>High</v>
      </c>
    </row>
    <row r="865" spans="1:24" ht="15.75" customHeight="1">
      <c r="A865" s="4" t="s">
        <v>2861</v>
      </c>
      <c r="B865" s="9">
        <v>45319</v>
      </c>
      <c r="C865" s="4" t="s">
        <v>1060</v>
      </c>
      <c r="D865" s="4" t="s">
        <v>1864</v>
      </c>
      <c r="E865" s="4" t="s">
        <v>1962</v>
      </c>
      <c r="F865" s="4">
        <v>3</v>
      </c>
      <c r="G865" s="4">
        <v>738.47</v>
      </c>
      <c r="H865" s="4">
        <v>0.28000000000000003</v>
      </c>
      <c r="I865" s="4" t="s">
        <v>1996</v>
      </c>
      <c r="J865" s="10">
        <v>1595.0952</v>
      </c>
      <c r="K865" s="4" t="str">
        <f t="shared" si="91"/>
        <v>28-01-2024</v>
      </c>
      <c r="L865" s="4" t="str">
        <f>TEXT(Sales_Fact!$B865,"mmm")</f>
        <v>Jan</v>
      </c>
      <c r="M865" s="4">
        <f t="shared" si="92"/>
        <v>3</v>
      </c>
      <c r="N865" s="10">
        <f t="shared" si="93"/>
        <v>738.47</v>
      </c>
      <c r="O865" s="10">
        <f t="shared" si="94"/>
        <v>1595.0951999999997</v>
      </c>
      <c r="P865" s="10">
        <f t="shared" si="95"/>
        <v>2215.41</v>
      </c>
      <c r="Q865" s="3">
        <f t="shared" si="96"/>
        <v>0.28000000000000008</v>
      </c>
      <c r="R865" s="4" t="str">
        <f>IF(Sales_Fact!$O865&gt;1000,"High","Low")</f>
        <v>High</v>
      </c>
      <c r="S865" s="4" t="str">
        <f>VLOOKUP(C865,Customer_Dim!$A:$N,9,FALSE())</f>
        <v>Mario Harvey Jr.</v>
      </c>
      <c r="T865" s="4" t="str">
        <f>VLOOKUP(D865,Product_Dim!$A:$M,3,FALSE())</f>
        <v>Home</v>
      </c>
      <c r="U865" s="11" t="str">
        <f>VLOOKUP(D865,Product_Dim!$A:$M,2,FALSE())</f>
        <v>Kitchen Cutting Board</v>
      </c>
      <c r="V865" s="11" t="str">
        <f>VLOOKUP(E865,Store_Dim!$A:$E,3,FALSE())</f>
        <v>West</v>
      </c>
      <c r="W865" s="11" t="str">
        <f>VLOOKUP(C865,Customer_Dim!$A:$N,13,FALSE())</f>
        <v>Platinum</v>
      </c>
      <c r="X865" s="11" t="str">
        <f t="shared" si="97"/>
        <v>Low</v>
      </c>
    </row>
    <row r="866" spans="1:24" ht="15.75" customHeight="1">
      <c r="A866" s="4" t="s">
        <v>2862</v>
      </c>
      <c r="B866" s="9">
        <v>45620</v>
      </c>
      <c r="C866" s="4" t="s">
        <v>1060</v>
      </c>
      <c r="D866" s="4" t="s">
        <v>1599</v>
      </c>
      <c r="E866" s="4" t="s">
        <v>1910</v>
      </c>
      <c r="F866" s="4">
        <v>4</v>
      </c>
      <c r="G866" s="4">
        <v>477.83</v>
      </c>
      <c r="H866" s="4">
        <v>0.05</v>
      </c>
      <c r="I866" s="4" t="s">
        <v>2004</v>
      </c>
      <c r="J866" s="10">
        <v>1815.7539999999999</v>
      </c>
      <c r="K866" s="4" t="str">
        <f t="shared" si="91"/>
        <v>24-11-2024</v>
      </c>
      <c r="L866" s="4" t="str">
        <f>TEXT(Sales_Fact!$B866,"mmm")</f>
        <v>Nov</v>
      </c>
      <c r="M866" s="4">
        <f t="shared" si="92"/>
        <v>4</v>
      </c>
      <c r="N866" s="10">
        <f t="shared" si="93"/>
        <v>477.83</v>
      </c>
      <c r="O866" s="10">
        <f t="shared" si="94"/>
        <v>1815.7539999999999</v>
      </c>
      <c r="P866" s="10">
        <f t="shared" si="95"/>
        <v>1911.32</v>
      </c>
      <c r="Q866" s="3">
        <f t="shared" si="96"/>
        <v>5.0000000000000017E-2</v>
      </c>
      <c r="R866" s="4" t="str">
        <f>IF(Sales_Fact!$O866&gt;1000,"High","Low")</f>
        <v>High</v>
      </c>
      <c r="S866" s="4" t="str">
        <f>VLOOKUP(C866,Customer_Dim!$A:$N,9,FALSE())</f>
        <v>Mario Harvey Jr.</v>
      </c>
      <c r="T866" s="4" t="str">
        <f>VLOOKUP(D866,Product_Dim!$A:$M,3,FALSE())</f>
        <v>Clothing</v>
      </c>
      <c r="U866" s="11" t="str">
        <f>VLOOKUP(D866,Product_Dim!$A:$M,2,FALSE())</f>
        <v>Men's Leather Belt</v>
      </c>
      <c r="V866" s="11" t="str">
        <f>VLOOKUP(E866,Store_Dim!$A:$E,3,FALSE())</f>
        <v>East</v>
      </c>
      <c r="W866" s="11" t="str">
        <f>VLOOKUP(C866,Customer_Dim!$A:$N,13,FALSE())</f>
        <v>Platinum</v>
      </c>
      <c r="X866" s="11" t="str">
        <f t="shared" si="97"/>
        <v>High</v>
      </c>
    </row>
    <row r="867" spans="1:24" ht="15.75" customHeight="1">
      <c r="A867" s="4" t="s">
        <v>2863</v>
      </c>
      <c r="B867" s="9">
        <v>45831</v>
      </c>
      <c r="C867" s="4" t="s">
        <v>583</v>
      </c>
      <c r="D867" s="4" t="s">
        <v>1729</v>
      </c>
      <c r="E867" s="4" t="s">
        <v>1952</v>
      </c>
      <c r="F867" s="4">
        <v>3</v>
      </c>
      <c r="G867" s="4">
        <v>605.83000000000004</v>
      </c>
      <c r="H867" s="4">
        <v>0.28000000000000003</v>
      </c>
      <c r="I867" s="4" t="s">
        <v>2004</v>
      </c>
      <c r="J867" s="10">
        <v>1308.5927999999999</v>
      </c>
      <c r="K867" s="4" t="str">
        <f t="shared" si="91"/>
        <v>23-06-2025</v>
      </c>
      <c r="L867" s="4" t="str">
        <f>TEXT(Sales_Fact!$B867,"mmm")</f>
        <v>Jun</v>
      </c>
      <c r="M867" s="4">
        <f t="shared" si="92"/>
        <v>3</v>
      </c>
      <c r="N867" s="10">
        <f t="shared" si="93"/>
        <v>605.83000000000004</v>
      </c>
      <c r="O867" s="10">
        <f t="shared" si="94"/>
        <v>1308.5928000000001</v>
      </c>
      <c r="P867" s="10">
        <f t="shared" si="95"/>
        <v>1817.4900000000002</v>
      </c>
      <c r="Q867" s="3">
        <f t="shared" si="96"/>
        <v>0.28000000000000003</v>
      </c>
      <c r="R867" s="4" t="str">
        <f>IF(Sales_Fact!$O867&gt;1000,"High","Low")</f>
        <v>High</v>
      </c>
      <c r="S867" s="4" t="str">
        <f>VLOOKUP(C867,Customer_Dim!$A:$N,9,FALSE())</f>
        <v>Daniel Contreras</v>
      </c>
      <c r="T867" s="4" t="str">
        <f>VLOOKUP(D867,Product_Dim!$A:$M,3,FALSE())</f>
        <v>Electronics</v>
      </c>
      <c r="U867" s="11" t="str">
        <f>VLOOKUP(D867,Product_Dim!$A:$M,2,FALSE())</f>
        <v>Smart Home WiFi Camera</v>
      </c>
      <c r="V867" s="11" t="str">
        <f>VLOOKUP(E867,Store_Dim!$A:$E,3,FALSE())</f>
        <v>North</v>
      </c>
      <c r="W867" s="11" t="str">
        <f>VLOOKUP(C867,Customer_Dim!$A:$N,13,FALSE())</f>
        <v>Platinum</v>
      </c>
      <c r="X867" s="11" t="str">
        <f t="shared" si="97"/>
        <v>Low</v>
      </c>
    </row>
    <row r="868" spans="1:24" ht="15.75" customHeight="1">
      <c r="A868" s="4" t="s">
        <v>2864</v>
      </c>
      <c r="B868" s="9">
        <v>45373</v>
      </c>
      <c r="C868" s="4" t="s">
        <v>268</v>
      </c>
      <c r="D868" s="4" t="s">
        <v>1732</v>
      </c>
      <c r="E868" s="4" t="s">
        <v>1924</v>
      </c>
      <c r="F868" s="4">
        <v>2</v>
      </c>
      <c r="G868" s="4">
        <v>521.44000000000005</v>
      </c>
      <c r="H868" s="4">
        <v>0.25</v>
      </c>
      <c r="I868" s="4" t="s">
        <v>2004</v>
      </c>
      <c r="J868" s="10">
        <v>782.16</v>
      </c>
      <c r="K868" s="4" t="str">
        <f t="shared" si="91"/>
        <v>22-03-2024</v>
      </c>
      <c r="L868" s="4" t="str">
        <f>TEXT(Sales_Fact!$B868,"mmm")</f>
        <v>Mar</v>
      </c>
      <c r="M868" s="4">
        <f t="shared" si="92"/>
        <v>2</v>
      </c>
      <c r="N868" s="10">
        <f t="shared" si="93"/>
        <v>521.44000000000005</v>
      </c>
      <c r="O868" s="10">
        <f t="shared" si="94"/>
        <v>782.16000000000008</v>
      </c>
      <c r="P868" s="10">
        <f t="shared" si="95"/>
        <v>1042.8800000000001</v>
      </c>
      <c r="Q868" s="3">
        <f t="shared" si="96"/>
        <v>0.25</v>
      </c>
      <c r="R868" s="4" t="str">
        <f>IF(Sales_Fact!$O868&gt;1000,"High","Low")</f>
        <v>Low</v>
      </c>
      <c r="S868" s="4" t="str">
        <f>VLOOKUP(C868,Customer_Dim!$A:$N,9,FALSE())</f>
        <v>Amber Mcclain</v>
      </c>
      <c r="T868" s="4" t="str">
        <f>VLOOKUP(D868,Product_Dim!$A:$M,3,FALSE())</f>
        <v>Electronics</v>
      </c>
      <c r="U868" s="11" t="str">
        <f>VLOOKUP(D868,Product_Dim!$A:$M,2,FALSE())</f>
        <v>USB External Hard Drive</v>
      </c>
      <c r="V868" s="11" t="str">
        <f>VLOOKUP(E868,Store_Dim!$A:$E,3,FALSE())</f>
        <v>North</v>
      </c>
      <c r="W868" s="11" t="str">
        <f>VLOOKUP(C868,Customer_Dim!$A:$N,13,FALSE())</f>
        <v>Silver</v>
      </c>
      <c r="X868" s="11" t="str">
        <f t="shared" si="97"/>
        <v>Low</v>
      </c>
    </row>
    <row r="869" spans="1:24" ht="15.75" customHeight="1">
      <c r="A869" s="4" t="s">
        <v>2865</v>
      </c>
      <c r="B869" s="9">
        <v>45863</v>
      </c>
      <c r="C869" s="4" t="s">
        <v>1195</v>
      </c>
      <c r="D869" s="4" t="s">
        <v>1622</v>
      </c>
      <c r="E869" s="4" t="s">
        <v>1937</v>
      </c>
      <c r="F869" s="4">
        <v>4</v>
      </c>
      <c r="G869" s="4">
        <v>499.02</v>
      </c>
      <c r="H869" s="4">
        <v>0.06</v>
      </c>
      <c r="I869" s="4" t="s">
        <v>1996</v>
      </c>
      <c r="J869" s="10">
        <v>1876.3152</v>
      </c>
      <c r="K869" s="4" t="str">
        <f t="shared" si="91"/>
        <v>25-07-2025</v>
      </c>
      <c r="L869" s="4" t="str">
        <f>TEXT(Sales_Fact!$B869,"mmm")</f>
        <v>Jul</v>
      </c>
      <c r="M869" s="4">
        <f t="shared" si="92"/>
        <v>4</v>
      </c>
      <c r="N869" s="10">
        <f t="shared" si="93"/>
        <v>499.02</v>
      </c>
      <c r="O869" s="10">
        <f t="shared" si="94"/>
        <v>1876.3151999999998</v>
      </c>
      <c r="P869" s="10">
        <f t="shared" si="95"/>
        <v>1996.08</v>
      </c>
      <c r="Q869" s="3">
        <f t="shared" si="96"/>
        <v>6.0000000000000074E-2</v>
      </c>
      <c r="R869" s="4" t="str">
        <f>IF(Sales_Fact!$O869&gt;1000,"High","Low")</f>
        <v>High</v>
      </c>
      <c r="S869" s="4" t="str">
        <f>VLOOKUP(C869,Customer_Dim!$A:$N,9,FALSE())</f>
        <v>James Orozco</v>
      </c>
      <c r="T869" s="4" t="str">
        <f>VLOOKUP(D869,Product_Dim!$A:$M,3,FALSE())</f>
        <v>Home</v>
      </c>
      <c r="U869" s="11" t="str">
        <f>VLOOKUP(D869,Product_Dim!$A:$M,2,FALSE())</f>
        <v>Ceramic Kitchen Bowl Set</v>
      </c>
      <c r="V869" s="11" t="str">
        <f>VLOOKUP(E869,Store_Dim!$A:$E,3,FALSE())</f>
        <v>South</v>
      </c>
      <c r="W869" s="11" t="str">
        <f>VLOOKUP(C869,Customer_Dim!$A:$N,13,FALSE())</f>
        <v>Gold</v>
      </c>
      <c r="X869" s="11" t="str">
        <f t="shared" si="97"/>
        <v>High</v>
      </c>
    </row>
    <row r="870" spans="1:24" ht="15.75" customHeight="1">
      <c r="A870" s="4" t="s">
        <v>2866</v>
      </c>
      <c r="B870" s="9">
        <v>45885</v>
      </c>
      <c r="C870" s="4" t="s">
        <v>265</v>
      </c>
      <c r="D870" s="4" t="s">
        <v>1888</v>
      </c>
      <c r="E870" s="4" t="s">
        <v>1931</v>
      </c>
      <c r="F870" s="4">
        <v>4</v>
      </c>
      <c r="G870" s="4">
        <v>638.91</v>
      </c>
      <c r="H870" s="4">
        <v>0</v>
      </c>
      <c r="I870" s="4" t="s">
        <v>2004</v>
      </c>
      <c r="J870" s="10">
        <v>2555.64</v>
      </c>
      <c r="K870" s="4" t="str">
        <f t="shared" si="91"/>
        <v>16-08-2025</v>
      </c>
      <c r="L870" s="4" t="str">
        <f>TEXT(Sales_Fact!$B870,"mmm")</f>
        <v>Aug</v>
      </c>
      <c r="M870" s="4">
        <f t="shared" si="92"/>
        <v>4</v>
      </c>
      <c r="N870" s="10">
        <f t="shared" si="93"/>
        <v>638.91</v>
      </c>
      <c r="O870" s="10">
        <f t="shared" si="94"/>
        <v>2555.64</v>
      </c>
      <c r="P870" s="10">
        <f t="shared" si="95"/>
        <v>2555.64</v>
      </c>
      <c r="Q870" s="3">
        <f t="shared" si="96"/>
        <v>0</v>
      </c>
      <c r="R870" s="4" t="str">
        <f>IF(Sales_Fact!$O870&gt;1000,"High","Low")</f>
        <v>High</v>
      </c>
      <c r="S870" s="4" t="str">
        <f>VLOOKUP(C870,Customer_Dim!$A:$N,9,FALSE())</f>
        <v>Cody Diaz</v>
      </c>
      <c r="T870" s="4" t="str">
        <f>VLOOKUP(D870,Product_Dim!$A:$M,3,FALSE())</f>
        <v>Beauty</v>
      </c>
      <c r="U870" s="11" t="str">
        <f>VLOOKUP(D870,Product_Dim!$A:$M,2,FALSE())</f>
        <v>Vitamin E Body Lotion</v>
      </c>
      <c r="V870" s="11" t="str">
        <f>VLOOKUP(E870,Store_Dim!$A:$E,3,FALSE())</f>
        <v>North</v>
      </c>
      <c r="W870" s="11" t="str">
        <f>VLOOKUP(C870,Customer_Dim!$A:$N,13,FALSE())</f>
        <v>Silver</v>
      </c>
      <c r="X870" s="11" t="str">
        <f t="shared" si="97"/>
        <v>High</v>
      </c>
    </row>
    <row r="871" spans="1:24" ht="15.75" customHeight="1">
      <c r="A871" s="4" t="s">
        <v>2867</v>
      </c>
      <c r="B871" s="9">
        <v>45758</v>
      </c>
      <c r="C871" s="4" t="s">
        <v>538</v>
      </c>
      <c r="D871" s="4" t="s">
        <v>1595</v>
      </c>
      <c r="E871" s="4" t="s">
        <v>1968</v>
      </c>
      <c r="F871" s="4">
        <v>4</v>
      </c>
      <c r="G871" s="4">
        <v>299.45999999999998</v>
      </c>
      <c r="H871" s="4">
        <v>0.18</v>
      </c>
      <c r="I871" s="4" t="s">
        <v>2004</v>
      </c>
      <c r="J871" s="10">
        <v>982.22879999999998</v>
      </c>
      <c r="K871" s="4" t="str">
        <f t="shared" si="91"/>
        <v>11-04-2025</v>
      </c>
      <c r="L871" s="4" t="str">
        <f>TEXT(Sales_Fact!$B871,"mmm")</f>
        <v>Apr</v>
      </c>
      <c r="M871" s="4">
        <f t="shared" si="92"/>
        <v>4</v>
      </c>
      <c r="N871" s="10">
        <f t="shared" si="93"/>
        <v>299.45999999999998</v>
      </c>
      <c r="O871" s="10">
        <f t="shared" si="94"/>
        <v>982.22879999999998</v>
      </c>
      <c r="P871" s="10">
        <f t="shared" si="95"/>
        <v>1197.8399999999999</v>
      </c>
      <c r="Q871" s="3">
        <f t="shared" si="96"/>
        <v>0.17999999999999997</v>
      </c>
      <c r="R871" s="4" t="str">
        <f>IF(Sales_Fact!$O871&gt;1000,"High","Low")</f>
        <v>Low</v>
      </c>
      <c r="S871" s="4" t="str">
        <f>VLOOKUP(C871,Customer_Dim!$A:$N,9,FALSE())</f>
        <v>Joseph Faulkner</v>
      </c>
      <c r="T871" s="4" t="str">
        <f>VLOOKUP(D871,Product_Dim!$A:$M,3,FALSE())</f>
        <v>Clothing</v>
      </c>
      <c r="U871" s="11" t="str">
        <f>VLOOKUP(D871,Product_Dim!$A:$M,2,FALSE())</f>
        <v>Women's Yoga Pants</v>
      </c>
      <c r="V871" s="11" t="str">
        <f>VLOOKUP(E871,Store_Dim!$A:$E,3,FALSE())</f>
        <v>East</v>
      </c>
      <c r="W871" s="11" t="str">
        <f>VLOOKUP(C871,Customer_Dim!$A:$N,13,FALSE())</f>
        <v>Bronze</v>
      </c>
      <c r="X871" s="11" t="str">
        <f t="shared" si="97"/>
        <v>High</v>
      </c>
    </row>
    <row r="872" spans="1:24" ht="15.75" customHeight="1">
      <c r="A872" s="4" t="s">
        <v>2868</v>
      </c>
      <c r="B872" s="9">
        <v>45285</v>
      </c>
      <c r="C872" s="4" t="s">
        <v>1440</v>
      </c>
      <c r="D872" s="4" t="s">
        <v>1719</v>
      </c>
      <c r="E872" s="4" t="s">
        <v>1910</v>
      </c>
      <c r="F872" s="4">
        <v>1</v>
      </c>
      <c r="G872" s="4">
        <v>609.29</v>
      </c>
      <c r="H872" s="4">
        <v>0.15</v>
      </c>
      <c r="I872" s="4" t="s">
        <v>1996</v>
      </c>
      <c r="J872" s="10">
        <v>517.89649999999995</v>
      </c>
      <c r="K872" s="4" t="str">
        <f t="shared" si="91"/>
        <v>25-12-2023</v>
      </c>
      <c r="L872" s="4" t="str">
        <f>TEXT(Sales_Fact!$B872,"mmm")</f>
        <v>Dec</v>
      </c>
      <c r="M872" s="4">
        <f t="shared" si="92"/>
        <v>1</v>
      </c>
      <c r="N872" s="10">
        <f t="shared" si="93"/>
        <v>609.29</v>
      </c>
      <c r="O872" s="10">
        <f t="shared" si="94"/>
        <v>517.89649999999995</v>
      </c>
      <c r="P872" s="10">
        <f t="shared" si="95"/>
        <v>609.29</v>
      </c>
      <c r="Q872" s="3">
        <f t="shared" si="96"/>
        <v>0.15000000000000005</v>
      </c>
      <c r="R872" s="4" t="str">
        <f>IF(Sales_Fact!$O872&gt;1000,"High","Low")</f>
        <v>Low</v>
      </c>
      <c r="S872" s="4" t="str">
        <f>VLOOKUP(C872,Customer_Dim!$A:$N,9,FALSE())</f>
        <v>Christina Robertson</v>
      </c>
      <c r="T872" s="4" t="str">
        <f>VLOOKUP(D872,Product_Dim!$A:$M,3,FALSE())</f>
        <v>Electronics</v>
      </c>
      <c r="U872" s="11" t="str">
        <f>VLOOKUP(D872,Product_Dim!$A:$M,2,FALSE())</f>
        <v>Portable Power Bank</v>
      </c>
      <c r="V872" s="11" t="str">
        <f>VLOOKUP(E872,Store_Dim!$A:$E,3,FALSE())</f>
        <v>East</v>
      </c>
      <c r="W872" s="11" t="str">
        <f>VLOOKUP(C872,Customer_Dim!$A:$N,13,FALSE())</f>
        <v>Platinum</v>
      </c>
      <c r="X872" s="11" t="str">
        <f t="shared" si="97"/>
        <v>Low</v>
      </c>
    </row>
    <row r="873" spans="1:24" ht="15.75" customHeight="1">
      <c r="A873" s="4" t="s">
        <v>2869</v>
      </c>
      <c r="B873" s="9">
        <v>45656</v>
      </c>
      <c r="C873" s="4" t="s">
        <v>381</v>
      </c>
      <c r="D873" s="4" t="s">
        <v>1588</v>
      </c>
      <c r="E873" s="4" t="s">
        <v>1940</v>
      </c>
      <c r="F873" s="4">
        <v>1</v>
      </c>
      <c r="G873" s="4">
        <v>213.74</v>
      </c>
      <c r="H873" s="4">
        <v>7.0000000000000007E-2</v>
      </c>
      <c r="I873" s="4" t="s">
        <v>2004</v>
      </c>
      <c r="J873" s="10">
        <v>198.7782</v>
      </c>
      <c r="K873" s="4" t="str">
        <f t="shared" si="91"/>
        <v>30-12-2024</v>
      </c>
      <c r="L873" s="4" t="str">
        <f>TEXT(Sales_Fact!$B873,"mmm")</f>
        <v>Dec</v>
      </c>
      <c r="M873" s="4">
        <f t="shared" si="92"/>
        <v>1</v>
      </c>
      <c r="N873" s="10">
        <f t="shared" si="93"/>
        <v>213.74</v>
      </c>
      <c r="O873" s="10">
        <f t="shared" si="94"/>
        <v>198.7782</v>
      </c>
      <c r="P873" s="10">
        <f t="shared" si="95"/>
        <v>213.74</v>
      </c>
      <c r="Q873" s="3">
        <f t="shared" si="96"/>
        <v>7.0000000000000048E-2</v>
      </c>
      <c r="R873" s="4" t="str">
        <f>IF(Sales_Fact!$O873&gt;1000,"High","Low")</f>
        <v>Low</v>
      </c>
      <c r="S873" s="4" t="str">
        <f>VLOOKUP(C873,Customer_Dim!$A:$N,9,FALSE())</f>
        <v>Colleen Maynard</v>
      </c>
      <c r="T873" s="4" t="str">
        <f>VLOOKUP(D873,Product_Dim!$A:$M,3,FALSE())</f>
        <v>Clothing</v>
      </c>
      <c r="U873" s="11" t="str">
        <f>VLOOKUP(D873,Product_Dim!$A:$M,2,FALSE())</f>
        <v>Women's Casual Hoodie</v>
      </c>
      <c r="V873" s="11" t="str">
        <f>VLOOKUP(E873,Store_Dim!$A:$E,3,FALSE())</f>
        <v>West</v>
      </c>
      <c r="W873" s="11" t="str">
        <f>VLOOKUP(C873,Customer_Dim!$A:$N,13,FALSE())</f>
        <v>Gold</v>
      </c>
      <c r="X873" s="11" t="str">
        <f t="shared" si="97"/>
        <v>Low</v>
      </c>
    </row>
    <row r="874" spans="1:24" ht="15.75" customHeight="1">
      <c r="A874" s="4" t="s">
        <v>2870</v>
      </c>
      <c r="B874" s="9">
        <v>45718</v>
      </c>
      <c r="C874" s="4" t="s">
        <v>538</v>
      </c>
      <c r="D874" s="4" t="s">
        <v>1770</v>
      </c>
      <c r="E874" s="4" t="s">
        <v>1962</v>
      </c>
      <c r="F874" s="4">
        <v>4</v>
      </c>
      <c r="G874" s="4">
        <v>613.16999999999996</v>
      </c>
      <c r="H874" s="4">
        <v>0.26</v>
      </c>
      <c r="I874" s="4" t="s">
        <v>1996</v>
      </c>
      <c r="J874" s="10">
        <v>1814.9831999999999</v>
      </c>
      <c r="K874" s="4" t="str">
        <f t="shared" si="91"/>
        <v>02-03-2025</v>
      </c>
      <c r="L874" s="4" t="str">
        <f>TEXT(Sales_Fact!$B874,"mmm")</f>
        <v>Mar</v>
      </c>
      <c r="M874" s="4">
        <f t="shared" si="92"/>
        <v>4</v>
      </c>
      <c r="N874" s="10">
        <f t="shared" si="93"/>
        <v>613.16999999999996</v>
      </c>
      <c r="O874" s="10">
        <f t="shared" si="94"/>
        <v>1814.9831999999999</v>
      </c>
      <c r="P874" s="10">
        <f t="shared" si="95"/>
        <v>2452.6799999999998</v>
      </c>
      <c r="Q874" s="3">
        <f t="shared" si="96"/>
        <v>0.26</v>
      </c>
      <c r="R874" s="4" t="str">
        <f>IF(Sales_Fact!$O874&gt;1000,"High","Low")</f>
        <v>High</v>
      </c>
      <c r="S874" s="4" t="str">
        <f>VLOOKUP(C874,Customer_Dim!$A:$N,9,FALSE())</f>
        <v>Joseph Faulkner</v>
      </c>
      <c r="T874" s="4" t="str">
        <f>VLOOKUP(D874,Product_Dim!$A:$M,3,FALSE())</f>
        <v>Home</v>
      </c>
      <c r="U874" s="11" t="str">
        <f>VLOOKUP(D874,Product_Dim!$A:$M,2,FALSE())</f>
        <v>Ceramic Plant Pot</v>
      </c>
      <c r="V874" s="11" t="str">
        <f>VLOOKUP(E874,Store_Dim!$A:$E,3,FALSE())</f>
        <v>West</v>
      </c>
      <c r="W874" s="11" t="str">
        <f>VLOOKUP(C874,Customer_Dim!$A:$N,13,FALSE())</f>
        <v>Bronze</v>
      </c>
      <c r="X874" s="11" t="str">
        <f t="shared" si="97"/>
        <v>High</v>
      </c>
    </row>
    <row r="875" spans="1:24" ht="15.75" customHeight="1">
      <c r="A875" s="4" t="s">
        <v>2871</v>
      </c>
      <c r="B875" s="9">
        <v>45293</v>
      </c>
      <c r="C875" s="4" t="s">
        <v>1147</v>
      </c>
      <c r="D875" s="4" t="s">
        <v>1782</v>
      </c>
      <c r="E875" s="4" t="s">
        <v>1950</v>
      </c>
      <c r="F875" s="4">
        <v>2</v>
      </c>
      <c r="G875" s="4">
        <v>687.36</v>
      </c>
      <c r="H875" s="4">
        <v>7.0000000000000007E-2</v>
      </c>
      <c r="I875" s="4" t="s">
        <v>2004</v>
      </c>
      <c r="J875" s="10">
        <v>1278.4896000000001</v>
      </c>
      <c r="K875" s="4" t="str">
        <f t="shared" si="91"/>
        <v>02-01-2024</v>
      </c>
      <c r="L875" s="4" t="str">
        <f>TEXT(Sales_Fact!$B875,"mmm")</f>
        <v>Jan</v>
      </c>
      <c r="M875" s="4">
        <f t="shared" si="92"/>
        <v>2</v>
      </c>
      <c r="N875" s="10">
        <f t="shared" si="93"/>
        <v>687.36</v>
      </c>
      <c r="O875" s="10">
        <f t="shared" si="94"/>
        <v>1278.4895999999999</v>
      </c>
      <c r="P875" s="10">
        <f t="shared" si="95"/>
        <v>1374.72</v>
      </c>
      <c r="Q875" s="3">
        <f t="shared" si="96"/>
        <v>7.0000000000000104E-2</v>
      </c>
      <c r="R875" s="4" t="str">
        <f>IF(Sales_Fact!$O875&gt;1000,"High","Low")</f>
        <v>High</v>
      </c>
      <c r="S875" s="4" t="str">
        <f>VLOOKUP(C875,Customer_Dim!$A:$N,9,FALSE())</f>
        <v>Manuel Castillo</v>
      </c>
      <c r="T875" s="4" t="str">
        <f>VLOOKUP(D875,Product_Dim!$A:$M,3,FALSE())</f>
        <v>Beauty</v>
      </c>
      <c r="U875" s="11" t="str">
        <f>VLOOKUP(D875,Product_Dim!$A:$M,2,FALSE())</f>
        <v>Men's Hair Styling Gel</v>
      </c>
      <c r="V875" s="11" t="str">
        <f>VLOOKUP(E875,Store_Dim!$A:$E,3,FALSE())</f>
        <v>South</v>
      </c>
      <c r="W875" s="11" t="str">
        <f>VLOOKUP(C875,Customer_Dim!$A:$N,13,FALSE())</f>
        <v>Gold</v>
      </c>
      <c r="X875" s="11" t="str">
        <f t="shared" si="97"/>
        <v>Low</v>
      </c>
    </row>
    <row r="876" spans="1:24" ht="15.75" customHeight="1">
      <c r="A876" s="4" t="s">
        <v>2872</v>
      </c>
      <c r="B876" s="9">
        <v>45915</v>
      </c>
      <c r="C876" s="4" t="s">
        <v>1054</v>
      </c>
      <c r="D876" s="4" t="s">
        <v>1806</v>
      </c>
      <c r="E876" s="4" t="s">
        <v>1955</v>
      </c>
      <c r="F876" s="4">
        <v>3</v>
      </c>
      <c r="G876" s="4">
        <v>115.39</v>
      </c>
      <c r="H876" s="4">
        <v>0.02</v>
      </c>
      <c r="I876" s="4" t="s">
        <v>1998</v>
      </c>
      <c r="J876" s="10">
        <v>339.2466</v>
      </c>
      <c r="K876" s="4" t="str">
        <f t="shared" si="91"/>
        <v>15-09-2025</v>
      </c>
      <c r="L876" s="4" t="str">
        <f>TEXT(Sales_Fact!$B876,"mmm")</f>
        <v>Sep</v>
      </c>
      <c r="M876" s="4">
        <f t="shared" si="92"/>
        <v>3</v>
      </c>
      <c r="N876" s="10">
        <f t="shared" si="93"/>
        <v>115.39</v>
      </c>
      <c r="O876" s="10">
        <f t="shared" si="94"/>
        <v>339.2466</v>
      </c>
      <c r="P876" s="10">
        <f t="shared" si="95"/>
        <v>346.17</v>
      </c>
      <c r="Q876" s="3">
        <f t="shared" si="96"/>
        <v>2.0000000000000042E-2</v>
      </c>
      <c r="R876" s="4" t="str">
        <f>IF(Sales_Fact!$O876&gt;1000,"High","Low")</f>
        <v>Low</v>
      </c>
      <c r="S876" s="4" t="str">
        <f>VLOOKUP(C876,Customer_Dim!$A:$N,9,FALSE())</f>
        <v>Robert King</v>
      </c>
      <c r="T876" s="4" t="str">
        <f>VLOOKUP(D876,Product_Dim!$A:$M,3,FALSE())</f>
        <v>Electronics</v>
      </c>
      <c r="U876" s="11" t="str">
        <f>VLOOKUP(D876,Product_Dim!$A:$M,2,FALSE())</f>
        <v>Smart LED Light Strip</v>
      </c>
      <c r="V876" s="11" t="str">
        <f>VLOOKUP(E876,Store_Dim!$A:$E,3,FALSE())</f>
        <v>East</v>
      </c>
      <c r="W876" s="11" t="str">
        <f>VLOOKUP(C876,Customer_Dim!$A:$N,13,FALSE())</f>
        <v>Gold</v>
      </c>
      <c r="X876" s="11" t="str">
        <f t="shared" si="97"/>
        <v>Low</v>
      </c>
    </row>
    <row r="877" spans="1:24" ht="15.75" customHeight="1">
      <c r="A877" s="4" t="s">
        <v>2873</v>
      </c>
      <c r="B877" s="9">
        <v>45359</v>
      </c>
      <c r="C877" s="4" t="s">
        <v>617</v>
      </c>
      <c r="D877" s="4" t="s">
        <v>1671</v>
      </c>
      <c r="E877" s="4" t="s">
        <v>1952</v>
      </c>
      <c r="F877" s="4">
        <v>2</v>
      </c>
      <c r="G877" s="4">
        <v>722.06</v>
      </c>
      <c r="H877" s="4">
        <v>7.0000000000000007E-2</v>
      </c>
      <c r="I877" s="4" t="s">
        <v>1996</v>
      </c>
      <c r="J877" s="10">
        <v>1343.0316</v>
      </c>
      <c r="K877" s="4" t="str">
        <f t="shared" si="91"/>
        <v>08-03-2024</v>
      </c>
      <c r="L877" s="4" t="str">
        <f>TEXT(Sales_Fact!$B877,"mmm")</f>
        <v>Mar</v>
      </c>
      <c r="M877" s="4">
        <f t="shared" si="92"/>
        <v>2</v>
      </c>
      <c r="N877" s="10">
        <f t="shared" si="93"/>
        <v>722.06</v>
      </c>
      <c r="O877" s="10">
        <f t="shared" si="94"/>
        <v>1343.0315999999998</v>
      </c>
      <c r="P877" s="10">
        <f t="shared" si="95"/>
        <v>1444.12</v>
      </c>
      <c r="Q877" s="3">
        <f t="shared" si="96"/>
        <v>7.0000000000000076E-2</v>
      </c>
      <c r="R877" s="4" t="str">
        <f>IF(Sales_Fact!$O877&gt;1000,"High","Low")</f>
        <v>High</v>
      </c>
      <c r="S877" s="4" t="str">
        <f>VLOOKUP(C877,Customer_Dim!$A:$N,9,FALSE())</f>
        <v>Nicholas Bradshaw</v>
      </c>
      <c r="T877" s="4" t="str">
        <f>VLOOKUP(D877,Product_Dim!$A:$M,3,FALSE())</f>
        <v>Sports</v>
      </c>
      <c r="U877" s="11" t="str">
        <f>VLOOKUP(D877,Product_Dim!$A:$M,2,FALSE())</f>
        <v>Foldable Camping Chair</v>
      </c>
      <c r="V877" s="11" t="str">
        <f>VLOOKUP(E877,Store_Dim!$A:$E,3,FALSE())</f>
        <v>North</v>
      </c>
      <c r="W877" s="11" t="str">
        <f>VLOOKUP(C877,Customer_Dim!$A:$N,13,FALSE())</f>
        <v>Silver</v>
      </c>
      <c r="X877" s="11" t="str">
        <f t="shared" si="97"/>
        <v>Low</v>
      </c>
    </row>
    <row r="878" spans="1:24" ht="15.75" customHeight="1">
      <c r="A878" s="4" t="s">
        <v>2874</v>
      </c>
      <c r="B878" s="9">
        <v>45652</v>
      </c>
      <c r="C878" s="4" t="s">
        <v>1348</v>
      </c>
      <c r="D878" s="4" t="s">
        <v>1608</v>
      </c>
      <c r="E878" s="4" t="s">
        <v>1959</v>
      </c>
      <c r="F878" s="4">
        <v>1</v>
      </c>
      <c r="G878" s="4">
        <v>384.57</v>
      </c>
      <c r="H878" s="4">
        <v>0.06</v>
      </c>
      <c r="I878" s="4" t="s">
        <v>1998</v>
      </c>
      <c r="J878" s="10">
        <v>361.49579999999997</v>
      </c>
      <c r="K878" s="4" t="str">
        <f t="shared" si="91"/>
        <v>26-12-2024</v>
      </c>
      <c r="L878" s="4" t="str">
        <f>TEXT(Sales_Fact!$B878,"mmm")</f>
        <v>Dec</v>
      </c>
      <c r="M878" s="4">
        <f t="shared" si="92"/>
        <v>1</v>
      </c>
      <c r="N878" s="10">
        <f t="shared" si="93"/>
        <v>384.57</v>
      </c>
      <c r="O878" s="10">
        <f t="shared" si="94"/>
        <v>361.49579999999997</v>
      </c>
      <c r="P878" s="10">
        <f t="shared" si="95"/>
        <v>384.57</v>
      </c>
      <c r="Q878" s="3">
        <f t="shared" si="96"/>
        <v>6.0000000000000053E-2</v>
      </c>
      <c r="R878" s="4" t="str">
        <f>IF(Sales_Fact!$O878&gt;1000,"High","Low")</f>
        <v>Low</v>
      </c>
      <c r="S878" s="4" t="str">
        <f>VLOOKUP(C878,Customer_Dim!$A:$N,9,FALSE())</f>
        <v>Bryce Hawkins</v>
      </c>
      <c r="T878" s="4" t="str">
        <f>VLOOKUP(D878,Product_Dim!$A:$M,3,FALSE())</f>
        <v>Home</v>
      </c>
      <c r="U878" s="11" t="str">
        <f>VLOOKUP(D878,Product_Dim!$A:$M,2,FALSE())</f>
        <v>LED Table Lamp</v>
      </c>
      <c r="V878" s="11" t="str">
        <f>VLOOKUP(E878,Store_Dim!$A:$E,3,FALSE())</f>
        <v>North</v>
      </c>
      <c r="W878" s="11" t="str">
        <f>VLOOKUP(C878,Customer_Dim!$A:$N,13,FALSE())</f>
        <v>Bronze</v>
      </c>
      <c r="X878" s="11" t="str">
        <f t="shared" si="97"/>
        <v>Low</v>
      </c>
    </row>
    <row r="879" spans="1:24" ht="15.75" customHeight="1">
      <c r="A879" s="4" t="s">
        <v>2875</v>
      </c>
      <c r="B879" s="9">
        <v>45735</v>
      </c>
      <c r="C879" s="4" t="s">
        <v>709</v>
      </c>
      <c r="D879" s="4" t="s">
        <v>1613</v>
      </c>
      <c r="E879" s="4" t="s">
        <v>1955</v>
      </c>
      <c r="F879" s="4">
        <v>2</v>
      </c>
      <c r="G879" s="4">
        <v>194.09</v>
      </c>
      <c r="H879" s="4">
        <v>0.18</v>
      </c>
      <c r="I879" s="4" t="s">
        <v>1998</v>
      </c>
      <c r="J879" s="10">
        <v>318.30759999999998</v>
      </c>
      <c r="K879" s="4" t="str">
        <f t="shared" si="91"/>
        <v>19-03-2025</v>
      </c>
      <c r="L879" s="4" t="str">
        <f>TEXT(Sales_Fact!$B879,"mmm")</f>
        <v>Mar</v>
      </c>
      <c r="M879" s="4">
        <f t="shared" si="92"/>
        <v>2</v>
      </c>
      <c r="N879" s="10">
        <f t="shared" si="93"/>
        <v>194.09</v>
      </c>
      <c r="O879" s="10">
        <f t="shared" si="94"/>
        <v>318.30760000000004</v>
      </c>
      <c r="P879" s="10">
        <f t="shared" si="95"/>
        <v>388.18</v>
      </c>
      <c r="Q879" s="3">
        <f t="shared" si="96"/>
        <v>0.17999999999999991</v>
      </c>
      <c r="R879" s="4" t="str">
        <f>IF(Sales_Fact!$O879&gt;1000,"High","Low")</f>
        <v>Low</v>
      </c>
      <c r="S879" s="4" t="str">
        <f>VLOOKUP(C879,Customer_Dim!$A:$N,9,FALSE())</f>
        <v>Antonio Jones</v>
      </c>
      <c r="T879" s="4" t="str">
        <f>VLOOKUP(D879,Product_Dim!$A:$M,3,FALSE())</f>
        <v>Electronics</v>
      </c>
      <c r="U879" s="11" t="str">
        <f>VLOOKUP(D879,Product_Dim!$A:$M,2,FALSE())</f>
        <v>Wireless Bluetooth Earbuds</v>
      </c>
      <c r="V879" s="11" t="str">
        <f>VLOOKUP(E879,Store_Dim!$A:$E,3,FALSE())</f>
        <v>East</v>
      </c>
      <c r="W879" s="11" t="str">
        <f>VLOOKUP(C879,Customer_Dim!$A:$N,13,FALSE())</f>
        <v>Silver</v>
      </c>
      <c r="X879" s="11" t="str">
        <f t="shared" si="97"/>
        <v>Low</v>
      </c>
    </row>
    <row r="880" spans="1:24" ht="15.75" customHeight="1">
      <c r="A880" s="4" t="s">
        <v>2876</v>
      </c>
      <c r="B880" s="9">
        <v>45579</v>
      </c>
      <c r="C880" s="4" t="s">
        <v>595</v>
      </c>
      <c r="D880" s="4" t="s">
        <v>1870</v>
      </c>
      <c r="E880" s="4" t="s">
        <v>1924</v>
      </c>
      <c r="F880" s="4">
        <v>2</v>
      </c>
      <c r="G880" s="4">
        <v>403.91</v>
      </c>
      <c r="H880" s="4">
        <v>7.0000000000000007E-2</v>
      </c>
      <c r="I880" s="4" t="s">
        <v>1996</v>
      </c>
      <c r="J880" s="10">
        <v>751.27260000000001</v>
      </c>
      <c r="K880" s="4" t="str">
        <f t="shared" si="91"/>
        <v>14-10-2024</v>
      </c>
      <c r="L880" s="4" t="str">
        <f>TEXT(Sales_Fact!$B880,"mmm")</f>
        <v>Oct</v>
      </c>
      <c r="M880" s="4">
        <f t="shared" si="92"/>
        <v>2</v>
      </c>
      <c r="N880" s="10">
        <f t="shared" si="93"/>
        <v>403.91</v>
      </c>
      <c r="O880" s="10">
        <f t="shared" si="94"/>
        <v>751.27260000000001</v>
      </c>
      <c r="P880" s="10">
        <f t="shared" si="95"/>
        <v>807.82</v>
      </c>
      <c r="Q880" s="3">
        <f t="shared" si="96"/>
        <v>7.0000000000000048E-2</v>
      </c>
      <c r="R880" s="4" t="str">
        <f>IF(Sales_Fact!$O880&gt;1000,"High","Low")</f>
        <v>Low</v>
      </c>
      <c r="S880" s="4" t="str">
        <f>VLOOKUP(C880,Customer_Dim!$A:$N,9,FALSE())</f>
        <v>Thomas Rhodes</v>
      </c>
      <c r="T880" s="4" t="str">
        <f>VLOOKUP(D880,Product_Dim!$A:$M,3,FALSE())</f>
        <v>Sports</v>
      </c>
      <c r="U880" s="11" t="str">
        <f>VLOOKUP(D880,Product_Dim!$A:$M,2,FALSE())</f>
        <v>Sports Wrist Sweatbands</v>
      </c>
      <c r="V880" s="11" t="str">
        <f>VLOOKUP(E880,Store_Dim!$A:$E,3,FALSE())</f>
        <v>North</v>
      </c>
      <c r="W880" s="11" t="str">
        <f>VLOOKUP(C880,Customer_Dim!$A:$N,13,FALSE())</f>
        <v>Bronze</v>
      </c>
      <c r="X880" s="11" t="str">
        <f t="shared" si="97"/>
        <v>Low</v>
      </c>
    </row>
    <row r="881" spans="1:24" ht="15.75" customHeight="1">
      <c r="A881" s="4" t="s">
        <v>2877</v>
      </c>
      <c r="B881" s="9">
        <v>45812</v>
      </c>
      <c r="C881" s="4" t="s">
        <v>316</v>
      </c>
      <c r="D881" s="4" t="s">
        <v>1738</v>
      </c>
      <c r="E881" s="4" t="s">
        <v>1910</v>
      </c>
      <c r="F881" s="4">
        <v>2</v>
      </c>
      <c r="G881" s="4">
        <v>522.16999999999996</v>
      </c>
      <c r="H881" s="4">
        <v>0.27</v>
      </c>
      <c r="I881" s="4" t="s">
        <v>1996</v>
      </c>
      <c r="J881" s="10">
        <v>762.3682</v>
      </c>
      <c r="K881" s="4" t="str">
        <f t="shared" si="91"/>
        <v>04-06-2025</v>
      </c>
      <c r="L881" s="4" t="str">
        <f>TEXT(Sales_Fact!$B881,"mmm")</f>
        <v>Jun</v>
      </c>
      <c r="M881" s="4">
        <f t="shared" si="92"/>
        <v>2</v>
      </c>
      <c r="N881" s="10">
        <f t="shared" si="93"/>
        <v>522.16999999999996</v>
      </c>
      <c r="O881" s="10">
        <f t="shared" si="94"/>
        <v>762.36819999999989</v>
      </c>
      <c r="P881" s="10">
        <f t="shared" si="95"/>
        <v>1044.3399999999999</v>
      </c>
      <c r="Q881" s="3">
        <f t="shared" si="96"/>
        <v>0.27000000000000007</v>
      </c>
      <c r="R881" s="4" t="str">
        <f>IF(Sales_Fact!$O881&gt;1000,"High","Low")</f>
        <v>Low</v>
      </c>
      <c r="S881" s="4" t="str">
        <f>VLOOKUP(C881,Customer_Dim!$A:$N,9,FALSE())</f>
        <v>Krystal Ford</v>
      </c>
      <c r="T881" s="4" t="str">
        <f>VLOOKUP(D881,Product_Dim!$A:$M,3,FALSE())</f>
        <v>Sports</v>
      </c>
      <c r="U881" s="11" t="str">
        <f>VLOOKUP(D881,Product_Dim!$A:$M,2,FALSE())</f>
        <v>High-Grip Football</v>
      </c>
      <c r="V881" s="11" t="str">
        <f>VLOOKUP(E881,Store_Dim!$A:$E,3,FALSE())</f>
        <v>East</v>
      </c>
      <c r="W881" s="11" t="str">
        <f>VLOOKUP(C881,Customer_Dim!$A:$N,13,FALSE())</f>
        <v>Platinum</v>
      </c>
      <c r="X881" s="11" t="str">
        <f t="shared" si="97"/>
        <v>Low</v>
      </c>
    </row>
    <row r="882" spans="1:24" ht="15.75" customHeight="1">
      <c r="A882" s="4" t="s">
        <v>2878</v>
      </c>
      <c r="B882" s="9">
        <v>45721</v>
      </c>
      <c r="C882" s="4" t="s">
        <v>299</v>
      </c>
      <c r="D882" s="4" t="s">
        <v>1648</v>
      </c>
      <c r="E882" s="4" t="s">
        <v>1957</v>
      </c>
      <c r="F882" s="4">
        <v>1</v>
      </c>
      <c r="G882" s="4">
        <v>878.69</v>
      </c>
      <c r="H882" s="4">
        <v>0.3</v>
      </c>
      <c r="I882" s="4" t="s">
        <v>1998</v>
      </c>
      <c r="J882" s="10">
        <v>615.08299999999997</v>
      </c>
      <c r="K882" s="4" t="str">
        <f t="shared" si="91"/>
        <v>05-03-2025</v>
      </c>
      <c r="L882" s="4" t="str">
        <f>TEXT(Sales_Fact!$B882,"mmm")</f>
        <v>Mar</v>
      </c>
      <c r="M882" s="4">
        <f t="shared" si="92"/>
        <v>1</v>
      </c>
      <c r="N882" s="10">
        <f t="shared" si="93"/>
        <v>878.69</v>
      </c>
      <c r="O882" s="10">
        <f t="shared" si="94"/>
        <v>615.08299999999997</v>
      </c>
      <c r="P882" s="10">
        <f t="shared" si="95"/>
        <v>878.69</v>
      </c>
      <c r="Q882" s="3">
        <f t="shared" si="96"/>
        <v>0.3000000000000001</v>
      </c>
      <c r="R882" s="4" t="str">
        <f>IF(Sales_Fact!$O882&gt;1000,"High","Low")</f>
        <v>Low</v>
      </c>
      <c r="S882" s="4" t="str">
        <f>VLOOKUP(C882,Customer_Dim!$A:$N,9,FALSE())</f>
        <v>Nathan Campbell</v>
      </c>
      <c r="T882" s="4" t="str">
        <f>VLOOKUP(D882,Product_Dim!$A:$M,3,FALSE())</f>
        <v>Sports</v>
      </c>
      <c r="U882" s="11" t="str">
        <f>VLOOKUP(D882,Product_Dim!$A:$M,2,FALSE())</f>
        <v>Soccer Training Cone Set</v>
      </c>
      <c r="V882" s="11" t="str">
        <f>VLOOKUP(E882,Store_Dim!$A:$E,3,FALSE())</f>
        <v>South</v>
      </c>
      <c r="W882" s="11" t="str">
        <f>VLOOKUP(C882,Customer_Dim!$A:$N,13,FALSE())</f>
        <v>Gold</v>
      </c>
      <c r="X882" s="11" t="str">
        <f t="shared" si="97"/>
        <v>Low</v>
      </c>
    </row>
    <row r="883" spans="1:24" ht="15.75" customHeight="1">
      <c r="A883" s="4" t="s">
        <v>2879</v>
      </c>
      <c r="B883" s="9">
        <v>45446</v>
      </c>
      <c r="C883" s="4" t="s">
        <v>1219</v>
      </c>
      <c r="D883" s="4" t="s">
        <v>1700</v>
      </c>
      <c r="E883" s="4" t="s">
        <v>1959</v>
      </c>
      <c r="F883" s="4">
        <v>1</v>
      </c>
      <c r="G883" s="4">
        <v>161.16999999999999</v>
      </c>
      <c r="H883" s="4">
        <v>0.05</v>
      </c>
      <c r="I883" s="4" t="s">
        <v>1996</v>
      </c>
      <c r="J883" s="10">
        <v>153.11150000000001</v>
      </c>
      <c r="K883" s="4" t="str">
        <f t="shared" si="91"/>
        <v>03-06-2024</v>
      </c>
      <c r="L883" s="4" t="str">
        <f>TEXT(Sales_Fact!$B883,"mmm")</f>
        <v>Jun</v>
      </c>
      <c r="M883" s="4">
        <f t="shared" si="92"/>
        <v>1</v>
      </c>
      <c r="N883" s="10">
        <f t="shared" si="93"/>
        <v>161.16999999999999</v>
      </c>
      <c r="O883" s="10">
        <f t="shared" si="94"/>
        <v>153.11149999999998</v>
      </c>
      <c r="P883" s="10">
        <f t="shared" si="95"/>
        <v>161.16999999999999</v>
      </c>
      <c r="Q883" s="3">
        <f t="shared" si="96"/>
        <v>5.0000000000000058E-2</v>
      </c>
      <c r="R883" s="4" t="str">
        <f>IF(Sales_Fact!$O883&gt;1000,"High","Low")</f>
        <v>Low</v>
      </c>
      <c r="S883" s="4" t="str">
        <f>VLOOKUP(C883,Customer_Dim!$A:$N,9,FALSE())</f>
        <v>Erika Padilla</v>
      </c>
      <c r="T883" s="4" t="str">
        <f>VLOOKUP(D883,Product_Dim!$A:$M,3,FALSE())</f>
        <v>Home</v>
      </c>
      <c r="U883" s="11" t="str">
        <f>VLOOKUP(D883,Product_Dim!$A:$M,2,FALSE())</f>
        <v>Modern Wall Clock</v>
      </c>
      <c r="V883" s="11" t="str">
        <f>VLOOKUP(E883,Store_Dim!$A:$E,3,FALSE())</f>
        <v>North</v>
      </c>
      <c r="W883" s="11" t="str">
        <f>VLOOKUP(C883,Customer_Dim!$A:$N,13,FALSE())</f>
        <v>Silver</v>
      </c>
      <c r="X883" s="11" t="str">
        <f t="shared" si="97"/>
        <v>Low</v>
      </c>
    </row>
    <row r="884" spans="1:24" ht="15.75" customHeight="1">
      <c r="A884" s="4" t="s">
        <v>2880</v>
      </c>
      <c r="B884" s="9">
        <v>45387</v>
      </c>
      <c r="C884" s="4" t="s">
        <v>721</v>
      </c>
      <c r="D884" s="4" t="s">
        <v>1825</v>
      </c>
      <c r="E884" s="4" t="s">
        <v>1957</v>
      </c>
      <c r="F884" s="4">
        <v>2</v>
      </c>
      <c r="G884" s="4">
        <v>720.15</v>
      </c>
      <c r="H884" s="4">
        <v>0.22</v>
      </c>
      <c r="I884" s="4" t="s">
        <v>2004</v>
      </c>
      <c r="J884" s="10">
        <v>1123.434</v>
      </c>
      <c r="K884" s="4" t="str">
        <f t="shared" si="91"/>
        <v>05-04-2024</v>
      </c>
      <c r="L884" s="4" t="str">
        <f>TEXT(Sales_Fact!$B884,"mmm")</f>
        <v>Apr</v>
      </c>
      <c r="M884" s="4">
        <f t="shared" si="92"/>
        <v>2</v>
      </c>
      <c r="N884" s="10">
        <f t="shared" si="93"/>
        <v>720.15</v>
      </c>
      <c r="O884" s="10">
        <f t="shared" si="94"/>
        <v>1123.434</v>
      </c>
      <c r="P884" s="10">
        <f t="shared" si="95"/>
        <v>1440.3</v>
      </c>
      <c r="Q884" s="3">
        <f t="shared" si="96"/>
        <v>0.22</v>
      </c>
      <c r="R884" s="4" t="str">
        <f>IF(Sales_Fact!$O884&gt;1000,"High","Low")</f>
        <v>High</v>
      </c>
      <c r="S884" s="4" t="str">
        <f>VLOOKUP(C884,Customer_Dim!$A:$N,9,FALSE())</f>
        <v>Eric Todd</v>
      </c>
      <c r="T884" s="4" t="str">
        <f>VLOOKUP(D884,Product_Dim!$A:$M,3,FALSE())</f>
        <v>Sports</v>
      </c>
      <c r="U884" s="11" t="str">
        <f>VLOOKUP(D884,Product_Dim!$A:$M,2,FALSE())</f>
        <v>Shin Guards – Adult</v>
      </c>
      <c r="V884" s="11" t="str">
        <f>VLOOKUP(E884,Store_Dim!$A:$E,3,FALSE())</f>
        <v>South</v>
      </c>
      <c r="W884" s="11" t="str">
        <f>VLOOKUP(C884,Customer_Dim!$A:$N,13,FALSE())</f>
        <v>Gold</v>
      </c>
      <c r="X884" s="11" t="str">
        <f t="shared" si="97"/>
        <v>Low</v>
      </c>
    </row>
    <row r="885" spans="1:24" ht="15.75" customHeight="1">
      <c r="A885" s="4" t="s">
        <v>2881</v>
      </c>
      <c r="B885" s="9">
        <v>45222</v>
      </c>
      <c r="C885" s="4" t="s">
        <v>1117</v>
      </c>
      <c r="D885" s="4" t="s">
        <v>1678</v>
      </c>
      <c r="E885" s="4" t="s">
        <v>1940</v>
      </c>
      <c r="F885" s="4">
        <v>1</v>
      </c>
      <c r="G885" s="4">
        <v>361.8</v>
      </c>
      <c r="H885" s="4">
        <v>0.02</v>
      </c>
      <c r="I885" s="4" t="s">
        <v>2004</v>
      </c>
      <c r="J885" s="10">
        <v>354.56400000000002</v>
      </c>
      <c r="K885" s="4" t="str">
        <f t="shared" si="91"/>
        <v>23-10-2023</v>
      </c>
      <c r="L885" s="4" t="str">
        <f>TEXT(Sales_Fact!$B885,"mmm")</f>
        <v>Oct</v>
      </c>
      <c r="M885" s="4">
        <f t="shared" si="92"/>
        <v>1</v>
      </c>
      <c r="N885" s="10">
        <f t="shared" si="93"/>
        <v>361.8</v>
      </c>
      <c r="O885" s="10">
        <f t="shared" si="94"/>
        <v>354.56400000000002</v>
      </c>
      <c r="P885" s="10">
        <f t="shared" si="95"/>
        <v>361.8</v>
      </c>
      <c r="Q885" s="3">
        <f t="shared" si="96"/>
        <v>1.9999999999999973E-2</v>
      </c>
      <c r="R885" s="4" t="str">
        <f>IF(Sales_Fact!$O885&gt;1000,"High","Low")</f>
        <v>Low</v>
      </c>
      <c r="S885" s="4" t="str">
        <f>VLOOKUP(C885,Customer_Dim!$A:$N,9,FALSE())</f>
        <v>Justin Mason Dds</v>
      </c>
      <c r="T885" s="4" t="str">
        <f>VLOOKUP(D885,Product_Dim!$A:$M,3,FALSE())</f>
        <v>Electronics</v>
      </c>
      <c r="U885" s="11" t="str">
        <f>VLOOKUP(D885,Product_Dim!$A:$M,2,FALSE())</f>
        <v>Wireless Bluetooth Speaker</v>
      </c>
      <c r="V885" s="11" t="str">
        <f>VLOOKUP(E885,Store_Dim!$A:$E,3,FALSE())</f>
        <v>West</v>
      </c>
      <c r="W885" s="11" t="str">
        <f>VLOOKUP(C885,Customer_Dim!$A:$N,13,FALSE())</f>
        <v>Gold</v>
      </c>
      <c r="X885" s="11" t="str">
        <f t="shared" si="97"/>
        <v>Low</v>
      </c>
    </row>
    <row r="886" spans="1:24" ht="15.75" customHeight="1">
      <c r="A886" s="4" t="s">
        <v>2882</v>
      </c>
      <c r="B886" s="9">
        <v>45402</v>
      </c>
      <c r="C886" s="4" t="s">
        <v>768</v>
      </c>
      <c r="D886" s="4" t="s">
        <v>1891</v>
      </c>
      <c r="E886" s="4" t="s">
        <v>1934</v>
      </c>
      <c r="F886" s="4">
        <v>1</v>
      </c>
      <c r="G886" s="4">
        <v>779.84</v>
      </c>
      <c r="H886" s="4">
        <v>0.28999999999999998</v>
      </c>
      <c r="I886" s="4" t="s">
        <v>1998</v>
      </c>
      <c r="J886" s="10">
        <v>553.68640000000005</v>
      </c>
      <c r="K886" s="4" t="str">
        <f t="shared" si="91"/>
        <v>20-04-2024</v>
      </c>
      <c r="L886" s="4" t="str">
        <f>TEXT(Sales_Fact!$B886,"mmm")</f>
        <v>Apr</v>
      </c>
      <c r="M886" s="4">
        <f t="shared" si="92"/>
        <v>1</v>
      </c>
      <c r="N886" s="10">
        <f t="shared" si="93"/>
        <v>779.84</v>
      </c>
      <c r="O886" s="10">
        <f t="shared" si="94"/>
        <v>553.68640000000005</v>
      </c>
      <c r="P886" s="10">
        <f t="shared" si="95"/>
        <v>779.84</v>
      </c>
      <c r="Q886" s="3">
        <f t="shared" si="96"/>
        <v>0.28999999999999998</v>
      </c>
      <c r="R886" s="4" t="str">
        <f>IF(Sales_Fact!$O886&gt;1000,"High","Low")</f>
        <v>Low</v>
      </c>
      <c r="S886" s="4" t="str">
        <f>VLOOKUP(C886,Customer_Dim!$A:$N,9,FALSE())</f>
        <v>Timothy Sanders</v>
      </c>
      <c r="T886" s="4" t="str">
        <f>VLOOKUP(D886,Product_Dim!$A:$M,3,FALSE())</f>
        <v>Sports</v>
      </c>
      <c r="U886" s="11" t="str">
        <f>VLOOKUP(D886,Product_Dim!$A:$M,2,FALSE())</f>
        <v>Sports Stopwatch Basic</v>
      </c>
      <c r="V886" s="11" t="str">
        <f>VLOOKUP(E886,Store_Dim!$A:$E,3,FALSE())</f>
        <v>East</v>
      </c>
      <c r="W886" s="11" t="str">
        <f>VLOOKUP(C886,Customer_Dim!$A:$N,13,FALSE())</f>
        <v>Bronze</v>
      </c>
      <c r="X886" s="11" t="str">
        <f t="shared" si="97"/>
        <v>Low</v>
      </c>
    </row>
    <row r="887" spans="1:24" ht="15.75" customHeight="1">
      <c r="A887" s="4" t="s">
        <v>2883</v>
      </c>
      <c r="B887" s="9">
        <v>45455</v>
      </c>
      <c r="C887" s="4" t="s">
        <v>46</v>
      </c>
      <c r="D887" s="4" t="s">
        <v>1894</v>
      </c>
      <c r="E887" s="4" t="s">
        <v>1927</v>
      </c>
      <c r="F887" s="4">
        <v>2</v>
      </c>
      <c r="G887" s="4">
        <v>649.89</v>
      </c>
      <c r="H887" s="4">
        <v>0.17</v>
      </c>
      <c r="I887" s="4" t="s">
        <v>2004</v>
      </c>
      <c r="J887" s="10">
        <v>1078.8173999999999</v>
      </c>
      <c r="K887" s="4" t="str">
        <f t="shared" si="91"/>
        <v>12-06-2024</v>
      </c>
      <c r="L887" s="4" t="str">
        <f>TEXT(Sales_Fact!$B887,"mmm")</f>
        <v>Jun</v>
      </c>
      <c r="M887" s="4">
        <f t="shared" si="92"/>
        <v>2</v>
      </c>
      <c r="N887" s="10">
        <f t="shared" si="93"/>
        <v>649.89</v>
      </c>
      <c r="O887" s="10">
        <f t="shared" si="94"/>
        <v>1078.8173999999999</v>
      </c>
      <c r="P887" s="10">
        <f t="shared" si="95"/>
        <v>1299.78</v>
      </c>
      <c r="Q887" s="3">
        <f t="shared" si="96"/>
        <v>0.17000000000000007</v>
      </c>
      <c r="R887" s="4" t="str">
        <f>IF(Sales_Fact!$O887&gt;1000,"High","Low")</f>
        <v>High</v>
      </c>
      <c r="S887" s="4" t="str">
        <f>VLOOKUP(C887,Customer_Dim!$A:$N,9,FALSE())</f>
        <v>Caroline Collins</v>
      </c>
      <c r="T887" s="4" t="str">
        <f>VLOOKUP(D887,Product_Dim!$A:$M,3,FALSE())</f>
        <v>Clothing</v>
      </c>
      <c r="U887" s="11" t="str">
        <f>VLOOKUP(D887,Product_Dim!$A:$M,2,FALSE())</f>
        <v>Women's Formal Blazer</v>
      </c>
      <c r="V887" s="11" t="str">
        <f>VLOOKUP(E887,Store_Dim!$A:$E,3,FALSE())</f>
        <v>South</v>
      </c>
      <c r="W887" s="11" t="str">
        <f>VLOOKUP(C887,Customer_Dim!$A:$N,13,FALSE())</f>
        <v>Silver</v>
      </c>
      <c r="X887" s="11" t="str">
        <f t="shared" si="97"/>
        <v>Low</v>
      </c>
    </row>
    <row r="888" spans="1:24" ht="15.75" customHeight="1">
      <c r="A888" s="4" t="s">
        <v>2884</v>
      </c>
      <c r="B888" s="9">
        <v>45877</v>
      </c>
      <c r="C888" s="4" t="s">
        <v>691</v>
      </c>
      <c r="D888" s="4" t="s">
        <v>1764</v>
      </c>
      <c r="E888" s="4" t="s">
        <v>1934</v>
      </c>
      <c r="F888" s="4">
        <v>1</v>
      </c>
      <c r="G888" s="4">
        <v>952.73</v>
      </c>
      <c r="H888" s="4">
        <v>0.17</v>
      </c>
      <c r="I888" s="4" t="s">
        <v>1996</v>
      </c>
      <c r="J888" s="10">
        <v>790.76589999999999</v>
      </c>
      <c r="K888" s="4" t="str">
        <f t="shared" si="91"/>
        <v>08-08-2025</v>
      </c>
      <c r="L888" s="4" t="str">
        <f>TEXT(Sales_Fact!$B888,"mmm")</f>
        <v>Aug</v>
      </c>
      <c r="M888" s="4">
        <f t="shared" si="92"/>
        <v>1</v>
      </c>
      <c r="N888" s="10">
        <f t="shared" si="93"/>
        <v>952.73</v>
      </c>
      <c r="O888" s="10">
        <f t="shared" si="94"/>
        <v>790.76589999999999</v>
      </c>
      <c r="P888" s="10">
        <f t="shared" si="95"/>
        <v>952.73</v>
      </c>
      <c r="Q888" s="3">
        <f t="shared" si="96"/>
        <v>0.17000000000000004</v>
      </c>
      <c r="R888" s="4" t="str">
        <f>IF(Sales_Fact!$O888&gt;1000,"High","Low")</f>
        <v>Low</v>
      </c>
      <c r="S888" s="4" t="str">
        <f>VLOOKUP(C888,Customer_Dim!$A:$N,9,FALSE())</f>
        <v>Tiffany Herrera</v>
      </c>
      <c r="T888" s="4" t="str">
        <f>VLOOKUP(D888,Product_Dim!$A:$M,3,FALSE())</f>
        <v>Clothing</v>
      </c>
      <c r="U888" s="11" t="str">
        <f>VLOOKUP(D888,Product_Dim!$A:$M,2,FALSE())</f>
        <v>Men's Track Pants</v>
      </c>
      <c r="V888" s="11" t="str">
        <f>VLOOKUP(E888,Store_Dim!$A:$E,3,FALSE())</f>
        <v>East</v>
      </c>
      <c r="W888" s="11" t="str">
        <f>VLOOKUP(C888,Customer_Dim!$A:$N,13,FALSE())</f>
        <v>Platinum</v>
      </c>
      <c r="X888" s="11" t="str">
        <f t="shared" si="97"/>
        <v>Low</v>
      </c>
    </row>
    <row r="889" spans="1:24" ht="15.75" customHeight="1">
      <c r="A889" s="4" t="s">
        <v>2885</v>
      </c>
      <c r="B889" s="9">
        <v>45875</v>
      </c>
      <c r="C889" s="4" t="s">
        <v>325</v>
      </c>
      <c r="D889" s="4" t="s">
        <v>1903</v>
      </c>
      <c r="E889" s="4" t="s">
        <v>1962</v>
      </c>
      <c r="F889" s="4">
        <v>4</v>
      </c>
      <c r="G889" s="4">
        <v>820.78</v>
      </c>
      <c r="H889" s="4">
        <v>0.25</v>
      </c>
      <c r="I889" s="4" t="s">
        <v>1996</v>
      </c>
      <c r="J889" s="10">
        <v>2462.34</v>
      </c>
      <c r="K889" s="4" t="str">
        <f t="shared" si="91"/>
        <v>06-08-2025</v>
      </c>
      <c r="L889" s="4" t="str">
        <f>TEXT(Sales_Fact!$B889,"mmm")</f>
        <v>Aug</v>
      </c>
      <c r="M889" s="4">
        <f t="shared" si="92"/>
        <v>4</v>
      </c>
      <c r="N889" s="10">
        <f t="shared" si="93"/>
        <v>820.78</v>
      </c>
      <c r="O889" s="10">
        <f t="shared" si="94"/>
        <v>2462.34</v>
      </c>
      <c r="P889" s="10">
        <f t="shared" si="95"/>
        <v>3283.12</v>
      </c>
      <c r="Q889" s="3">
        <f t="shared" si="96"/>
        <v>0.24999999999999994</v>
      </c>
      <c r="R889" s="4" t="str">
        <f>IF(Sales_Fact!$O889&gt;1000,"High","Low")</f>
        <v>High</v>
      </c>
      <c r="S889" s="4" t="str">
        <f>VLOOKUP(C889,Customer_Dim!$A:$N,9,FALSE())</f>
        <v>Christy Hoffman</v>
      </c>
      <c r="T889" s="4" t="str">
        <f>VLOOKUP(D889,Product_Dim!$A:$M,3,FALSE())</f>
        <v>Home</v>
      </c>
      <c r="U889" s="11" t="str">
        <f>VLOOKUP(D889,Product_Dim!$A:$M,2,FALSE())</f>
        <v>Stainless Steel Cookware Set</v>
      </c>
      <c r="V889" s="11" t="str">
        <f>VLOOKUP(E889,Store_Dim!$A:$E,3,FALSE())</f>
        <v>West</v>
      </c>
      <c r="W889" s="11" t="str">
        <f>VLOOKUP(C889,Customer_Dim!$A:$N,13,FALSE())</f>
        <v>Platinum</v>
      </c>
      <c r="X889" s="11" t="str">
        <f t="shared" si="97"/>
        <v>High</v>
      </c>
    </row>
    <row r="890" spans="1:24" ht="15.75" customHeight="1">
      <c r="A890" s="4" t="s">
        <v>2886</v>
      </c>
      <c r="B890" s="9">
        <v>45592</v>
      </c>
      <c r="C890" s="4" t="s">
        <v>1102</v>
      </c>
      <c r="D890" s="4" t="s">
        <v>1716</v>
      </c>
      <c r="E890" s="4" t="s">
        <v>1924</v>
      </c>
      <c r="F890" s="4">
        <v>4</v>
      </c>
      <c r="G890" s="4">
        <v>247.55</v>
      </c>
      <c r="H890" s="4">
        <v>0.05</v>
      </c>
      <c r="I890" s="4" t="s">
        <v>1996</v>
      </c>
      <c r="J890" s="10">
        <v>940.69</v>
      </c>
      <c r="K890" s="4" t="str">
        <f t="shared" si="91"/>
        <v>27-10-2024</v>
      </c>
      <c r="L890" s="4" t="str">
        <f>TEXT(Sales_Fact!$B890,"mmm")</f>
        <v>Oct</v>
      </c>
      <c r="M890" s="4">
        <f t="shared" si="92"/>
        <v>4</v>
      </c>
      <c r="N890" s="10">
        <f t="shared" si="93"/>
        <v>247.55</v>
      </c>
      <c r="O890" s="10">
        <f t="shared" si="94"/>
        <v>940.69</v>
      </c>
      <c r="P890" s="10">
        <f t="shared" si="95"/>
        <v>990.2</v>
      </c>
      <c r="Q890" s="3">
        <f t="shared" si="96"/>
        <v>4.9999999999999989E-2</v>
      </c>
      <c r="R890" s="4" t="str">
        <f>IF(Sales_Fact!$O890&gt;1000,"High","Low")</f>
        <v>Low</v>
      </c>
      <c r="S890" s="4" t="str">
        <f>VLOOKUP(C890,Customer_Dim!$A:$N,9,FALSE())</f>
        <v>Michelle Cunningham</v>
      </c>
      <c r="T890" s="4" t="str">
        <f>VLOOKUP(D890,Product_Dim!$A:$M,3,FALSE())</f>
        <v>Sports</v>
      </c>
      <c r="U890" s="11" t="str">
        <f>VLOOKUP(D890,Product_Dim!$A:$M,2,FALSE())</f>
        <v>Sports Water Hydration Pack</v>
      </c>
      <c r="V890" s="11" t="str">
        <f>VLOOKUP(E890,Store_Dim!$A:$E,3,FALSE())</f>
        <v>North</v>
      </c>
      <c r="W890" s="11" t="str">
        <f>VLOOKUP(C890,Customer_Dim!$A:$N,13,FALSE())</f>
        <v>Bronze</v>
      </c>
      <c r="X890" s="11" t="str">
        <f t="shared" si="97"/>
        <v>High</v>
      </c>
    </row>
    <row r="891" spans="1:24" ht="15.75" customHeight="1">
      <c r="A891" s="4" t="s">
        <v>2887</v>
      </c>
      <c r="B891" s="9">
        <v>45369</v>
      </c>
      <c r="C891" s="4" t="s">
        <v>760</v>
      </c>
      <c r="D891" s="4" t="s">
        <v>1903</v>
      </c>
      <c r="E891" s="4" t="s">
        <v>1940</v>
      </c>
      <c r="F891" s="4">
        <v>3</v>
      </c>
      <c r="G891" s="4">
        <v>561.44000000000005</v>
      </c>
      <c r="H891" s="4">
        <v>0.2</v>
      </c>
      <c r="I891" s="4" t="s">
        <v>2004</v>
      </c>
      <c r="J891" s="10">
        <v>1347.4559999999999</v>
      </c>
      <c r="K891" s="4" t="str">
        <f t="shared" si="91"/>
        <v>18-03-2024</v>
      </c>
      <c r="L891" s="4" t="str">
        <f>TEXT(Sales_Fact!$B891,"mmm")</f>
        <v>Mar</v>
      </c>
      <c r="M891" s="4">
        <f t="shared" si="92"/>
        <v>3</v>
      </c>
      <c r="N891" s="10">
        <f t="shared" si="93"/>
        <v>561.44000000000005</v>
      </c>
      <c r="O891" s="10">
        <f t="shared" si="94"/>
        <v>1347.4560000000001</v>
      </c>
      <c r="P891" s="10">
        <f t="shared" si="95"/>
        <v>1684.3200000000002</v>
      </c>
      <c r="Q891" s="3">
        <f t="shared" si="96"/>
        <v>0.2</v>
      </c>
      <c r="R891" s="4" t="str">
        <f>IF(Sales_Fact!$O891&gt;1000,"High","Low")</f>
        <v>High</v>
      </c>
      <c r="S891" s="4" t="str">
        <f>VLOOKUP(C891,Customer_Dim!$A:$N,9,FALSE())</f>
        <v>Gregory Pham</v>
      </c>
      <c r="T891" s="4" t="str">
        <f>VLOOKUP(D891,Product_Dim!$A:$M,3,FALSE())</f>
        <v>Home</v>
      </c>
      <c r="U891" s="11" t="str">
        <f>VLOOKUP(D891,Product_Dim!$A:$M,2,FALSE())</f>
        <v>Stainless Steel Cookware Set</v>
      </c>
      <c r="V891" s="11" t="str">
        <f>VLOOKUP(E891,Store_Dim!$A:$E,3,FALSE())</f>
        <v>West</v>
      </c>
      <c r="W891" s="11" t="str">
        <f>VLOOKUP(C891,Customer_Dim!$A:$N,13,FALSE())</f>
        <v>Gold</v>
      </c>
      <c r="X891" s="11" t="str">
        <f t="shared" si="97"/>
        <v>Low</v>
      </c>
    </row>
    <row r="892" spans="1:24" ht="15.75" customHeight="1">
      <c r="A892" s="4" t="s">
        <v>2888</v>
      </c>
      <c r="B892" s="9">
        <v>45517</v>
      </c>
      <c r="C892" s="4" t="s">
        <v>359</v>
      </c>
      <c r="D892" s="4" t="s">
        <v>1719</v>
      </c>
      <c r="E892" s="4" t="s">
        <v>1927</v>
      </c>
      <c r="F892" s="4">
        <v>2</v>
      </c>
      <c r="G892" s="4">
        <v>559.23</v>
      </c>
      <c r="H892" s="4">
        <v>0.25</v>
      </c>
      <c r="I892" s="4" t="s">
        <v>2004</v>
      </c>
      <c r="J892" s="10">
        <v>838.84500000000003</v>
      </c>
      <c r="K892" s="4" t="str">
        <f t="shared" si="91"/>
        <v>13-08-2024</v>
      </c>
      <c r="L892" s="4" t="str">
        <f>TEXT(Sales_Fact!$B892,"mmm")</f>
        <v>Aug</v>
      </c>
      <c r="M892" s="4">
        <f t="shared" si="92"/>
        <v>2</v>
      </c>
      <c r="N892" s="10">
        <f t="shared" si="93"/>
        <v>559.23</v>
      </c>
      <c r="O892" s="10">
        <f t="shared" si="94"/>
        <v>838.84500000000003</v>
      </c>
      <c r="P892" s="10">
        <f t="shared" si="95"/>
        <v>1118.46</v>
      </c>
      <c r="Q892" s="3">
        <f t="shared" si="96"/>
        <v>0.25</v>
      </c>
      <c r="R892" s="4" t="str">
        <f>IF(Sales_Fact!$O892&gt;1000,"High","Low")</f>
        <v>Low</v>
      </c>
      <c r="S892" s="4" t="str">
        <f>VLOOKUP(C892,Customer_Dim!$A:$N,9,FALSE())</f>
        <v>David Patterson</v>
      </c>
      <c r="T892" s="4" t="str">
        <f>VLOOKUP(D892,Product_Dim!$A:$M,3,FALSE())</f>
        <v>Electronics</v>
      </c>
      <c r="U892" s="11" t="str">
        <f>VLOOKUP(D892,Product_Dim!$A:$M,2,FALSE())</f>
        <v>Portable Power Bank</v>
      </c>
      <c r="V892" s="11" t="str">
        <f>VLOOKUP(E892,Store_Dim!$A:$E,3,FALSE())</f>
        <v>South</v>
      </c>
      <c r="W892" s="11" t="str">
        <f>VLOOKUP(C892,Customer_Dim!$A:$N,13,FALSE())</f>
        <v>Gold</v>
      </c>
      <c r="X892" s="11" t="str">
        <f t="shared" si="97"/>
        <v>Low</v>
      </c>
    </row>
    <row r="893" spans="1:24" ht="15.75" customHeight="1">
      <c r="A893" s="4" t="s">
        <v>2889</v>
      </c>
      <c r="B893" s="9">
        <v>45235</v>
      </c>
      <c r="C893" s="4" t="s">
        <v>1501</v>
      </c>
      <c r="D893" s="4" t="s">
        <v>1719</v>
      </c>
      <c r="E893" s="4" t="s">
        <v>1952</v>
      </c>
      <c r="F893" s="4">
        <v>3</v>
      </c>
      <c r="G893" s="4">
        <v>954.29</v>
      </c>
      <c r="H893" s="4">
        <v>0.27</v>
      </c>
      <c r="I893" s="4" t="s">
        <v>1996</v>
      </c>
      <c r="J893" s="10">
        <v>2089.8951000000002</v>
      </c>
      <c r="K893" s="4" t="str">
        <f t="shared" si="91"/>
        <v>05-11-2023</v>
      </c>
      <c r="L893" s="4" t="str">
        <f>TEXT(Sales_Fact!$B893,"mmm")</f>
        <v>Nov</v>
      </c>
      <c r="M893" s="4">
        <f t="shared" si="92"/>
        <v>3</v>
      </c>
      <c r="N893" s="10">
        <f t="shared" si="93"/>
        <v>954.29</v>
      </c>
      <c r="O893" s="10">
        <f t="shared" si="94"/>
        <v>2089.8950999999997</v>
      </c>
      <c r="P893" s="10">
        <f t="shared" si="95"/>
        <v>2862.87</v>
      </c>
      <c r="Q893" s="3">
        <f t="shared" si="96"/>
        <v>0.27000000000000007</v>
      </c>
      <c r="R893" s="4" t="str">
        <f>IF(Sales_Fact!$O893&gt;1000,"High","Low")</f>
        <v>High</v>
      </c>
      <c r="S893" s="4" t="str">
        <f>VLOOKUP(C893,Customer_Dim!$A:$N,9,FALSE())</f>
        <v>Earl Smith Dds</v>
      </c>
      <c r="T893" s="4" t="str">
        <f>VLOOKUP(D893,Product_Dim!$A:$M,3,FALSE())</f>
        <v>Electronics</v>
      </c>
      <c r="U893" s="11" t="str">
        <f>VLOOKUP(D893,Product_Dim!$A:$M,2,FALSE())</f>
        <v>Portable Power Bank</v>
      </c>
      <c r="V893" s="11" t="str">
        <f>VLOOKUP(E893,Store_Dim!$A:$E,3,FALSE())</f>
        <v>North</v>
      </c>
      <c r="W893" s="11" t="str">
        <f>VLOOKUP(C893,Customer_Dim!$A:$N,13,FALSE())</f>
        <v>Gold</v>
      </c>
      <c r="X893" s="11" t="str">
        <f t="shared" si="97"/>
        <v>Low</v>
      </c>
    </row>
    <row r="894" spans="1:24" ht="15.75" customHeight="1">
      <c r="A894" s="4" t="s">
        <v>2890</v>
      </c>
      <c r="B894" s="9">
        <v>45249</v>
      </c>
      <c r="C894" s="4" t="s">
        <v>921</v>
      </c>
      <c r="D894" s="4" t="s">
        <v>1822</v>
      </c>
      <c r="E894" s="4" t="s">
        <v>1940</v>
      </c>
      <c r="F894" s="4">
        <v>4</v>
      </c>
      <c r="G894" s="4">
        <v>214.37</v>
      </c>
      <c r="H894" s="4">
        <v>0.11</v>
      </c>
      <c r="I894" s="4" t="s">
        <v>2004</v>
      </c>
      <c r="J894" s="10">
        <v>763.15719999999999</v>
      </c>
      <c r="K894" s="4" t="str">
        <f t="shared" si="91"/>
        <v>19-11-2023</v>
      </c>
      <c r="L894" s="4" t="str">
        <f>TEXT(Sales_Fact!$B894,"mmm")</f>
        <v>Nov</v>
      </c>
      <c r="M894" s="4">
        <f t="shared" si="92"/>
        <v>4</v>
      </c>
      <c r="N894" s="10">
        <f t="shared" si="93"/>
        <v>214.37</v>
      </c>
      <c r="O894" s="10">
        <f t="shared" si="94"/>
        <v>763.15719999999999</v>
      </c>
      <c r="P894" s="10">
        <f t="shared" si="95"/>
        <v>857.48</v>
      </c>
      <c r="Q894" s="3">
        <f t="shared" si="96"/>
        <v>0.11000000000000003</v>
      </c>
      <c r="R894" s="4" t="str">
        <f>IF(Sales_Fact!$O894&gt;1000,"High","Low")</f>
        <v>Low</v>
      </c>
      <c r="S894" s="4" t="str">
        <f>VLOOKUP(C894,Customer_Dim!$A:$N,9,FALSE())</f>
        <v>Brittany Watson</v>
      </c>
      <c r="T894" s="4" t="str">
        <f>VLOOKUP(D894,Product_Dim!$A:$M,3,FALSE())</f>
        <v>Sports</v>
      </c>
      <c r="U894" s="11" t="str">
        <f>VLOOKUP(D894,Product_Dim!$A:$M,2,FALSE())</f>
        <v>Professional Jump Rope</v>
      </c>
      <c r="V894" s="11" t="str">
        <f>VLOOKUP(E894,Store_Dim!$A:$E,3,FALSE())</f>
        <v>West</v>
      </c>
      <c r="W894" s="11" t="str">
        <f>VLOOKUP(C894,Customer_Dim!$A:$N,13,FALSE())</f>
        <v>Platinum</v>
      </c>
      <c r="X894" s="11" t="str">
        <f t="shared" si="97"/>
        <v>High</v>
      </c>
    </row>
    <row r="895" spans="1:24" ht="15.75" customHeight="1">
      <c r="A895" s="4" t="s">
        <v>2891</v>
      </c>
      <c r="B895" s="9">
        <v>45741</v>
      </c>
      <c r="C895" s="4" t="s">
        <v>1324</v>
      </c>
      <c r="D895" s="4" t="s">
        <v>1648</v>
      </c>
      <c r="E895" s="4" t="s">
        <v>1962</v>
      </c>
      <c r="F895" s="4">
        <v>3</v>
      </c>
      <c r="G895" s="4">
        <v>123.74</v>
      </c>
      <c r="H895" s="4">
        <v>0.23</v>
      </c>
      <c r="I895" s="4" t="s">
        <v>1998</v>
      </c>
      <c r="J895" s="10">
        <v>285.83940000000001</v>
      </c>
      <c r="K895" s="4" t="str">
        <f t="shared" si="91"/>
        <v>25-03-2025</v>
      </c>
      <c r="L895" s="4" t="str">
        <f>TEXT(Sales_Fact!$B895,"mmm")</f>
        <v>Mar</v>
      </c>
      <c r="M895" s="4">
        <f t="shared" si="92"/>
        <v>3</v>
      </c>
      <c r="N895" s="10">
        <f t="shared" si="93"/>
        <v>123.74</v>
      </c>
      <c r="O895" s="10">
        <f t="shared" si="94"/>
        <v>285.83940000000001</v>
      </c>
      <c r="P895" s="10">
        <f t="shared" si="95"/>
        <v>371.21999999999997</v>
      </c>
      <c r="Q895" s="3">
        <f t="shared" si="96"/>
        <v>0.2299999999999999</v>
      </c>
      <c r="R895" s="4" t="str">
        <f>IF(Sales_Fact!$O895&gt;1000,"High","Low")</f>
        <v>Low</v>
      </c>
      <c r="S895" s="4" t="str">
        <f>VLOOKUP(C895,Customer_Dim!$A:$N,9,FALSE())</f>
        <v>Karen King</v>
      </c>
      <c r="T895" s="4" t="str">
        <f>VLOOKUP(D895,Product_Dim!$A:$M,3,FALSE())</f>
        <v>Sports</v>
      </c>
      <c r="U895" s="11" t="str">
        <f>VLOOKUP(D895,Product_Dim!$A:$M,2,FALSE())</f>
        <v>Soccer Training Cone Set</v>
      </c>
      <c r="V895" s="11" t="str">
        <f>VLOOKUP(E895,Store_Dim!$A:$E,3,FALSE())</f>
        <v>West</v>
      </c>
      <c r="W895" s="11" t="str">
        <f>VLOOKUP(C895,Customer_Dim!$A:$N,13,FALSE())</f>
        <v>Bronze</v>
      </c>
      <c r="X895" s="11" t="str">
        <f t="shared" si="97"/>
        <v>Low</v>
      </c>
    </row>
    <row r="896" spans="1:24" ht="15.75" customHeight="1">
      <c r="A896" s="4" t="s">
        <v>2892</v>
      </c>
      <c r="B896" s="9">
        <v>45427</v>
      </c>
      <c r="C896" s="4" t="s">
        <v>83</v>
      </c>
      <c r="D896" s="4" t="s">
        <v>1806</v>
      </c>
      <c r="E896" s="4" t="s">
        <v>1950</v>
      </c>
      <c r="F896" s="4">
        <v>4</v>
      </c>
      <c r="G896" s="4">
        <v>645.71</v>
      </c>
      <c r="H896" s="4">
        <v>0.1</v>
      </c>
      <c r="I896" s="4" t="s">
        <v>1998</v>
      </c>
      <c r="J896" s="10">
        <v>2324.556</v>
      </c>
      <c r="K896" s="4" t="str">
        <f t="shared" si="91"/>
        <v>15-05-2024</v>
      </c>
      <c r="L896" s="4" t="str">
        <f>TEXT(Sales_Fact!$B896,"mmm")</f>
        <v>May</v>
      </c>
      <c r="M896" s="4">
        <f t="shared" si="92"/>
        <v>4</v>
      </c>
      <c r="N896" s="10">
        <f t="shared" si="93"/>
        <v>645.71</v>
      </c>
      <c r="O896" s="10">
        <f t="shared" si="94"/>
        <v>2324.556</v>
      </c>
      <c r="P896" s="10">
        <f t="shared" si="95"/>
        <v>2582.84</v>
      </c>
      <c r="Q896" s="3">
        <f t="shared" si="96"/>
        <v>0.10000000000000003</v>
      </c>
      <c r="R896" s="4" t="str">
        <f>IF(Sales_Fact!$O896&gt;1000,"High","Low")</f>
        <v>High</v>
      </c>
      <c r="S896" s="4" t="str">
        <f>VLOOKUP(C896,Customer_Dim!$A:$N,9,FALSE())</f>
        <v>Nathan Hernandez</v>
      </c>
      <c r="T896" s="4" t="str">
        <f>VLOOKUP(D896,Product_Dim!$A:$M,3,FALSE())</f>
        <v>Electronics</v>
      </c>
      <c r="U896" s="11" t="str">
        <f>VLOOKUP(D896,Product_Dim!$A:$M,2,FALSE())</f>
        <v>Smart LED Light Strip</v>
      </c>
      <c r="V896" s="11" t="str">
        <f>VLOOKUP(E896,Store_Dim!$A:$E,3,FALSE())</f>
        <v>South</v>
      </c>
      <c r="W896" s="11" t="str">
        <f>VLOOKUP(C896,Customer_Dim!$A:$N,13,FALSE())</f>
        <v>Silver</v>
      </c>
      <c r="X896" s="11" t="str">
        <f t="shared" si="97"/>
        <v>High</v>
      </c>
    </row>
    <row r="897" spans="1:24" ht="15.75" customHeight="1">
      <c r="A897" s="4" t="s">
        <v>2893</v>
      </c>
      <c r="B897" s="9">
        <v>45736</v>
      </c>
      <c r="C897" s="4" t="s">
        <v>155</v>
      </c>
      <c r="D897" s="4" t="s">
        <v>1661</v>
      </c>
      <c r="E897" s="4" t="s">
        <v>1952</v>
      </c>
      <c r="F897" s="4">
        <v>3</v>
      </c>
      <c r="G897" s="4">
        <v>587.12</v>
      </c>
      <c r="H897" s="4">
        <v>0.3</v>
      </c>
      <c r="I897" s="4" t="s">
        <v>1996</v>
      </c>
      <c r="J897" s="10">
        <v>1232.952</v>
      </c>
      <c r="K897" s="4" t="str">
        <f t="shared" si="91"/>
        <v>20-03-2025</v>
      </c>
      <c r="L897" s="4" t="str">
        <f>TEXT(Sales_Fact!$B897,"mmm")</f>
        <v>Mar</v>
      </c>
      <c r="M897" s="4">
        <f t="shared" si="92"/>
        <v>3</v>
      </c>
      <c r="N897" s="10">
        <f t="shared" si="93"/>
        <v>587.12</v>
      </c>
      <c r="O897" s="10">
        <f t="shared" si="94"/>
        <v>1232.952</v>
      </c>
      <c r="P897" s="10">
        <f t="shared" si="95"/>
        <v>1761.3600000000001</v>
      </c>
      <c r="Q897" s="3">
        <f t="shared" si="96"/>
        <v>0.30000000000000004</v>
      </c>
      <c r="R897" s="4" t="str">
        <f>IF(Sales_Fact!$O897&gt;1000,"High","Low")</f>
        <v>High</v>
      </c>
      <c r="S897" s="4" t="str">
        <f>VLOOKUP(C897,Customer_Dim!$A:$N,9,FALSE())</f>
        <v>Robert Jones Dds</v>
      </c>
      <c r="T897" s="4" t="str">
        <f>VLOOKUP(D897,Product_Dim!$A:$M,3,FALSE())</f>
        <v>Home</v>
      </c>
      <c r="U897" s="11" t="str">
        <f>VLOOKUP(D897,Product_Dim!$A:$M,2,FALSE())</f>
        <v>Multi-Purpose Storage Box</v>
      </c>
      <c r="V897" s="11" t="str">
        <f>VLOOKUP(E897,Store_Dim!$A:$E,3,FALSE())</f>
        <v>North</v>
      </c>
      <c r="W897" s="11" t="str">
        <f>VLOOKUP(C897,Customer_Dim!$A:$N,13,FALSE())</f>
        <v>Platinum</v>
      </c>
      <c r="X897" s="11" t="str">
        <f t="shared" si="97"/>
        <v>Low</v>
      </c>
    </row>
    <row r="898" spans="1:24" ht="15.75" customHeight="1">
      <c r="A898" s="4" t="s">
        <v>2894</v>
      </c>
      <c r="B898" s="9">
        <v>45941</v>
      </c>
      <c r="C898" s="4" t="s">
        <v>801</v>
      </c>
      <c r="D898" s="4" t="s">
        <v>1675</v>
      </c>
      <c r="E898" s="4" t="s">
        <v>1968</v>
      </c>
      <c r="F898" s="4">
        <v>1</v>
      </c>
      <c r="G898" s="4">
        <v>401.18</v>
      </c>
      <c r="H898" s="4">
        <v>0.15</v>
      </c>
      <c r="I898" s="4" t="s">
        <v>2004</v>
      </c>
      <c r="J898" s="10">
        <v>341.00299999999999</v>
      </c>
      <c r="K898" s="4" t="str">
        <f t="shared" ref="K898:K961" si="98">TEXT(B898,"dd-mm-yyyy")</f>
        <v>11-10-2025</v>
      </c>
      <c r="L898" s="4" t="str">
        <f>TEXT(Sales_Fact!$B898,"mmm")</f>
        <v>Oct</v>
      </c>
      <c r="M898" s="4">
        <f t="shared" ref="M898:M961" si="99">IF(ISBLANK(F898),1,F898)</f>
        <v>1</v>
      </c>
      <c r="N898" s="10">
        <f t="shared" ref="N898:N961" si="100">ROUNDUP(IF(ISBLANK(G898),AVERAGE(C:C,G898,G:G),G898),2)</f>
        <v>401.18</v>
      </c>
      <c r="O898" s="10">
        <f t="shared" ref="O898:O961" si="101">M898*N898*(1-H898)</f>
        <v>341.00299999999999</v>
      </c>
      <c r="P898" s="10">
        <f t="shared" ref="P898:P961" si="102">M898*N898</f>
        <v>401.18</v>
      </c>
      <c r="Q898" s="3">
        <f t="shared" ref="Q898:Q961" si="103">(P898-O898)/P898</f>
        <v>0.15000000000000005</v>
      </c>
      <c r="R898" s="4" t="str">
        <f>IF(Sales_Fact!$O898&gt;1000,"High","Low")</f>
        <v>Low</v>
      </c>
      <c r="S898" s="4" t="str">
        <f>VLOOKUP(C898,Customer_Dim!$A:$N,9,FALSE())</f>
        <v>Mr. William Horton</v>
      </c>
      <c r="T898" s="4" t="str">
        <f>VLOOKUP(D898,Product_Dim!$A:$M,3,FALSE())</f>
        <v>Clothing</v>
      </c>
      <c r="U898" s="11" t="str">
        <f>VLOOKUP(D898,Product_Dim!$A:$M,2,FALSE())</f>
        <v>Women's Scarf Set</v>
      </c>
      <c r="V898" s="11" t="str">
        <f>VLOOKUP(E898,Store_Dim!$A:$E,3,FALSE())</f>
        <v>East</v>
      </c>
      <c r="W898" s="11" t="str">
        <f>VLOOKUP(C898,Customer_Dim!$A:$N,13,FALSE())</f>
        <v>Platinum</v>
      </c>
      <c r="X898" s="11" t="str">
        <f t="shared" ref="X898:X961" si="104">IF(F898&gt;3,"High","Low")</f>
        <v>Low</v>
      </c>
    </row>
    <row r="899" spans="1:24" ht="15.75" customHeight="1">
      <c r="A899" s="4" t="s">
        <v>2895</v>
      </c>
      <c r="B899" s="9">
        <v>45486</v>
      </c>
      <c r="C899" s="4" t="s">
        <v>1174</v>
      </c>
      <c r="D899" s="4" t="s">
        <v>1779</v>
      </c>
      <c r="E899" s="4" t="s">
        <v>1968</v>
      </c>
      <c r="F899" s="4">
        <v>3</v>
      </c>
      <c r="G899" s="4">
        <v>658.33</v>
      </c>
      <c r="H899" s="4">
        <v>0.12</v>
      </c>
      <c r="I899" s="4" t="s">
        <v>2004</v>
      </c>
      <c r="J899" s="10">
        <v>1737.9911999999999</v>
      </c>
      <c r="K899" s="4" t="str">
        <f t="shared" si="98"/>
        <v>13-07-2024</v>
      </c>
      <c r="L899" s="4" t="str">
        <f>TEXT(Sales_Fact!$B899,"mmm")</f>
        <v>Jul</v>
      </c>
      <c r="M899" s="4">
        <f t="shared" si="99"/>
        <v>3</v>
      </c>
      <c r="N899" s="10">
        <f t="shared" si="100"/>
        <v>658.33</v>
      </c>
      <c r="O899" s="10">
        <f t="shared" si="101"/>
        <v>1737.9912000000002</v>
      </c>
      <c r="P899" s="10">
        <f t="shared" si="102"/>
        <v>1974.9900000000002</v>
      </c>
      <c r="Q899" s="3">
        <f t="shared" si="103"/>
        <v>0.12000000000000002</v>
      </c>
      <c r="R899" s="4" t="str">
        <f>IF(Sales_Fact!$O899&gt;1000,"High","Low")</f>
        <v>High</v>
      </c>
      <c r="S899" s="4" t="str">
        <f>VLOOKUP(C899,Customer_Dim!$A:$N,9,FALSE())</f>
        <v>Mallory Allen</v>
      </c>
      <c r="T899" s="4" t="str">
        <f>VLOOKUP(D899,Product_Dim!$A:$M,3,FALSE())</f>
        <v>Clothing</v>
      </c>
      <c r="U899" s="11" t="str">
        <f>VLOOKUP(D899,Product_Dim!$A:$M,2,FALSE())</f>
        <v>Womens Cotton Scarf</v>
      </c>
      <c r="V899" s="11" t="str">
        <f>VLOOKUP(E899,Store_Dim!$A:$E,3,FALSE())</f>
        <v>East</v>
      </c>
      <c r="W899" s="11" t="str">
        <f>VLOOKUP(C899,Customer_Dim!$A:$N,13,FALSE())</f>
        <v>Platinum</v>
      </c>
      <c r="X899" s="11" t="str">
        <f t="shared" si="104"/>
        <v>Low</v>
      </c>
    </row>
    <row r="900" spans="1:24" ht="15.75" customHeight="1">
      <c r="A900" s="4" t="s">
        <v>2896</v>
      </c>
      <c r="B900" s="9">
        <v>45474</v>
      </c>
      <c r="C900" s="4" t="s">
        <v>682</v>
      </c>
      <c r="D900" s="4" t="s">
        <v>1751</v>
      </c>
      <c r="E900" s="4" t="s">
        <v>1950</v>
      </c>
      <c r="F900" s="4">
        <v>4</v>
      </c>
      <c r="G900" s="4">
        <v>450.3</v>
      </c>
      <c r="H900" s="4">
        <v>0.02</v>
      </c>
      <c r="I900" s="4" t="s">
        <v>1996</v>
      </c>
      <c r="J900" s="10">
        <v>1765.1759999999999</v>
      </c>
      <c r="K900" s="4" t="str">
        <f t="shared" si="98"/>
        <v>01-07-2024</v>
      </c>
      <c r="L900" s="4" t="str">
        <f>TEXT(Sales_Fact!$B900,"mmm")</f>
        <v>Jul</v>
      </c>
      <c r="M900" s="4">
        <f t="shared" si="99"/>
        <v>4</v>
      </c>
      <c r="N900" s="10">
        <f t="shared" si="100"/>
        <v>450.3</v>
      </c>
      <c r="O900" s="10">
        <f t="shared" si="101"/>
        <v>1765.1759999999999</v>
      </c>
      <c r="P900" s="10">
        <f t="shared" si="102"/>
        <v>1801.2</v>
      </c>
      <c r="Q900" s="3">
        <f t="shared" si="103"/>
        <v>2.0000000000000063E-2</v>
      </c>
      <c r="R900" s="4" t="str">
        <f>IF(Sales_Fact!$O900&gt;1000,"High","Low")</f>
        <v>High</v>
      </c>
      <c r="S900" s="4" t="str">
        <f>VLOOKUP(C900,Customer_Dim!$A:$N,9,FALSE())</f>
        <v>Mary Boyd</v>
      </c>
      <c r="T900" s="4" t="str">
        <f>VLOOKUP(D900,Product_Dim!$A:$M,3,FALSE())</f>
        <v>Beauty</v>
      </c>
      <c r="U900" s="11" t="str">
        <f>VLOOKUP(D900,Product_Dim!$A:$M,2,FALSE())</f>
        <v>Men's Roll-On Perfume</v>
      </c>
      <c r="V900" s="11" t="str">
        <f>VLOOKUP(E900,Store_Dim!$A:$E,3,FALSE())</f>
        <v>South</v>
      </c>
      <c r="W900" s="11" t="str">
        <f>VLOOKUP(C900,Customer_Dim!$A:$N,13,FALSE())</f>
        <v>Bronze</v>
      </c>
      <c r="X900" s="11" t="str">
        <f t="shared" si="104"/>
        <v>High</v>
      </c>
    </row>
    <row r="901" spans="1:24" ht="15.75" customHeight="1">
      <c r="A901" s="4" t="s">
        <v>2897</v>
      </c>
      <c r="B901" s="9">
        <v>45757</v>
      </c>
      <c r="C901" s="4" t="s">
        <v>514</v>
      </c>
      <c r="D901" s="4" t="s">
        <v>1888</v>
      </c>
      <c r="E901" s="4" t="s">
        <v>1947</v>
      </c>
      <c r="F901" s="4">
        <v>4</v>
      </c>
      <c r="G901" s="4">
        <v>33.630000000000003</v>
      </c>
      <c r="H901" s="4">
        <v>0.05</v>
      </c>
      <c r="I901" s="4" t="s">
        <v>1996</v>
      </c>
      <c r="J901" s="10">
        <v>127.794</v>
      </c>
      <c r="K901" s="4" t="str">
        <f t="shared" si="98"/>
        <v>10-04-2025</v>
      </c>
      <c r="L901" s="4" t="str">
        <f>TEXT(Sales_Fact!$B901,"mmm")</f>
        <v>Apr</v>
      </c>
      <c r="M901" s="4">
        <f t="shared" si="99"/>
        <v>4</v>
      </c>
      <c r="N901" s="10">
        <f t="shared" si="100"/>
        <v>33.630000000000003</v>
      </c>
      <c r="O901" s="10">
        <f t="shared" si="101"/>
        <v>127.794</v>
      </c>
      <c r="P901" s="10">
        <f t="shared" si="102"/>
        <v>134.52000000000001</v>
      </c>
      <c r="Q901" s="3">
        <f t="shared" si="103"/>
        <v>5.0000000000000093E-2</v>
      </c>
      <c r="R901" s="4" t="str">
        <f>IF(Sales_Fact!$O901&gt;1000,"High","Low")</f>
        <v>Low</v>
      </c>
      <c r="S901" s="4" t="str">
        <f>VLOOKUP(C901,Customer_Dim!$A:$N,9,FALSE())</f>
        <v>Cameron Simpson</v>
      </c>
      <c r="T901" s="4" t="str">
        <f>VLOOKUP(D901,Product_Dim!$A:$M,3,FALSE())</f>
        <v>Beauty</v>
      </c>
      <c r="U901" s="11" t="str">
        <f>VLOOKUP(D901,Product_Dim!$A:$M,2,FALSE())</f>
        <v>Vitamin E Body Lotion</v>
      </c>
      <c r="V901" s="11" t="str">
        <f>VLOOKUP(E901,Store_Dim!$A:$E,3,FALSE())</f>
        <v>East</v>
      </c>
      <c r="W901" s="11" t="str">
        <f>VLOOKUP(C901,Customer_Dim!$A:$N,13,FALSE())</f>
        <v>Platinum</v>
      </c>
      <c r="X901" s="11" t="str">
        <f t="shared" si="104"/>
        <v>High</v>
      </c>
    </row>
    <row r="902" spans="1:24" ht="15.75" customHeight="1">
      <c r="A902" s="4" t="s">
        <v>2898</v>
      </c>
      <c r="B902" s="9">
        <v>45475</v>
      </c>
      <c r="C902" s="4" t="s">
        <v>162</v>
      </c>
      <c r="D902" s="4" t="s">
        <v>1644</v>
      </c>
      <c r="E902" s="4" t="s">
        <v>1910</v>
      </c>
      <c r="F902" s="4">
        <v>3</v>
      </c>
      <c r="G902" s="4">
        <v>168.89</v>
      </c>
      <c r="H902" s="4">
        <v>0.03</v>
      </c>
      <c r="I902" s="4" t="s">
        <v>2004</v>
      </c>
      <c r="J902" s="10">
        <v>491.4699</v>
      </c>
      <c r="K902" s="4" t="str">
        <f t="shared" si="98"/>
        <v>02-07-2024</v>
      </c>
      <c r="L902" s="4" t="str">
        <f>TEXT(Sales_Fact!$B902,"mmm")</f>
        <v>Jul</v>
      </c>
      <c r="M902" s="4">
        <f t="shared" si="99"/>
        <v>3</v>
      </c>
      <c r="N902" s="10">
        <f t="shared" si="100"/>
        <v>168.89</v>
      </c>
      <c r="O902" s="10">
        <f t="shared" si="101"/>
        <v>491.46989999999994</v>
      </c>
      <c r="P902" s="10">
        <f t="shared" si="102"/>
        <v>506.66999999999996</v>
      </c>
      <c r="Q902" s="3">
        <f t="shared" si="103"/>
        <v>3.0000000000000044E-2</v>
      </c>
      <c r="R902" s="4" t="str">
        <f>IF(Sales_Fact!$O902&gt;1000,"High","Low")</f>
        <v>Low</v>
      </c>
      <c r="S902" s="4" t="str">
        <f>VLOOKUP(C902,Customer_Dim!$A:$N,9,FALSE())</f>
        <v>Rachel Myers</v>
      </c>
      <c r="T902" s="4" t="str">
        <f>VLOOKUP(D902,Product_Dim!$A:$M,3,FALSE())</f>
        <v>Beauty</v>
      </c>
      <c r="U902" s="11" t="str">
        <f>VLOOKUP(D902,Product_Dim!$A:$M,2,FALSE())</f>
        <v>Beard Grooming Kit</v>
      </c>
      <c r="V902" s="11" t="str">
        <f>VLOOKUP(E902,Store_Dim!$A:$E,3,FALSE())</f>
        <v>East</v>
      </c>
      <c r="W902" s="11" t="str">
        <f>VLOOKUP(C902,Customer_Dim!$A:$N,13,FALSE())</f>
        <v>Silver</v>
      </c>
      <c r="X902" s="11" t="str">
        <f t="shared" si="104"/>
        <v>Low</v>
      </c>
    </row>
    <row r="903" spans="1:24" ht="15.75" customHeight="1">
      <c r="A903" s="4" t="s">
        <v>2899</v>
      </c>
      <c r="B903" s="9">
        <v>45546</v>
      </c>
      <c r="C903" s="4" t="s">
        <v>362</v>
      </c>
      <c r="D903" s="4" t="s">
        <v>1785</v>
      </c>
      <c r="E903" s="4" t="s">
        <v>1950</v>
      </c>
      <c r="F903" s="4">
        <v>1</v>
      </c>
      <c r="G903" s="4">
        <v>141.85</v>
      </c>
      <c r="H903" s="4">
        <v>0.06</v>
      </c>
      <c r="I903" s="4" t="s">
        <v>1998</v>
      </c>
      <c r="J903" s="10">
        <v>133.339</v>
      </c>
      <c r="K903" s="4" t="str">
        <f t="shared" si="98"/>
        <v>11-09-2024</v>
      </c>
      <c r="L903" s="4" t="str">
        <f>TEXT(Sales_Fact!$B903,"mmm")</f>
        <v>Sep</v>
      </c>
      <c r="M903" s="4">
        <f t="shared" si="99"/>
        <v>1</v>
      </c>
      <c r="N903" s="10">
        <f t="shared" si="100"/>
        <v>141.85</v>
      </c>
      <c r="O903" s="10">
        <f t="shared" si="101"/>
        <v>133.339</v>
      </c>
      <c r="P903" s="10">
        <f t="shared" si="102"/>
        <v>141.85</v>
      </c>
      <c r="Q903" s="3">
        <f t="shared" si="103"/>
        <v>5.999999999999997E-2</v>
      </c>
      <c r="R903" s="4" t="str">
        <f>IF(Sales_Fact!$O903&gt;1000,"High","Low")</f>
        <v>Low</v>
      </c>
      <c r="S903" s="4" t="str">
        <f>VLOOKUP(C903,Customer_Dim!$A:$N,9,FALSE())</f>
        <v>Amy Fowler</v>
      </c>
      <c r="T903" s="4" t="str">
        <f>VLOOKUP(D903,Product_Dim!$A:$M,3,FALSE())</f>
        <v>Beauty</v>
      </c>
      <c r="U903" s="11" t="str">
        <f>VLOOKUP(D903,Product_Dim!$A:$M,2,FALSE())</f>
        <v>Luxury Perfume Spray</v>
      </c>
      <c r="V903" s="11" t="str">
        <f>VLOOKUP(E903,Store_Dim!$A:$E,3,FALSE())</f>
        <v>South</v>
      </c>
      <c r="W903" s="11" t="str">
        <f>VLOOKUP(C903,Customer_Dim!$A:$N,13,FALSE())</f>
        <v>Platinum</v>
      </c>
      <c r="X903" s="11" t="str">
        <f t="shared" si="104"/>
        <v>Low</v>
      </c>
    </row>
    <row r="904" spans="1:24" ht="15.75" customHeight="1">
      <c r="A904" s="4" t="s">
        <v>2900</v>
      </c>
      <c r="B904" s="9">
        <v>45710</v>
      </c>
      <c r="C904" s="4" t="s">
        <v>1454</v>
      </c>
      <c r="D904" s="4" t="s">
        <v>1700</v>
      </c>
      <c r="E904" s="4" t="s">
        <v>1955</v>
      </c>
      <c r="F904" s="4">
        <v>3</v>
      </c>
      <c r="G904" s="4">
        <v>53.92</v>
      </c>
      <c r="H904" s="4">
        <v>0.15</v>
      </c>
      <c r="I904" s="4" t="s">
        <v>1998</v>
      </c>
      <c r="J904" s="10">
        <v>137.49600000000001</v>
      </c>
      <c r="K904" s="4" t="str">
        <f t="shared" si="98"/>
        <v>22-02-2025</v>
      </c>
      <c r="L904" s="4" t="str">
        <f>TEXT(Sales_Fact!$B904,"mmm")</f>
        <v>Feb</v>
      </c>
      <c r="M904" s="4">
        <f t="shared" si="99"/>
        <v>3</v>
      </c>
      <c r="N904" s="10">
        <f t="shared" si="100"/>
        <v>53.92</v>
      </c>
      <c r="O904" s="10">
        <f t="shared" si="101"/>
        <v>137.49599999999998</v>
      </c>
      <c r="P904" s="10">
        <f t="shared" si="102"/>
        <v>161.76</v>
      </c>
      <c r="Q904" s="3">
        <f t="shared" si="103"/>
        <v>0.15000000000000008</v>
      </c>
      <c r="R904" s="4" t="str">
        <f>IF(Sales_Fact!$O904&gt;1000,"High","Low")</f>
        <v>Low</v>
      </c>
      <c r="S904" s="4" t="str">
        <f>VLOOKUP(C904,Customer_Dim!$A:$N,9,FALSE())</f>
        <v>Beth Martin</v>
      </c>
      <c r="T904" s="4" t="str">
        <f>VLOOKUP(D904,Product_Dim!$A:$M,3,FALSE())</f>
        <v>Home</v>
      </c>
      <c r="U904" s="11" t="str">
        <f>VLOOKUP(D904,Product_Dim!$A:$M,2,FALSE())</f>
        <v>Modern Wall Clock</v>
      </c>
      <c r="V904" s="11" t="str">
        <f>VLOOKUP(E904,Store_Dim!$A:$E,3,FALSE())</f>
        <v>East</v>
      </c>
      <c r="W904" s="11" t="str">
        <f>VLOOKUP(C904,Customer_Dim!$A:$N,13,FALSE())</f>
        <v>Silver</v>
      </c>
      <c r="X904" s="11" t="str">
        <f t="shared" si="104"/>
        <v>Low</v>
      </c>
    </row>
    <row r="905" spans="1:24" ht="15.75" customHeight="1">
      <c r="A905" s="4" t="s">
        <v>2901</v>
      </c>
      <c r="B905" s="9">
        <v>45520</v>
      </c>
      <c r="C905" s="4" t="s">
        <v>994</v>
      </c>
      <c r="D905" s="4" t="s">
        <v>1706</v>
      </c>
      <c r="E905" s="4" t="s">
        <v>1937</v>
      </c>
      <c r="F905" s="4">
        <v>1</v>
      </c>
      <c r="G905" s="4">
        <v>617.4</v>
      </c>
      <c r="H905" s="4">
        <v>0.21</v>
      </c>
      <c r="I905" s="4" t="s">
        <v>1996</v>
      </c>
      <c r="J905" s="10">
        <v>487.74599999999998</v>
      </c>
      <c r="K905" s="4" t="str">
        <f t="shared" si="98"/>
        <v>16-08-2024</v>
      </c>
      <c r="L905" s="4" t="str">
        <f>TEXT(Sales_Fact!$B905,"mmm")</f>
        <v>Aug</v>
      </c>
      <c r="M905" s="4">
        <f t="shared" si="99"/>
        <v>1</v>
      </c>
      <c r="N905" s="10">
        <f t="shared" si="100"/>
        <v>617.4</v>
      </c>
      <c r="O905" s="10">
        <f t="shared" si="101"/>
        <v>487.74599999999998</v>
      </c>
      <c r="P905" s="10">
        <f t="shared" si="102"/>
        <v>617.4</v>
      </c>
      <c r="Q905" s="3">
        <f t="shared" si="103"/>
        <v>0.21</v>
      </c>
      <c r="R905" s="4" t="str">
        <f>IF(Sales_Fact!$O905&gt;1000,"High","Low")</f>
        <v>Low</v>
      </c>
      <c r="S905" s="4" t="str">
        <f>VLOOKUP(C905,Customer_Dim!$A:$N,9,FALSE())</f>
        <v>Angela Robinson</v>
      </c>
      <c r="T905" s="4" t="str">
        <f>VLOOKUP(D905,Product_Dim!$A:$M,3,FALSE())</f>
        <v>Home</v>
      </c>
      <c r="U905" s="11" t="str">
        <f>VLOOKUP(D905,Product_Dim!$A:$M,2,FALSE())</f>
        <v>Bedroom Table Lamp</v>
      </c>
      <c r="V905" s="11" t="str">
        <f>VLOOKUP(E905,Store_Dim!$A:$E,3,FALSE())</f>
        <v>South</v>
      </c>
      <c r="W905" s="11" t="str">
        <f>VLOOKUP(C905,Customer_Dim!$A:$N,13,FALSE())</f>
        <v>Platinum</v>
      </c>
      <c r="X905" s="11" t="str">
        <f t="shared" si="104"/>
        <v>Low</v>
      </c>
    </row>
    <row r="906" spans="1:24" ht="15.75" customHeight="1">
      <c r="A906" s="4" t="s">
        <v>2902</v>
      </c>
      <c r="B906" s="9">
        <v>45534</v>
      </c>
      <c r="C906" s="4" t="s">
        <v>520</v>
      </c>
      <c r="D906" s="4" t="s">
        <v>1764</v>
      </c>
      <c r="E906" s="4" t="s">
        <v>1915</v>
      </c>
      <c r="F906" s="4">
        <v>3</v>
      </c>
      <c r="G906" s="4">
        <v>841.47</v>
      </c>
      <c r="H906" s="4">
        <v>0.15</v>
      </c>
      <c r="I906" s="4" t="s">
        <v>2004</v>
      </c>
      <c r="J906" s="10">
        <v>2145.7485000000001</v>
      </c>
      <c r="K906" s="4" t="str">
        <f t="shared" si="98"/>
        <v>30-08-2024</v>
      </c>
      <c r="L906" s="4" t="str">
        <f>TEXT(Sales_Fact!$B906,"mmm")</f>
        <v>Aug</v>
      </c>
      <c r="M906" s="4">
        <f t="shared" si="99"/>
        <v>3</v>
      </c>
      <c r="N906" s="10">
        <f t="shared" si="100"/>
        <v>841.47</v>
      </c>
      <c r="O906" s="10">
        <f t="shared" si="101"/>
        <v>2145.7484999999997</v>
      </c>
      <c r="P906" s="10">
        <f t="shared" si="102"/>
        <v>2524.41</v>
      </c>
      <c r="Q906" s="3">
        <f t="shared" si="103"/>
        <v>0.15000000000000008</v>
      </c>
      <c r="R906" s="4" t="str">
        <f>IF(Sales_Fact!$O906&gt;1000,"High","Low")</f>
        <v>High</v>
      </c>
      <c r="S906" s="4" t="str">
        <f>VLOOKUP(C906,Customer_Dim!$A:$N,9,FALSE())</f>
        <v>Rhonda Young</v>
      </c>
      <c r="T906" s="4" t="str">
        <f>VLOOKUP(D906,Product_Dim!$A:$M,3,FALSE())</f>
        <v>Clothing</v>
      </c>
      <c r="U906" s="11" t="str">
        <f>VLOOKUP(D906,Product_Dim!$A:$M,2,FALSE())</f>
        <v>Men's Track Pants</v>
      </c>
      <c r="V906" s="11" t="str">
        <f>VLOOKUP(E906,Store_Dim!$A:$E,3,FALSE())</f>
        <v>North</v>
      </c>
      <c r="W906" s="11" t="str">
        <f>VLOOKUP(C906,Customer_Dim!$A:$N,13,FALSE())</f>
        <v>Platinum</v>
      </c>
      <c r="X906" s="11" t="str">
        <f t="shared" si="104"/>
        <v>Low</v>
      </c>
    </row>
    <row r="907" spans="1:24" ht="15.75" customHeight="1">
      <c r="A907" s="4" t="s">
        <v>2903</v>
      </c>
      <c r="B907" s="9">
        <v>45334</v>
      </c>
      <c r="C907" s="4" t="s">
        <v>242</v>
      </c>
      <c r="D907" s="4" t="s">
        <v>1661</v>
      </c>
      <c r="E907" s="4" t="s">
        <v>1955</v>
      </c>
      <c r="F907" s="4">
        <v>2</v>
      </c>
      <c r="G907" s="4">
        <v>960.41</v>
      </c>
      <c r="H907" s="4">
        <v>0.18</v>
      </c>
      <c r="I907" s="4" t="s">
        <v>1996</v>
      </c>
      <c r="J907" s="10">
        <v>1575.0724</v>
      </c>
      <c r="K907" s="4" t="str">
        <f t="shared" si="98"/>
        <v>12-02-2024</v>
      </c>
      <c r="L907" s="4" t="str">
        <f>TEXT(Sales_Fact!$B907,"mmm")</f>
        <v>Feb</v>
      </c>
      <c r="M907" s="4">
        <f t="shared" si="99"/>
        <v>2</v>
      </c>
      <c r="N907" s="10">
        <f t="shared" si="100"/>
        <v>960.41</v>
      </c>
      <c r="O907" s="10">
        <f t="shared" si="101"/>
        <v>1575.0724</v>
      </c>
      <c r="P907" s="10">
        <f t="shared" si="102"/>
        <v>1920.82</v>
      </c>
      <c r="Q907" s="3">
        <f t="shared" si="103"/>
        <v>0.17999999999999997</v>
      </c>
      <c r="R907" s="4" t="str">
        <f>IF(Sales_Fact!$O907&gt;1000,"High","Low")</f>
        <v>High</v>
      </c>
      <c r="S907" s="4" t="str">
        <f>VLOOKUP(C907,Customer_Dim!$A:$N,9,FALSE())</f>
        <v>Alyssa Vargas</v>
      </c>
      <c r="T907" s="4" t="str">
        <f>VLOOKUP(D907,Product_Dim!$A:$M,3,FALSE())</f>
        <v>Home</v>
      </c>
      <c r="U907" s="11" t="str">
        <f>VLOOKUP(D907,Product_Dim!$A:$M,2,FALSE())</f>
        <v>Multi-Purpose Storage Box</v>
      </c>
      <c r="V907" s="11" t="str">
        <f>VLOOKUP(E907,Store_Dim!$A:$E,3,FALSE())</f>
        <v>East</v>
      </c>
      <c r="W907" s="11" t="str">
        <f>VLOOKUP(C907,Customer_Dim!$A:$N,13,FALSE())</f>
        <v>Platinum</v>
      </c>
      <c r="X907" s="11" t="str">
        <f t="shared" si="104"/>
        <v>Low</v>
      </c>
    </row>
    <row r="908" spans="1:24" ht="15.75" customHeight="1">
      <c r="A908" s="4" t="s">
        <v>2904</v>
      </c>
      <c r="B908" s="9">
        <v>45289</v>
      </c>
      <c r="C908" s="4" t="s">
        <v>1424</v>
      </c>
      <c r="D908" s="4" t="s">
        <v>1831</v>
      </c>
      <c r="E908" s="4" t="s">
        <v>1968</v>
      </c>
      <c r="F908" s="4">
        <v>3</v>
      </c>
      <c r="G908" s="4">
        <v>717.22</v>
      </c>
      <c r="H908" s="4">
        <v>0.24</v>
      </c>
      <c r="I908" s="4" t="s">
        <v>1998</v>
      </c>
      <c r="J908" s="10">
        <v>1635.2616</v>
      </c>
      <c r="K908" s="4" t="str">
        <f t="shared" si="98"/>
        <v>29-12-2023</v>
      </c>
      <c r="L908" s="4" t="str">
        <f>TEXT(Sales_Fact!$B908,"mmm")</f>
        <v>Dec</v>
      </c>
      <c r="M908" s="4">
        <f t="shared" si="99"/>
        <v>3</v>
      </c>
      <c r="N908" s="10">
        <f t="shared" si="100"/>
        <v>717.22</v>
      </c>
      <c r="O908" s="10">
        <f t="shared" si="101"/>
        <v>1635.2615999999998</v>
      </c>
      <c r="P908" s="10">
        <f t="shared" si="102"/>
        <v>2151.66</v>
      </c>
      <c r="Q908" s="3">
        <f t="shared" si="103"/>
        <v>0.24000000000000005</v>
      </c>
      <c r="R908" s="4" t="str">
        <f>IF(Sales_Fact!$O908&gt;1000,"High","Low")</f>
        <v>High</v>
      </c>
      <c r="S908" s="4" t="str">
        <f>VLOOKUP(C908,Customer_Dim!$A:$N,9,FALSE())</f>
        <v>Ashley Roberts</v>
      </c>
      <c r="T908" s="4" t="str">
        <f>VLOOKUP(D908,Product_Dim!$A:$M,3,FALSE())</f>
        <v>Clothing</v>
      </c>
      <c r="U908" s="11" t="str">
        <f>VLOOKUP(D908,Product_Dim!$A:$M,2,FALSE())</f>
        <v>Women's Ankle Boots</v>
      </c>
      <c r="V908" s="11" t="str">
        <f>VLOOKUP(E908,Store_Dim!$A:$E,3,FALSE())</f>
        <v>East</v>
      </c>
      <c r="W908" s="11" t="str">
        <f>VLOOKUP(C908,Customer_Dim!$A:$N,13,FALSE())</f>
        <v>Gold</v>
      </c>
      <c r="X908" s="11" t="str">
        <f t="shared" si="104"/>
        <v>Low</v>
      </c>
    </row>
    <row r="909" spans="1:24" ht="15.75" customHeight="1">
      <c r="A909" s="4" t="s">
        <v>2905</v>
      </c>
      <c r="B909" s="9">
        <v>45832</v>
      </c>
      <c r="C909" s="4" t="s">
        <v>423</v>
      </c>
      <c r="D909" s="4" t="s">
        <v>1629</v>
      </c>
      <c r="E909" s="4" t="s">
        <v>1910</v>
      </c>
      <c r="F909" s="4">
        <v>1</v>
      </c>
      <c r="G909" s="4">
        <v>281.83</v>
      </c>
      <c r="H909" s="4">
        <v>0.16</v>
      </c>
      <c r="I909" s="4" t="s">
        <v>2004</v>
      </c>
      <c r="J909" s="10">
        <v>236.7372</v>
      </c>
      <c r="K909" s="4" t="str">
        <f t="shared" si="98"/>
        <v>24-06-2025</v>
      </c>
      <c r="L909" s="4" t="str">
        <f>TEXT(Sales_Fact!$B909,"mmm")</f>
        <v>Jun</v>
      </c>
      <c r="M909" s="4">
        <f t="shared" si="99"/>
        <v>1</v>
      </c>
      <c r="N909" s="10">
        <f t="shared" si="100"/>
        <v>281.83</v>
      </c>
      <c r="O909" s="10">
        <f t="shared" si="101"/>
        <v>236.73719999999997</v>
      </c>
      <c r="P909" s="10">
        <f t="shared" si="102"/>
        <v>281.83</v>
      </c>
      <c r="Q909" s="3">
        <f t="shared" si="103"/>
        <v>0.16000000000000006</v>
      </c>
      <c r="R909" s="4" t="str">
        <f>IF(Sales_Fact!$O909&gt;1000,"High","Low")</f>
        <v>Low</v>
      </c>
      <c r="S909" s="4" t="str">
        <f>VLOOKUP(C909,Customer_Dim!$A:$N,9,FALSE())</f>
        <v>Tyler Conrad</v>
      </c>
      <c r="T909" s="4" t="str">
        <f>VLOOKUP(D909,Product_Dim!$A:$M,3,FALSE())</f>
        <v>Beauty</v>
      </c>
      <c r="U909" s="11" t="str">
        <f>VLOOKUP(D909,Product_Dim!$A:$M,2,FALSE())</f>
        <v>Hair Strengthening Shampoo</v>
      </c>
      <c r="V909" s="11" t="str">
        <f>VLOOKUP(E909,Store_Dim!$A:$E,3,FALSE())</f>
        <v>East</v>
      </c>
      <c r="W909" s="11" t="str">
        <f>VLOOKUP(C909,Customer_Dim!$A:$N,13,FALSE())</f>
        <v>Platinum</v>
      </c>
      <c r="X909" s="11" t="str">
        <f t="shared" si="104"/>
        <v>Low</v>
      </c>
    </row>
    <row r="910" spans="1:24" ht="15.75" customHeight="1">
      <c r="A910" s="4" t="s">
        <v>2906</v>
      </c>
      <c r="B910" s="9">
        <v>45400</v>
      </c>
      <c r="C910" s="4" t="s">
        <v>691</v>
      </c>
      <c r="D910" s="4" t="s">
        <v>1782</v>
      </c>
      <c r="E910" s="4" t="s">
        <v>1957</v>
      </c>
      <c r="F910" s="4">
        <v>1</v>
      </c>
      <c r="G910" s="4">
        <v>509.08</v>
      </c>
      <c r="H910" s="4">
        <v>0.04</v>
      </c>
      <c r="I910" s="4" t="s">
        <v>1998</v>
      </c>
      <c r="J910" s="10">
        <v>488.71679999999998</v>
      </c>
      <c r="K910" s="4" t="str">
        <f t="shared" si="98"/>
        <v>18-04-2024</v>
      </c>
      <c r="L910" s="4" t="str">
        <f>TEXT(Sales_Fact!$B910,"mmm")</f>
        <v>Apr</v>
      </c>
      <c r="M910" s="4">
        <f t="shared" si="99"/>
        <v>1</v>
      </c>
      <c r="N910" s="10">
        <f t="shared" si="100"/>
        <v>509.08</v>
      </c>
      <c r="O910" s="10">
        <f t="shared" si="101"/>
        <v>488.71679999999998</v>
      </c>
      <c r="P910" s="10">
        <f t="shared" si="102"/>
        <v>509.08</v>
      </c>
      <c r="Q910" s="3">
        <f t="shared" si="103"/>
        <v>4.0000000000000015E-2</v>
      </c>
      <c r="R910" s="4" t="str">
        <f>IF(Sales_Fact!$O910&gt;1000,"High","Low")</f>
        <v>Low</v>
      </c>
      <c r="S910" s="4" t="str">
        <f>VLOOKUP(C910,Customer_Dim!$A:$N,9,FALSE())</f>
        <v>Tiffany Herrera</v>
      </c>
      <c r="T910" s="4" t="str">
        <f>VLOOKUP(D910,Product_Dim!$A:$M,3,FALSE())</f>
        <v>Beauty</v>
      </c>
      <c r="U910" s="11" t="str">
        <f>VLOOKUP(D910,Product_Dim!$A:$M,2,FALSE())</f>
        <v>Men's Hair Styling Gel</v>
      </c>
      <c r="V910" s="11" t="str">
        <f>VLOOKUP(E910,Store_Dim!$A:$E,3,FALSE())</f>
        <v>South</v>
      </c>
      <c r="W910" s="11" t="str">
        <f>VLOOKUP(C910,Customer_Dim!$A:$N,13,FALSE())</f>
        <v>Platinum</v>
      </c>
      <c r="X910" s="11" t="str">
        <f t="shared" si="104"/>
        <v>Low</v>
      </c>
    </row>
    <row r="911" spans="1:24" ht="15.75" customHeight="1">
      <c r="A911" s="4" t="s">
        <v>2907</v>
      </c>
      <c r="B911" s="9">
        <v>45930</v>
      </c>
      <c r="C911" s="4" t="s">
        <v>1275</v>
      </c>
      <c r="D911" s="4" t="s">
        <v>1894</v>
      </c>
      <c r="E911" s="4" t="s">
        <v>1919</v>
      </c>
      <c r="F911" s="4">
        <v>4</v>
      </c>
      <c r="G911" s="4">
        <v>827.09</v>
      </c>
      <c r="H911" s="4">
        <v>0.3</v>
      </c>
      <c r="I911" s="4" t="s">
        <v>1996</v>
      </c>
      <c r="J911" s="10">
        <v>2315.8519999999999</v>
      </c>
      <c r="K911" s="4" t="str">
        <f t="shared" si="98"/>
        <v>30-09-2025</v>
      </c>
      <c r="L911" s="4" t="str">
        <f>TEXT(Sales_Fact!$B911,"mmm")</f>
        <v>Sep</v>
      </c>
      <c r="M911" s="4">
        <f t="shared" si="99"/>
        <v>4</v>
      </c>
      <c r="N911" s="10">
        <f t="shared" si="100"/>
        <v>827.09</v>
      </c>
      <c r="O911" s="10">
        <f t="shared" si="101"/>
        <v>2315.8519999999999</v>
      </c>
      <c r="P911" s="10">
        <f t="shared" si="102"/>
        <v>3308.36</v>
      </c>
      <c r="Q911" s="3">
        <f t="shared" si="103"/>
        <v>0.30000000000000004</v>
      </c>
      <c r="R911" s="4" t="str">
        <f>IF(Sales_Fact!$O911&gt;1000,"High","Low")</f>
        <v>High</v>
      </c>
      <c r="S911" s="4" t="str">
        <f>VLOOKUP(C911,Customer_Dim!$A:$N,9,FALSE())</f>
        <v>Mark Rogers</v>
      </c>
      <c r="T911" s="4" t="str">
        <f>VLOOKUP(D911,Product_Dim!$A:$M,3,FALSE())</f>
        <v>Clothing</v>
      </c>
      <c r="U911" s="11" t="str">
        <f>VLOOKUP(D911,Product_Dim!$A:$M,2,FALSE())</f>
        <v>Women's Formal Blazer</v>
      </c>
      <c r="V911" s="11" t="str">
        <f>VLOOKUP(E911,Store_Dim!$A:$E,3,FALSE())</f>
        <v>South</v>
      </c>
      <c r="W911" s="11" t="str">
        <f>VLOOKUP(C911,Customer_Dim!$A:$N,13,FALSE())</f>
        <v>Platinum</v>
      </c>
      <c r="X911" s="11" t="str">
        <f t="shared" si="104"/>
        <v>High</v>
      </c>
    </row>
    <row r="912" spans="1:24" ht="15.75" customHeight="1">
      <c r="A912" s="4" t="s">
        <v>2908</v>
      </c>
      <c r="B912" s="9">
        <v>45935</v>
      </c>
      <c r="C912" s="4" t="s">
        <v>709</v>
      </c>
      <c r="D912" s="4" t="s">
        <v>1687</v>
      </c>
      <c r="E912" s="4" t="s">
        <v>1927</v>
      </c>
      <c r="F912" s="4">
        <v>2</v>
      </c>
      <c r="G912" s="4">
        <v>823.36</v>
      </c>
      <c r="H912" s="4">
        <v>0.23</v>
      </c>
      <c r="I912" s="4" t="s">
        <v>1996</v>
      </c>
      <c r="J912" s="10">
        <v>1267.9744000000001</v>
      </c>
      <c r="K912" s="4" t="str">
        <f t="shared" si="98"/>
        <v>05-10-2025</v>
      </c>
      <c r="L912" s="4" t="str">
        <f>TEXT(Sales_Fact!$B912,"mmm")</f>
        <v>Oct</v>
      </c>
      <c r="M912" s="4">
        <f t="shared" si="99"/>
        <v>2</v>
      </c>
      <c r="N912" s="10">
        <f t="shared" si="100"/>
        <v>823.36</v>
      </c>
      <c r="O912" s="10">
        <f t="shared" si="101"/>
        <v>1267.9744000000001</v>
      </c>
      <c r="P912" s="10">
        <f t="shared" si="102"/>
        <v>1646.72</v>
      </c>
      <c r="Q912" s="3">
        <f t="shared" si="103"/>
        <v>0.22999999999999998</v>
      </c>
      <c r="R912" s="4" t="str">
        <f>IF(Sales_Fact!$O912&gt;1000,"High","Low")</f>
        <v>High</v>
      </c>
      <c r="S912" s="4" t="str">
        <f>VLOOKUP(C912,Customer_Dim!$A:$N,9,FALSE())</f>
        <v>Antonio Jones</v>
      </c>
      <c r="T912" s="4" t="str">
        <f>VLOOKUP(D912,Product_Dim!$A:$M,3,FALSE())</f>
        <v>Home</v>
      </c>
      <c r="U912" s="11" t="str">
        <f>VLOOKUP(D912,Product_Dim!$A:$M,2,FALSE())</f>
        <v>Fabric Sofa Throw Blanket</v>
      </c>
      <c r="V912" s="11" t="str">
        <f>VLOOKUP(E912,Store_Dim!$A:$E,3,FALSE())</f>
        <v>South</v>
      </c>
      <c r="W912" s="11" t="str">
        <f>VLOOKUP(C912,Customer_Dim!$A:$N,13,FALSE())</f>
        <v>Silver</v>
      </c>
      <c r="X912" s="11" t="str">
        <f t="shared" si="104"/>
        <v>Low</v>
      </c>
    </row>
    <row r="913" spans="1:24" ht="15.75" customHeight="1">
      <c r="A913" s="4" t="s">
        <v>2909</v>
      </c>
      <c r="B913" s="9">
        <v>45814</v>
      </c>
      <c r="C913" s="4" t="s">
        <v>491</v>
      </c>
      <c r="D913" s="4" t="s">
        <v>1678</v>
      </c>
      <c r="E913" s="4" t="s">
        <v>1931</v>
      </c>
      <c r="F913" s="4">
        <v>4</v>
      </c>
      <c r="G913" s="4">
        <v>282.18</v>
      </c>
      <c r="H913" s="4">
        <v>0.13</v>
      </c>
      <c r="I913" s="4" t="s">
        <v>2004</v>
      </c>
      <c r="J913" s="10">
        <v>981.9864</v>
      </c>
      <c r="K913" s="4" t="str">
        <f t="shared" si="98"/>
        <v>06-06-2025</v>
      </c>
      <c r="L913" s="4" t="str">
        <f>TEXT(Sales_Fact!$B913,"mmm")</f>
        <v>Jun</v>
      </c>
      <c r="M913" s="4">
        <f t="shared" si="99"/>
        <v>4</v>
      </c>
      <c r="N913" s="10">
        <f t="shared" si="100"/>
        <v>282.18</v>
      </c>
      <c r="O913" s="10">
        <f t="shared" si="101"/>
        <v>981.9864</v>
      </c>
      <c r="P913" s="10">
        <f t="shared" si="102"/>
        <v>1128.72</v>
      </c>
      <c r="Q913" s="3">
        <f t="shared" si="103"/>
        <v>0.13</v>
      </c>
      <c r="R913" s="4" t="str">
        <f>IF(Sales_Fact!$O913&gt;1000,"High","Low")</f>
        <v>Low</v>
      </c>
      <c r="S913" s="4" t="str">
        <f>VLOOKUP(C913,Customer_Dim!$A:$N,9,FALSE())</f>
        <v>Rick Dominguez</v>
      </c>
      <c r="T913" s="4" t="str">
        <f>VLOOKUP(D913,Product_Dim!$A:$M,3,FALSE())</f>
        <v>Electronics</v>
      </c>
      <c r="U913" s="11" t="str">
        <f>VLOOKUP(D913,Product_Dim!$A:$M,2,FALSE())</f>
        <v>Wireless Bluetooth Speaker</v>
      </c>
      <c r="V913" s="11" t="str">
        <f>VLOOKUP(E913,Store_Dim!$A:$E,3,FALSE())</f>
        <v>North</v>
      </c>
      <c r="W913" s="11" t="str">
        <f>VLOOKUP(C913,Customer_Dim!$A:$N,13,FALSE())</f>
        <v>Platinum</v>
      </c>
      <c r="X913" s="11" t="str">
        <f t="shared" si="104"/>
        <v>High</v>
      </c>
    </row>
    <row r="914" spans="1:24" ht="15.75" customHeight="1">
      <c r="A914" s="4" t="s">
        <v>2910</v>
      </c>
      <c r="B914" s="9">
        <v>45323</v>
      </c>
      <c r="C914" s="4" t="s">
        <v>595</v>
      </c>
      <c r="D914" s="4" t="s">
        <v>1661</v>
      </c>
      <c r="E914" s="4" t="s">
        <v>1915</v>
      </c>
      <c r="F914" s="4">
        <v>1</v>
      </c>
      <c r="G914" s="4">
        <v>486.39</v>
      </c>
      <c r="H914" s="4">
        <v>0.09</v>
      </c>
      <c r="I914" s="4" t="s">
        <v>2004</v>
      </c>
      <c r="J914" s="10">
        <v>442.61489999999998</v>
      </c>
      <c r="K914" s="4" t="str">
        <f t="shared" si="98"/>
        <v>01-02-2024</v>
      </c>
      <c r="L914" s="4" t="str">
        <f>TEXT(Sales_Fact!$B914,"mmm")</f>
        <v>Feb</v>
      </c>
      <c r="M914" s="4">
        <f t="shared" si="99"/>
        <v>1</v>
      </c>
      <c r="N914" s="10">
        <f t="shared" si="100"/>
        <v>486.39</v>
      </c>
      <c r="O914" s="10">
        <f t="shared" si="101"/>
        <v>442.61489999999998</v>
      </c>
      <c r="P914" s="10">
        <f t="shared" si="102"/>
        <v>486.39</v>
      </c>
      <c r="Q914" s="3">
        <f t="shared" si="103"/>
        <v>9.0000000000000024E-2</v>
      </c>
      <c r="R914" s="4" t="str">
        <f>IF(Sales_Fact!$O914&gt;1000,"High","Low")</f>
        <v>Low</v>
      </c>
      <c r="S914" s="4" t="str">
        <f>VLOOKUP(C914,Customer_Dim!$A:$N,9,FALSE())</f>
        <v>Thomas Rhodes</v>
      </c>
      <c r="T914" s="4" t="str">
        <f>VLOOKUP(D914,Product_Dim!$A:$M,3,FALSE())</f>
        <v>Home</v>
      </c>
      <c r="U914" s="11" t="str">
        <f>VLOOKUP(D914,Product_Dim!$A:$M,2,FALSE())</f>
        <v>Multi-Purpose Storage Box</v>
      </c>
      <c r="V914" s="11" t="str">
        <f>VLOOKUP(E914,Store_Dim!$A:$E,3,FALSE())</f>
        <v>North</v>
      </c>
      <c r="W914" s="11" t="str">
        <f>VLOOKUP(C914,Customer_Dim!$A:$N,13,FALSE())</f>
        <v>Bronze</v>
      </c>
      <c r="X914" s="11" t="str">
        <f t="shared" si="104"/>
        <v>Low</v>
      </c>
    </row>
    <row r="915" spans="1:24" ht="15.75" customHeight="1">
      <c r="A915" s="4" t="s">
        <v>2911</v>
      </c>
      <c r="B915" s="9">
        <v>45753</v>
      </c>
      <c r="C915" s="4" t="s">
        <v>1264</v>
      </c>
      <c r="D915" s="4" t="s">
        <v>1703</v>
      </c>
      <c r="E915" s="4" t="s">
        <v>1910</v>
      </c>
      <c r="F915" s="4">
        <v>4</v>
      </c>
      <c r="G915" s="4">
        <v>741.88</v>
      </c>
      <c r="H915" s="4">
        <v>0.02</v>
      </c>
      <c r="I915" s="4" t="s">
        <v>2004</v>
      </c>
      <c r="J915" s="10">
        <v>2908.1696000000002</v>
      </c>
      <c r="K915" s="4" t="str">
        <f t="shared" si="98"/>
        <v>06-04-2025</v>
      </c>
      <c r="L915" s="4" t="str">
        <f>TEXT(Sales_Fact!$B915,"mmm")</f>
        <v>Apr</v>
      </c>
      <c r="M915" s="4">
        <f t="shared" si="99"/>
        <v>4</v>
      </c>
      <c r="N915" s="10">
        <f t="shared" si="100"/>
        <v>741.88</v>
      </c>
      <c r="O915" s="10">
        <f t="shared" si="101"/>
        <v>2908.1695999999997</v>
      </c>
      <c r="P915" s="10">
        <f t="shared" si="102"/>
        <v>2967.52</v>
      </c>
      <c r="Q915" s="3">
        <f t="shared" si="103"/>
        <v>2.0000000000000087E-2</v>
      </c>
      <c r="R915" s="4" t="str">
        <f>IF(Sales_Fact!$O915&gt;1000,"High","Low")</f>
        <v>High</v>
      </c>
      <c r="S915" s="4" t="str">
        <f>VLOOKUP(C915,Customer_Dim!$A:$N,9,FALSE())</f>
        <v>Alexander Byrd</v>
      </c>
      <c r="T915" s="4" t="str">
        <f>VLOOKUP(D915,Product_Dim!$A:$M,3,FALSE())</f>
        <v>Electronics</v>
      </c>
      <c r="U915" s="11" t="str">
        <f>VLOOKUP(D915,Product_Dim!$A:$M,2,FALSE())</f>
        <v>Gaming Mechanical Keyboard</v>
      </c>
      <c r="V915" s="11" t="str">
        <f>VLOOKUP(E915,Store_Dim!$A:$E,3,FALSE())</f>
        <v>East</v>
      </c>
      <c r="W915" s="11" t="str">
        <f>VLOOKUP(C915,Customer_Dim!$A:$N,13,FALSE())</f>
        <v>Silver</v>
      </c>
      <c r="X915" s="11" t="str">
        <f t="shared" si="104"/>
        <v>High</v>
      </c>
    </row>
    <row r="916" spans="1:24" ht="15.75" customHeight="1">
      <c r="A916" s="4" t="s">
        <v>2912</v>
      </c>
      <c r="B916" s="9">
        <v>45312</v>
      </c>
      <c r="C916" s="4" t="s">
        <v>193</v>
      </c>
      <c r="D916" s="4" t="s">
        <v>1651</v>
      </c>
      <c r="E916" s="4" t="s">
        <v>1924</v>
      </c>
      <c r="F916" s="4">
        <v>2</v>
      </c>
      <c r="G916" s="4">
        <v>603.62</v>
      </c>
      <c r="H916" s="4">
        <v>0.18</v>
      </c>
      <c r="I916" s="4" t="s">
        <v>2004</v>
      </c>
      <c r="J916" s="10">
        <v>989.93679999999995</v>
      </c>
      <c r="K916" s="4" t="str">
        <f t="shared" si="98"/>
        <v>21-01-2024</v>
      </c>
      <c r="L916" s="4" t="str">
        <f>TEXT(Sales_Fact!$B916,"mmm")</f>
        <v>Jan</v>
      </c>
      <c r="M916" s="4">
        <f t="shared" si="99"/>
        <v>2</v>
      </c>
      <c r="N916" s="10">
        <f t="shared" si="100"/>
        <v>603.62</v>
      </c>
      <c r="O916" s="10">
        <f t="shared" si="101"/>
        <v>989.93680000000006</v>
      </c>
      <c r="P916" s="10">
        <f t="shared" si="102"/>
        <v>1207.24</v>
      </c>
      <c r="Q916" s="3">
        <f t="shared" si="103"/>
        <v>0.17999999999999997</v>
      </c>
      <c r="R916" s="4" t="str">
        <f>IF(Sales_Fact!$O916&gt;1000,"High","Low")</f>
        <v>Low</v>
      </c>
      <c r="S916" s="4" t="str">
        <f>VLOOKUP(C916,Customer_Dim!$A:$N,9,FALSE())</f>
        <v>Denise Williams</v>
      </c>
      <c r="T916" s="4" t="str">
        <f>VLOOKUP(D916,Product_Dim!$A:$M,3,FALSE())</f>
        <v>Clothing</v>
      </c>
      <c r="U916" s="11" t="str">
        <f>VLOOKUP(D916,Product_Dim!$A:$M,2,FALSE())</f>
        <v>Women's Denim Jeans</v>
      </c>
      <c r="V916" s="11" t="str">
        <f>VLOOKUP(E916,Store_Dim!$A:$E,3,FALSE())</f>
        <v>North</v>
      </c>
      <c r="W916" s="11" t="str">
        <f>VLOOKUP(C916,Customer_Dim!$A:$N,13,FALSE())</f>
        <v>Bronze</v>
      </c>
      <c r="X916" s="11" t="str">
        <f t="shared" si="104"/>
        <v>Low</v>
      </c>
    </row>
    <row r="917" spans="1:24" ht="15.75" customHeight="1">
      <c r="A917" s="4" t="s">
        <v>2913</v>
      </c>
      <c r="B917" s="9">
        <v>45554</v>
      </c>
      <c r="C917" s="4" t="s">
        <v>520</v>
      </c>
      <c r="D917" s="4" t="s">
        <v>1712</v>
      </c>
      <c r="E917" s="4" t="s">
        <v>1940</v>
      </c>
      <c r="F917" s="4">
        <v>3</v>
      </c>
      <c r="G917" s="4">
        <v>204.17</v>
      </c>
      <c r="H917" s="4">
        <v>0.1</v>
      </c>
      <c r="I917" s="4" t="s">
        <v>1998</v>
      </c>
      <c r="J917" s="10">
        <v>551.25900000000001</v>
      </c>
      <c r="K917" s="4" t="str">
        <f t="shared" si="98"/>
        <v>19-09-2024</v>
      </c>
      <c r="L917" s="4" t="str">
        <f>TEXT(Sales_Fact!$B917,"mmm")</f>
        <v>Sep</v>
      </c>
      <c r="M917" s="4">
        <f t="shared" si="99"/>
        <v>3</v>
      </c>
      <c r="N917" s="10">
        <f t="shared" si="100"/>
        <v>204.17</v>
      </c>
      <c r="O917" s="10">
        <f t="shared" si="101"/>
        <v>551.25900000000001</v>
      </c>
      <c r="P917" s="10">
        <f t="shared" si="102"/>
        <v>612.51</v>
      </c>
      <c r="Q917" s="3">
        <f t="shared" si="103"/>
        <v>9.9999999999999964E-2</v>
      </c>
      <c r="R917" s="4" t="str">
        <f>IF(Sales_Fact!$O917&gt;1000,"High","Low")</f>
        <v>Low</v>
      </c>
      <c r="S917" s="4" t="str">
        <f>VLOOKUP(C917,Customer_Dim!$A:$N,9,FALSE())</f>
        <v>Rhonda Young</v>
      </c>
      <c r="T917" s="4" t="str">
        <f>VLOOKUP(D917,Product_Dim!$A:$M,3,FALSE())</f>
        <v>Clothing</v>
      </c>
      <c r="U917" s="11" t="str">
        <f>VLOOKUP(D917,Product_Dim!$A:$M,2,FALSE())</f>
        <v>Men's Casual Sneakers</v>
      </c>
      <c r="V917" s="11" t="str">
        <f>VLOOKUP(E917,Store_Dim!$A:$E,3,FALSE())</f>
        <v>West</v>
      </c>
      <c r="W917" s="11" t="str">
        <f>VLOOKUP(C917,Customer_Dim!$A:$N,13,FALSE())</f>
        <v>Platinum</v>
      </c>
      <c r="X917" s="11" t="str">
        <f t="shared" si="104"/>
        <v>Low</v>
      </c>
    </row>
    <row r="918" spans="1:24" ht="15.75" customHeight="1">
      <c r="A918" s="4" t="s">
        <v>2914</v>
      </c>
      <c r="B918" s="9">
        <v>45310</v>
      </c>
      <c r="C918" s="4" t="s">
        <v>491</v>
      </c>
      <c r="D918" s="4" t="s">
        <v>1613</v>
      </c>
      <c r="E918" s="4" t="s">
        <v>1959</v>
      </c>
      <c r="F918" s="4">
        <v>1</v>
      </c>
      <c r="G918" s="4">
        <v>43.58</v>
      </c>
      <c r="H918" s="4">
        <v>0.01</v>
      </c>
      <c r="I918" s="4" t="s">
        <v>2004</v>
      </c>
      <c r="J918" s="10">
        <v>43.144199999999998</v>
      </c>
      <c r="K918" s="4" t="str">
        <f t="shared" si="98"/>
        <v>19-01-2024</v>
      </c>
      <c r="L918" s="4" t="str">
        <f>TEXT(Sales_Fact!$B918,"mmm")</f>
        <v>Jan</v>
      </c>
      <c r="M918" s="4">
        <f t="shared" si="99"/>
        <v>1</v>
      </c>
      <c r="N918" s="10">
        <f t="shared" si="100"/>
        <v>43.58</v>
      </c>
      <c r="O918" s="10">
        <f t="shared" si="101"/>
        <v>43.144199999999998</v>
      </c>
      <c r="P918" s="10">
        <f t="shared" si="102"/>
        <v>43.58</v>
      </c>
      <c r="Q918" s="3">
        <f t="shared" si="103"/>
        <v>1.0000000000000011E-2</v>
      </c>
      <c r="R918" s="4" t="str">
        <f>IF(Sales_Fact!$O918&gt;1000,"High","Low")</f>
        <v>Low</v>
      </c>
      <c r="S918" s="4" t="str">
        <f>VLOOKUP(C918,Customer_Dim!$A:$N,9,FALSE())</f>
        <v>Rick Dominguez</v>
      </c>
      <c r="T918" s="4" t="str">
        <f>VLOOKUP(D918,Product_Dim!$A:$M,3,FALSE())</f>
        <v>Electronics</v>
      </c>
      <c r="U918" s="11" t="str">
        <f>VLOOKUP(D918,Product_Dim!$A:$M,2,FALSE())</f>
        <v>Wireless Bluetooth Earbuds</v>
      </c>
      <c r="V918" s="11" t="str">
        <f>VLOOKUP(E918,Store_Dim!$A:$E,3,FALSE())</f>
        <v>North</v>
      </c>
      <c r="W918" s="11" t="str">
        <f>VLOOKUP(C918,Customer_Dim!$A:$N,13,FALSE())</f>
        <v>Platinum</v>
      </c>
      <c r="X918" s="11" t="str">
        <f t="shared" si="104"/>
        <v>Low</v>
      </c>
    </row>
    <row r="919" spans="1:24" ht="15.75" customHeight="1">
      <c r="A919" s="4" t="s">
        <v>2915</v>
      </c>
      <c r="B919" s="9">
        <v>45594</v>
      </c>
      <c r="C919" s="4" t="s">
        <v>1072</v>
      </c>
      <c r="D919" s="4" t="s">
        <v>1744</v>
      </c>
      <c r="E919" s="4" t="s">
        <v>1919</v>
      </c>
      <c r="F919" s="4">
        <v>3</v>
      </c>
      <c r="G919" s="4">
        <v>469.33</v>
      </c>
      <c r="H919" s="4">
        <v>0.14000000000000001</v>
      </c>
      <c r="I919" s="4" t="s">
        <v>1998</v>
      </c>
      <c r="J919" s="10">
        <v>1210.8714</v>
      </c>
      <c r="K919" s="4" t="str">
        <f t="shared" si="98"/>
        <v>29-10-2024</v>
      </c>
      <c r="L919" s="4" t="str">
        <f>TEXT(Sales_Fact!$B919,"mmm")</f>
        <v>Oct</v>
      </c>
      <c r="M919" s="4">
        <f t="shared" si="99"/>
        <v>3</v>
      </c>
      <c r="N919" s="10">
        <f t="shared" si="100"/>
        <v>469.33</v>
      </c>
      <c r="O919" s="10">
        <f t="shared" si="101"/>
        <v>1210.8714</v>
      </c>
      <c r="P919" s="10">
        <f t="shared" si="102"/>
        <v>1407.99</v>
      </c>
      <c r="Q919" s="3">
        <f t="shared" si="103"/>
        <v>0.14000000000000001</v>
      </c>
      <c r="R919" s="4" t="str">
        <f>IF(Sales_Fact!$O919&gt;1000,"High","Low")</f>
        <v>High</v>
      </c>
      <c r="S919" s="4" t="str">
        <f>VLOOKUP(C919,Customer_Dim!$A:$N,9,FALSE())</f>
        <v>Dr. Lindsay Hanna</v>
      </c>
      <c r="T919" s="4" t="str">
        <f>VLOOKUP(D919,Product_Dim!$A:$M,3,FALSE())</f>
        <v>Beauty</v>
      </c>
      <c r="U919" s="11" t="str">
        <f>VLOOKUP(D919,Product_Dim!$A:$M,2,FALSE())</f>
        <v>Makeup Brush Set</v>
      </c>
      <c r="V919" s="11" t="str">
        <f>VLOOKUP(E919,Store_Dim!$A:$E,3,FALSE())</f>
        <v>South</v>
      </c>
      <c r="W919" s="11" t="str">
        <f>VLOOKUP(C919,Customer_Dim!$A:$N,13,FALSE())</f>
        <v>Bronze</v>
      </c>
      <c r="X919" s="11" t="str">
        <f t="shared" si="104"/>
        <v>Low</v>
      </c>
    </row>
    <row r="920" spans="1:24" ht="15.75" customHeight="1">
      <c r="A920" s="4" t="s">
        <v>2916</v>
      </c>
      <c r="B920" s="9">
        <v>45840</v>
      </c>
      <c r="C920" s="4" t="s">
        <v>706</v>
      </c>
      <c r="D920" s="4" t="s">
        <v>1613</v>
      </c>
      <c r="E920" s="4" t="s">
        <v>1940</v>
      </c>
      <c r="F920" s="4">
        <v>4</v>
      </c>
      <c r="G920" s="4">
        <v>836.23</v>
      </c>
      <c r="H920" s="4">
        <v>0.12</v>
      </c>
      <c r="I920" s="4" t="s">
        <v>1996</v>
      </c>
      <c r="J920" s="10">
        <v>2943.5295999999998</v>
      </c>
      <c r="K920" s="4" t="str">
        <f t="shared" si="98"/>
        <v>02-07-2025</v>
      </c>
      <c r="L920" s="4" t="str">
        <f>TEXT(Sales_Fact!$B920,"mmm")</f>
        <v>Jul</v>
      </c>
      <c r="M920" s="4">
        <f t="shared" si="99"/>
        <v>4</v>
      </c>
      <c r="N920" s="10">
        <f t="shared" si="100"/>
        <v>836.23</v>
      </c>
      <c r="O920" s="10">
        <f t="shared" si="101"/>
        <v>2943.5296000000003</v>
      </c>
      <c r="P920" s="10">
        <f t="shared" si="102"/>
        <v>3344.92</v>
      </c>
      <c r="Q920" s="3">
        <f t="shared" si="103"/>
        <v>0.11999999999999993</v>
      </c>
      <c r="R920" s="4" t="str">
        <f>IF(Sales_Fact!$O920&gt;1000,"High","Low")</f>
        <v>High</v>
      </c>
      <c r="S920" s="4" t="str">
        <f>VLOOKUP(C920,Customer_Dim!$A:$N,9,FALSE())</f>
        <v>Joan Johnson</v>
      </c>
      <c r="T920" s="4" t="str">
        <f>VLOOKUP(D920,Product_Dim!$A:$M,3,FALSE())</f>
        <v>Electronics</v>
      </c>
      <c r="U920" s="11" t="str">
        <f>VLOOKUP(D920,Product_Dim!$A:$M,2,FALSE())</f>
        <v>Wireless Bluetooth Earbuds</v>
      </c>
      <c r="V920" s="11" t="str">
        <f>VLOOKUP(E920,Store_Dim!$A:$E,3,FALSE())</f>
        <v>West</v>
      </c>
      <c r="W920" s="11" t="str">
        <f>VLOOKUP(C920,Customer_Dim!$A:$N,13,FALSE())</f>
        <v>Platinum</v>
      </c>
      <c r="X920" s="11" t="str">
        <f t="shared" si="104"/>
        <v>High</v>
      </c>
    </row>
    <row r="921" spans="1:24" ht="15.75" customHeight="1">
      <c r="A921" s="4" t="s">
        <v>2917</v>
      </c>
      <c r="B921" s="9">
        <v>45549</v>
      </c>
      <c r="C921" s="4" t="s">
        <v>614</v>
      </c>
      <c r="D921" s="4" t="s">
        <v>1806</v>
      </c>
      <c r="E921" s="4" t="s">
        <v>1971</v>
      </c>
      <c r="F921" s="4">
        <v>2</v>
      </c>
      <c r="G921" s="4">
        <v>661.53</v>
      </c>
      <c r="H921" s="4">
        <v>0.2</v>
      </c>
      <c r="I921" s="4" t="s">
        <v>1998</v>
      </c>
      <c r="J921" s="10">
        <v>1058.4480000000001</v>
      </c>
      <c r="K921" s="4" t="str">
        <f t="shared" si="98"/>
        <v>14-09-2024</v>
      </c>
      <c r="L921" s="4" t="str">
        <f>TEXT(Sales_Fact!$B921,"mmm")</f>
        <v>Sep</v>
      </c>
      <c r="M921" s="4">
        <f t="shared" si="99"/>
        <v>2</v>
      </c>
      <c r="N921" s="10">
        <f t="shared" si="100"/>
        <v>661.53</v>
      </c>
      <c r="O921" s="10">
        <f t="shared" si="101"/>
        <v>1058.4480000000001</v>
      </c>
      <c r="P921" s="10">
        <f t="shared" si="102"/>
        <v>1323.06</v>
      </c>
      <c r="Q921" s="3">
        <f t="shared" si="103"/>
        <v>0.1999999999999999</v>
      </c>
      <c r="R921" s="4" t="str">
        <f>IF(Sales_Fact!$O921&gt;1000,"High","Low")</f>
        <v>High</v>
      </c>
      <c r="S921" s="4" t="str">
        <f>VLOOKUP(C921,Customer_Dim!$A:$N,9,FALSE())</f>
        <v>Michelle Myers</v>
      </c>
      <c r="T921" s="4" t="str">
        <f>VLOOKUP(D921,Product_Dim!$A:$M,3,FALSE())</f>
        <v>Electronics</v>
      </c>
      <c r="U921" s="11" t="str">
        <f>VLOOKUP(D921,Product_Dim!$A:$M,2,FALSE())</f>
        <v>Smart LED Light Strip</v>
      </c>
      <c r="V921" s="11" t="str">
        <f>VLOOKUP(E921,Store_Dim!$A:$E,3,FALSE())</f>
        <v>East</v>
      </c>
      <c r="W921" s="11" t="str">
        <f>VLOOKUP(C921,Customer_Dim!$A:$N,13,FALSE())</f>
        <v>Bronze</v>
      </c>
      <c r="X921" s="11" t="str">
        <f t="shared" si="104"/>
        <v>Low</v>
      </c>
    </row>
    <row r="922" spans="1:24" ht="15.75" customHeight="1">
      <c r="A922" s="4" t="s">
        <v>2918</v>
      </c>
      <c r="B922" s="9">
        <v>45903</v>
      </c>
      <c r="C922" s="4" t="s">
        <v>432</v>
      </c>
      <c r="D922" s="4" t="s">
        <v>1773</v>
      </c>
      <c r="E922" s="4" t="s">
        <v>1962</v>
      </c>
      <c r="F922" s="4">
        <v>3</v>
      </c>
      <c r="G922" s="4">
        <v>753.47</v>
      </c>
      <c r="H922" s="4">
        <v>0.25</v>
      </c>
      <c r="I922" s="4" t="s">
        <v>1998</v>
      </c>
      <c r="J922" s="10">
        <v>1695.3074999999999</v>
      </c>
      <c r="K922" s="4" t="str">
        <f t="shared" si="98"/>
        <v>03-09-2025</v>
      </c>
      <c r="L922" s="4" t="str">
        <f>TEXT(Sales_Fact!$B922,"mmm")</f>
        <v>Sep</v>
      </c>
      <c r="M922" s="4">
        <f t="shared" si="99"/>
        <v>3</v>
      </c>
      <c r="N922" s="10">
        <f t="shared" si="100"/>
        <v>753.47</v>
      </c>
      <c r="O922" s="10">
        <f t="shared" si="101"/>
        <v>1695.3074999999999</v>
      </c>
      <c r="P922" s="10">
        <f t="shared" si="102"/>
        <v>2260.41</v>
      </c>
      <c r="Q922" s="3">
        <f t="shared" si="103"/>
        <v>0.25</v>
      </c>
      <c r="R922" s="4" t="str">
        <f>IF(Sales_Fact!$O922&gt;1000,"High","Low")</f>
        <v>High</v>
      </c>
      <c r="S922" s="4" t="str">
        <f>VLOOKUP(C922,Customer_Dim!$A:$N,9,FALSE())</f>
        <v>Earl Allen</v>
      </c>
      <c r="T922" s="4" t="str">
        <f>VLOOKUP(D922,Product_Dim!$A:$M,3,FALSE())</f>
        <v>Home</v>
      </c>
      <c r="U922" s="11" t="str">
        <f>VLOOKUP(D922,Product_Dim!$A:$M,2,FALSE())</f>
        <v>Premium Blanket Throw</v>
      </c>
      <c r="V922" s="11" t="str">
        <f>VLOOKUP(E922,Store_Dim!$A:$E,3,FALSE())</f>
        <v>West</v>
      </c>
      <c r="W922" s="11" t="str">
        <f>VLOOKUP(C922,Customer_Dim!$A:$N,13,FALSE())</f>
        <v>Platinum</v>
      </c>
      <c r="X922" s="11" t="str">
        <f t="shared" si="104"/>
        <v>Low</v>
      </c>
    </row>
    <row r="923" spans="1:24" ht="15.75" customHeight="1">
      <c r="A923" s="4" t="s">
        <v>2919</v>
      </c>
      <c r="B923" s="9">
        <v>45673</v>
      </c>
      <c r="C923" s="4" t="s">
        <v>547</v>
      </c>
      <c r="D923" s="4" t="s">
        <v>1797</v>
      </c>
      <c r="E923" s="4" t="s">
        <v>1910</v>
      </c>
      <c r="F923" s="4">
        <v>3</v>
      </c>
      <c r="G923" s="4">
        <v>713.95</v>
      </c>
      <c r="H923" s="4">
        <v>0</v>
      </c>
      <c r="I923" s="4" t="s">
        <v>1996</v>
      </c>
      <c r="J923" s="10">
        <v>2141.85</v>
      </c>
      <c r="K923" s="4" t="str">
        <f t="shared" si="98"/>
        <v>16-01-2025</v>
      </c>
      <c r="L923" s="4" t="str">
        <f>TEXT(Sales_Fact!$B923,"mmm")</f>
        <v>Jan</v>
      </c>
      <c r="M923" s="4">
        <f t="shared" si="99"/>
        <v>3</v>
      </c>
      <c r="N923" s="10">
        <f t="shared" si="100"/>
        <v>713.95</v>
      </c>
      <c r="O923" s="10">
        <f t="shared" si="101"/>
        <v>2141.8500000000004</v>
      </c>
      <c r="P923" s="10">
        <f t="shared" si="102"/>
        <v>2141.8500000000004</v>
      </c>
      <c r="Q923" s="3">
        <f t="shared" si="103"/>
        <v>0</v>
      </c>
      <c r="R923" s="4" t="str">
        <f>IF(Sales_Fact!$O923&gt;1000,"High","Low")</f>
        <v>High</v>
      </c>
      <c r="S923" s="4" t="str">
        <f>VLOOKUP(C923,Customer_Dim!$A:$N,9,FALSE())</f>
        <v>Maria Sanchez</v>
      </c>
      <c r="T923" s="4" t="str">
        <f>VLOOKUP(D923,Product_Dim!$A:$M,3,FALSE())</f>
        <v>Beauty</v>
      </c>
      <c r="U923" s="11" t="str">
        <f>VLOOKUP(D923,Product_Dim!$A:$M,2,FALSE())</f>
        <v>Matte Lipstick Set</v>
      </c>
      <c r="V923" s="11" t="str">
        <f>VLOOKUP(E923,Store_Dim!$A:$E,3,FALSE())</f>
        <v>East</v>
      </c>
      <c r="W923" s="11" t="str">
        <f>VLOOKUP(C923,Customer_Dim!$A:$N,13,FALSE())</f>
        <v>Bronze</v>
      </c>
      <c r="X923" s="11" t="str">
        <f t="shared" si="104"/>
        <v>Low</v>
      </c>
    </row>
    <row r="924" spans="1:24" ht="15.75" customHeight="1">
      <c r="A924" s="4" t="s">
        <v>2920</v>
      </c>
      <c r="B924" s="9">
        <v>45395</v>
      </c>
      <c r="C924" s="4" t="s">
        <v>374</v>
      </c>
      <c r="D924" s="4" t="s">
        <v>1626</v>
      </c>
      <c r="E924" s="4" t="s">
        <v>1931</v>
      </c>
      <c r="F924" s="4">
        <v>3</v>
      </c>
      <c r="G924" s="4">
        <v>596</v>
      </c>
      <c r="H924" s="4">
        <v>0.28000000000000003</v>
      </c>
      <c r="I924" s="4" t="s">
        <v>2004</v>
      </c>
      <c r="J924" s="10">
        <v>1287.3599999999999</v>
      </c>
      <c r="K924" s="4" t="str">
        <f t="shared" si="98"/>
        <v>13-04-2024</v>
      </c>
      <c r="L924" s="4" t="str">
        <f>TEXT(Sales_Fact!$B924,"mmm")</f>
        <v>Apr</v>
      </c>
      <c r="M924" s="4">
        <f t="shared" si="99"/>
        <v>3</v>
      </c>
      <c r="N924" s="10">
        <f t="shared" si="100"/>
        <v>596</v>
      </c>
      <c r="O924" s="10">
        <f t="shared" si="101"/>
        <v>1287.3599999999999</v>
      </c>
      <c r="P924" s="10">
        <f t="shared" si="102"/>
        <v>1788</v>
      </c>
      <c r="Q924" s="3">
        <f t="shared" si="103"/>
        <v>0.28000000000000008</v>
      </c>
      <c r="R924" s="4" t="str">
        <f>IF(Sales_Fact!$O924&gt;1000,"High","Low")</f>
        <v>High</v>
      </c>
      <c r="S924" s="4" t="str">
        <f>VLOOKUP(C924,Customer_Dim!$A:$N,9,FALSE())</f>
        <v>Sheila Wilson</v>
      </c>
      <c r="T924" s="4" t="str">
        <f>VLOOKUP(D924,Product_Dim!$A:$M,3,FALSE())</f>
        <v>Electronics</v>
      </c>
      <c r="U924" s="11" t="str">
        <f>VLOOKUP(D924,Product_Dim!$A:$M,2,FALSE())</f>
        <v>HD Smart TV Stick</v>
      </c>
      <c r="V924" s="11" t="str">
        <f>VLOOKUP(E924,Store_Dim!$A:$E,3,FALSE())</f>
        <v>North</v>
      </c>
      <c r="W924" s="11" t="str">
        <f>VLOOKUP(C924,Customer_Dim!$A:$N,13,FALSE())</f>
        <v>Silver</v>
      </c>
      <c r="X924" s="11" t="str">
        <f t="shared" si="104"/>
        <v>Low</v>
      </c>
    </row>
    <row r="925" spans="1:24" ht="15.75" customHeight="1">
      <c r="A925" s="4" t="s">
        <v>2921</v>
      </c>
      <c r="B925" s="9">
        <v>45379</v>
      </c>
      <c r="C925" s="4" t="s">
        <v>1078</v>
      </c>
      <c r="D925" s="4" t="s">
        <v>1617</v>
      </c>
      <c r="E925" s="4" t="s">
        <v>1944</v>
      </c>
      <c r="F925" s="4">
        <v>2</v>
      </c>
      <c r="G925" s="4">
        <v>169.46</v>
      </c>
      <c r="H925" s="4">
        <v>0.03</v>
      </c>
      <c r="I925" s="4" t="s">
        <v>1998</v>
      </c>
      <c r="J925" s="10">
        <v>328.75240000000002</v>
      </c>
      <c r="K925" s="4" t="str">
        <f t="shared" si="98"/>
        <v>28-03-2024</v>
      </c>
      <c r="L925" s="4" t="str">
        <f>TEXT(Sales_Fact!$B925,"mmm")</f>
        <v>Mar</v>
      </c>
      <c r="M925" s="4">
        <f t="shared" si="99"/>
        <v>2</v>
      </c>
      <c r="N925" s="10">
        <f t="shared" si="100"/>
        <v>169.46</v>
      </c>
      <c r="O925" s="10">
        <f t="shared" si="101"/>
        <v>328.75240000000002</v>
      </c>
      <c r="P925" s="10">
        <f t="shared" si="102"/>
        <v>338.92</v>
      </c>
      <c r="Q925" s="3">
        <f t="shared" si="103"/>
        <v>2.9999999999999978E-2</v>
      </c>
      <c r="R925" s="4" t="str">
        <f>IF(Sales_Fact!$O925&gt;1000,"High","Low")</f>
        <v>Low</v>
      </c>
      <c r="S925" s="4" t="str">
        <f>VLOOKUP(C925,Customer_Dim!$A:$N,9,FALSE())</f>
        <v>Mr. Christopher Sims</v>
      </c>
      <c r="T925" s="4" t="str">
        <f>VLOOKUP(D925,Product_Dim!$A:$M,3,FALSE())</f>
        <v>Sports</v>
      </c>
      <c r="U925" s="11" t="str">
        <f>VLOOKUP(D925,Product_Dim!$A:$M,2,FALSE())</f>
        <v>Adjustable Dumbbell Set</v>
      </c>
      <c r="V925" s="11" t="str">
        <f>VLOOKUP(E925,Store_Dim!$A:$E,3,FALSE())</f>
        <v>South</v>
      </c>
      <c r="W925" s="11" t="str">
        <f>VLOOKUP(C925,Customer_Dim!$A:$N,13,FALSE())</f>
        <v>Silver</v>
      </c>
      <c r="X925" s="11" t="str">
        <f t="shared" si="104"/>
        <v>Low</v>
      </c>
    </row>
    <row r="926" spans="1:24" ht="15.75" customHeight="1">
      <c r="A926" s="4" t="s">
        <v>2922</v>
      </c>
      <c r="B926" s="9">
        <v>45594</v>
      </c>
      <c r="C926" s="4" t="s">
        <v>155</v>
      </c>
      <c r="D926" s="4" t="s">
        <v>1741</v>
      </c>
      <c r="E926" s="4" t="s">
        <v>1924</v>
      </c>
      <c r="F926" s="4">
        <v>1</v>
      </c>
      <c r="G926" s="4">
        <v>547.09</v>
      </c>
      <c r="H926" s="4">
        <v>0.01</v>
      </c>
      <c r="I926" s="4" t="s">
        <v>1998</v>
      </c>
      <c r="J926" s="10">
        <v>541.6191</v>
      </c>
      <c r="K926" s="4" t="str">
        <f t="shared" si="98"/>
        <v>29-10-2024</v>
      </c>
      <c r="L926" s="4" t="str">
        <f>TEXT(Sales_Fact!$B926,"mmm")</f>
        <v>Oct</v>
      </c>
      <c r="M926" s="4">
        <f t="shared" si="99"/>
        <v>1</v>
      </c>
      <c r="N926" s="10">
        <f t="shared" si="100"/>
        <v>547.09</v>
      </c>
      <c r="O926" s="10">
        <f t="shared" si="101"/>
        <v>541.6191</v>
      </c>
      <c r="P926" s="10">
        <f t="shared" si="102"/>
        <v>547.09</v>
      </c>
      <c r="Q926" s="3">
        <f t="shared" si="103"/>
        <v>1.0000000000000052E-2</v>
      </c>
      <c r="R926" s="4" t="str">
        <f>IF(Sales_Fact!$O926&gt;1000,"High","Low")</f>
        <v>Low</v>
      </c>
      <c r="S926" s="4" t="str">
        <f>VLOOKUP(C926,Customer_Dim!$A:$N,9,FALSE())</f>
        <v>Robert Jones Dds</v>
      </c>
      <c r="T926" s="4" t="str">
        <f>VLOOKUP(D926,Product_Dim!$A:$M,3,FALSE())</f>
        <v>Clothing</v>
      </c>
      <c r="U926" s="11" t="str">
        <f>VLOOKUP(D926,Product_Dim!$A:$M,2,FALSE())</f>
        <v>Men's Winter Jacket</v>
      </c>
      <c r="V926" s="11" t="str">
        <f>VLOOKUP(E926,Store_Dim!$A:$E,3,FALSE())</f>
        <v>North</v>
      </c>
      <c r="W926" s="11" t="str">
        <f>VLOOKUP(C926,Customer_Dim!$A:$N,13,FALSE())</f>
        <v>Platinum</v>
      </c>
      <c r="X926" s="11" t="str">
        <f t="shared" si="104"/>
        <v>Low</v>
      </c>
    </row>
    <row r="927" spans="1:24" ht="15.75" customHeight="1">
      <c r="A927" s="4" t="s">
        <v>2923</v>
      </c>
      <c r="B927" s="9">
        <v>45860</v>
      </c>
      <c r="C927" s="4" t="s">
        <v>976</v>
      </c>
      <c r="D927" s="4" t="s">
        <v>1800</v>
      </c>
      <c r="E927" s="4" t="s">
        <v>1957</v>
      </c>
      <c r="F927" s="4">
        <v>4</v>
      </c>
      <c r="G927" s="4">
        <v>611.91999999999996</v>
      </c>
      <c r="H927" s="4">
        <v>0.2</v>
      </c>
      <c r="I927" s="4" t="s">
        <v>1998</v>
      </c>
      <c r="J927" s="10">
        <v>1958.144</v>
      </c>
      <c r="K927" s="4" t="str">
        <f t="shared" si="98"/>
        <v>22-07-2025</v>
      </c>
      <c r="L927" s="4" t="str">
        <f>TEXT(Sales_Fact!$B927,"mmm")</f>
        <v>Jul</v>
      </c>
      <c r="M927" s="4">
        <f t="shared" si="99"/>
        <v>4</v>
      </c>
      <c r="N927" s="10">
        <f t="shared" si="100"/>
        <v>611.91999999999996</v>
      </c>
      <c r="O927" s="10">
        <f t="shared" si="101"/>
        <v>1958.144</v>
      </c>
      <c r="P927" s="10">
        <f t="shared" si="102"/>
        <v>2447.6799999999998</v>
      </c>
      <c r="Q927" s="3">
        <f t="shared" si="103"/>
        <v>0.19999999999999996</v>
      </c>
      <c r="R927" s="4" t="str">
        <f>IF(Sales_Fact!$O927&gt;1000,"High","Low")</f>
        <v>High</v>
      </c>
      <c r="S927" s="4" t="str">
        <f>VLOOKUP(C927,Customer_Dim!$A:$N,9,FALSE())</f>
        <v>Matthew Avery</v>
      </c>
      <c r="T927" s="4" t="str">
        <f>VLOOKUP(D927,Product_Dim!$A:$M,3,FALSE())</f>
        <v>Sports</v>
      </c>
      <c r="U927" s="11" t="str">
        <f>VLOOKUP(D927,Product_Dim!$A:$M,2,FALSE())</f>
        <v>Adjustable Dumbbells 20kg</v>
      </c>
      <c r="V927" s="11" t="str">
        <f>VLOOKUP(E927,Store_Dim!$A:$E,3,FALSE())</f>
        <v>South</v>
      </c>
      <c r="W927" s="11" t="str">
        <f>VLOOKUP(C927,Customer_Dim!$A:$N,13,FALSE())</f>
        <v>Silver</v>
      </c>
      <c r="X927" s="11" t="str">
        <f t="shared" si="104"/>
        <v>High</v>
      </c>
    </row>
    <row r="928" spans="1:24" ht="15.75" customHeight="1">
      <c r="A928" s="4" t="s">
        <v>2924</v>
      </c>
      <c r="B928" s="9">
        <v>45704</v>
      </c>
      <c r="C928" s="4" t="s">
        <v>40</v>
      </c>
      <c r="D928" s="4" t="s">
        <v>1828</v>
      </c>
      <c r="E928" s="4" t="s">
        <v>1959</v>
      </c>
      <c r="F928" s="4">
        <v>2</v>
      </c>
      <c r="G928" s="4">
        <v>25.3</v>
      </c>
      <c r="H928" s="4">
        <v>0.21</v>
      </c>
      <c r="I928" s="4" t="s">
        <v>1996</v>
      </c>
      <c r="J928" s="10">
        <v>39.973999999999997</v>
      </c>
      <c r="K928" s="4" t="str">
        <f t="shared" si="98"/>
        <v>16-02-2025</v>
      </c>
      <c r="L928" s="4" t="str">
        <f>TEXT(Sales_Fact!$B928,"mmm")</f>
        <v>Feb</v>
      </c>
      <c r="M928" s="4">
        <f t="shared" si="99"/>
        <v>2</v>
      </c>
      <c r="N928" s="10">
        <f t="shared" si="100"/>
        <v>25.3</v>
      </c>
      <c r="O928" s="10">
        <f t="shared" si="101"/>
        <v>39.974000000000004</v>
      </c>
      <c r="P928" s="10">
        <f t="shared" si="102"/>
        <v>50.6</v>
      </c>
      <c r="Q928" s="3">
        <f t="shared" si="103"/>
        <v>0.20999999999999994</v>
      </c>
      <c r="R928" s="4" t="str">
        <f>IF(Sales_Fact!$O928&gt;1000,"High","Low")</f>
        <v>Low</v>
      </c>
      <c r="S928" s="4" t="str">
        <f>VLOOKUP(C928,Customer_Dim!$A:$N,9,FALSE())</f>
        <v>Jeremy Harris</v>
      </c>
      <c r="T928" s="4" t="str">
        <f>VLOOKUP(D928,Product_Dim!$A:$M,3,FALSE())</f>
        <v>Electronics</v>
      </c>
      <c r="U928" s="11" t="str">
        <f>VLOOKUP(D928,Product_Dim!$A:$M,2,FALSE())</f>
        <v>Bluetooth Car Audio System</v>
      </c>
      <c r="V928" s="11" t="str">
        <f>VLOOKUP(E928,Store_Dim!$A:$E,3,FALSE())</f>
        <v>North</v>
      </c>
      <c r="W928" s="11" t="str">
        <f>VLOOKUP(C928,Customer_Dim!$A:$N,13,FALSE())</f>
        <v>Bronze</v>
      </c>
      <c r="X928" s="11" t="str">
        <f t="shared" si="104"/>
        <v>Low</v>
      </c>
    </row>
    <row r="929" spans="1:24" ht="15.75" customHeight="1">
      <c r="A929" s="4" t="s">
        <v>2925</v>
      </c>
      <c r="B929" s="9">
        <v>45327</v>
      </c>
      <c r="C929" s="4" t="s">
        <v>1372</v>
      </c>
      <c r="D929" s="4" t="s">
        <v>1825</v>
      </c>
      <c r="E929" s="4" t="s">
        <v>1947</v>
      </c>
      <c r="F929" s="4">
        <v>4</v>
      </c>
      <c r="G929" s="4">
        <v>166.93</v>
      </c>
      <c r="H929" s="4">
        <v>0.02</v>
      </c>
      <c r="I929" s="4" t="s">
        <v>1998</v>
      </c>
      <c r="J929" s="10">
        <v>654.36559999999997</v>
      </c>
      <c r="K929" s="4" t="str">
        <f t="shared" si="98"/>
        <v>05-02-2024</v>
      </c>
      <c r="L929" s="4" t="str">
        <f>TEXT(Sales_Fact!$B929,"mmm")</f>
        <v>Feb</v>
      </c>
      <c r="M929" s="4">
        <f t="shared" si="99"/>
        <v>4</v>
      </c>
      <c r="N929" s="10">
        <f t="shared" si="100"/>
        <v>166.93</v>
      </c>
      <c r="O929" s="10">
        <f t="shared" si="101"/>
        <v>654.36559999999997</v>
      </c>
      <c r="P929" s="10">
        <f t="shared" si="102"/>
        <v>667.72</v>
      </c>
      <c r="Q929" s="3">
        <f t="shared" si="103"/>
        <v>2.000000000000008E-2</v>
      </c>
      <c r="R929" s="4" t="str">
        <f>IF(Sales_Fact!$O929&gt;1000,"High","Low")</f>
        <v>Low</v>
      </c>
      <c r="S929" s="4" t="str">
        <f>VLOOKUP(C929,Customer_Dim!$A:$N,9,FALSE())</f>
        <v>Thomas Moore</v>
      </c>
      <c r="T929" s="4" t="str">
        <f>VLOOKUP(D929,Product_Dim!$A:$M,3,FALSE())</f>
        <v>Sports</v>
      </c>
      <c r="U929" s="11" t="str">
        <f>VLOOKUP(D929,Product_Dim!$A:$M,2,FALSE())</f>
        <v>Shin Guards – Adult</v>
      </c>
      <c r="V929" s="11" t="str">
        <f>VLOOKUP(E929,Store_Dim!$A:$E,3,FALSE())</f>
        <v>East</v>
      </c>
      <c r="W929" s="11" t="str">
        <f>VLOOKUP(C929,Customer_Dim!$A:$N,13,FALSE())</f>
        <v>Silver</v>
      </c>
      <c r="X929" s="11" t="str">
        <f t="shared" si="104"/>
        <v>High</v>
      </c>
    </row>
    <row r="930" spans="1:24" ht="15.75" customHeight="1">
      <c r="A930" s="4" t="s">
        <v>2926</v>
      </c>
      <c r="B930" s="9">
        <v>45721</v>
      </c>
      <c r="C930" s="4" t="s">
        <v>918</v>
      </c>
      <c r="D930" s="4" t="s">
        <v>1785</v>
      </c>
      <c r="E930" s="4" t="s">
        <v>1950</v>
      </c>
      <c r="F930" s="4">
        <v>4</v>
      </c>
      <c r="G930" s="4">
        <v>861.55</v>
      </c>
      <c r="H930" s="4">
        <v>0.12</v>
      </c>
      <c r="I930" s="4" t="s">
        <v>1996</v>
      </c>
      <c r="J930" s="10">
        <v>3032.6559999999999</v>
      </c>
      <c r="K930" s="4" t="str">
        <f t="shared" si="98"/>
        <v>05-03-2025</v>
      </c>
      <c r="L930" s="4" t="str">
        <f>TEXT(Sales_Fact!$B930,"mmm")</f>
        <v>Mar</v>
      </c>
      <c r="M930" s="4">
        <f t="shared" si="99"/>
        <v>4</v>
      </c>
      <c r="N930" s="10">
        <f t="shared" si="100"/>
        <v>861.55</v>
      </c>
      <c r="O930" s="10">
        <f t="shared" si="101"/>
        <v>3032.6559999999999</v>
      </c>
      <c r="P930" s="10">
        <f t="shared" si="102"/>
        <v>3446.2</v>
      </c>
      <c r="Q930" s="3">
        <f t="shared" si="103"/>
        <v>0.11999999999999997</v>
      </c>
      <c r="R930" s="4" t="str">
        <f>IF(Sales_Fact!$O930&gt;1000,"High","Low")</f>
        <v>High</v>
      </c>
      <c r="S930" s="4" t="str">
        <f>VLOOKUP(C930,Customer_Dim!$A:$N,9,FALSE())</f>
        <v>Antonio Leon</v>
      </c>
      <c r="T930" s="4" t="str">
        <f>VLOOKUP(D930,Product_Dim!$A:$M,3,FALSE())</f>
        <v>Beauty</v>
      </c>
      <c r="U930" s="11" t="str">
        <f>VLOOKUP(D930,Product_Dim!$A:$M,2,FALSE())</f>
        <v>Luxury Perfume Spray</v>
      </c>
      <c r="V930" s="11" t="str">
        <f>VLOOKUP(E930,Store_Dim!$A:$E,3,FALSE())</f>
        <v>South</v>
      </c>
      <c r="W930" s="11" t="str">
        <f>VLOOKUP(C930,Customer_Dim!$A:$N,13,FALSE())</f>
        <v>Bronze</v>
      </c>
      <c r="X930" s="11" t="str">
        <f t="shared" si="104"/>
        <v>High</v>
      </c>
    </row>
    <row r="931" spans="1:24" ht="15.75" customHeight="1">
      <c r="A931" s="4" t="s">
        <v>2927</v>
      </c>
      <c r="B931" s="9">
        <v>45842</v>
      </c>
      <c r="C931" s="4" t="s">
        <v>1156</v>
      </c>
      <c r="D931" s="4" t="s">
        <v>1732</v>
      </c>
      <c r="E931" s="4" t="s">
        <v>1931</v>
      </c>
      <c r="F931" s="4">
        <v>3</v>
      </c>
      <c r="G931" s="4">
        <v>56.17</v>
      </c>
      <c r="H931" s="4">
        <v>0.01</v>
      </c>
      <c r="I931" s="4" t="s">
        <v>2004</v>
      </c>
      <c r="J931" s="10">
        <v>166.82490000000001</v>
      </c>
      <c r="K931" s="4" t="str">
        <f t="shared" si="98"/>
        <v>04-07-2025</v>
      </c>
      <c r="L931" s="4" t="str">
        <f>TEXT(Sales_Fact!$B931,"mmm")</f>
        <v>Jul</v>
      </c>
      <c r="M931" s="4">
        <f t="shared" si="99"/>
        <v>3</v>
      </c>
      <c r="N931" s="10">
        <f t="shared" si="100"/>
        <v>56.17</v>
      </c>
      <c r="O931" s="10">
        <f t="shared" si="101"/>
        <v>166.82489999999999</v>
      </c>
      <c r="P931" s="10">
        <f t="shared" si="102"/>
        <v>168.51</v>
      </c>
      <c r="Q931" s="3">
        <f t="shared" si="103"/>
        <v>1.0000000000000033E-2</v>
      </c>
      <c r="R931" s="4" t="str">
        <f>IF(Sales_Fact!$O931&gt;1000,"High","Low")</f>
        <v>Low</v>
      </c>
      <c r="S931" s="4" t="str">
        <f>VLOOKUP(C931,Customer_Dim!$A:$N,9,FALSE())</f>
        <v>Denise Tate</v>
      </c>
      <c r="T931" s="4" t="str">
        <f>VLOOKUP(D931,Product_Dim!$A:$M,3,FALSE())</f>
        <v>Electronics</v>
      </c>
      <c r="U931" s="11" t="str">
        <f>VLOOKUP(D931,Product_Dim!$A:$M,2,FALSE())</f>
        <v>USB External Hard Drive</v>
      </c>
      <c r="V931" s="11" t="str">
        <f>VLOOKUP(E931,Store_Dim!$A:$E,3,FALSE())</f>
        <v>North</v>
      </c>
      <c r="W931" s="11" t="str">
        <f>VLOOKUP(C931,Customer_Dim!$A:$N,13,FALSE())</f>
        <v>Platinum</v>
      </c>
      <c r="X931" s="11" t="str">
        <f t="shared" si="104"/>
        <v>Low</v>
      </c>
    </row>
    <row r="932" spans="1:24" ht="15.75" customHeight="1">
      <c r="A932" s="4" t="s">
        <v>2928</v>
      </c>
      <c r="B932" s="9">
        <v>45862</v>
      </c>
      <c r="C932" s="4" t="s">
        <v>877</v>
      </c>
      <c r="D932" s="4" t="s">
        <v>1640</v>
      </c>
      <c r="E932" s="4" t="s">
        <v>1971</v>
      </c>
      <c r="F932" s="4">
        <v>1</v>
      </c>
      <c r="G932" s="4">
        <v>582.29</v>
      </c>
      <c r="H932" s="4">
        <v>0.2</v>
      </c>
      <c r="I932" s="4" t="s">
        <v>1996</v>
      </c>
      <c r="J932" s="10">
        <v>465.83199999999999</v>
      </c>
      <c r="K932" s="4" t="str">
        <f t="shared" si="98"/>
        <v>24-07-2025</v>
      </c>
      <c r="L932" s="4" t="str">
        <f>TEXT(Sales_Fact!$B932,"mmm")</f>
        <v>Jul</v>
      </c>
      <c r="M932" s="4">
        <f t="shared" si="99"/>
        <v>1</v>
      </c>
      <c r="N932" s="10">
        <f t="shared" si="100"/>
        <v>582.29</v>
      </c>
      <c r="O932" s="10">
        <f t="shared" si="101"/>
        <v>465.83199999999999</v>
      </c>
      <c r="P932" s="10">
        <f t="shared" si="102"/>
        <v>582.29</v>
      </c>
      <c r="Q932" s="3">
        <f t="shared" si="103"/>
        <v>0.19999999999999996</v>
      </c>
      <c r="R932" s="4" t="str">
        <f>IF(Sales_Fact!$O932&gt;1000,"High","Low")</f>
        <v>Low</v>
      </c>
      <c r="S932" s="4" t="str">
        <f>VLOOKUP(C932,Customer_Dim!$A:$N,9,FALSE())</f>
        <v>Cynthia Payne</v>
      </c>
      <c r="T932" s="4" t="str">
        <f>VLOOKUP(D932,Product_Dim!$A:$M,3,FALSE())</f>
        <v>Electronics</v>
      </c>
      <c r="U932" s="11" t="str">
        <f>VLOOKUP(D932,Product_Dim!$A:$M,2,FALSE())</f>
        <v>4K Home Projector</v>
      </c>
      <c r="V932" s="11" t="str">
        <f>VLOOKUP(E932,Store_Dim!$A:$E,3,FALSE())</f>
        <v>East</v>
      </c>
      <c r="W932" s="11" t="str">
        <f>VLOOKUP(C932,Customer_Dim!$A:$N,13,FALSE())</f>
        <v>Bronze</v>
      </c>
      <c r="X932" s="11" t="str">
        <f t="shared" si="104"/>
        <v>Low</v>
      </c>
    </row>
    <row r="933" spans="1:24" ht="15.75" customHeight="1">
      <c r="A933" s="4" t="s">
        <v>2929</v>
      </c>
      <c r="B933" s="9">
        <v>45681</v>
      </c>
      <c r="C933" s="4" t="s">
        <v>861</v>
      </c>
      <c r="D933" s="4" t="s">
        <v>1855</v>
      </c>
      <c r="E933" s="4" t="s">
        <v>1910</v>
      </c>
      <c r="F933" s="4">
        <v>3</v>
      </c>
      <c r="G933" s="4">
        <v>63.96</v>
      </c>
      <c r="H933" s="4">
        <v>0.02</v>
      </c>
      <c r="I933" s="4" t="s">
        <v>1996</v>
      </c>
      <c r="J933" s="10">
        <v>188.04239999999999</v>
      </c>
      <c r="K933" s="4" t="str">
        <f t="shared" si="98"/>
        <v>24-01-2025</v>
      </c>
      <c r="L933" s="4" t="str">
        <f>TEXT(Sales_Fact!$B933,"mmm")</f>
        <v>Jan</v>
      </c>
      <c r="M933" s="4">
        <f t="shared" si="99"/>
        <v>3</v>
      </c>
      <c r="N933" s="10">
        <f t="shared" si="100"/>
        <v>63.96</v>
      </c>
      <c r="O933" s="10">
        <f t="shared" si="101"/>
        <v>188.04239999999999</v>
      </c>
      <c r="P933" s="10">
        <f t="shared" si="102"/>
        <v>191.88</v>
      </c>
      <c r="Q933" s="3">
        <f t="shared" si="103"/>
        <v>2.0000000000000049E-2</v>
      </c>
      <c r="R933" s="4" t="str">
        <f>IF(Sales_Fact!$O933&gt;1000,"High","Low")</f>
        <v>Low</v>
      </c>
      <c r="S933" s="4" t="str">
        <f>VLOOKUP(C933,Customer_Dim!$A:$N,9,FALSE())</f>
        <v>Carol Bishop</v>
      </c>
      <c r="T933" s="4" t="str">
        <f>VLOOKUP(D933,Product_Dim!$A:$M,3,FALSE())</f>
        <v>Beauty</v>
      </c>
      <c r="U933" s="11" t="str">
        <f>VLOOKUP(D933,Product_Dim!$A:$M,2,FALSE())</f>
        <v>Hydrating Face Cleanser</v>
      </c>
      <c r="V933" s="11" t="str">
        <f>VLOOKUP(E933,Store_Dim!$A:$E,3,FALSE())</f>
        <v>East</v>
      </c>
      <c r="W933" s="11" t="str">
        <f>VLOOKUP(C933,Customer_Dim!$A:$N,13,FALSE())</f>
        <v>Silver</v>
      </c>
      <c r="X933" s="11" t="str">
        <f t="shared" si="104"/>
        <v>Low</v>
      </c>
    </row>
    <row r="934" spans="1:24" ht="15.75" customHeight="1">
      <c r="A934" s="4" t="s">
        <v>2930</v>
      </c>
      <c r="B934" s="9">
        <v>45392</v>
      </c>
      <c r="C934" s="4" t="s">
        <v>262</v>
      </c>
      <c r="D934" s="4" t="s">
        <v>1617</v>
      </c>
      <c r="E934" s="4" t="s">
        <v>1952</v>
      </c>
      <c r="F934" s="4">
        <v>1</v>
      </c>
      <c r="G934" s="4">
        <v>829.83</v>
      </c>
      <c r="H934" s="4">
        <v>0.26</v>
      </c>
      <c r="I934" s="4" t="s">
        <v>2004</v>
      </c>
      <c r="J934" s="10">
        <v>614.07420000000002</v>
      </c>
      <c r="K934" s="4" t="str">
        <f t="shared" si="98"/>
        <v>10-04-2024</v>
      </c>
      <c r="L934" s="4" t="str">
        <f>TEXT(Sales_Fact!$B934,"mmm")</f>
        <v>Apr</v>
      </c>
      <c r="M934" s="4">
        <f t="shared" si="99"/>
        <v>1</v>
      </c>
      <c r="N934" s="10">
        <f t="shared" si="100"/>
        <v>829.83</v>
      </c>
      <c r="O934" s="10">
        <f t="shared" si="101"/>
        <v>614.07420000000002</v>
      </c>
      <c r="P934" s="10">
        <f t="shared" si="102"/>
        <v>829.83</v>
      </c>
      <c r="Q934" s="3">
        <f t="shared" si="103"/>
        <v>0.26</v>
      </c>
      <c r="R934" s="4" t="str">
        <f>IF(Sales_Fact!$O934&gt;1000,"High","Low")</f>
        <v>Low</v>
      </c>
      <c r="S934" s="4" t="str">
        <f>VLOOKUP(C934,Customer_Dim!$A:$N,9,FALSE())</f>
        <v>Michael Thomas</v>
      </c>
      <c r="T934" s="4" t="str">
        <f>VLOOKUP(D934,Product_Dim!$A:$M,3,FALSE())</f>
        <v>Sports</v>
      </c>
      <c r="U934" s="11" t="str">
        <f>VLOOKUP(D934,Product_Dim!$A:$M,2,FALSE())</f>
        <v>Adjustable Dumbbell Set</v>
      </c>
      <c r="V934" s="11" t="str">
        <f>VLOOKUP(E934,Store_Dim!$A:$E,3,FALSE())</f>
        <v>North</v>
      </c>
      <c r="W934" s="11" t="str">
        <f>VLOOKUP(C934,Customer_Dim!$A:$N,13,FALSE())</f>
        <v>Silver</v>
      </c>
      <c r="X934" s="11" t="str">
        <f t="shared" si="104"/>
        <v>Low</v>
      </c>
    </row>
    <row r="935" spans="1:24" ht="15.75" customHeight="1">
      <c r="A935" s="4" t="s">
        <v>2931</v>
      </c>
      <c r="B935" s="9">
        <v>45586</v>
      </c>
      <c r="C935" s="4" t="s">
        <v>1186</v>
      </c>
      <c r="D935" s="4" t="s">
        <v>1703</v>
      </c>
      <c r="E935" s="4" t="s">
        <v>1962</v>
      </c>
      <c r="F935" s="4">
        <v>2</v>
      </c>
      <c r="G935" s="4">
        <v>858.15</v>
      </c>
      <c r="H935" s="4">
        <v>0.03</v>
      </c>
      <c r="I935" s="4" t="s">
        <v>1996</v>
      </c>
      <c r="J935" s="10">
        <v>1664.8109999999999</v>
      </c>
      <c r="K935" s="4" t="str">
        <f t="shared" si="98"/>
        <v>21-10-2024</v>
      </c>
      <c r="L935" s="4" t="str">
        <f>TEXT(Sales_Fact!$B935,"mmm")</f>
        <v>Oct</v>
      </c>
      <c r="M935" s="4">
        <f t="shared" si="99"/>
        <v>2</v>
      </c>
      <c r="N935" s="10">
        <f t="shared" si="100"/>
        <v>858.15</v>
      </c>
      <c r="O935" s="10">
        <f t="shared" si="101"/>
        <v>1664.8109999999999</v>
      </c>
      <c r="P935" s="10">
        <f t="shared" si="102"/>
        <v>1716.3</v>
      </c>
      <c r="Q935" s="3">
        <f t="shared" si="103"/>
        <v>3.000000000000002E-2</v>
      </c>
      <c r="R935" s="4" t="str">
        <f>IF(Sales_Fact!$O935&gt;1000,"High","Low")</f>
        <v>High</v>
      </c>
      <c r="S935" s="4" t="str">
        <f>VLOOKUP(C935,Customer_Dim!$A:$N,9,FALSE())</f>
        <v>James Holloway Jr.</v>
      </c>
      <c r="T935" s="4" t="str">
        <f>VLOOKUP(D935,Product_Dim!$A:$M,3,FALSE())</f>
        <v>Electronics</v>
      </c>
      <c r="U935" s="11" t="str">
        <f>VLOOKUP(D935,Product_Dim!$A:$M,2,FALSE())</f>
        <v>Gaming Mechanical Keyboard</v>
      </c>
      <c r="V935" s="11" t="str">
        <f>VLOOKUP(E935,Store_Dim!$A:$E,3,FALSE())</f>
        <v>West</v>
      </c>
      <c r="W935" s="11" t="str">
        <f>VLOOKUP(C935,Customer_Dim!$A:$N,13,FALSE())</f>
        <v>Silver</v>
      </c>
      <c r="X935" s="11" t="str">
        <f t="shared" si="104"/>
        <v>Low</v>
      </c>
    </row>
    <row r="936" spans="1:24" ht="15.75" customHeight="1">
      <c r="A936" s="4" t="s">
        <v>2932</v>
      </c>
      <c r="B936" s="9">
        <v>45340</v>
      </c>
      <c r="C936" s="4" t="s">
        <v>1153</v>
      </c>
      <c r="D936" s="4" t="s">
        <v>1825</v>
      </c>
      <c r="E936" s="4" t="s">
        <v>1955</v>
      </c>
      <c r="F936" s="4">
        <v>3</v>
      </c>
      <c r="G936" s="4">
        <v>717.32</v>
      </c>
      <c r="H936" s="4">
        <v>0.23</v>
      </c>
      <c r="I936" s="4" t="s">
        <v>2004</v>
      </c>
      <c r="J936" s="10">
        <v>1657.0092</v>
      </c>
      <c r="K936" s="4" t="str">
        <f t="shared" si="98"/>
        <v>18-02-2024</v>
      </c>
      <c r="L936" s="4" t="str">
        <f>TEXT(Sales_Fact!$B936,"mmm")</f>
        <v>Feb</v>
      </c>
      <c r="M936" s="4">
        <f t="shared" si="99"/>
        <v>3</v>
      </c>
      <c r="N936" s="10">
        <f t="shared" si="100"/>
        <v>717.32</v>
      </c>
      <c r="O936" s="10">
        <f t="shared" si="101"/>
        <v>1657.0092</v>
      </c>
      <c r="P936" s="10">
        <f t="shared" si="102"/>
        <v>2151.96</v>
      </c>
      <c r="Q936" s="3">
        <f t="shared" si="103"/>
        <v>0.23000000000000004</v>
      </c>
      <c r="R936" s="4" t="str">
        <f>IF(Sales_Fact!$O936&gt;1000,"High","Low")</f>
        <v>High</v>
      </c>
      <c r="S936" s="4" t="str">
        <f>VLOOKUP(C936,Customer_Dim!$A:$N,9,FALSE())</f>
        <v>Melanie Lam</v>
      </c>
      <c r="T936" s="4" t="str">
        <f>VLOOKUP(D936,Product_Dim!$A:$M,3,FALSE())</f>
        <v>Sports</v>
      </c>
      <c r="U936" s="11" t="str">
        <f>VLOOKUP(D936,Product_Dim!$A:$M,2,FALSE())</f>
        <v>Shin Guards – Adult</v>
      </c>
      <c r="V936" s="11" t="str">
        <f>VLOOKUP(E936,Store_Dim!$A:$E,3,FALSE())</f>
        <v>East</v>
      </c>
      <c r="W936" s="11" t="str">
        <f>VLOOKUP(C936,Customer_Dim!$A:$N,13,FALSE())</f>
        <v>Silver</v>
      </c>
      <c r="X936" s="11" t="str">
        <f t="shared" si="104"/>
        <v>Low</v>
      </c>
    </row>
    <row r="937" spans="1:24" ht="15.75" customHeight="1">
      <c r="A937" s="4" t="s">
        <v>2933</v>
      </c>
      <c r="B937" s="9">
        <v>45686</v>
      </c>
      <c r="C937" s="4" t="s">
        <v>1533</v>
      </c>
      <c r="D937" s="4" t="s">
        <v>1873</v>
      </c>
      <c r="E937" s="4" t="s">
        <v>1924</v>
      </c>
      <c r="F937" s="4">
        <v>1</v>
      </c>
      <c r="G937" s="4">
        <v>789.35</v>
      </c>
      <c r="H937" s="4">
        <v>0.14000000000000001</v>
      </c>
      <c r="I937" s="4" t="s">
        <v>1998</v>
      </c>
      <c r="J937" s="10">
        <v>678.84100000000001</v>
      </c>
      <c r="K937" s="4" t="str">
        <f t="shared" si="98"/>
        <v>29-01-2025</v>
      </c>
      <c r="L937" s="4" t="str">
        <f>TEXT(Sales_Fact!$B937,"mmm")</f>
        <v>Jan</v>
      </c>
      <c r="M937" s="4">
        <f t="shared" si="99"/>
        <v>1</v>
      </c>
      <c r="N937" s="10">
        <f t="shared" si="100"/>
        <v>789.35</v>
      </c>
      <c r="O937" s="10">
        <f t="shared" si="101"/>
        <v>678.84100000000001</v>
      </c>
      <c r="P937" s="10">
        <f t="shared" si="102"/>
        <v>789.35</v>
      </c>
      <c r="Q937" s="3">
        <f t="shared" si="103"/>
        <v>0.14000000000000001</v>
      </c>
      <c r="R937" s="4" t="str">
        <f>IF(Sales_Fact!$O937&gt;1000,"High","Low")</f>
        <v>Low</v>
      </c>
      <c r="S937" s="4" t="str">
        <f>VLOOKUP(C937,Customer_Dim!$A:$N,9,FALSE())</f>
        <v>Melinda Thomas</v>
      </c>
      <c r="T937" s="4" t="str">
        <f>VLOOKUP(D937,Product_Dim!$A:$M,3,FALSE())</f>
        <v>Beauty</v>
      </c>
      <c r="U937" s="11" t="str">
        <f>VLOOKUP(D937,Product_Dim!$A:$M,2,FALSE())</f>
        <v>Face Foundation Kit</v>
      </c>
      <c r="V937" s="11" t="str">
        <f>VLOOKUP(E937,Store_Dim!$A:$E,3,FALSE())</f>
        <v>North</v>
      </c>
      <c r="W937" s="11" t="str">
        <f>VLOOKUP(C937,Customer_Dim!$A:$N,13,FALSE())</f>
        <v>Silver</v>
      </c>
      <c r="X937" s="11" t="str">
        <f t="shared" si="104"/>
        <v>Low</v>
      </c>
    </row>
    <row r="938" spans="1:24" ht="15.75" customHeight="1">
      <c r="A938" s="4" t="s">
        <v>2934</v>
      </c>
      <c r="B938" s="9">
        <v>45853</v>
      </c>
      <c r="C938" s="4" t="s">
        <v>1357</v>
      </c>
      <c r="D938" s="4" t="s">
        <v>1855</v>
      </c>
      <c r="E938" s="4" t="s">
        <v>1952</v>
      </c>
      <c r="F938" s="4">
        <v>1</v>
      </c>
      <c r="G938" s="4">
        <v>163.19999999999999</v>
      </c>
      <c r="H938" s="4">
        <v>0.22</v>
      </c>
      <c r="I938" s="4" t="s">
        <v>1998</v>
      </c>
      <c r="J938" s="10">
        <v>127.29600000000001</v>
      </c>
      <c r="K938" s="4" t="str">
        <f t="shared" si="98"/>
        <v>15-07-2025</v>
      </c>
      <c r="L938" s="4" t="str">
        <f>TEXT(Sales_Fact!$B938,"mmm")</f>
        <v>Jul</v>
      </c>
      <c r="M938" s="4">
        <f t="shared" si="99"/>
        <v>1</v>
      </c>
      <c r="N938" s="10">
        <f t="shared" si="100"/>
        <v>163.19999999999999</v>
      </c>
      <c r="O938" s="10">
        <f t="shared" si="101"/>
        <v>127.29599999999999</v>
      </c>
      <c r="P938" s="10">
        <f t="shared" si="102"/>
        <v>163.19999999999999</v>
      </c>
      <c r="Q938" s="3">
        <f t="shared" si="103"/>
        <v>0.22</v>
      </c>
      <c r="R938" s="4" t="str">
        <f>IF(Sales_Fact!$O938&gt;1000,"High","Low")</f>
        <v>Low</v>
      </c>
      <c r="S938" s="4" t="str">
        <f>VLOOKUP(C938,Customer_Dim!$A:$N,9,FALSE())</f>
        <v>Samuel Mullins</v>
      </c>
      <c r="T938" s="4" t="str">
        <f>VLOOKUP(D938,Product_Dim!$A:$M,3,FALSE())</f>
        <v>Beauty</v>
      </c>
      <c r="U938" s="11" t="str">
        <f>VLOOKUP(D938,Product_Dim!$A:$M,2,FALSE())</f>
        <v>Hydrating Face Cleanser</v>
      </c>
      <c r="V938" s="11" t="str">
        <f>VLOOKUP(E938,Store_Dim!$A:$E,3,FALSE())</f>
        <v>North</v>
      </c>
      <c r="W938" s="11" t="str">
        <f>VLOOKUP(C938,Customer_Dim!$A:$N,13,FALSE())</f>
        <v>Bronze</v>
      </c>
      <c r="X938" s="11" t="str">
        <f t="shared" si="104"/>
        <v>Low</v>
      </c>
    </row>
    <row r="939" spans="1:24" ht="15.75" customHeight="1">
      <c r="A939" s="4" t="s">
        <v>2935</v>
      </c>
      <c r="B939" s="9">
        <v>45489</v>
      </c>
      <c r="C939" s="4" t="s">
        <v>457</v>
      </c>
      <c r="D939" s="4" t="s">
        <v>1849</v>
      </c>
      <c r="E939" s="4" t="s">
        <v>1952</v>
      </c>
      <c r="F939" s="4">
        <v>2</v>
      </c>
      <c r="G939" s="4">
        <v>966.71</v>
      </c>
      <c r="H939" s="4">
        <v>0.11</v>
      </c>
      <c r="I939" s="4" t="s">
        <v>1996</v>
      </c>
      <c r="J939" s="10">
        <v>1720.7438</v>
      </c>
      <c r="K939" s="4" t="str">
        <f t="shared" si="98"/>
        <v>16-07-2024</v>
      </c>
      <c r="L939" s="4" t="str">
        <f>TEXT(Sales_Fact!$B939,"mmm")</f>
        <v>Jul</v>
      </c>
      <c r="M939" s="4">
        <f t="shared" si="99"/>
        <v>2</v>
      </c>
      <c r="N939" s="10">
        <f t="shared" si="100"/>
        <v>966.71</v>
      </c>
      <c r="O939" s="10">
        <f t="shared" si="101"/>
        <v>1720.7438000000002</v>
      </c>
      <c r="P939" s="10">
        <f t="shared" si="102"/>
        <v>1933.42</v>
      </c>
      <c r="Q939" s="3">
        <f t="shared" si="103"/>
        <v>0.10999999999999993</v>
      </c>
      <c r="R939" s="4" t="str">
        <f>IF(Sales_Fact!$O939&gt;1000,"High","Low")</f>
        <v>High</v>
      </c>
      <c r="S939" s="4" t="str">
        <f>VLOOKUP(C939,Customer_Dim!$A:$N,9,FALSE())</f>
        <v>James Wolfe</v>
      </c>
      <c r="T939" s="4" t="str">
        <f>VLOOKUP(D939,Product_Dim!$A:$M,3,FALSE())</f>
        <v>Sports</v>
      </c>
      <c r="U939" s="11" t="str">
        <f>VLOOKUP(D939,Product_Dim!$A:$M,2,FALSE())</f>
        <v>Badminton Racket Set</v>
      </c>
      <c r="V939" s="11" t="str">
        <f>VLOOKUP(E939,Store_Dim!$A:$E,3,FALSE())</f>
        <v>North</v>
      </c>
      <c r="W939" s="11" t="str">
        <f>VLOOKUP(C939,Customer_Dim!$A:$N,13,FALSE())</f>
        <v>Gold</v>
      </c>
      <c r="X939" s="11" t="str">
        <f t="shared" si="104"/>
        <v>Low</v>
      </c>
    </row>
    <row r="940" spans="1:24" ht="15.75" customHeight="1">
      <c r="A940" s="4" t="s">
        <v>2936</v>
      </c>
      <c r="B940" s="9">
        <v>45761</v>
      </c>
      <c r="C940" s="4" t="s">
        <v>1120</v>
      </c>
      <c r="D940" s="4" t="s">
        <v>1706</v>
      </c>
      <c r="E940" s="4" t="s">
        <v>1955</v>
      </c>
      <c r="F940" s="4">
        <v>2</v>
      </c>
      <c r="G940" s="4">
        <v>873.94</v>
      </c>
      <c r="H940" s="4">
        <v>0.14000000000000001</v>
      </c>
      <c r="I940" s="4" t="s">
        <v>2004</v>
      </c>
      <c r="J940" s="10">
        <v>1503.1768</v>
      </c>
      <c r="K940" s="4" t="str">
        <f t="shared" si="98"/>
        <v>14-04-2025</v>
      </c>
      <c r="L940" s="4" t="str">
        <f>TEXT(Sales_Fact!$B940,"mmm")</f>
        <v>Apr</v>
      </c>
      <c r="M940" s="4">
        <f t="shared" si="99"/>
        <v>2</v>
      </c>
      <c r="N940" s="10">
        <f t="shared" si="100"/>
        <v>873.94</v>
      </c>
      <c r="O940" s="10">
        <f t="shared" si="101"/>
        <v>1503.1768</v>
      </c>
      <c r="P940" s="10">
        <f t="shared" si="102"/>
        <v>1747.88</v>
      </c>
      <c r="Q940" s="3">
        <f t="shared" si="103"/>
        <v>0.14000000000000007</v>
      </c>
      <c r="R940" s="4" t="str">
        <f>IF(Sales_Fact!$O940&gt;1000,"High","Low")</f>
        <v>High</v>
      </c>
      <c r="S940" s="4" t="str">
        <f>VLOOKUP(C940,Customer_Dim!$A:$N,9,FALSE())</f>
        <v>Sherry Cabrera</v>
      </c>
      <c r="T940" s="4" t="str">
        <f>VLOOKUP(D940,Product_Dim!$A:$M,3,FALSE())</f>
        <v>Home</v>
      </c>
      <c r="U940" s="11" t="str">
        <f>VLOOKUP(D940,Product_Dim!$A:$M,2,FALSE())</f>
        <v>Bedroom Table Lamp</v>
      </c>
      <c r="V940" s="11" t="str">
        <f>VLOOKUP(E940,Store_Dim!$A:$E,3,FALSE())</f>
        <v>East</v>
      </c>
      <c r="W940" s="11" t="str">
        <f>VLOOKUP(C940,Customer_Dim!$A:$N,13,FALSE())</f>
        <v>Silver</v>
      </c>
      <c r="X940" s="11" t="str">
        <f t="shared" si="104"/>
        <v>Low</v>
      </c>
    </row>
    <row r="941" spans="1:24" ht="15.75" customHeight="1">
      <c r="A941" s="4" t="s">
        <v>2937</v>
      </c>
      <c r="B941" s="9">
        <v>45379</v>
      </c>
      <c r="C941" s="4" t="s">
        <v>526</v>
      </c>
      <c r="D941" s="4" t="s">
        <v>1578</v>
      </c>
      <c r="E941" s="4" t="s">
        <v>1924</v>
      </c>
      <c r="F941" s="4">
        <v>1</v>
      </c>
      <c r="G941" s="4">
        <v>140.24</v>
      </c>
      <c r="H941" s="4">
        <v>0.27</v>
      </c>
      <c r="I941" s="4" t="s">
        <v>1996</v>
      </c>
      <c r="J941" s="10">
        <v>102.37520000000001</v>
      </c>
      <c r="K941" s="4" t="str">
        <f t="shared" si="98"/>
        <v>28-03-2024</v>
      </c>
      <c r="L941" s="4" t="str">
        <f>TEXT(Sales_Fact!$B941,"mmm")</f>
        <v>Mar</v>
      </c>
      <c r="M941" s="4">
        <f t="shared" si="99"/>
        <v>1</v>
      </c>
      <c r="N941" s="10">
        <f t="shared" si="100"/>
        <v>140.24</v>
      </c>
      <c r="O941" s="10">
        <f t="shared" si="101"/>
        <v>102.37520000000001</v>
      </c>
      <c r="P941" s="10">
        <f t="shared" si="102"/>
        <v>140.24</v>
      </c>
      <c r="Q941" s="3">
        <f t="shared" si="103"/>
        <v>0.27</v>
      </c>
      <c r="R941" s="4" t="str">
        <f>IF(Sales_Fact!$O941&gt;1000,"High","Low")</f>
        <v>Low</v>
      </c>
      <c r="S941" s="4" t="str">
        <f>VLOOKUP(C941,Customer_Dim!$A:$N,9,FALSE())</f>
        <v>Denise Griffin</v>
      </c>
      <c r="T941" s="4" t="str">
        <f>VLOOKUP(D941,Product_Dim!$A:$M,3,FALSE())</f>
        <v>Electronics</v>
      </c>
      <c r="U941" s="11" t="str">
        <f>VLOOKUP(D941,Product_Dim!$A:$M,2,FALSE())</f>
        <v>Brother Laser Printer</v>
      </c>
      <c r="V941" s="11" t="str">
        <f>VLOOKUP(E941,Store_Dim!$A:$E,3,FALSE())</f>
        <v>North</v>
      </c>
      <c r="W941" s="11" t="str">
        <f>VLOOKUP(C941,Customer_Dim!$A:$N,13,FALSE())</f>
        <v>Platinum</v>
      </c>
      <c r="X941" s="11" t="str">
        <f t="shared" si="104"/>
        <v>Low</v>
      </c>
    </row>
    <row r="942" spans="1:24" ht="15.75" customHeight="1">
      <c r="A942" s="4" t="s">
        <v>2938</v>
      </c>
      <c r="B942" s="9">
        <v>45716</v>
      </c>
      <c r="C942" s="4" t="s">
        <v>682</v>
      </c>
      <c r="D942" s="4" t="s">
        <v>1732</v>
      </c>
      <c r="E942" s="4" t="s">
        <v>1931</v>
      </c>
      <c r="F942" s="4">
        <v>2</v>
      </c>
      <c r="G942" s="4">
        <v>549.91999999999996</v>
      </c>
      <c r="H942" s="4">
        <v>0.28000000000000003</v>
      </c>
      <c r="I942" s="4" t="s">
        <v>1996</v>
      </c>
      <c r="J942" s="10">
        <v>791.88480000000004</v>
      </c>
      <c r="K942" s="4" t="str">
        <f t="shared" si="98"/>
        <v>28-02-2025</v>
      </c>
      <c r="L942" s="4" t="str">
        <f>TEXT(Sales_Fact!$B942,"mmm")</f>
        <v>Feb</v>
      </c>
      <c r="M942" s="4">
        <f t="shared" si="99"/>
        <v>2</v>
      </c>
      <c r="N942" s="10">
        <f t="shared" si="100"/>
        <v>549.91999999999996</v>
      </c>
      <c r="O942" s="10">
        <f t="shared" si="101"/>
        <v>791.88479999999993</v>
      </c>
      <c r="P942" s="10">
        <f t="shared" si="102"/>
        <v>1099.8399999999999</v>
      </c>
      <c r="Q942" s="3">
        <f t="shared" si="103"/>
        <v>0.28000000000000003</v>
      </c>
      <c r="R942" s="4" t="str">
        <f>IF(Sales_Fact!$O942&gt;1000,"High","Low")</f>
        <v>Low</v>
      </c>
      <c r="S942" s="4" t="str">
        <f>VLOOKUP(C942,Customer_Dim!$A:$N,9,FALSE())</f>
        <v>Mary Boyd</v>
      </c>
      <c r="T942" s="4" t="str">
        <f>VLOOKUP(D942,Product_Dim!$A:$M,3,FALSE())</f>
        <v>Electronics</v>
      </c>
      <c r="U942" s="11" t="str">
        <f>VLOOKUP(D942,Product_Dim!$A:$M,2,FALSE())</f>
        <v>USB External Hard Drive</v>
      </c>
      <c r="V942" s="11" t="str">
        <f>VLOOKUP(E942,Store_Dim!$A:$E,3,FALSE())</f>
        <v>North</v>
      </c>
      <c r="W942" s="11" t="str">
        <f>VLOOKUP(C942,Customer_Dim!$A:$N,13,FALSE())</f>
        <v>Bronze</v>
      </c>
      <c r="X942" s="11" t="str">
        <f t="shared" si="104"/>
        <v>Low</v>
      </c>
    </row>
    <row r="943" spans="1:24" ht="15.75" customHeight="1">
      <c r="A943" s="4" t="s">
        <v>2939</v>
      </c>
      <c r="B943" s="9">
        <v>45364</v>
      </c>
      <c r="C943" s="4" t="s">
        <v>411</v>
      </c>
      <c r="D943" s="4" t="s">
        <v>1648</v>
      </c>
      <c r="E943" s="4" t="s">
        <v>1931</v>
      </c>
      <c r="F943" s="4">
        <v>4</v>
      </c>
      <c r="G943" s="4">
        <v>715.88</v>
      </c>
      <c r="H943" s="4">
        <v>0.19</v>
      </c>
      <c r="I943" s="4" t="s">
        <v>1998</v>
      </c>
      <c r="J943" s="10">
        <v>2319.4512</v>
      </c>
      <c r="K943" s="4" t="str">
        <f t="shared" si="98"/>
        <v>13-03-2024</v>
      </c>
      <c r="L943" s="4" t="str">
        <f>TEXT(Sales_Fact!$B943,"mmm")</f>
        <v>Mar</v>
      </c>
      <c r="M943" s="4">
        <f t="shared" si="99"/>
        <v>4</v>
      </c>
      <c r="N943" s="10">
        <f t="shared" si="100"/>
        <v>715.88</v>
      </c>
      <c r="O943" s="10">
        <f t="shared" si="101"/>
        <v>2319.4512</v>
      </c>
      <c r="P943" s="10">
        <f t="shared" si="102"/>
        <v>2863.52</v>
      </c>
      <c r="Q943" s="3">
        <f t="shared" si="103"/>
        <v>0.19</v>
      </c>
      <c r="R943" s="4" t="str">
        <f>IF(Sales_Fact!$O943&gt;1000,"High","Low")</f>
        <v>High</v>
      </c>
      <c r="S943" s="4" t="str">
        <f>VLOOKUP(C943,Customer_Dim!$A:$N,9,FALSE())</f>
        <v>Julie Farmer</v>
      </c>
      <c r="T943" s="4" t="str">
        <f>VLOOKUP(D943,Product_Dim!$A:$M,3,FALSE())</f>
        <v>Sports</v>
      </c>
      <c r="U943" s="11" t="str">
        <f>VLOOKUP(D943,Product_Dim!$A:$M,2,FALSE())</f>
        <v>Soccer Training Cone Set</v>
      </c>
      <c r="V943" s="11" t="str">
        <f>VLOOKUP(E943,Store_Dim!$A:$E,3,FALSE())</f>
        <v>North</v>
      </c>
      <c r="W943" s="11" t="str">
        <f>VLOOKUP(C943,Customer_Dim!$A:$N,13,FALSE())</f>
        <v>Platinum</v>
      </c>
      <c r="X943" s="11" t="str">
        <f t="shared" si="104"/>
        <v>High</v>
      </c>
    </row>
    <row r="944" spans="1:24" ht="15.75" customHeight="1">
      <c r="A944" s="4" t="s">
        <v>2940</v>
      </c>
      <c r="B944" s="9">
        <v>45752</v>
      </c>
      <c r="C944" s="4" t="s">
        <v>1189</v>
      </c>
      <c r="D944" s="4" t="s">
        <v>1588</v>
      </c>
      <c r="E944" s="4" t="s">
        <v>1940</v>
      </c>
      <c r="F944" s="4">
        <v>3</v>
      </c>
      <c r="G944" s="4">
        <v>591.9</v>
      </c>
      <c r="H944" s="4">
        <v>0.27</v>
      </c>
      <c r="I944" s="4" t="s">
        <v>1996</v>
      </c>
      <c r="J944" s="10">
        <v>1296.261</v>
      </c>
      <c r="K944" s="4" t="str">
        <f t="shared" si="98"/>
        <v>05-04-2025</v>
      </c>
      <c r="L944" s="4" t="str">
        <f>TEXT(Sales_Fact!$B944,"mmm")</f>
        <v>Apr</v>
      </c>
      <c r="M944" s="4">
        <f t="shared" si="99"/>
        <v>3</v>
      </c>
      <c r="N944" s="10">
        <f t="shared" si="100"/>
        <v>591.9</v>
      </c>
      <c r="O944" s="10">
        <f t="shared" si="101"/>
        <v>1296.2609999999997</v>
      </c>
      <c r="P944" s="10">
        <f t="shared" si="102"/>
        <v>1775.6999999999998</v>
      </c>
      <c r="Q944" s="3">
        <f t="shared" si="103"/>
        <v>0.27000000000000007</v>
      </c>
      <c r="R944" s="4" t="str">
        <f>IF(Sales_Fact!$O944&gt;1000,"High","Low")</f>
        <v>High</v>
      </c>
      <c r="S944" s="4" t="str">
        <f>VLOOKUP(C944,Customer_Dim!$A:$N,9,FALSE())</f>
        <v>Michael Garner</v>
      </c>
      <c r="T944" s="4" t="str">
        <f>VLOOKUP(D944,Product_Dim!$A:$M,3,FALSE())</f>
        <v>Clothing</v>
      </c>
      <c r="U944" s="11" t="str">
        <f>VLOOKUP(D944,Product_Dim!$A:$M,2,FALSE())</f>
        <v>Women's Casual Hoodie</v>
      </c>
      <c r="V944" s="11" t="str">
        <f>VLOOKUP(E944,Store_Dim!$A:$E,3,FALSE())</f>
        <v>West</v>
      </c>
      <c r="W944" s="11" t="str">
        <f>VLOOKUP(C944,Customer_Dim!$A:$N,13,FALSE())</f>
        <v>Platinum</v>
      </c>
      <c r="X944" s="11" t="str">
        <f t="shared" si="104"/>
        <v>Low</v>
      </c>
    </row>
    <row r="945" spans="1:24" ht="15.75" customHeight="1">
      <c r="A945" s="4" t="s">
        <v>2941</v>
      </c>
      <c r="B945" s="9">
        <v>45883</v>
      </c>
      <c r="C945" s="4" t="s">
        <v>1201</v>
      </c>
      <c r="D945" s="4" t="s">
        <v>1665</v>
      </c>
      <c r="E945" s="4" t="s">
        <v>1947</v>
      </c>
      <c r="F945" s="4">
        <v>2</v>
      </c>
      <c r="G945" s="4">
        <v>523.14</v>
      </c>
      <c r="H945" s="4">
        <v>0.13</v>
      </c>
      <c r="I945" s="4" t="s">
        <v>1998</v>
      </c>
      <c r="J945" s="10">
        <v>910.2636</v>
      </c>
      <c r="K945" s="4" t="str">
        <f t="shared" si="98"/>
        <v>14-08-2025</v>
      </c>
      <c r="L945" s="4" t="str">
        <f>TEXT(Sales_Fact!$B945,"mmm")</f>
        <v>Aug</v>
      </c>
      <c r="M945" s="4">
        <f t="shared" si="99"/>
        <v>2</v>
      </c>
      <c r="N945" s="10">
        <f t="shared" si="100"/>
        <v>523.14</v>
      </c>
      <c r="O945" s="10">
        <f t="shared" si="101"/>
        <v>910.2636</v>
      </c>
      <c r="P945" s="10">
        <f t="shared" si="102"/>
        <v>1046.28</v>
      </c>
      <c r="Q945" s="3">
        <f t="shared" si="103"/>
        <v>0.12999999999999998</v>
      </c>
      <c r="R945" s="4" t="str">
        <f>IF(Sales_Fact!$O945&gt;1000,"High","Low")</f>
        <v>Low</v>
      </c>
      <c r="S945" s="4" t="str">
        <f>VLOOKUP(C945,Customer_Dim!$A:$N,9,FALSE())</f>
        <v>Joshua Bell</v>
      </c>
      <c r="T945" s="4" t="str">
        <f>VLOOKUP(D945,Product_Dim!$A:$M,3,FALSE())</f>
        <v>Sports</v>
      </c>
      <c r="U945" s="11" t="str">
        <f>VLOOKUP(D945,Product_Dim!$A:$M,2,FALSE())</f>
        <v>Carbon Fiber Tennis Racket</v>
      </c>
      <c r="V945" s="11" t="str">
        <f>VLOOKUP(E945,Store_Dim!$A:$E,3,FALSE())</f>
        <v>East</v>
      </c>
      <c r="W945" s="11" t="str">
        <f>VLOOKUP(C945,Customer_Dim!$A:$N,13,FALSE())</f>
        <v>Platinum</v>
      </c>
      <c r="X945" s="11" t="str">
        <f t="shared" si="104"/>
        <v>Low</v>
      </c>
    </row>
    <row r="946" spans="1:24" ht="15.75" customHeight="1">
      <c r="A946" s="4" t="s">
        <v>2942</v>
      </c>
      <c r="B946" s="9">
        <v>45477</v>
      </c>
      <c r="C946" s="4" t="s">
        <v>758</v>
      </c>
      <c r="D946" s="4" t="s">
        <v>1813</v>
      </c>
      <c r="E946" s="4" t="s">
        <v>1957</v>
      </c>
      <c r="F946" s="4">
        <v>2</v>
      </c>
      <c r="G946" s="4">
        <v>478.62</v>
      </c>
      <c r="H946" s="4">
        <v>0.17</v>
      </c>
      <c r="I946" s="4" t="s">
        <v>2004</v>
      </c>
      <c r="J946" s="10">
        <v>794.50919999999996</v>
      </c>
      <c r="K946" s="4" t="str">
        <f t="shared" si="98"/>
        <v>04-07-2024</v>
      </c>
      <c r="L946" s="4" t="str">
        <f>TEXT(Sales_Fact!$B946,"mmm")</f>
        <v>Jul</v>
      </c>
      <c r="M946" s="4">
        <f t="shared" si="99"/>
        <v>2</v>
      </c>
      <c r="N946" s="10">
        <f t="shared" si="100"/>
        <v>478.62</v>
      </c>
      <c r="O946" s="10">
        <f t="shared" si="101"/>
        <v>794.50919999999996</v>
      </c>
      <c r="P946" s="10">
        <f t="shared" si="102"/>
        <v>957.24</v>
      </c>
      <c r="Q946" s="3">
        <f t="shared" si="103"/>
        <v>0.17000000000000004</v>
      </c>
      <c r="R946" s="4" t="str">
        <f>IF(Sales_Fact!$O946&gt;1000,"High","Low")</f>
        <v>Low</v>
      </c>
      <c r="S946" s="4" t="str">
        <f>VLOOKUP(C946,Customer_Dim!$A:$N,9,FALSE())</f>
        <v>Alexis Castaneda</v>
      </c>
      <c r="T946" s="4" t="str">
        <f>VLOOKUP(D946,Product_Dim!$A:$M,3,FALSE())</f>
        <v>Clothing</v>
      </c>
      <c r="U946" s="11" t="str">
        <f>VLOOKUP(D946,Product_Dim!$A:$M,2,FALSE())</f>
        <v>Men's Sports Shorts</v>
      </c>
      <c r="V946" s="11" t="str">
        <f>VLOOKUP(E946,Store_Dim!$A:$E,3,FALSE())</f>
        <v>South</v>
      </c>
      <c r="W946" s="11" t="str">
        <f>VLOOKUP(C946,Customer_Dim!$A:$N,13,FALSE())</f>
        <v>Gold</v>
      </c>
      <c r="X946" s="11" t="str">
        <f t="shared" si="104"/>
        <v>Low</v>
      </c>
    </row>
    <row r="947" spans="1:24" ht="15.75" customHeight="1">
      <c r="A947" s="4" t="s">
        <v>2943</v>
      </c>
      <c r="B947" s="9">
        <v>45556</v>
      </c>
      <c r="C947" s="4" t="s">
        <v>973</v>
      </c>
      <c r="D947" s="4" t="s">
        <v>1852</v>
      </c>
      <c r="E947" s="4" t="s">
        <v>1915</v>
      </c>
      <c r="F947" s="4">
        <v>4</v>
      </c>
      <c r="G947" s="4">
        <v>740.5</v>
      </c>
      <c r="H947" s="4">
        <v>0.17</v>
      </c>
      <c r="I947" s="4" t="s">
        <v>1998</v>
      </c>
      <c r="J947" s="10">
        <v>2458.46</v>
      </c>
      <c r="K947" s="4" t="str">
        <f t="shared" si="98"/>
        <v>21-09-2024</v>
      </c>
      <c r="L947" s="4" t="str">
        <f>TEXT(Sales_Fact!$B947,"mmm")</f>
        <v>Sep</v>
      </c>
      <c r="M947" s="4">
        <f t="shared" si="99"/>
        <v>4</v>
      </c>
      <c r="N947" s="10">
        <f t="shared" si="100"/>
        <v>740.5</v>
      </c>
      <c r="O947" s="10">
        <f t="shared" si="101"/>
        <v>2458.46</v>
      </c>
      <c r="P947" s="10">
        <f t="shared" si="102"/>
        <v>2962</v>
      </c>
      <c r="Q947" s="3">
        <f t="shared" si="103"/>
        <v>0.16999999999999998</v>
      </c>
      <c r="R947" s="4" t="str">
        <f>IF(Sales_Fact!$O947&gt;1000,"High","Low")</f>
        <v>High</v>
      </c>
      <c r="S947" s="4" t="str">
        <f>VLOOKUP(C947,Customer_Dim!$A:$N,9,FALSE())</f>
        <v>Stephanie Jacobs</v>
      </c>
      <c r="T947" s="4" t="str">
        <f>VLOOKUP(D947,Product_Dim!$A:$M,3,FALSE())</f>
        <v>Sports</v>
      </c>
      <c r="U947" s="11" t="str">
        <f>VLOOKUP(D947,Product_Dim!$A:$M,2,FALSE())</f>
        <v>Fitness Resistance Bands</v>
      </c>
      <c r="V947" s="11" t="str">
        <f>VLOOKUP(E947,Store_Dim!$A:$E,3,FALSE())</f>
        <v>North</v>
      </c>
      <c r="W947" s="11" t="str">
        <f>VLOOKUP(C947,Customer_Dim!$A:$N,13,FALSE())</f>
        <v>Platinum</v>
      </c>
      <c r="X947" s="11" t="str">
        <f t="shared" si="104"/>
        <v>High</v>
      </c>
    </row>
    <row r="948" spans="1:24" ht="15.75" customHeight="1">
      <c r="A948" s="4" t="s">
        <v>2944</v>
      </c>
      <c r="B948" s="9">
        <v>45354</v>
      </c>
      <c r="C948" s="4" t="s">
        <v>1357</v>
      </c>
      <c r="D948" s="4" t="s">
        <v>1794</v>
      </c>
      <c r="E948" s="4" t="s">
        <v>1924</v>
      </c>
      <c r="F948" s="4">
        <v>3</v>
      </c>
      <c r="G948" s="4">
        <v>476.78</v>
      </c>
      <c r="H948" s="4">
        <v>0.09</v>
      </c>
      <c r="I948" s="4" t="s">
        <v>2004</v>
      </c>
      <c r="J948" s="10">
        <v>1301.6094000000001</v>
      </c>
      <c r="K948" s="4" t="str">
        <f t="shared" si="98"/>
        <v>03-03-2024</v>
      </c>
      <c r="L948" s="4" t="str">
        <f>TEXT(Sales_Fact!$B948,"mmm")</f>
        <v>Mar</v>
      </c>
      <c r="M948" s="4">
        <f t="shared" si="99"/>
        <v>3</v>
      </c>
      <c r="N948" s="10">
        <f t="shared" si="100"/>
        <v>476.78</v>
      </c>
      <c r="O948" s="10">
        <f t="shared" si="101"/>
        <v>1301.6094000000001</v>
      </c>
      <c r="P948" s="10">
        <f t="shared" si="102"/>
        <v>1430.34</v>
      </c>
      <c r="Q948" s="3">
        <f t="shared" si="103"/>
        <v>8.9999999999999913E-2</v>
      </c>
      <c r="R948" s="4" t="str">
        <f>IF(Sales_Fact!$O948&gt;1000,"High","Low")</f>
        <v>High</v>
      </c>
      <c r="S948" s="4" t="str">
        <f>VLOOKUP(C948,Customer_Dim!$A:$N,9,FALSE())</f>
        <v>Samuel Mullins</v>
      </c>
      <c r="T948" s="4" t="str">
        <f>VLOOKUP(D948,Product_Dim!$A:$M,3,FALSE())</f>
        <v>Beauty</v>
      </c>
      <c r="U948" s="11" t="str">
        <f>VLOOKUP(D948,Product_Dim!$A:$M,2,FALSE())</f>
        <v>Organic Sunscreen Lotion</v>
      </c>
      <c r="V948" s="11" t="str">
        <f>VLOOKUP(E948,Store_Dim!$A:$E,3,FALSE())</f>
        <v>North</v>
      </c>
      <c r="W948" s="11" t="str">
        <f>VLOOKUP(C948,Customer_Dim!$A:$N,13,FALSE())</f>
        <v>Bronze</v>
      </c>
      <c r="X948" s="11" t="str">
        <f t="shared" si="104"/>
        <v>Low</v>
      </c>
    </row>
    <row r="949" spans="1:24" ht="15.75" customHeight="1">
      <c r="A949" s="4" t="s">
        <v>2945</v>
      </c>
      <c r="B949" s="9">
        <v>45465</v>
      </c>
      <c r="C949" s="4" t="s">
        <v>414</v>
      </c>
      <c r="D949" s="4" t="s">
        <v>1741</v>
      </c>
      <c r="E949" s="4" t="s">
        <v>1919</v>
      </c>
      <c r="F949" s="4">
        <v>1</v>
      </c>
      <c r="G949" s="4">
        <v>780.24</v>
      </c>
      <c r="H949" s="4">
        <v>0.04</v>
      </c>
      <c r="I949" s="4" t="s">
        <v>2004</v>
      </c>
      <c r="J949" s="10">
        <v>749.03039999999999</v>
      </c>
      <c r="K949" s="4" t="str">
        <f t="shared" si="98"/>
        <v>22-06-2024</v>
      </c>
      <c r="L949" s="4" t="str">
        <f>TEXT(Sales_Fact!$B949,"mmm")</f>
        <v>Jun</v>
      </c>
      <c r="M949" s="4">
        <f t="shared" si="99"/>
        <v>1</v>
      </c>
      <c r="N949" s="10">
        <f t="shared" si="100"/>
        <v>780.24</v>
      </c>
      <c r="O949" s="10">
        <f t="shared" si="101"/>
        <v>749.03039999999999</v>
      </c>
      <c r="P949" s="10">
        <f t="shared" si="102"/>
        <v>780.24</v>
      </c>
      <c r="Q949" s="3">
        <f t="shared" si="103"/>
        <v>4.0000000000000029E-2</v>
      </c>
      <c r="R949" s="4" t="str">
        <f>IF(Sales_Fact!$O949&gt;1000,"High","Low")</f>
        <v>Low</v>
      </c>
      <c r="S949" s="4" t="str">
        <f>VLOOKUP(C949,Customer_Dim!$A:$N,9,FALSE())</f>
        <v>David Cole</v>
      </c>
      <c r="T949" s="4" t="str">
        <f>VLOOKUP(D949,Product_Dim!$A:$M,3,FALSE())</f>
        <v>Clothing</v>
      </c>
      <c r="U949" s="11" t="str">
        <f>VLOOKUP(D949,Product_Dim!$A:$M,2,FALSE())</f>
        <v>Men's Winter Jacket</v>
      </c>
      <c r="V949" s="11" t="str">
        <f>VLOOKUP(E949,Store_Dim!$A:$E,3,FALSE())</f>
        <v>South</v>
      </c>
      <c r="W949" s="11" t="str">
        <f>VLOOKUP(C949,Customer_Dim!$A:$N,13,FALSE())</f>
        <v>Silver</v>
      </c>
      <c r="X949" s="11" t="str">
        <f t="shared" si="104"/>
        <v>Low</v>
      </c>
    </row>
    <row r="950" spans="1:24" ht="15.75" customHeight="1">
      <c r="A950" s="4" t="s">
        <v>2946</v>
      </c>
      <c r="B950" s="9">
        <v>45552</v>
      </c>
      <c r="C950" s="4" t="s">
        <v>399</v>
      </c>
      <c r="D950" s="4" t="s">
        <v>1816</v>
      </c>
      <c r="E950" s="4" t="s">
        <v>1962</v>
      </c>
      <c r="F950" s="4">
        <v>4</v>
      </c>
      <c r="G950" s="4">
        <v>579.24</v>
      </c>
      <c r="H950" s="4">
        <v>0.04</v>
      </c>
      <c r="I950" s="4" t="s">
        <v>2004</v>
      </c>
      <c r="J950" s="10">
        <v>2224.2815999999998</v>
      </c>
      <c r="K950" s="4" t="str">
        <f t="shared" si="98"/>
        <v>17-09-2024</v>
      </c>
      <c r="L950" s="4" t="str">
        <f>TEXT(Sales_Fact!$B950,"mmm")</f>
        <v>Sep</v>
      </c>
      <c r="M950" s="4">
        <f t="shared" si="99"/>
        <v>4</v>
      </c>
      <c r="N950" s="10">
        <f t="shared" si="100"/>
        <v>579.24</v>
      </c>
      <c r="O950" s="10">
        <f t="shared" si="101"/>
        <v>2224.2815999999998</v>
      </c>
      <c r="P950" s="10">
        <f t="shared" si="102"/>
        <v>2316.96</v>
      </c>
      <c r="Q950" s="3">
        <f t="shared" si="103"/>
        <v>4.0000000000000105E-2</v>
      </c>
      <c r="R950" s="4" t="str">
        <f>IF(Sales_Fact!$O950&gt;1000,"High","Low")</f>
        <v>High</v>
      </c>
      <c r="S950" s="4" t="str">
        <f>VLOOKUP(C950,Customer_Dim!$A:$N,9,FALSE())</f>
        <v>Erica Carney</v>
      </c>
      <c r="T950" s="4" t="str">
        <f>VLOOKUP(D950,Product_Dim!$A:$M,3,FALSE())</f>
        <v>Home</v>
      </c>
      <c r="U950" s="11" t="str">
        <f>VLOOKUP(D950,Product_Dim!$A:$M,2,FALSE())</f>
        <v>Kitchen Storage Rack</v>
      </c>
      <c r="V950" s="11" t="str">
        <f>VLOOKUP(E950,Store_Dim!$A:$E,3,FALSE())</f>
        <v>West</v>
      </c>
      <c r="W950" s="11" t="str">
        <f>VLOOKUP(C950,Customer_Dim!$A:$N,13,FALSE())</f>
        <v>Platinum</v>
      </c>
      <c r="X950" s="11" t="str">
        <f t="shared" si="104"/>
        <v>High</v>
      </c>
    </row>
    <row r="951" spans="1:24" ht="15.75" customHeight="1">
      <c r="A951" s="4" t="s">
        <v>2947</v>
      </c>
      <c r="B951" s="9">
        <v>45635</v>
      </c>
      <c r="C951" s="4" t="s">
        <v>1189</v>
      </c>
      <c r="D951" s="4" t="s">
        <v>1583</v>
      </c>
      <c r="E951" s="4" t="s">
        <v>1919</v>
      </c>
      <c r="F951" s="4">
        <v>3</v>
      </c>
      <c r="G951" s="4">
        <v>268.95</v>
      </c>
      <c r="H951" s="4">
        <v>0.04</v>
      </c>
      <c r="I951" s="4" t="s">
        <v>1998</v>
      </c>
      <c r="J951" s="10">
        <v>774.57600000000002</v>
      </c>
      <c r="K951" s="4" t="str">
        <f t="shared" si="98"/>
        <v>09-12-2024</v>
      </c>
      <c r="L951" s="4" t="str">
        <f>TEXT(Sales_Fact!$B951,"mmm")</f>
        <v>Dec</v>
      </c>
      <c r="M951" s="4">
        <f t="shared" si="99"/>
        <v>3</v>
      </c>
      <c r="N951" s="10">
        <f t="shared" si="100"/>
        <v>268.95</v>
      </c>
      <c r="O951" s="10">
        <f t="shared" si="101"/>
        <v>774.57599999999991</v>
      </c>
      <c r="P951" s="10">
        <f t="shared" si="102"/>
        <v>806.84999999999991</v>
      </c>
      <c r="Q951" s="3">
        <f t="shared" si="103"/>
        <v>4.0000000000000008E-2</v>
      </c>
      <c r="R951" s="4" t="str">
        <f>IF(Sales_Fact!$O951&gt;1000,"High","Low")</f>
        <v>Low</v>
      </c>
      <c r="S951" s="4" t="str">
        <f>VLOOKUP(C951,Customer_Dim!$A:$N,9,FALSE())</f>
        <v>Michael Garner</v>
      </c>
      <c r="T951" s="4" t="str">
        <f>VLOOKUP(D951,Product_Dim!$A:$M,3,FALSE())</f>
        <v>Clothing</v>
      </c>
      <c r="U951" s="11" t="str">
        <f>VLOOKUP(D951,Product_Dim!$A:$M,2,FALSE())</f>
        <v>Men's Graphic T-Shirt</v>
      </c>
      <c r="V951" s="11" t="str">
        <f>VLOOKUP(E951,Store_Dim!$A:$E,3,FALSE())</f>
        <v>South</v>
      </c>
      <c r="W951" s="11" t="str">
        <f>VLOOKUP(C951,Customer_Dim!$A:$N,13,FALSE())</f>
        <v>Platinum</v>
      </c>
      <c r="X951" s="11" t="str">
        <f t="shared" si="104"/>
        <v>Low</v>
      </c>
    </row>
    <row r="952" spans="1:24" ht="15.75" customHeight="1">
      <c r="A952" s="4" t="s">
        <v>2948</v>
      </c>
      <c r="B952" s="9">
        <v>45740</v>
      </c>
      <c r="C952" s="4" t="s">
        <v>991</v>
      </c>
      <c r="D952" s="4" t="s">
        <v>1599</v>
      </c>
      <c r="E952" s="4" t="s">
        <v>1927</v>
      </c>
      <c r="F952" s="4">
        <v>1</v>
      </c>
      <c r="G952" s="4">
        <v>47.47</v>
      </c>
      <c r="H952" s="4">
        <v>0.28000000000000003</v>
      </c>
      <c r="I952" s="4" t="s">
        <v>1996</v>
      </c>
      <c r="J952" s="10">
        <v>34.178400000000003</v>
      </c>
      <c r="K952" s="4" t="str">
        <f t="shared" si="98"/>
        <v>24-03-2025</v>
      </c>
      <c r="L952" s="4" t="str">
        <f>TEXT(Sales_Fact!$B952,"mmm")</f>
        <v>Mar</v>
      </c>
      <c r="M952" s="4">
        <f t="shared" si="99"/>
        <v>1</v>
      </c>
      <c r="N952" s="10">
        <f t="shared" si="100"/>
        <v>47.47</v>
      </c>
      <c r="O952" s="10">
        <f t="shared" si="101"/>
        <v>34.178399999999996</v>
      </c>
      <c r="P952" s="10">
        <f t="shared" si="102"/>
        <v>47.47</v>
      </c>
      <c r="Q952" s="3">
        <f t="shared" si="103"/>
        <v>0.28000000000000008</v>
      </c>
      <c r="R952" s="4" t="str">
        <f>IF(Sales_Fact!$O952&gt;1000,"High","Low")</f>
        <v>Low</v>
      </c>
      <c r="S952" s="4" t="str">
        <f>VLOOKUP(C952,Customer_Dim!$A:$N,9,FALSE())</f>
        <v>Roberta Green</v>
      </c>
      <c r="T952" s="4" t="str">
        <f>VLOOKUP(D952,Product_Dim!$A:$M,3,FALSE())</f>
        <v>Clothing</v>
      </c>
      <c r="U952" s="11" t="str">
        <f>VLOOKUP(D952,Product_Dim!$A:$M,2,FALSE())</f>
        <v>Men's Leather Belt</v>
      </c>
      <c r="V952" s="11" t="str">
        <f>VLOOKUP(E952,Store_Dim!$A:$E,3,FALSE())</f>
        <v>South</v>
      </c>
      <c r="W952" s="11" t="str">
        <f>VLOOKUP(C952,Customer_Dim!$A:$N,13,FALSE())</f>
        <v>Platinum</v>
      </c>
      <c r="X952" s="11" t="str">
        <f t="shared" si="104"/>
        <v>Low</v>
      </c>
    </row>
    <row r="953" spans="1:24" ht="15.75" customHeight="1">
      <c r="A953" s="4" t="s">
        <v>2949</v>
      </c>
      <c r="B953" s="9">
        <v>45796</v>
      </c>
      <c r="C953" s="4" t="s">
        <v>849</v>
      </c>
      <c r="D953" s="4" t="s">
        <v>1700</v>
      </c>
      <c r="E953" s="4" t="s">
        <v>1965</v>
      </c>
      <c r="F953" s="4">
        <v>3</v>
      </c>
      <c r="G953" s="4">
        <v>858.81</v>
      </c>
      <c r="H953" s="4">
        <v>7.0000000000000007E-2</v>
      </c>
      <c r="I953" s="4" t="s">
        <v>1996</v>
      </c>
      <c r="J953" s="10">
        <v>2396.0799000000002</v>
      </c>
      <c r="K953" s="4" t="str">
        <f t="shared" si="98"/>
        <v>19-05-2025</v>
      </c>
      <c r="L953" s="4" t="str">
        <f>TEXT(Sales_Fact!$B953,"mmm")</f>
        <v>May</v>
      </c>
      <c r="M953" s="4">
        <f t="shared" si="99"/>
        <v>3</v>
      </c>
      <c r="N953" s="10">
        <f t="shared" si="100"/>
        <v>858.81</v>
      </c>
      <c r="O953" s="10">
        <f t="shared" si="101"/>
        <v>2396.0798999999997</v>
      </c>
      <c r="P953" s="10">
        <f t="shared" si="102"/>
        <v>2576.4299999999998</v>
      </c>
      <c r="Q953" s="3">
        <f t="shared" si="103"/>
        <v>7.0000000000000048E-2</v>
      </c>
      <c r="R953" s="4" t="str">
        <f>IF(Sales_Fact!$O953&gt;1000,"High","Low")</f>
        <v>High</v>
      </c>
      <c r="S953" s="4" t="str">
        <f>VLOOKUP(C953,Customer_Dim!$A:$N,9,FALSE())</f>
        <v>Christopher David</v>
      </c>
      <c r="T953" s="4" t="str">
        <f>VLOOKUP(D953,Product_Dim!$A:$M,3,FALSE())</f>
        <v>Home</v>
      </c>
      <c r="U953" s="11" t="str">
        <f>VLOOKUP(D953,Product_Dim!$A:$M,2,FALSE())</f>
        <v>Modern Wall Clock</v>
      </c>
      <c r="V953" s="11" t="str">
        <f>VLOOKUP(E953,Store_Dim!$A:$E,3,FALSE())</f>
        <v>North</v>
      </c>
      <c r="W953" s="11" t="str">
        <f>VLOOKUP(C953,Customer_Dim!$A:$N,13,FALSE())</f>
        <v>Silver</v>
      </c>
      <c r="X953" s="11" t="str">
        <f t="shared" si="104"/>
        <v>Low</v>
      </c>
    </row>
    <row r="954" spans="1:24" ht="15.75" customHeight="1">
      <c r="A954" s="4" t="s">
        <v>2950</v>
      </c>
      <c r="B954" s="9">
        <v>45710</v>
      </c>
      <c r="C954" s="4" t="s">
        <v>1006</v>
      </c>
      <c r="D954" s="4" t="s">
        <v>1654</v>
      </c>
      <c r="E954" s="4" t="s">
        <v>1947</v>
      </c>
      <c r="F954" s="4">
        <v>3</v>
      </c>
      <c r="G954" s="4">
        <v>569.98</v>
      </c>
      <c r="H954" s="4">
        <v>0.05</v>
      </c>
      <c r="I954" s="4" t="s">
        <v>1996</v>
      </c>
      <c r="J954" s="10">
        <v>1624.443</v>
      </c>
      <c r="K954" s="4" t="str">
        <f t="shared" si="98"/>
        <v>22-02-2025</v>
      </c>
      <c r="L954" s="4" t="str">
        <f>TEXT(Sales_Fact!$B954,"mmm")</f>
        <v>Feb</v>
      </c>
      <c r="M954" s="4">
        <f t="shared" si="99"/>
        <v>3</v>
      </c>
      <c r="N954" s="10">
        <f t="shared" si="100"/>
        <v>569.98</v>
      </c>
      <c r="O954" s="10">
        <f t="shared" si="101"/>
        <v>1624.443</v>
      </c>
      <c r="P954" s="10">
        <f t="shared" si="102"/>
        <v>1709.94</v>
      </c>
      <c r="Q954" s="3">
        <f t="shared" si="103"/>
        <v>5.0000000000000037E-2</v>
      </c>
      <c r="R954" s="4" t="str">
        <f>IF(Sales_Fact!$O954&gt;1000,"High","Low")</f>
        <v>High</v>
      </c>
      <c r="S954" s="4" t="str">
        <f>VLOOKUP(C954,Customer_Dim!$A:$N,9,FALSE())</f>
        <v>Kara Dodson</v>
      </c>
      <c r="T954" s="4" t="str">
        <f>VLOOKUP(D954,Product_Dim!$A:$M,3,FALSE())</f>
        <v>Sports</v>
      </c>
      <c r="U954" s="11" t="str">
        <f>VLOOKUP(D954,Product_Dim!$A:$M,2,FALSE())</f>
        <v>Knee Support Brace</v>
      </c>
      <c r="V954" s="11" t="str">
        <f>VLOOKUP(E954,Store_Dim!$A:$E,3,FALSE())</f>
        <v>East</v>
      </c>
      <c r="W954" s="11" t="str">
        <f>VLOOKUP(C954,Customer_Dim!$A:$N,13,FALSE())</f>
        <v>Silver</v>
      </c>
      <c r="X954" s="11" t="str">
        <f t="shared" si="104"/>
        <v>Low</v>
      </c>
    </row>
    <row r="955" spans="1:24" ht="15.75" customHeight="1">
      <c r="A955" s="4" t="s">
        <v>2951</v>
      </c>
      <c r="B955" s="9">
        <v>45596</v>
      </c>
      <c r="C955" s="4" t="s">
        <v>1057</v>
      </c>
      <c r="D955" s="4" t="s">
        <v>1828</v>
      </c>
      <c r="E955" s="4" t="s">
        <v>1952</v>
      </c>
      <c r="F955" s="4">
        <v>3</v>
      </c>
      <c r="G955" s="4">
        <v>306.52</v>
      </c>
      <c r="H955" s="4">
        <v>0.01</v>
      </c>
      <c r="I955" s="4" t="s">
        <v>2004</v>
      </c>
      <c r="J955" s="10">
        <v>910.36440000000005</v>
      </c>
      <c r="K955" s="4" t="str">
        <f t="shared" si="98"/>
        <v>31-10-2024</v>
      </c>
      <c r="L955" s="4" t="str">
        <f>TEXT(Sales_Fact!$B955,"mmm")</f>
        <v>Oct</v>
      </c>
      <c r="M955" s="4">
        <f t="shared" si="99"/>
        <v>3</v>
      </c>
      <c r="N955" s="10">
        <f t="shared" si="100"/>
        <v>306.52</v>
      </c>
      <c r="O955" s="10">
        <f t="shared" si="101"/>
        <v>910.36439999999993</v>
      </c>
      <c r="P955" s="10">
        <f t="shared" si="102"/>
        <v>919.56</v>
      </c>
      <c r="Q955" s="3">
        <f t="shared" si="103"/>
        <v>1.0000000000000014E-2</v>
      </c>
      <c r="R955" s="4" t="str">
        <f>IF(Sales_Fact!$O955&gt;1000,"High","Low")</f>
        <v>Low</v>
      </c>
      <c r="S955" s="4" t="str">
        <f>VLOOKUP(C955,Customer_Dim!$A:$N,9,FALSE())</f>
        <v>Reginald Willis</v>
      </c>
      <c r="T955" s="4" t="str">
        <f>VLOOKUP(D955,Product_Dim!$A:$M,3,FALSE())</f>
        <v>Electronics</v>
      </c>
      <c r="U955" s="11" t="str">
        <f>VLOOKUP(D955,Product_Dim!$A:$M,2,FALSE())</f>
        <v>Bluetooth Car Audio System</v>
      </c>
      <c r="V955" s="11" t="str">
        <f>VLOOKUP(E955,Store_Dim!$A:$E,3,FALSE())</f>
        <v>North</v>
      </c>
      <c r="W955" s="11" t="str">
        <f>VLOOKUP(C955,Customer_Dim!$A:$N,13,FALSE())</f>
        <v>Bronze</v>
      </c>
      <c r="X955" s="11" t="str">
        <f t="shared" si="104"/>
        <v>Low</v>
      </c>
    </row>
    <row r="956" spans="1:24" ht="15.75" customHeight="1">
      <c r="A956" s="4" t="s">
        <v>2952</v>
      </c>
      <c r="B956" s="9">
        <v>45354</v>
      </c>
      <c r="C956" s="4" t="s">
        <v>259</v>
      </c>
      <c r="D956" s="4" t="s">
        <v>1773</v>
      </c>
      <c r="E956" s="4" t="s">
        <v>1955</v>
      </c>
      <c r="F956" s="4">
        <v>3</v>
      </c>
      <c r="G956" s="4">
        <v>184.67</v>
      </c>
      <c r="H956" s="4">
        <v>0.03</v>
      </c>
      <c r="I956" s="4" t="s">
        <v>2004</v>
      </c>
      <c r="J956" s="10">
        <v>537.38969999999995</v>
      </c>
      <c r="K956" s="4" t="str">
        <f t="shared" si="98"/>
        <v>03-03-2024</v>
      </c>
      <c r="L956" s="4" t="str">
        <f>TEXT(Sales_Fact!$B956,"mmm")</f>
        <v>Mar</v>
      </c>
      <c r="M956" s="4">
        <f t="shared" si="99"/>
        <v>3</v>
      </c>
      <c r="N956" s="10">
        <f t="shared" si="100"/>
        <v>184.67</v>
      </c>
      <c r="O956" s="10">
        <f t="shared" si="101"/>
        <v>537.38969999999995</v>
      </c>
      <c r="P956" s="10">
        <f t="shared" si="102"/>
        <v>554.01</v>
      </c>
      <c r="Q956" s="3">
        <f t="shared" si="103"/>
        <v>3.0000000000000079E-2</v>
      </c>
      <c r="R956" s="4" t="str">
        <f>IF(Sales_Fact!$O956&gt;1000,"High","Low")</f>
        <v>Low</v>
      </c>
      <c r="S956" s="4" t="str">
        <f>VLOOKUP(C956,Customer_Dim!$A:$N,9,FALSE())</f>
        <v>Mr. Mason Butler</v>
      </c>
      <c r="T956" s="4" t="str">
        <f>VLOOKUP(D956,Product_Dim!$A:$M,3,FALSE())</f>
        <v>Home</v>
      </c>
      <c r="U956" s="11" t="str">
        <f>VLOOKUP(D956,Product_Dim!$A:$M,2,FALSE())</f>
        <v>Premium Blanket Throw</v>
      </c>
      <c r="V956" s="11" t="str">
        <f>VLOOKUP(E956,Store_Dim!$A:$E,3,FALSE())</f>
        <v>East</v>
      </c>
      <c r="W956" s="11" t="str">
        <f>VLOOKUP(C956,Customer_Dim!$A:$N,13,FALSE())</f>
        <v>Gold</v>
      </c>
      <c r="X956" s="11" t="str">
        <f t="shared" si="104"/>
        <v>Low</v>
      </c>
    </row>
    <row r="957" spans="1:24" ht="15.75" customHeight="1">
      <c r="A957" s="4" t="s">
        <v>2953</v>
      </c>
      <c r="B957" s="9">
        <v>45428</v>
      </c>
      <c r="C957" s="4" t="s">
        <v>1513</v>
      </c>
      <c r="D957" s="4" t="s">
        <v>1678</v>
      </c>
      <c r="E957" s="4" t="s">
        <v>1931</v>
      </c>
      <c r="F957" s="4">
        <v>4</v>
      </c>
      <c r="G957" s="4">
        <v>189.56</v>
      </c>
      <c r="H957" s="4">
        <v>0</v>
      </c>
      <c r="I957" s="4" t="s">
        <v>2004</v>
      </c>
      <c r="J957" s="10">
        <v>758.24</v>
      </c>
      <c r="K957" s="4" t="str">
        <f t="shared" si="98"/>
        <v>16-05-2024</v>
      </c>
      <c r="L957" s="4" t="str">
        <f>TEXT(Sales_Fact!$B957,"mmm")</f>
        <v>May</v>
      </c>
      <c r="M957" s="4">
        <f t="shared" si="99"/>
        <v>4</v>
      </c>
      <c r="N957" s="10">
        <f t="shared" si="100"/>
        <v>189.56</v>
      </c>
      <c r="O957" s="10">
        <f t="shared" si="101"/>
        <v>758.24</v>
      </c>
      <c r="P957" s="10">
        <f t="shared" si="102"/>
        <v>758.24</v>
      </c>
      <c r="Q957" s="3">
        <f t="shared" si="103"/>
        <v>0</v>
      </c>
      <c r="R957" s="4" t="str">
        <f>IF(Sales_Fact!$O957&gt;1000,"High","Low")</f>
        <v>Low</v>
      </c>
      <c r="S957" s="4" t="str">
        <f>VLOOKUP(C957,Customer_Dim!$A:$N,9,FALSE())</f>
        <v>Sheri Joyce</v>
      </c>
      <c r="T957" s="4" t="str">
        <f>VLOOKUP(D957,Product_Dim!$A:$M,3,FALSE())</f>
        <v>Electronics</v>
      </c>
      <c r="U957" s="11" t="str">
        <f>VLOOKUP(D957,Product_Dim!$A:$M,2,FALSE())</f>
        <v>Wireless Bluetooth Speaker</v>
      </c>
      <c r="V957" s="11" t="str">
        <f>VLOOKUP(E957,Store_Dim!$A:$E,3,FALSE())</f>
        <v>North</v>
      </c>
      <c r="W957" s="11" t="str">
        <f>VLOOKUP(C957,Customer_Dim!$A:$N,13,FALSE())</f>
        <v>Platinum</v>
      </c>
      <c r="X957" s="11" t="str">
        <f t="shared" si="104"/>
        <v>High</v>
      </c>
    </row>
    <row r="958" spans="1:24" ht="15.75" customHeight="1">
      <c r="A958" s="4" t="s">
        <v>2954</v>
      </c>
      <c r="B958" s="9">
        <v>45511</v>
      </c>
      <c r="C958" s="4" t="s">
        <v>703</v>
      </c>
      <c r="D958" s="4" t="s">
        <v>1831</v>
      </c>
      <c r="E958" s="4" t="s">
        <v>1931</v>
      </c>
      <c r="F958" s="4">
        <v>1</v>
      </c>
      <c r="G958" s="4">
        <v>805.24</v>
      </c>
      <c r="H958" s="4">
        <v>0.04</v>
      </c>
      <c r="I958" s="4" t="s">
        <v>1998</v>
      </c>
      <c r="J958" s="10">
        <v>773.03039999999999</v>
      </c>
      <c r="K958" s="4" t="str">
        <f t="shared" si="98"/>
        <v>07-08-2024</v>
      </c>
      <c r="L958" s="4" t="str">
        <f>TEXT(Sales_Fact!$B958,"mmm")</f>
        <v>Aug</v>
      </c>
      <c r="M958" s="4">
        <f t="shared" si="99"/>
        <v>1</v>
      </c>
      <c r="N958" s="10">
        <f t="shared" si="100"/>
        <v>805.24</v>
      </c>
      <c r="O958" s="10">
        <f t="shared" si="101"/>
        <v>773.03039999999999</v>
      </c>
      <c r="P958" s="10">
        <f t="shared" si="102"/>
        <v>805.24</v>
      </c>
      <c r="Q958" s="3">
        <f t="shared" si="103"/>
        <v>4.0000000000000029E-2</v>
      </c>
      <c r="R958" s="4" t="str">
        <f>IF(Sales_Fact!$O958&gt;1000,"High","Low")</f>
        <v>Low</v>
      </c>
      <c r="S958" s="4" t="str">
        <f>VLOOKUP(C958,Customer_Dim!$A:$N,9,FALSE())</f>
        <v>John Perez</v>
      </c>
      <c r="T958" s="4" t="str">
        <f>VLOOKUP(D958,Product_Dim!$A:$M,3,FALSE())</f>
        <v>Clothing</v>
      </c>
      <c r="U958" s="11" t="str">
        <f>VLOOKUP(D958,Product_Dim!$A:$M,2,FALSE())</f>
        <v>Women's Ankle Boots</v>
      </c>
      <c r="V958" s="11" t="str">
        <f>VLOOKUP(E958,Store_Dim!$A:$E,3,FALSE())</f>
        <v>North</v>
      </c>
      <c r="W958" s="11" t="str">
        <f>VLOOKUP(C958,Customer_Dim!$A:$N,13,FALSE())</f>
        <v>Platinum</v>
      </c>
      <c r="X958" s="11" t="str">
        <f t="shared" si="104"/>
        <v>Low</v>
      </c>
    </row>
    <row r="959" spans="1:24" ht="15.75" customHeight="1">
      <c r="A959" s="4" t="s">
        <v>2955</v>
      </c>
      <c r="B959" s="9">
        <v>45600</v>
      </c>
      <c r="C959" s="4" t="s">
        <v>1429</v>
      </c>
      <c r="D959" s="4" t="s">
        <v>1843</v>
      </c>
      <c r="E959" s="4" t="s">
        <v>1968</v>
      </c>
      <c r="F959" s="4">
        <v>2</v>
      </c>
      <c r="G959" s="4">
        <v>504.26</v>
      </c>
      <c r="H959" s="4">
        <v>0.04</v>
      </c>
      <c r="I959" s="4" t="s">
        <v>1998</v>
      </c>
      <c r="J959" s="10">
        <v>968.17920000000004</v>
      </c>
      <c r="K959" s="4" t="str">
        <f t="shared" si="98"/>
        <v>04-11-2024</v>
      </c>
      <c r="L959" s="4" t="str">
        <f>TEXT(Sales_Fact!$B959,"mmm")</f>
        <v>Nov</v>
      </c>
      <c r="M959" s="4">
        <f t="shared" si="99"/>
        <v>2</v>
      </c>
      <c r="N959" s="10">
        <f t="shared" si="100"/>
        <v>504.26</v>
      </c>
      <c r="O959" s="10">
        <f t="shared" si="101"/>
        <v>968.17919999999992</v>
      </c>
      <c r="P959" s="10">
        <f t="shared" si="102"/>
        <v>1008.52</v>
      </c>
      <c r="Q959" s="3">
        <f t="shared" si="103"/>
        <v>4.0000000000000056E-2</v>
      </c>
      <c r="R959" s="4" t="str">
        <f>IF(Sales_Fact!$O959&gt;1000,"High","Low")</f>
        <v>Low</v>
      </c>
      <c r="S959" s="4" t="str">
        <f>VLOOKUP(C959,Customer_Dim!$A:$N,9,FALSE())</f>
        <v>April Phillips</v>
      </c>
      <c r="T959" s="4" t="str">
        <f>VLOOKUP(D959,Product_Dim!$A:$M,3,FALSE())</f>
        <v>Home</v>
      </c>
      <c r="U959" s="11" t="str">
        <f>VLOOKUP(D959,Product_Dim!$A:$M,2,FALSE())</f>
        <v>Decorative Lamp Shade</v>
      </c>
      <c r="V959" s="11" t="str">
        <f>VLOOKUP(E959,Store_Dim!$A:$E,3,FALSE())</f>
        <v>East</v>
      </c>
      <c r="W959" s="11" t="str">
        <f>VLOOKUP(C959,Customer_Dim!$A:$N,13,FALSE())</f>
        <v>Platinum</v>
      </c>
      <c r="X959" s="11" t="str">
        <f t="shared" si="104"/>
        <v>Low</v>
      </c>
    </row>
    <row r="960" spans="1:24" ht="15.75" customHeight="1">
      <c r="A960" s="4" t="s">
        <v>2956</v>
      </c>
      <c r="B960" s="9">
        <v>45549</v>
      </c>
      <c r="C960" s="4" t="s">
        <v>644</v>
      </c>
      <c r="D960" s="4" t="s">
        <v>1767</v>
      </c>
      <c r="E960" s="4" t="s">
        <v>1965</v>
      </c>
      <c r="F960" s="4">
        <v>3</v>
      </c>
      <c r="G960" s="4">
        <v>683.74</v>
      </c>
      <c r="H960" s="4">
        <v>0.24</v>
      </c>
      <c r="I960" s="4" t="s">
        <v>1996</v>
      </c>
      <c r="J960" s="10">
        <v>1558.9272000000001</v>
      </c>
      <c r="K960" s="4" t="str">
        <f t="shared" si="98"/>
        <v>14-09-2024</v>
      </c>
      <c r="L960" s="4" t="str">
        <f>TEXT(Sales_Fact!$B960,"mmm")</f>
        <v>Sep</v>
      </c>
      <c r="M960" s="4">
        <f t="shared" si="99"/>
        <v>3</v>
      </c>
      <c r="N960" s="10">
        <f t="shared" si="100"/>
        <v>683.74</v>
      </c>
      <c r="O960" s="10">
        <f t="shared" si="101"/>
        <v>1558.9272000000003</v>
      </c>
      <c r="P960" s="10">
        <f t="shared" si="102"/>
        <v>2051.2200000000003</v>
      </c>
      <c r="Q960" s="3">
        <f t="shared" si="103"/>
        <v>0.23999999999999994</v>
      </c>
      <c r="R960" s="4" t="str">
        <f>IF(Sales_Fact!$O960&gt;1000,"High","Low")</f>
        <v>High</v>
      </c>
      <c r="S960" s="4" t="str">
        <f>VLOOKUP(C960,Customer_Dim!$A:$N,9,FALSE())</f>
        <v>Kimberly Brooks</v>
      </c>
      <c r="T960" s="4" t="str">
        <f>VLOOKUP(D960,Product_Dim!$A:$M,3,FALSE())</f>
        <v>Sports</v>
      </c>
      <c r="U960" s="11" t="str">
        <f>VLOOKUP(D960,Product_Dim!$A:$M,2,FALSE())</f>
        <v>Sports Stopwatch Pro</v>
      </c>
      <c r="V960" s="11" t="str">
        <f>VLOOKUP(E960,Store_Dim!$A:$E,3,FALSE())</f>
        <v>North</v>
      </c>
      <c r="W960" s="11" t="str">
        <f>VLOOKUP(C960,Customer_Dim!$A:$N,13,FALSE())</f>
        <v>Silver</v>
      </c>
      <c r="X960" s="11" t="str">
        <f t="shared" si="104"/>
        <v>Low</v>
      </c>
    </row>
    <row r="961" spans="1:24" ht="15.75" customHeight="1">
      <c r="A961" s="4" t="s">
        <v>2957</v>
      </c>
      <c r="B961" s="9">
        <v>45573</v>
      </c>
      <c r="C961" s="4" t="s">
        <v>709</v>
      </c>
      <c r="D961" s="4" t="s">
        <v>1773</v>
      </c>
      <c r="E961" s="4" t="s">
        <v>1968</v>
      </c>
      <c r="F961" s="4">
        <v>3</v>
      </c>
      <c r="G961" s="4">
        <v>439.21</v>
      </c>
      <c r="H961" s="4">
        <v>0.28000000000000003</v>
      </c>
      <c r="I961" s="4" t="s">
        <v>2004</v>
      </c>
      <c r="J961" s="10">
        <v>948.69359999999995</v>
      </c>
      <c r="K961" s="4" t="str">
        <f t="shared" si="98"/>
        <v>08-10-2024</v>
      </c>
      <c r="L961" s="4" t="str">
        <f>TEXT(Sales_Fact!$B961,"mmm")</f>
        <v>Oct</v>
      </c>
      <c r="M961" s="4">
        <f t="shared" si="99"/>
        <v>3</v>
      </c>
      <c r="N961" s="10">
        <f t="shared" si="100"/>
        <v>439.21</v>
      </c>
      <c r="O961" s="10">
        <f t="shared" si="101"/>
        <v>948.69359999999983</v>
      </c>
      <c r="P961" s="10">
        <f t="shared" si="102"/>
        <v>1317.6299999999999</v>
      </c>
      <c r="Q961" s="3">
        <f t="shared" si="103"/>
        <v>0.28000000000000008</v>
      </c>
      <c r="R961" s="4" t="str">
        <f>IF(Sales_Fact!$O961&gt;1000,"High","Low")</f>
        <v>Low</v>
      </c>
      <c r="S961" s="4" t="str">
        <f>VLOOKUP(C961,Customer_Dim!$A:$N,9,FALSE())</f>
        <v>Antonio Jones</v>
      </c>
      <c r="T961" s="4" t="str">
        <f>VLOOKUP(D961,Product_Dim!$A:$M,3,FALSE())</f>
        <v>Home</v>
      </c>
      <c r="U961" s="11" t="str">
        <f>VLOOKUP(D961,Product_Dim!$A:$M,2,FALSE())</f>
        <v>Premium Blanket Throw</v>
      </c>
      <c r="V961" s="11" t="str">
        <f>VLOOKUP(E961,Store_Dim!$A:$E,3,FALSE())</f>
        <v>East</v>
      </c>
      <c r="W961" s="11" t="str">
        <f>VLOOKUP(C961,Customer_Dim!$A:$N,13,FALSE())</f>
        <v>Silver</v>
      </c>
      <c r="X961" s="11" t="str">
        <f t="shared" si="104"/>
        <v>Low</v>
      </c>
    </row>
    <row r="962" spans="1:24" ht="15.75" customHeight="1">
      <c r="A962" s="4" t="s">
        <v>2958</v>
      </c>
      <c r="B962" s="9">
        <v>45904</v>
      </c>
      <c r="C962" s="4" t="s">
        <v>435</v>
      </c>
      <c r="D962" s="4" t="s">
        <v>1803</v>
      </c>
      <c r="E962" s="4" t="s">
        <v>1934</v>
      </c>
      <c r="F962" s="4">
        <v>1</v>
      </c>
      <c r="G962" s="4">
        <v>126.92</v>
      </c>
      <c r="H962" s="4">
        <v>0.24</v>
      </c>
      <c r="I962" s="4" t="s">
        <v>2004</v>
      </c>
      <c r="J962" s="10">
        <v>96.459199999999996</v>
      </c>
      <c r="K962" s="4" t="str">
        <f t="shared" ref="K962:K1025" si="105">TEXT(B962,"dd-mm-yyyy")</f>
        <v>04-09-2025</v>
      </c>
      <c r="L962" s="4" t="str">
        <f>TEXT(Sales_Fact!$B962,"mmm")</f>
        <v>Sep</v>
      </c>
      <c r="M962" s="4">
        <f t="shared" ref="M962:M1025" si="106">IF(ISBLANK(F962),1,F962)</f>
        <v>1</v>
      </c>
      <c r="N962" s="10">
        <f t="shared" ref="N962:N1025" si="107">ROUNDUP(IF(ISBLANK(G962),AVERAGE(C:C,G962,G:G),G962),2)</f>
        <v>126.92</v>
      </c>
      <c r="O962" s="10">
        <f t="shared" ref="O962:O1025" si="108">M962*N962*(1-H962)</f>
        <v>96.459199999999996</v>
      </c>
      <c r="P962" s="10">
        <f t="shared" ref="P962:P1025" si="109">M962*N962</f>
        <v>126.92</v>
      </c>
      <c r="Q962" s="3">
        <f t="shared" ref="Q962:Q1025" si="110">(P962-O962)/P962</f>
        <v>0.24000000000000005</v>
      </c>
      <c r="R962" s="4" t="str">
        <f>IF(Sales_Fact!$O962&gt;1000,"High","Low")</f>
        <v>Low</v>
      </c>
      <c r="S962" s="4" t="str">
        <f>VLOOKUP(C962,Customer_Dim!$A:$N,9,FALSE())</f>
        <v>Michael Jones</v>
      </c>
      <c r="T962" s="4" t="str">
        <f>VLOOKUP(D962,Product_Dim!$A:$M,3,FALSE())</f>
        <v>Beauty</v>
      </c>
      <c r="U962" s="11" t="str">
        <f>VLOOKUP(D962,Product_Dim!$A:$M,2,FALSE())</f>
        <v>Women's Hair Dryer Brush</v>
      </c>
      <c r="V962" s="11" t="str">
        <f>VLOOKUP(E962,Store_Dim!$A:$E,3,FALSE())</f>
        <v>East</v>
      </c>
      <c r="W962" s="11" t="str">
        <f>VLOOKUP(C962,Customer_Dim!$A:$N,13,FALSE())</f>
        <v>Bronze</v>
      </c>
      <c r="X962" s="11" t="str">
        <f t="shared" ref="X962:X1025" si="111">IF(F962&gt;3,"High","Low")</f>
        <v>Low</v>
      </c>
    </row>
    <row r="963" spans="1:24" ht="15.75" customHeight="1">
      <c r="A963" s="4" t="s">
        <v>2959</v>
      </c>
      <c r="B963" s="9">
        <v>45489</v>
      </c>
      <c r="C963" s="4" t="s">
        <v>46</v>
      </c>
      <c r="D963" s="4" t="s">
        <v>1825</v>
      </c>
      <c r="E963" s="4" t="s">
        <v>1927</v>
      </c>
      <c r="F963" s="4">
        <v>4</v>
      </c>
      <c r="G963" s="4">
        <v>834.7</v>
      </c>
      <c r="H963" s="4">
        <v>0.14000000000000001</v>
      </c>
      <c r="I963" s="4" t="s">
        <v>1996</v>
      </c>
      <c r="J963" s="10">
        <v>2871.3679999999999</v>
      </c>
      <c r="K963" s="4" t="str">
        <f t="shared" si="105"/>
        <v>16-07-2024</v>
      </c>
      <c r="L963" s="4" t="str">
        <f>TEXT(Sales_Fact!$B963,"mmm")</f>
        <v>Jul</v>
      </c>
      <c r="M963" s="4">
        <f t="shared" si="106"/>
        <v>4</v>
      </c>
      <c r="N963" s="10">
        <f t="shared" si="107"/>
        <v>834.7</v>
      </c>
      <c r="O963" s="10">
        <f t="shared" si="108"/>
        <v>2871.3679999999999</v>
      </c>
      <c r="P963" s="10">
        <f t="shared" si="109"/>
        <v>3338.8</v>
      </c>
      <c r="Q963" s="3">
        <f t="shared" si="110"/>
        <v>0.14000000000000007</v>
      </c>
      <c r="R963" s="4" t="str">
        <f>IF(Sales_Fact!$O963&gt;1000,"High","Low")</f>
        <v>High</v>
      </c>
      <c r="S963" s="4" t="str">
        <f>VLOOKUP(C963,Customer_Dim!$A:$N,9,FALSE())</f>
        <v>Caroline Collins</v>
      </c>
      <c r="T963" s="4" t="str">
        <f>VLOOKUP(D963,Product_Dim!$A:$M,3,FALSE())</f>
        <v>Sports</v>
      </c>
      <c r="U963" s="11" t="str">
        <f>VLOOKUP(D963,Product_Dim!$A:$M,2,FALSE())</f>
        <v>Shin Guards – Adult</v>
      </c>
      <c r="V963" s="11" t="str">
        <f>VLOOKUP(E963,Store_Dim!$A:$E,3,FALSE())</f>
        <v>South</v>
      </c>
      <c r="W963" s="11" t="str">
        <f>VLOOKUP(C963,Customer_Dim!$A:$N,13,FALSE())</f>
        <v>Silver</v>
      </c>
      <c r="X963" s="11" t="str">
        <f t="shared" si="111"/>
        <v>High</v>
      </c>
    </row>
    <row r="964" spans="1:24" ht="15.75" customHeight="1">
      <c r="A964" s="4" t="s">
        <v>2960</v>
      </c>
      <c r="B964" s="9">
        <v>45909</v>
      </c>
      <c r="C964" s="4" t="s">
        <v>1099</v>
      </c>
      <c r="D964" s="4" t="s">
        <v>1729</v>
      </c>
      <c r="E964" s="4" t="s">
        <v>1950</v>
      </c>
      <c r="F964" s="4">
        <v>2</v>
      </c>
      <c r="G964" s="4">
        <v>271.88</v>
      </c>
      <c r="H964" s="4">
        <v>0.11</v>
      </c>
      <c r="I964" s="4" t="s">
        <v>2004</v>
      </c>
      <c r="J964" s="10">
        <v>483.94639999999998</v>
      </c>
      <c r="K964" s="4" t="str">
        <f t="shared" si="105"/>
        <v>09-09-2025</v>
      </c>
      <c r="L964" s="4" t="str">
        <f>TEXT(Sales_Fact!$B964,"mmm")</f>
        <v>Sep</v>
      </c>
      <c r="M964" s="4">
        <f t="shared" si="106"/>
        <v>2</v>
      </c>
      <c r="N964" s="10">
        <f t="shared" si="107"/>
        <v>271.88</v>
      </c>
      <c r="O964" s="10">
        <f t="shared" si="108"/>
        <v>483.94639999999998</v>
      </c>
      <c r="P964" s="10">
        <f t="shared" si="109"/>
        <v>543.76</v>
      </c>
      <c r="Q964" s="3">
        <f t="shared" si="110"/>
        <v>0.11000000000000001</v>
      </c>
      <c r="R964" s="4" t="str">
        <f>IF(Sales_Fact!$O964&gt;1000,"High","Low")</f>
        <v>Low</v>
      </c>
      <c r="S964" s="4" t="str">
        <f>VLOOKUP(C964,Customer_Dim!$A:$N,9,FALSE())</f>
        <v>Angela Williams</v>
      </c>
      <c r="T964" s="4" t="str">
        <f>VLOOKUP(D964,Product_Dim!$A:$M,3,FALSE())</f>
        <v>Electronics</v>
      </c>
      <c r="U964" s="11" t="str">
        <f>VLOOKUP(D964,Product_Dim!$A:$M,2,FALSE())</f>
        <v>Smart Home WiFi Camera</v>
      </c>
      <c r="V964" s="11" t="str">
        <f>VLOOKUP(E964,Store_Dim!$A:$E,3,FALSE())</f>
        <v>South</v>
      </c>
      <c r="W964" s="11" t="str">
        <f>VLOOKUP(C964,Customer_Dim!$A:$N,13,FALSE())</f>
        <v>Bronze</v>
      </c>
      <c r="X964" s="11" t="str">
        <f t="shared" si="111"/>
        <v>Low</v>
      </c>
    </row>
    <row r="965" spans="1:24" ht="15.75" customHeight="1">
      <c r="A965" s="4" t="s">
        <v>2961</v>
      </c>
      <c r="B965" s="9">
        <v>45720</v>
      </c>
      <c r="C965" s="4" t="s">
        <v>1507</v>
      </c>
      <c r="D965" s="4" t="s">
        <v>1626</v>
      </c>
      <c r="E965" s="4" t="s">
        <v>1915</v>
      </c>
      <c r="F965" s="4">
        <v>4</v>
      </c>
      <c r="G965" s="4">
        <v>972.14</v>
      </c>
      <c r="H965" s="4">
        <v>0.25</v>
      </c>
      <c r="I965" s="4" t="s">
        <v>1996</v>
      </c>
      <c r="J965" s="10">
        <v>2916.42</v>
      </c>
      <c r="K965" s="4" t="str">
        <f t="shared" si="105"/>
        <v>04-03-2025</v>
      </c>
      <c r="L965" s="4" t="str">
        <f>TEXT(Sales_Fact!$B965,"mmm")</f>
        <v>Mar</v>
      </c>
      <c r="M965" s="4">
        <f t="shared" si="106"/>
        <v>4</v>
      </c>
      <c r="N965" s="10">
        <f t="shared" si="107"/>
        <v>972.14</v>
      </c>
      <c r="O965" s="10">
        <f t="shared" si="108"/>
        <v>2916.42</v>
      </c>
      <c r="P965" s="10">
        <f t="shared" si="109"/>
        <v>3888.56</v>
      </c>
      <c r="Q965" s="3">
        <f t="shared" si="110"/>
        <v>0.24999999999999997</v>
      </c>
      <c r="R965" s="4" t="str">
        <f>IF(Sales_Fact!$O965&gt;1000,"High","Low")</f>
        <v>High</v>
      </c>
      <c r="S965" s="4" t="str">
        <f>VLOOKUP(C965,Customer_Dim!$A:$N,9,FALSE())</f>
        <v>Jordan Medina</v>
      </c>
      <c r="T965" s="4" t="str">
        <f>VLOOKUP(D965,Product_Dim!$A:$M,3,FALSE())</f>
        <v>Electronics</v>
      </c>
      <c r="U965" s="11" t="str">
        <f>VLOOKUP(D965,Product_Dim!$A:$M,2,FALSE())</f>
        <v>HD Smart TV Stick</v>
      </c>
      <c r="V965" s="11" t="str">
        <f>VLOOKUP(E965,Store_Dim!$A:$E,3,FALSE())</f>
        <v>North</v>
      </c>
      <c r="W965" s="11" t="str">
        <f>VLOOKUP(C965,Customer_Dim!$A:$N,13,FALSE())</f>
        <v>Bronze</v>
      </c>
      <c r="X965" s="11" t="str">
        <f t="shared" si="111"/>
        <v>High</v>
      </c>
    </row>
    <row r="966" spans="1:24" ht="15.75" customHeight="1">
      <c r="A966" s="4" t="s">
        <v>2962</v>
      </c>
      <c r="B966" s="9">
        <v>45831</v>
      </c>
      <c r="C966" s="4" t="s">
        <v>356</v>
      </c>
      <c r="D966" s="4" t="s">
        <v>1732</v>
      </c>
      <c r="E966" s="4" t="s">
        <v>1927</v>
      </c>
      <c r="F966" s="4">
        <v>3</v>
      </c>
      <c r="G966" s="4">
        <v>523.66</v>
      </c>
      <c r="H966" s="4">
        <v>0.27</v>
      </c>
      <c r="I966" s="4" t="s">
        <v>1998</v>
      </c>
      <c r="J966" s="10">
        <v>1146.8154</v>
      </c>
      <c r="K966" s="4" t="str">
        <f t="shared" si="105"/>
        <v>23-06-2025</v>
      </c>
      <c r="L966" s="4" t="str">
        <f>TEXT(Sales_Fact!$B966,"mmm")</f>
        <v>Jun</v>
      </c>
      <c r="M966" s="4">
        <f t="shared" si="106"/>
        <v>3</v>
      </c>
      <c r="N966" s="10">
        <f t="shared" si="107"/>
        <v>523.66</v>
      </c>
      <c r="O966" s="10">
        <f t="shared" si="108"/>
        <v>1146.8154</v>
      </c>
      <c r="P966" s="10">
        <f t="shared" si="109"/>
        <v>1570.98</v>
      </c>
      <c r="Q966" s="3">
        <f t="shared" si="110"/>
        <v>0.27</v>
      </c>
      <c r="R966" s="4" t="str">
        <f>IF(Sales_Fact!$O966&gt;1000,"High","Low")</f>
        <v>High</v>
      </c>
      <c r="S966" s="4" t="str">
        <f>VLOOKUP(C966,Customer_Dim!$A:$N,9,FALSE())</f>
        <v>Christy Vasquez</v>
      </c>
      <c r="T966" s="4" t="str">
        <f>VLOOKUP(D966,Product_Dim!$A:$M,3,FALSE())</f>
        <v>Electronics</v>
      </c>
      <c r="U966" s="11" t="str">
        <f>VLOOKUP(D966,Product_Dim!$A:$M,2,FALSE())</f>
        <v>USB External Hard Drive</v>
      </c>
      <c r="V966" s="11" t="str">
        <f>VLOOKUP(E966,Store_Dim!$A:$E,3,FALSE())</f>
        <v>South</v>
      </c>
      <c r="W966" s="11" t="str">
        <f>VLOOKUP(C966,Customer_Dim!$A:$N,13,FALSE())</f>
        <v>Gold</v>
      </c>
      <c r="X966" s="11" t="str">
        <f t="shared" si="111"/>
        <v>Low</v>
      </c>
    </row>
    <row r="967" spans="1:24" ht="15.75" customHeight="1">
      <c r="A967" s="4" t="s">
        <v>2963</v>
      </c>
      <c r="B967" s="9">
        <v>45602</v>
      </c>
      <c r="C967" s="4" t="s">
        <v>523</v>
      </c>
      <c r="D967" s="4" t="s">
        <v>1797</v>
      </c>
      <c r="E967" s="4" t="s">
        <v>1919</v>
      </c>
      <c r="F967" s="4">
        <v>4</v>
      </c>
      <c r="G967" s="4">
        <v>838.99</v>
      </c>
      <c r="H967" s="4">
        <v>0.16</v>
      </c>
      <c r="I967" s="4" t="s">
        <v>1996</v>
      </c>
      <c r="J967" s="10">
        <v>2819.0064000000002</v>
      </c>
      <c r="K967" s="4" t="str">
        <f t="shared" si="105"/>
        <v>06-11-2024</v>
      </c>
      <c r="L967" s="4" t="str">
        <f>TEXT(Sales_Fact!$B967,"mmm")</f>
        <v>Nov</v>
      </c>
      <c r="M967" s="4">
        <f t="shared" si="106"/>
        <v>4</v>
      </c>
      <c r="N967" s="10">
        <f t="shared" si="107"/>
        <v>838.99</v>
      </c>
      <c r="O967" s="10">
        <f t="shared" si="108"/>
        <v>2819.0063999999998</v>
      </c>
      <c r="P967" s="10">
        <f t="shared" si="109"/>
        <v>3355.96</v>
      </c>
      <c r="Q967" s="3">
        <f t="shared" si="110"/>
        <v>0.16000000000000009</v>
      </c>
      <c r="R967" s="4" t="str">
        <f>IF(Sales_Fact!$O967&gt;1000,"High","Low")</f>
        <v>High</v>
      </c>
      <c r="S967" s="4" t="str">
        <f>VLOOKUP(C967,Customer_Dim!$A:$N,9,FALSE())</f>
        <v>Theresa Campbell</v>
      </c>
      <c r="T967" s="4" t="str">
        <f>VLOOKUP(D967,Product_Dim!$A:$M,3,FALSE())</f>
        <v>Beauty</v>
      </c>
      <c r="U967" s="11" t="str">
        <f>VLOOKUP(D967,Product_Dim!$A:$M,2,FALSE())</f>
        <v>Matte Lipstick Set</v>
      </c>
      <c r="V967" s="11" t="str">
        <f>VLOOKUP(E967,Store_Dim!$A:$E,3,FALSE())</f>
        <v>South</v>
      </c>
      <c r="W967" s="11" t="str">
        <f>VLOOKUP(C967,Customer_Dim!$A:$N,13,FALSE())</f>
        <v>Bronze</v>
      </c>
      <c r="X967" s="11" t="str">
        <f t="shared" si="111"/>
        <v>High</v>
      </c>
    </row>
    <row r="968" spans="1:24" ht="15.75" customHeight="1">
      <c r="A968" s="4" t="s">
        <v>2964</v>
      </c>
      <c r="B968" s="9">
        <v>45722</v>
      </c>
      <c r="C968" s="4" t="s">
        <v>485</v>
      </c>
      <c r="D968" s="4" t="s">
        <v>1626</v>
      </c>
      <c r="E968" s="4" t="s">
        <v>1965</v>
      </c>
      <c r="F968" s="4">
        <v>4</v>
      </c>
      <c r="G968" s="4">
        <v>838.7</v>
      </c>
      <c r="H968" s="4">
        <v>0.21</v>
      </c>
      <c r="I968" s="4" t="s">
        <v>2004</v>
      </c>
      <c r="J968" s="10">
        <v>2650.2919999999999</v>
      </c>
      <c r="K968" s="4" t="str">
        <f t="shared" si="105"/>
        <v>06-03-2025</v>
      </c>
      <c r="L968" s="4" t="str">
        <f>TEXT(Sales_Fact!$B968,"mmm")</f>
        <v>Mar</v>
      </c>
      <c r="M968" s="4">
        <f t="shared" si="106"/>
        <v>4</v>
      </c>
      <c r="N968" s="10">
        <f t="shared" si="107"/>
        <v>838.7</v>
      </c>
      <c r="O968" s="10">
        <f t="shared" si="108"/>
        <v>2650.2920000000004</v>
      </c>
      <c r="P968" s="10">
        <f t="shared" si="109"/>
        <v>3354.8</v>
      </c>
      <c r="Q968" s="3">
        <f t="shared" si="110"/>
        <v>0.20999999999999994</v>
      </c>
      <c r="R968" s="4" t="str">
        <f>IF(Sales_Fact!$O968&gt;1000,"High","Low")</f>
        <v>High</v>
      </c>
      <c r="S968" s="4" t="str">
        <f>VLOOKUP(C968,Customer_Dim!$A:$N,9,FALSE())</f>
        <v>Matthew Hanna</v>
      </c>
      <c r="T968" s="4" t="str">
        <f>VLOOKUP(D968,Product_Dim!$A:$M,3,FALSE())</f>
        <v>Electronics</v>
      </c>
      <c r="U968" s="11" t="str">
        <f>VLOOKUP(D968,Product_Dim!$A:$M,2,FALSE())</f>
        <v>HD Smart TV Stick</v>
      </c>
      <c r="V968" s="11" t="str">
        <f>VLOOKUP(E968,Store_Dim!$A:$E,3,FALSE())</f>
        <v>North</v>
      </c>
      <c r="W968" s="11" t="str">
        <f>VLOOKUP(C968,Customer_Dim!$A:$N,13,FALSE())</f>
        <v>Platinum</v>
      </c>
      <c r="X968" s="11" t="str">
        <f t="shared" si="111"/>
        <v>High</v>
      </c>
    </row>
    <row r="969" spans="1:24" ht="15.75" customHeight="1">
      <c r="A969" s="4" t="s">
        <v>2965</v>
      </c>
      <c r="B969" s="9">
        <v>45794</v>
      </c>
      <c r="C969" s="4" t="s">
        <v>1333</v>
      </c>
      <c r="D969" s="4" t="s">
        <v>1828</v>
      </c>
      <c r="E969" s="4" t="s">
        <v>1940</v>
      </c>
      <c r="F969" s="4">
        <v>3</v>
      </c>
      <c r="G969" s="4">
        <v>943.24</v>
      </c>
      <c r="H969" s="4">
        <v>0.21</v>
      </c>
      <c r="I969" s="4" t="s">
        <v>1996</v>
      </c>
      <c r="J969" s="10">
        <v>2235.4787999999999</v>
      </c>
      <c r="K969" s="4" t="str">
        <f t="shared" si="105"/>
        <v>17-05-2025</v>
      </c>
      <c r="L969" s="4" t="str">
        <f>TEXT(Sales_Fact!$B969,"mmm")</f>
        <v>May</v>
      </c>
      <c r="M969" s="4">
        <f t="shared" si="106"/>
        <v>3</v>
      </c>
      <c r="N969" s="10">
        <f t="shared" si="107"/>
        <v>943.24</v>
      </c>
      <c r="O969" s="10">
        <f t="shared" si="108"/>
        <v>2235.4788000000003</v>
      </c>
      <c r="P969" s="10">
        <f t="shared" si="109"/>
        <v>2829.7200000000003</v>
      </c>
      <c r="Q969" s="3">
        <f t="shared" si="110"/>
        <v>0.20999999999999996</v>
      </c>
      <c r="R969" s="4" t="str">
        <f>IF(Sales_Fact!$O969&gt;1000,"High","Low")</f>
        <v>High</v>
      </c>
      <c r="S969" s="4" t="str">
        <f>VLOOKUP(C969,Customer_Dim!$A:$N,9,FALSE())</f>
        <v>Dr. Tamara White Md</v>
      </c>
      <c r="T969" s="4" t="str">
        <f>VLOOKUP(D969,Product_Dim!$A:$M,3,FALSE())</f>
        <v>Electronics</v>
      </c>
      <c r="U969" s="11" t="str">
        <f>VLOOKUP(D969,Product_Dim!$A:$M,2,FALSE())</f>
        <v>Bluetooth Car Audio System</v>
      </c>
      <c r="V969" s="11" t="str">
        <f>VLOOKUP(E969,Store_Dim!$A:$E,3,FALSE())</f>
        <v>West</v>
      </c>
      <c r="W969" s="11" t="str">
        <f>VLOOKUP(C969,Customer_Dim!$A:$N,13,FALSE())</f>
        <v>Bronze</v>
      </c>
      <c r="X969" s="11" t="str">
        <f t="shared" si="111"/>
        <v>Low</v>
      </c>
    </row>
    <row r="970" spans="1:24" ht="15.75" customHeight="1">
      <c r="A970" s="4" t="s">
        <v>2966</v>
      </c>
      <c r="B970" s="9">
        <v>45538</v>
      </c>
      <c r="C970" s="4" t="s">
        <v>894</v>
      </c>
      <c r="D970" s="4" t="s">
        <v>1849</v>
      </c>
      <c r="E970" s="4" t="s">
        <v>1934</v>
      </c>
      <c r="F970" s="4">
        <v>2</v>
      </c>
      <c r="G970" s="4">
        <v>549.33000000000004</v>
      </c>
      <c r="H970" s="4">
        <v>0.01</v>
      </c>
      <c r="I970" s="4" t="s">
        <v>2004</v>
      </c>
      <c r="J970" s="10">
        <v>1087.6733999999999</v>
      </c>
      <c r="K970" s="4" t="str">
        <f t="shared" si="105"/>
        <v>03-09-2024</v>
      </c>
      <c r="L970" s="4" t="str">
        <f>TEXT(Sales_Fact!$B970,"mmm")</f>
        <v>Sep</v>
      </c>
      <c r="M970" s="4">
        <f t="shared" si="106"/>
        <v>2</v>
      </c>
      <c r="N970" s="10">
        <f t="shared" si="107"/>
        <v>549.33000000000004</v>
      </c>
      <c r="O970" s="10">
        <f t="shared" si="108"/>
        <v>1087.6734000000001</v>
      </c>
      <c r="P970" s="10">
        <f t="shared" si="109"/>
        <v>1098.6600000000001</v>
      </c>
      <c r="Q970" s="3">
        <f t="shared" si="110"/>
        <v>9.9999999999999568E-3</v>
      </c>
      <c r="R970" s="4" t="str">
        <f>IF(Sales_Fact!$O970&gt;1000,"High","Low")</f>
        <v>High</v>
      </c>
      <c r="S970" s="4" t="str">
        <f>VLOOKUP(C970,Customer_Dim!$A:$N,9,FALSE())</f>
        <v>Adam Rowland</v>
      </c>
      <c r="T970" s="4" t="str">
        <f>VLOOKUP(D970,Product_Dim!$A:$M,3,FALSE())</f>
        <v>Sports</v>
      </c>
      <c r="U970" s="11" t="str">
        <f>VLOOKUP(D970,Product_Dim!$A:$M,2,FALSE())</f>
        <v>Badminton Racket Set</v>
      </c>
      <c r="V970" s="11" t="str">
        <f>VLOOKUP(E970,Store_Dim!$A:$E,3,FALSE())</f>
        <v>East</v>
      </c>
      <c r="W970" s="11" t="str">
        <f>VLOOKUP(C970,Customer_Dim!$A:$N,13,FALSE())</f>
        <v>Gold</v>
      </c>
      <c r="X970" s="11" t="str">
        <f t="shared" si="111"/>
        <v>Low</v>
      </c>
    </row>
    <row r="971" spans="1:24" ht="15.75" customHeight="1">
      <c r="A971" s="4" t="s">
        <v>2967</v>
      </c>
      <c r="B971" s="9">
        <v>45659</v>
      </c>
      <c r="C971" s="4" t="s">
        <v>973</v>
      </c>
      <c r="D971" s="4" t="s">
        <v>1578</v>
      </c>
      <c r="E971" s="4" t="s">
        <v>1965</v>
      </c>
      <c r="F971" s="4">
        <v>2</v>
      </c>
      <c r="G971" s="4">
        <v>310.33</v>
      </c>
      <c r="H971" s="4">
        <v>0.26</v>
      </c>
      <c r="I971" s="4" t="s">
        <v>1996</v>
      </c>
      <c r="J971" s="10">
        <v>459.28840000000002</v>
      </c>
      <c r="K971" s="4" t="str">
        <f t="shared" si="105"/>
        <v>02-01-2025</v>
      </c>
      <c r="L971" s="4" t="str">
        <f>TEXT(Sales_Fact!$B971,"mmm")</f>
        <v>Jan</v>
      </c>
      <c r="M971" s="4">
        <f t="shared" si="106"/>
        <v>2</v>
      </c>
      <c r="N971" s="10">
        <f t="shared" si="107"/>
        <v>310.33</v>
      </c>
      <c r="O971" s="10">
        <f t="shared" si="108"/>
        <v>459.28839999999997</v>
      </c>
      <c r="P971" s="10">
        <f t="shared" si="109"/>
        <v>620.66</v>
      </c>
      <c r="Q971" s="3">
        <f t="shared" si="110"/>
        <v>0.26</v>
      </c>
      <c r="R971" s="4" t="str">
        <f>IF(Sales_Fact!$O971&gt;1000,"High","Low")</f>
        <v>Low</v>
      </c>
      <c r="S971" s="4" t="str">
        <f>VLOOKUP(C971,Customer_Dim!$A:$N,9,FALSE())</f>
        <v>Stephanie Jacobs</v>
      </c>
      <c r="T971" s="4" t="str">
        <f>VLOOKUP(D971,Product_Dim!$A:$M,3,FALSE())</f>
        <v>Electronics</v>
      </c>
      <c r="U971" s="11" t="str">
        <f>VLOOKUP(D971,Product_Dim!$A:$M,2,FALSE())</f>
        <v>Brother Laser Printer</v>
      </c>
      <c r="V971" s="11" t="str">
        <f>VLOOKUP(E971,Store_Dim!$A:$E,3,FALSE())</f>
        <v>North</v>
      </c>
      <c r="W971" s="11" t="str">
        <f>VLOOKUP(C971,Customer_Dim!$A:$N,13,FALSE())</f>
        <v>Platinum</v>
      </c>
      <c r="X971" s="11" t="str">
        <f t="shared" si="111"/>
        <v>Low</v>
      </c>
    </row>
    <row r="972" spans="1:24" ht="15.75" customHeight="1">
      <c r="A972" s="4" t="s">
        <v>2968</v>
      </c>
      <c r="B972" s="9">
        <v>45501</v>
      </c>
      <c r="C972" s="4" t="s">
        <v>1114</v>
      </c>
      <c r="D972" s="4" t="s">
        <v>1738</v>
      </c>
      <c r="E972" s="4" t="s">
        <v>1910</v>
      </c>
      <c r="F972" s="4">
        <v>3</v>
      </c>
      <c r="G972" s="4">
        <v>201.05</v>
      </c>
      <c r="H972" s="4">
        <v>0.23</v>
      </c>
      <c r="I972" s="4" t="s">
        <v>1998</v>
      </c>
      <c r="J972" s="10">
        <v>464.4255</v>
      </c>
      <c r="K972" s="4" t="str">
        <f t="shared" si="105"/>
        <v>28-07-2024</v>
      </c>
      <c r="L972" s="4" t="str">
        <f>TEXT(Sales_Fact!$B972,"mmm")</f>
        <v>Jul</v>
      </c>
      <c r="M972" s="4">
        <f t="shared" si="106"/>
        <v>3</v>
      </c>
      <c r="N972" s="10">
        <f t="shared" si="107"/>
        <v>201.05</v>
      </c>
      <c r="O972" s="10">
        <f t="shared" si="108"/>
        <v>464.42550000000006</v>
      </c>
      <c r="P972" s="10">
        <f t="shared" si="109"/>
        <v>603.15000000000009</v>
      </c>
      <c r="Q972" s="3">
        <f t="shared" si="110"/>
        <v>0.23</v>
      </c>
      <c r="R972" s="4" t="str">
        <f>IF(Sales_Fact!$O972&gt;1000,"High","Low")</f>
        <v>Low</v>
      </c>
      <c r="S972" s="4" t="str">
        <f>VLOOKUP(C972,Customer_Dim!$A:$N,9,FALSE())</f>
        <v>John Jordan</v>
      </c>
      <c r="T972" s="4" t="str">
        <f>VLOOKUP(D972,Product_Dim!$A:$M,3,FALSE())</f>
        <v>Sports</v>
      </c>
      <c r="U972" s="11" t="str">
        <f>VLOOKUP(D972,Product_Dim!$A:$M,2,FALSE())</f>
        <v>High-Grip Football</v>
      </c>
      <c r="V972" s="11" t="str">
        <f>VLOOKUP(E972,Store_Dim!$A:$E,3,FALSE())</f>
        <v>East</v>
      </c>
      <c r="W972" s="11" t="str">
        <f>VLOOKUP(C972,Customer_Dim!$A:$N,13,FALSE())</f>
        <v>Platinum</v>
      </c>
      <c r="X972" s="11" t="str">
        <f t="shared" si="111"/>
        <v>Low</v>
      </c>
    </row>
    <row r="973" spans="1:24" ht="15.75" customHeight="1">
      <c r="A973" s="4" t="s">
        <v>2969</v>
      </c>
      <c r="B973" s="9">
        <v>45408</v>
      </c>
      <c r="C973" s="4" t="s">
        <v>834</v>
      </c>
      <c r="D973" s="4" t="s">
        <v>1779</v>
      </c>
      <c r="E973" s="4" t="s">
        <v>1965</v>
      </c>
      <c r="F973" s="4">
        <v>1</v>
      </c>
      <c r="G973" s="4">
        <v>803.37</v>
      </c>
      <c r="H973" s="4">
        <v>0.3</v>
      </c>
      <c r="I973" s="4" t="s">
        <v>1998</v>
      </c>
      <c r="J973" s="10">
        <v>562.35900000000004</v>
      </c>
      <c r="K973" s="4" t="str">
        <f t="shared" si="105"/>
        <v>26-04-2024</v>
      </c>
      <c r="L973" s="4" t="str">
        <f>TEXT(Sales_Fact!$B973,"mmm")</f>
        <v>Apr</v>
      </c>
      <c r="M973" s="4">
        <f t="shared" si="106"/>
        <v>1</v>
      </c>
      <c r="N973" s="10">
        <f t="shared" si="107"/>
        <v>803.37</v>
      </c>
      <c r="O973" s="10">
        <f t="shared" si="108"/>
        <v>562.35899999999992</v>
      </c>
      <c r="P973" s="10">
        <f t="shared" si="109"/>
        <v>803.37</v>
      </c>
      <c r="Q973" s="3">
        <f t="shared" si="110"/>
        <v>0.3000000000000001</v>
      </c>
      <c r="R973" s="4" t="str">
        <f>IF(Sales_Fact!$O973&gt;1000,"High","Low")</f>
        <v>Low</v>
      </c>
      <c r="S973" s="4" t="str">
        <f>VLOOKUP(C973,Customer_Dim!$A:$N,9,FALSE())</f>
        <v>John Mccoy</v>
      </c>
      <c r="T973" s="4" t="str">
        <f>VLOOKUP(D973,Product_Dim!$A:$M,3,FALSE())</f>
        <v>Clothing</v>
      </c>
      <c r="U973" s="11" t="str">
        <f>VLOOKUP(D973,Product_Dim!$A:$M,2,FALSE())</f>
        <v>Womens Cotton Scarf</v>
      </c>
      <c r="V973" s="11" t="str">
        <f>VLOOKUP(E973,Store_Dim!$A:$E,3,FALSE())</f>
        <v>North</v>
      </c>
      <c r="W973" s="11" t="str">
        <f>VLOOKUP(C973,Customer_Dim!$A:$N,13,FALSE())</f>
        <v>Silver</v>
      </c>
      <c r="X973" s="11" t="str">
        <f t="shared" si="111"/>
        <v>Low</v>
      </c>
    </row>
    <row r="974" spans="1:24" ht="15.75" customHeight="1">
      <c r="A974" s="4" t="s">
        <v>2970</v>
      </c>
      <c r="B974" s="9">
        <v>45886</v>
      </c>
      <c r="C974" s="4" t="s">
        <v>165</v>
      </c>
      <c r="D974" s="4" t="s">
        <v>1788</v>
      </c>
      <c r="E974" s="4" t="s">
        <v>1959</v>
      </c>
      <c r="F974" s="4">
        <v>3</v>
      </c>
      <c r="G974" s="4">
        <v>259.98</v>
      </c>
      <c r="H974" s="4">
        <v>7.0000000000000007E-2</v>
      </c>
      <c r="I974" s="4" t="s">
        <v>2004</v>
      </c>
      <c r="J974" s="10">
        <v>725.3442</v>
      </c>
      <c r="K974" s="4" t="str">
        <f t="shared" si="105"/>
        <v>17-08-2025</v>
      </c>
      <c r="L974" s="4" t="str">
        <f>TEXT(Sales_Fact!$B974,"mmm")</f>
        <v>Aug</v>
      </c>
      <c r="M974" s="4">
        <f t="shared" si="106"/>
        <v>3</v>
      </c>
      <c r="N974" s="10">
        <f t="shared" si="107"/>
        <v>259.98</v>
      </c>
      <c r="O974" s="10">
        <f t="shared" si="108"/>
        <v>725.3442</v>
      </c>
      <c r="P974" s="10">
        <f t="shared" si="109"/>
        <v>779.94</v>
      </c>
      <c r="Q974" s="3">
        <f t="shared" si="110"/>
        <v>7.0000000000000062E-2</v>
      </c>
      <c r="R974" s="4" t="str">
        <f>IF(Sales_Fact!$O974&gt;1000,"High","Low")</f>
        <v>Low</v>
      </c>
      <c r="S974" s="4" t="str">
        <f>VLOOKUP(C974,Customer_Dim!$A:$N,9,FALSE())</f>
        <v>Thomas Phillips</v>
      </c>
      <c r="T974" s="4" t="str">
        <f>VLOOKUP(D974,Product_Dim!$A:$M,3,FALSE())</f>
        <v>Sports</v>
      </c>
      <c r="U974" s="11" t="str">
        <f>VLOOKUP(D974,Product_Dim!$A:$M,2,FALSE())</f>
        <v>Tennis Ball 3-Pack</v>
      </c>
      <c r="V974" s="11" t="str">
        <f>VLOOKUP(E974,Store_Dim!$A:$E,3,FALSE())</f>
        <v>North</v>
      </c>
      <c r="W974" s="11" t="str">
        <f>VLOOKUP(C974,Customer_Dim!$A:$N,13,FALSE())</f>
        <v>Gold</v>
      </c>
      <c r="X974" s="11" t="str">
        <f t="shared" si="111"/>
        <v>Low</v>
      </c>
    </row>
    <row r="975" spans="1:24" ht="15.75" customHeight="1">
      <c r="A975" s="4" t="s">
        <v>2971</v>
      </c>
      <c r="B975" s="9">
        <v>45426</v>
      </c>
      <c r="C975" s="4" t="s">
        <v>450</v>
      </c>
      <c r="D975" s="4" t="s">
        <v>1588</v>
      </c>
      <c r="E975" s="4" t="s">
        <v>1924</v>
      </c>
      <c r="F975" s="4">
        <v>4</v>
      </c>
      <c r="G975" s="4">
        <v>591.9</v>
      </c>
      <c r="H975" s="4">
        <v>0.2</v>
      </c>
      <c r="I975" s="4" t="s">
        <v>1998</v>
      </c>
      <c r="J975" s="10">
        <v>1894.08</v>
      </c>
      <c r="K975" s="4" t="str">
        <f t="shared" si="105"/>
        <v>14-05-2024</v>
      </c>
      <c r="L975" s="4" t="str">
        <f>TEXT(Sales_Fact!$B975,"mmm")</f>
        <v>May</v>
      </c>
      <c r="M975" s="4">
        <f t="shared" si="106"/>
        <v>4</v>
      </c>
      <c r="N975" s="10">
        <f t="shared" si="107"/>
        <v>591.9</v>
      </c>
      <c r="O975" s="10">
        <f t="shared" si="108"/>
        <v>1894.08</v>
      </c>
      <c r="P975" s="10">
        <f t="shared" si="109"/>
        <v>2367.6</v>
      </c>
      <c r="Q975" s="3">
        <f t="shared" si="110"/>
        <v>0.2</v>
      </c>
      <c r="R975" s="4" t="str">
        <f>IF(Sales_Fact!$O975&gt;1000,"High","Low")</f>
        <v>High</v>
      </c>
      <c r="S975" s="4" t="str">
        <f>VLOOKUP(C975,Customer_Dim!$A:$N,9,FALSE())</f>
        <v>Donald Lee</v>
      </c>
      <c r="T975" s="4" t="str">
        <f>VLOOKUP(D975,Product_Dim!$A:$M,3,FALSE())</f>
        <v>Clothing</v>
      </c>
      <c r="U975" s="11" t="str">
        <f>VLOOKUP(D975,Product_Dim!$A:$M,2,FALSE())</f>
        <v>Women's Casual Hoodie</v>
      </c>
      <c r="V975" s="11" t="str">
        <f>VLOOKUP(E975,Store_Dim!$A:$E,3,FALSE())</f>
        <v>North</v>
      </c>
      <c r="W975" s="11" t="str">
        <f>VLOOKUP(C975,Customer_Dim!$A:$N,13,FALSE())</f>
        <v>Bronze</v>
      </c>
      <c r="X975" s="11" t="str">
        <f t="shared" si="111"/>
        <v>High</v>
      </c>
    </row>
    <row r="976" spans="1:24" ht="15.75" customHeight="1">
      <c r="A976" s="4" t="s">
        <v>2972</v>
      </c>
      <c r="B976" s="9">
        <v>45730</v>
      </c>
      <c r="C976" s="4" t="s">
        <v>148</v>
      </c>
      <c r="D976" s="4" t="s">
        <v>1785</v>
      </c>
      <c r="E976" s="4" t="s">
        <v>1952</v>
      </c>
      <c r="F976" s="4">
        <v>2</v>
      </c>
      <c r="G976" s="4">
        <v>396.9</v>
      </c>
      <c r="H976" s="4">
        <v>0.18</v>
      </c>
      <c r="I976" s="4" t="s">
        <v>1998</v>
      </c>
      <c r="J976" s="10">
        <v>650.91600000000005</v>
      </c>
      <c r="K976" s="4" t="str">
        <f t="shared" si="105"/>
        <v>14-03-2025</v>
      </c>
      <c r="L976" s="4" t="str">
        <f>TEXT(Sales_Fact!$B976,"mmm")</f>
        <v>Mar</v>
      </c>
      <c r="M976" s="4">
        <f t="shared" si="106"/>
        <v>2</v>
      </c>
      <c r="N976" s="10">
        <f t="shared" si="107"/>
        <v>396.9</v>
      </c>
      <c r="O976" s="10">
        <f t="shared" si="108"/>
        <v>650.91600000000005</v>
      </c>
      <c r="P976" s="10">
        <f t="shared" si="109"/>
        <v>793.8</v>
      </c>
      <c r="Q976" s="3">
        <f t="shared" si="110"/>
        <v>0.17999999999999988</v>
      </c>
      <c r="R976" s="4" t="str">
        <f>IF(Sales_Fact!$O976&gt;1000,"High","Low")</f>
        <v>Low</v>
      </c>
      <c r="S976" s="4" t="str">
        <f>VLOOKUP(C976,Customer_Dim!$A:$N,9,FALSE())</f>
        <v>Sarah Vance</v>
      </c>
      <c r="T976" s="4" t="str">
        <f>VLOOKUP(D976,Product_Dim!$A:$M,3,FALSE())</f>
        <v>Beauty</v>
      </c>
      <c r="U976" s="11" t="str">
        <f>VLOOKUP(D976,Product_Dim!$A:$M,2,FALSE())</f>
        <v>Luxury Perfume Spray</v>
      </c>
      <c r="V976" s="11" t="str">
        <f>VLOOKUP(E976,Store_Dim!$A:$E,3,FALSE())</f>
        <v>North</v>
      </c>
      <c r="W976" s="11" t="str">
        <f>VLOOKUP(C976,Customer_Dim!$A:$N,13,FALSE())</f>
        <v>Silver</v>
      </c>
      <c r="X976" s="11" t="str">
        <f t="shared" si="111"/>
        <v>Low</v>
      </c>
    </row>
    <row r="977" spans="1:24" ht="15.75" customHeight="1">
      <c r="A977" s="4" t="s">
        <v>2973</v>
      </c>
      <c r="B977" s="9">
        <v>45731</v>
      </c>
      <c r="C977" s="4" t="s">
        <v>1429</v>
      </c>
      <c r="D977" s="4" t="s">
        <v>1900</v>
      </c>
      <c r="E977" s="4" t="s">
        <v>1919</v>
      </c>
      <c r="F977" s="4">
        <v>1</v>
      </c>
      <c r="G977" s="4">
        <v>176.84</v>
      </c>
      <c r="H977" s="4">
        <v>0.19</v>
      </c>
      <c r="I977" s="4" t="s">
        <v>1996</v>
      </c>
      <c r="J977" s="10">
        <v>143.24039999999999</v>
      </c>
      <c r="K977" s="4" t="str">
        <f t="shared" si="105"/>
        <v>15-03-2025</v>
      </c>
      <c r="L977" s="4" t="str">
        <f>TEXT(Sales_Fact!$B977,"mmm")</f>
        <v>Mar</v>
      </c>
      <c r="M977" s="4">
        <f t="shared" si="106"/>
        <v>1</v>
      </c>
      <c r="N977" s="10">
        <f t="shared" si="107"/>
        <v>176.84</v>
      </c>
      <c r="O977" s="10">
        <f t="shared" si="108"/>
        <v>143.24040000000002</v>
      </c>
      <c r="P977" s="10">
        <f t="shared" si="109"/>
        <v>176.84</v>
      </c>
      <c r="Q977" s="3">
        <f t="shared" si="110"/>
        <v>0.18999999999999989</v>
      </c>
      <c r="R977" s="4" t="str">
        <f>IF(Sales_Fact!$O977&gt;1000,"High","Low")</f>
        <v>Low</v>
      </c>
      <c r="S977" s="4" t="str">
        <f>VLOOKUP(C977,Customer_Dim!$A:$N,9,FALSE())</f>
        <v>April Phillips</v>
      </c>
      <c r="T977" s="4" t="str">
        <f>VLOOKUP(D977,Product_Dim!$A:$M,3,FALSE())</f>
        <v>Electronics</v>
      </c>
      <c r="U977" s="11" t="str">
        <f>VLOOKUP(D977,Product_Dim!$A:$M,2,FALSE())</f>
        <v>Portable Bluetooth Speaker</v>
      </c>
      <c r="V977" s="11" t="str">
        <f>VLOOKUP(E977,Store_Dim!$A:$E,3,FALSE())</f>
        <v>South</v>
      </c>
      <c r="W977" s="11" t="str">
        <f>VLOOKUP(C977,Customer_Dim!$A:$N,13,FALSE())</f>
        <v>Platinum</v>
      </c>
      <c r="X977" s="11" t="str">
        <f t="shared" si="111"/>
        <v>Low</v>
      </c>
    </row>
    <row r="978" spans="1:24" ht="15.75" customHeight="1">
      <c r="A978" s="4" t="s">
        <v>2974</v>
      </c>
      <c r="B978" s="9">
        <v>45272</v>
      </c>
      <c r="C978" s="4" t="s">
        <v>840</v>
      </c>
      <c r="D978" s="4" t="s">
        <v>1678</v>
      </c>
      <c r="E978" s="4" t="s">
        <v>1910</v>
      </c>
      <c r="F978" s="4">
        <v>2</v>
      </c>
      <c r="G978" s="4">
        <v>614.21</v>
      </c>
      <c r="H978" s="4">
        <v>0.11</v>
      </c>
      <c r="I978" s="4" t="s">
        <v>1998</v>
      </c>
      <c r="J978" s="10">
        <v>1093.2937999999999</v>
      </c>
      <c r="K978" s="4" t="str">
        <f t="shared" si="105"/>
        <v>12-12-2023</v>
      </c>
      <c r="L978" s="4" t="str">
        <f>TEXT(Sales_Fact!$B978,"mmm")</f>
        <v>Dec</v>
      </c>
      <c r="M978" s="4">
        <f t="shared" si="106"/>
        <v>2</v>
      </c>
      <c r="N978" s="10">
        <f t="shared" si="107"/>
        <v>614.21</v>
      </c>
      <c r="O978" s="10">
        <f t="shared" si="108"/>
        <v>1093.2938000000001</v>
      </c>
      <c r="P978" s="10">
        <f t="shared" si="109"/>
        <v>1228.42</v>
      </c>
      <c r="Q978" s="3">
        <f t="shared" si="110"/>
        <v>0.10999999999999993</v>
      </c>
      <c r="R978" s="4" t="str">
        <f>IF(Sales_Fact!$O978&gt;1000,"High","Low")</f>
        <v>High</v>
      </c>
      <c r="S978" s="4" t="str">
        <f>VLOOKUP(C978,Customer_Dim!$A:$N,9,FALSE())</f>
        <v>Linda Kline</v>
      </c>
      <c r="T978" s="4" t="str">
        <f>VLOOKUP(D978,Product_Dim!$A:$M,3,FALSE())</f>
        <v>Electronics</v>
      </c>
      <c r="U978" s="11" t="str">
        <f>VLOOKUP(D978,Product_Dim!$A:$M,2,FALSE())</f>
        <v>Wireless Bluetooth Speaker</v>
      </c>
      <c r="V978" s="11" t="str">
        <f>VLOOKUP(E978,Store_Dim!$A:$E,3,FALSE())</f>
        <v>East</v>
      </c>
      <c r="W978" s="11" t="str">
        <f>VLOOKUP(C978,Customer_Dim!$A:$N,13,FALSE())</f>
        <v>Silver</v>
      </c>
      <c r="X978" s="11" t="str">
        <f t="shared" si="111"/>
        <v>Low</v>
      </c>
    </row>
    <row r="979" spans="1:24" ht="15.75" customHeight="1">
      <c r="A979" s="4" t="s">
        <v>2975</v>
      </c>
      <c r="B979" s="9">
        <v>45584</v>
      </c>
      <c r="C979" s="4" t="s">
        <v>402</v>
      </c>
      <c r="D979" s="4" t="s">
        <v>1592</v>
      </c>
      <c r="E979" s="4" t="s">
        <v>1937</v>
      </c>
      <c r="F979" s="4">
        <v>3</v>
      </c>
      <c r="G979" s="4">
        <v>604.66</v>
      </c>
      <c r="H979" s="4">
        <v>0.18</v>
      </c>
      <c r="I979" s="4" t="s">
        <v>2004</v>
      </c>
      <c r="J979" s="10">
        <v>1487.4636</v>
      </c>
      <c r="K979" s="4" t="str">
        <f t="shared" si="105"/>
        <v>19-10-2024</v>
      </c>
      <c r="L979" s="4" t="str">
        <f>TEXT(Sales_Fact!$B979,"mmm")</f>
        <v>Oct</v>
      </c>
      <c r="M979" s="4">
        <f t="shared" si="106"/>
        <v>3</v>
      </c>
      <c r="N979" s="10">
        <f t="shared" si="107"/>
        <v>604.66</v>
      </c>
      <c r="O979" s="10">
        <f t="shared" si="108"/>
        <v>1487.4636</v>
      </c>
      <c r="P979" s="10">
        <f t="shared" si="109"/>
        <v>1813.98</v>
      </c>
      <c r="Q979" s="3">
        <f t="shared" si="110"/>
        <v>0.18</v>
      </c>
      <c r="R979" s="4" t="str">
        <f>IF(Sales_Fact!$O979&gt;1000,"High","Low")</f>
        <v>High</v>
      </c>
      <c r="S979" s="4" t="str">
        <f>VLOOKUP(C979,Customer_Dim!$A:$N,9,FALSE())</f>
        <v>Travis Holland</v>
      </c>
      <c r="T979" s="4" t="str">
        <f>VLOOKUP(D979,Product_Dim!$A:$M,3,FALSE())</f>
        <v>Clothing</v>
      </c>
      <c r="U979" s="11" t="str">
        <f>VLOOKUP(D979,Product_Dim!$A:$M,2,FALSE())</f>
        <v>Men's Running Jacket</v>
      </c>
      <c r="V979" s="11" t="str">
        <f>VLOOKUP(E979,Store_Dim!$A:$E,3,FALSE())</f>
        <v>South</v>
      </c>
      <c r="W979" s="11" t="str">
        <f>VLOOKUP(C979,Customer_Dim!$A:$N,13,FALSE())</f>
        <v>Bronze</v>
      </c>
      <c r="X979" s="11" t="str">
        <f t="shared" si="111"/>
        <v>Low</v>
      </c>
    </row>
    <row r="980" spans="1:24" ht="15.75" customHeight="1">
      <c r="A980" s="4" t="s">
        <v>2976</v>
      </c>
      <c r="B980" s="9">
        <v>45534</v>
      </c>
      <c r="C980" s="4" t="s">
        <v>1559</v>
      </c>
      <c r="D980" s="4" t="s">
        <v>1588</v>
      </c>
      <c r="E980" s="4" t="s">
        <v>1952</v>
      </c>
      <c r="F980" s="4">
        <v>3</v>
      </c>
      <c r="G980" s="4">
        <v>24.29</v>
      </c>
      <c r="H980" s="4">
        <v>0.12</v>
      </c>
      <c r="I980" s="4" t="s">
        <v>1998</v>
      </c>
      <c r="J980" s="10">
        <v>64.125600000000006</v>
      </c>
      <c r="K980" s="4" t="str">
        <f t="shared" si="105"/>
        <v>30-08-2024</v>
      </c>
      <c r="L980" s="4" t="str">
        <f>TEXT(Sales_Fact!$B980,"mmm")</f>
        <v>Aug</v>
      </c>
      <c r="M980" s="4">
        <f t="shared" si="106"/>
        <v>3</v>
      </c>
      <c r="N980" s="10">
        <f t="shared" si="107"/>
        <v>24.29</v>
      </c>
      <c r="O980" s="10">
        <f t="shared" si="108"/>
        <v>64.125600000000006</v>
      </c>
      <c r="P980" s="10">
        <f t="shared" si="109"/>
        <v>72.87</v>
      </c>
      <c r="Q980" s="3">
        <f t="shared" si="110"/>
        <v>0.11999999999999998</v>
      </c>
      <c r="R980" s="4" t="str">
        <f>IF(Sales_Fact!$O980&gt;1000,"High","Low")</f>
        <v>Low</v>
      </c>
      <c r="S980" s="4" t="str">
        <f>VLOOKUP(C980,Customer_Dim!$A:$N,9,FALSE())</f>
        <v>Traci Gonzalez</v>
      </c>
      <c r="T980" s="4" t="str">
        <f>VLOOKUP(D980,Product_Dim!$A:$M,3,FALSE())</f>
        <v>Clothing</v>
      </c>
      <c r="U980" s="11" t="str">
        <f>VLOOKUP(D980,Product_Dim!$A:$M,2,FALSE())</f>
        <v>Women's Casual Hoodie</v>
      </c>
      <c r="V980" s="11" t="str">
        <f>VLOOKUP(E980,Store_Dim!$A:$E,3,FALSE())</f>
        <v>North</v>
      </c>
      <c r="W980" s="11" t="str">
        <f>VLOOKUP(C980,Customer_Dim!$A:$N,13,FALSE())</f>
        <v>Silver</v>
      </c>
      <c r="X980" s="11" t="str">
        <f t="shared" si="111"/>
        <v>Low</v>
      </c>
    </row>
    <row r="981" spans="1:24" ht="15.75" customHeight="1">
      <c r="A981" s="4" t="s">
        <v>2977</v>
      </c>
      <c r="B981" s="9">
        <v>45411</v>
      </c>
      <c r="C981" s="4" t="s">
        <v>1222</v>
      </c>
      <c r="D981" s="4" t="s">
        <v>1595</v>
      </c>
      <c r="E981" s="4" t="s">
        <v>1924</v>
      </c>
      <c r="F981" s="4">
        <v>3</v>
      </c>
      <c r="G981" s="4">
        <v>620.22</v>
      </c>
      <c r="H981" s="4">
        <v>0.04</v>
      </c>
      <c r="I981" s="4" t="s">
        <v>1996</v>
      </c>
      <c r="J981" s="10">
        <v>1786.2336</v>
      </c>
      <c r="K981" s="4" t="str">
        <f t="shared" si="105"/>
        <v>29-04-2024</v>
      </c>
      <c r="L981" s="4" t="str">
        <f>TEXT(Sales_Fact!$B981,"mmm")</f>
        <v>Apr</v>
      </c>
      <c r="M981" s="4">
        <f t="shared" si="106"/>
        <v>3</v>
      </c>
      <c r="N981" s="10">
        <f t="shared" si="107"/>
        <v>620.22</v>
      </c>
      <c r="O981" s="10">
        <f t="shared" si="108"/>
        <v>1786.2336</v>
      </c>
      <c r="P981" s="10">
        <f t="shared" si="109"/>
        <v>1860.66</v>
      </c>
      <c r="Q981" s="3">
        <f t="shared" si="110"/>
        <v>4.0000000000000029E-2</v>
      </c>
      <c r="R981" s="4" t="str">
        <f>IF(Sales_Fact!$O981&gt;1000,"High","Low")</f>
        <v>High</v>
      </c>
      <c r="S981" s="4" t="str">
        <f>VLOOKUP(C981,Customer_Dim!$A:$N,9,FALSE())</f>
        <v>Martha Brown</v>
      </c>
      <c r="T981" s="4" t="str">
        <f>VLOOKUP(D981,Product_Dim!$A:$M,3,FALSE())</f>
        <v>Clothing</v>
      </c>
      <c r="U981" s="11" t="str">
        <f>VLOOKUP(D981,Product_Dim!$A:$M,2,FALSE())</f>
        <v>Women's Yoga Pants</v>
      </c>
      <c r="V981" s="11" t="str">
        <f>VLOOKUP(E981,Store_Dim!$A:$E,3,FALSE())</f>
        <v>North</v>
      </c>
      <c r="W981" s="11" t="str">
        <f>VLOOKUP(C981,Customer_Dim!$A:$N,13,FALSE())</f>
        <v>Gold</v>
      </c>
      <c r="X981" s="11" t="str">
        <f t="shared" si="111"/>
        <v>Low</v>
      </c>
    </row>
    <row r="982" spans="1:24" ht="15.75" customHeight="1">
      <c r="A982" s="4" t="s">
        <v>2978</v>
      </c>
      <c r="B982" s="9">
        <v>45482</v>
      </c>
      <c r="C982" s="4" t="s">
        <v>441</v>
      </c>
      <c r="D982" s="4" t="s">
        <v>1794</v>
      </c>
      <c r="E982" s="4" t="s">
        <v>1950</v>
      </c>
      <c r="F982" s="4">
        <v>1</v>
      </c>
      <c r="G982" s="4">
        <v>503.95</v>
      </c>
      <c r="H982" s="4">
        <v>0.24</v>
      </c>
      <c r="I982" s="4" t="s">
        <v>1998</v>
      </c>
      <c r="J982" s="10">
        <v>383.00200000000001</v>
      </c>
      <c r="K982" s="4" t="str">
        <f t="shared" si="105"/>
        <v>09-07-2024</v>
      </c>
      <c r="L982" s="4" t="str">
        <f>TEXT(Sales_Fact!$B982,"mmm")</f>
        <v>Jul</v>
      </c>
      <c r="M982" s="4">
        <f t="shared" si="106"/>
        <v>1</v>
      </c>
      <c r="N982" s="10">
        <f t="shared" si="107"/>
        <v>503.95</v>
      </c>
      <c r="O982" s="10">
        <f t="shared" si="108"/>
        <v>383.00200000000001</v>
      </c>
      <c r="P982" s="10">
        <f t="shared" si="109"/>
        <v>503.95</v>
      </c>
      <c r="Q982" s="3">
        <f t="shared" si="110"/>
        <v>0.23999999999999996</v>
      </c>
      <c r="R982" s="4" t="str">
        <f>IF(Sales_Fact!$O982&gt;1000,"High","Low")</f>
        <v>Low</v>
      </c>
      <c r="S982" s="4" t="str">
        <f>VLOOKUP(C982,Customer_Dim!$A:$N,9,FALSE())</f>
        <v>Joel Robinson</v>
      </c>
      <c r="T982" s="4" t="str">
        <f>VLOOKUP(D982,Product_Dim!$A:$M,3,FALSE())</f>
        <v>Beauty</v>
      </c>
      <c r="U982" s="11" t="str">
        <f>VLOOKUP(D982,Product_Dim!$A:$M,2,FALSE())</f>
        <v>Organic Sunscreen Lotion</v>
      </c>
      <c r="V982" s="11" t="str">
        <f>VLOOKUP(E982,Store_Dim!$A:$E,3,FALSE())</f>
        <v>South</v>
      </c>
      <c r="W982" s="11" t="str">
        <f>VLOOKUP(C982,Customer_Dim!$A:$N,13,FALSE())</f>
        <v>Platinum</v>
      </c>
      <c r="X982" s="11" t="str">
        <f t="shared" si="111"/>
        <v>Low</v>
      </c>
    </row>
    <row r="983" spans="1:24" ht="15.75" customHeight="1">
      <c r="A983" s="4" t="s">
        <v>2979</v>
      </c>
      <c r="B983" s="9">
        <v>45475</v>
      </c>
      <c r="C983" s="4" t="s">
        <v>1033</v>
      </c>
      <c r="D983" s="4" t="s">
        <v>1758</v>
      </c>
      <c r="E983" s="4" t="s">
        <v>1957</v>
      </c>
      <c r="F983" s="4">
        <v>4</v>
      </c>
      <c r="G983" s="4">
        <v>860.78</v>
      </c>
      <c r="H983" s="4">
        <v>0.03</v>
      </c>
      <c r="I983" s="4" t="s">
        <v>1996</v>
      </c>
      <c r="J983" s="10">
        <v>3339.8263999999999</v>
      </c>
      <c r="K983" s="4" t="str">
        <f t="shared" si="105"/>
        <v>02-07-2024</v>
      </c>
      <c r="L983" s="4" t="str">
        <f>TEXT(Sales_Fact!$B983,"mmm")</f>
        <v>Jul</v>
      </c>
      <c r="M983" s="4">
        <f t="shared" si="106"/>
        <v>4</v>
      </c>
      <c r="N983" s="10">
        <f t="shared" si="107"/>
        <v>860.78</v>
      </c>
      <c r="O983" s="10">
        <f t="shared" si="108"/>
        <v>3339.8263999999999</v>
      </c>
      <c r="P983" s="10">
        <f t="shared" si="109"/>
        <v>3443.12</v>
      </c>
      <c r="Q983" s="3">
        <f t="shared" si="110"/>
        <v>2.9999999999999992E-2</v>
      </c>
      <c r="R983" s="4" t="str">
        <f>IF(Sales_Fact!$O983&gt;1000,"High","Low")</f>
        <v>High</v>
      </c>
      <c r="S983" s="4" t="str">
        <f>VLOOKUP(C983,Customer_Dim!$A:$N,9,FALSE())</f>
        <v>Casey Simpson</v>
      </c>
      <c r="T983" s="4" t="str">
        <f>VLOOKUP(D983,Product_Dim!$A:$M,3,FALSE())</f>
        <v>Electronics</v>
      </c>
      <c r="U983" s="11" t="str">
        <f>VLOOKUP(D983,Product_Dim!$A:$M,2,FALSE())</f>
        <v>HDMI Cable – 2m</v>
      </c>
      <c r="V983" s="11" t="str">
        <f>VLOOKUP(E983,Store_Dim!$A:$E,3,FALSE())</f>
        <v>South</v>
      </c>
      <c r="W983" s="11" t="str">
        <f>VLOOKUP(C983,Customer_Dim!$A:$N,13,FALSE())</f>
        <v>Platinum</v>
      </c>
      <c r="X983" s="11" t="str">
        <f t="shared" si="111"/>
        <v>High</v>
      </c>
    </row>
    <row r="984" spans="1:24" ht="15.75" customHeight="1">
      <c r="A984" s="4" t="s">
        <v>2980</v>
      </c>
      <c r="B984" s="9">
        <v>45234</v>
      </c>
      <c r="C984" s="4" t="s">
        <v>671</v>
      </c>
      <c r="D984" s="4" t="s">
        <v>1729</v>
      </c>
      <c r="E984" s="4" t="s">
        <v>1924</v>
      </c>
      <c r="F984" s="4">
        <v>3</v>
      </c>
      <c r="G984" s="4">
        <v>41.97</v>
      </c>
      <c r="H984" s="4">
        <v>0.03</v>
      </c>
      <c r="I984" s="4" t="s">
        <v>2004</v>
      </c>
      <c r="J984" s="10">
        <v>122.1327</v>
      </c>
      <c r="K984" s="4" t="str">
        <f t="shared" si="105"/>
        <v>04-11-2023</v>
      </c>
      <c r="L984" s="4" t="str">
        <f>TEXT(Sales_Fact!$B984,"mmm")</f>
        <v>Nov</v>
      </c>
      <c r="M984" s="4">
        <f t="shared" si="106"/>
        <v>3</v>
      </c>
      <c r="N984" s="10">
        <f t="shared" si="107"/>
        <v>41.97</v>
      </c>
      <c r="O984" s="10">
        <f t="shared" si="108"/>
        <v>122.1327</v>
      </c>
      <c r="P984" s="10">
        <f t="shared" si="109"/>
        <v>125.91</v>
      </c>
      <c r="Q984" s="3">
        <f t="shared" si="110"/>
        <v>2.9999999999999975E-2</v>
      </c>
      <c r="R984" s="4" t="str">
        <f>IF(Sales_Fact!$O984&gt;1000,"High","Low")</f>
        <v>Low</v>
      </c>
      <c r="S984" s="4" t="str">
        <f>VLOOKUP(C984,Customer_Dim!$A:$N,9,FALSE())</f>
        <v>Andrea Jacobs</v>
      </c>
      <c r="T984" s="4" t="str">
        <f>VLOOKUP(D984,Product_Dim!$A:$M,3,FALSE())</f>
        <v>Electronics</v>
      </c>
      <c r="U984" s="11" t="str">
        <f>VLOOKUP(D984,Product_Dim!$A:$M,2,FALSE())</f>
        <v>Smart Home WiFi Camera</v>
      </c>
      <c r="V984" s="11" t="str">
        <f>VLOOKUP(E984,Store_Dim!$A:$E,3,FALSE())</f>
        <v>North</v>
      </c>
      <c r="W984" s="11" t="str">
        <f>VLOOKUP(C984,Customer_Dim!$A:$N,13,FALSE())</f>
        <v>Platinum</v>
      </c>
      <c r="X984" s="11" t="str">
        <f t="shared" si="111"/>
        <v>Low</v>
      </c>
    </row>
    <row r="985" spans="1:24" ht="15.75" customHeight="1">
      <c r="A985" s="4" t="s">
        <v>2981</v>
      </c>
      <c r="B985" s="9">
        <v>45397</v>
      </c>
      <c r="C985" s="4" t="s">
        <v>155</v>
      </c>
      <c r="D985" s="4" t="s">
        <v>1640</v>
      </c>
      <c r="E985" s="4" t="s">
        <v>1931</v>
      </c>
      <c r="F985" s="4">
        <v>1</v>
      </c>
      <c r="G985" s="4">
        <v>649.59</v>
      </c>
      <c r="H985" s="4">
        <v>0.12</v>
      </c>
      <c r="I985" s="4" t="s">
        <v>2004</v>
      </c>
      <c r="J985" s="10">
        <v>571.63919999999996</v>
      </c>
      <c r="K985" s="4" t="str">
        <f t="shared" si="105"/>
        <v>15-04-2024</v>
      </c>
      <c r="L985" s="4" t="str">
        <f>TEXT(Sales_Fact!$B985,"mmm")</f>
        <v>Apr</v>
      </c>
      <c r="M985" s="4">
        <f t="shared" si="106"/>
        <v>1</v>
      </c>
      <c r="N985" s="10">
        <f t="shared" si="107"/>
        <v>649.59</v>
      </c>
      <c r="O985" s="10">
        <f t="shared" si="108"/>
        <v>571.63920000000007</v>
      </c>
      <c r="P985" s="10">
        <f t="shared" si="109"/>
        <v>649.59</v>
      </c>
      <c r="Q985" s="3">
        <f t="shared" si="110"/>
        <v>0.11999999999999993</v>
      </c>
      <c r="R985" s="4" t="str">
        <f>IF(Sales_Fact!$O985&gt;1000,"High","Low")</f>
        <v>Low</v>
      </c>
      <c r="S985" s="4" t="str">
        <f>VLOOKUP(C985,Customer_Dim!$A:$N,9,FALSE())</f>
        <v>Robert Jones Dds</v>
      </c>
      <c r="T985" s="4" t="str">
        <f>VLOOKUP(D985,Product_Dim!$A:$M,3,FALSE())</f>
        <v>Electronics</v>
      </c>
      <c r="U985" s="11" t="str">
        <f>VLOOKUP(D985,Product_Dim!$A:$M,2,FALSE())</f>
        <v>4K Home Projector</v>
      </c>
      <c r="V985" s="11" t="str">
        <f>VLOOKUP(E985,Store_Dim!$A:$E,3,FALSE())</f>
        <v>North</v>
      </c>
      <c r="W985" s="11" t="str">
        <f>VLOOKUP(C985,Customer_Dim!$A:$N,13,FALSE())</f>
        <v>Platinum</v>
      </c>
      <c r="X985" s="11" t="str">
        <f t="shared" si="111"/>
        <v>Low</v>
      </c>
    </row>
    <row r="986" spans="1:24" ht="15.75" customHeight="1">
      <c r="A986" s="4" t="s">
        <v>2982</v>
      </c>
      <c r="B986" s="9">
        <v>45502</v>
      </c>
      <c r="C986" s="4" t="s">
        <v>223</v>
      </c>
      <c r="D986" s="4" t="s">
        <v>1794</v>
      </c>
      <c r="E986" s="4" t="s">
        <v>1944</v>
      </c>
      <c r="F986" s="4">
        <v>2</v>
      </c>
      <c r="G986" s="4">
        <v>386.09</v>
      </c>
      <c r="H986" s="4">
        <v>0.19</v>
      </c>
      <c r="I986" s="4" t="s">
        <v>1998</v>
      </c>
      <c r="J986" s="10">
        <v>625.46579999999994</v>
      </c>
      <c r="K986" s="4" t="str">
        <f t="shared" si="105"/>
        <v>29-07-2024</v>
      </c>
      <c r="L986" s="4" t="str">
        <f>TEXT(Sales_Fact!$B986,"mmm")</f>
        <v>Jul</v>
      </c>
      <c r="M986" s="4">
        <f t="shared" si="106"/>
        <v>2</v>
      </c>
      <c r="N986" s="10">
        <f t="shared" si="107"/>
        <v>386.09</v>
      </c>
      <c r="O986" s="10">
        <f t="shared" si="108"/>
        <v>625.46579999999994</v>
      </c>
      <c r="P986" s="10">
        <f t="shared" si="109"/>
        <v>772.18</v>
      </c>
      <c r="Q986" s="3">
        <f t="shared" si="110"/>
        <v>0.19000000000000003</v>
      </c>
      <c r="R986" s="4" t="str">
        <f>IF(Sales_Fact!$O986&gt;1000,"High","Low")</f>
        <v>Low</v>
      </c>
      <c r="S986" s="4" t="str">
        <f>VLOOKUP(C986,Customer_Dim!$A:$N,9,FALSE())</f>
        <v>Sharon Brown</v>
      </c>
      <c r="T986" s="4" t="str">
        <f>VLOOKUP(D986,Product_Dim!$A:$M,3,FALSE())</f>
        <v>Beauty</v>
      </c>
      <c r="U986" s="11" t="str">
        <f>VLOOKUP(D986,Product_Dim!$A:$M,2,FALSE())</f>
        <v>Organic Sunscreen Lotion</v>
      </c>
      <c r="V986" s="11" t="str">
        <f>VLOOKUP(E986,Store_Dim!$A:$E,3,FALSE())</f>
        <v>South</v>
      </c>
      <c r="W986" s="11" t="str">
        <f>VLOOKUP(C986,Customer_Dim!$A:$N,13,FALSE())</f>
        <v>Gold</v>
      </c>
      <c r="X986" s="11" t="str">
        <f t="shared" si="111"/>
        <v>Low</v>
      </c>
    </row>
    <row r="987" spans="1:24" ht="15.75" customHeight="1">
      <c r="A987" s="4" t="s">
        <v>2983</v>
      </c>
      <c r="B987" s="9">
        <v>45644</v>
      </c>
      <c r="C987" s="4" t="s">
        <v>374</v>
      </c>
      <c r="D987" s="4" t="s">
        <v>1758</v>
      </c>
      <c r="E987" s="4" t="s">
        <v>1952</v>
      </c>
      <c r="F987" s="4">
        <v>1</v>
      </c>
      <c r="G987" s="4">
        <v>891.62</v>
      </c>
      <c r="H987" s="4">
        <v>0.06</v>
      </c>
      <c r="I987" s="4" t="s">
        <v>1998</v>
      </c>
      <c r="J987" s="10">
        <v>838.12279999999998</v>
      </c>
      <c r="K987" s="4" t="str">
        <f t="shared" si="105"/>
        <v>18-12-2024</v>
      </c>
      <c r="L987" s="4" t="str">
        <f>TEXT(Sales_Fact!$B987,"mmm")</f>
        <v>Dec</v>
      </c>
      <c r="M987" s="4">
        <f t="shared" si="106"/>
        <v>1</v>
      </c>
      <c r="N987" s="10">
        <f t="shared" si="107"/>
        <v>891.62</v>
      </c>
      <c r="O987" s="10">
        <f t="shared" si="108"/>
        <v>838.12279999999998</v>
      </c>
      <c r="P987" s="10">
        <f t="shared" si="109"/>
        <v>891.62</v>
      </c>
      <c r="Q987" s="3">
        <f t="shared" si="110"/>
        <v>6.0000000000000026E-2</v>
      </c>
      <c r="R987" s="4" t="str">
        <f>IF(Sales_Fact!$O987&gt;1000,"High","Low")</f>
        <v>Low</v>
      </c>
      <c r="S987" s="4" t="str">
        <f>VLOOKUP(C987,Customer_Dim!$A:$N,9,FALSE())</f>
        <v>Sheila Wilson</v>
      </c>
      <c r="T987" s="4" t="str">
        <f>VLOOKUP(D987,Product_Dim!$A:$M,3,FALSE())</f>
        <v>Electronics</v>
      </c>
      <c r="U987" s="11" t="str">
        <f>VLOOKUP(D987,Product_Dim!$A:$M,2,FALSE())</f>
        <v>HDMI Cable – 2m</v>
      </c>
      <c r="V987" s="11" t="str">
        <f>VLOOKUP(E987,Store_Dim!$A:$E,3,FALSE())</f>
        <v>North</v>
      </c>
      <c r="W987" s="11" t="str">
        <f>VLOOKUP(C987,Customer_Dim!$A:$N,13,FALSE())</f>
        <v>Silver</v>
      </c>
      <c r="X987" s="11" t="str">
        <f t="shared" si="111"/>
        <v>Low</v>
      </c>
    </row>
    <row r="988" spans="1:24" ht="15.75" customHeight="1">
      <c r="A988" s="4" t="s">
        <v>2984</v>
      </c>
      <c r="B988" s="9">
        <v>45617</v>
      </c>
      <c r="C988" s="4" t="s">
        <v>1219</v>
      </c>
      <c r="D988" s="4" t="s">
        <v>1797</v>
      </c>
      <c r="E988" s="4" t="s">
        <v>1959</v>
      </c>
      <c r="F988" s="4">
        <v>2</v>
      </c>
      <c r="G988" s="4">
        <v>558.9</v>
      </c>
      <c r="H988" s="4">
        <v>0.05</v>
      </c>
      <c r="I988" s="4" t="s">
        <v>2004</v>
      </c>
      <c r="J988" s="10">
        <v>1061.9100000000001</v>
      </c>
      <c r="K988" s="4" t="str">
        <f t="shared" si="105"/>
        <v>21-11-2024</v>
      </c>
      <c r="L988" s="4" t="str">
        <f>TEXT(Sales_Fact!$B988,"mmm")</f>
        <v>Nov</v>
      </c>
      <c r="M988" s="4">
        <f t="shared" si="106"/>
        <v>2</v>
      </c>
      <c r="N988" s="10">
        <f t="shared" si="107"/>
        <v>558.9</v>
      </c>
      <c r="O988" s="10">
        <f t="shared" si="108"/>
        <v>1061.9099999999999</v>
      </c>
      <c r="P988" s="10">
        <f t="shared" si="109"/>
        <v>1117.8</v>
      </c>
      <c r="Q988" s="3">
        <f t="shared" si="110"/>
        <v>5.0000000000000093E-2</v>
      </c>
      <c r="R988" s="4" t="str">
        <f>IF(Sales_Fact!$O988&gt;1000,"High","Low")</f>
        <v>High</v>
      </c>
      <c r="S988" s="4" t="str">
        <f>VLOOKUP(C988,Customer_Dim!$A:$N,9,FALSE())</f>
        <v>Erika Padilla</v>
      </c>
      <c r="T988" s="4" t="str">
        <f>VLOOKUP(D988,Product_Dim!$A:$M,3,FALSE())</f>
        <v>Beauty</v>
      </c>
      <c r="U988" s="11" t="str">
        <f>VLOOKUP(D988,Product_Dim!$A:$M,2,FALSE())</f>
        <v>Matte Lipstick Set</v>
      </c>
      <c r="V988" s="11" t="str">
        <f>VLOOKUP(E988,Store_Dim!$A:$E,3,FALSE())</f>
        <v>North</v>
      </c>
      <c r="W988" s="11" t="str">
        <f>VLOOKUP(C988,Customer_Dim!$A:$N,13,FALSE())</f>
        <v>Silver</v>
      </c>
      <c r="X988" s="11" t="str">
        <f t="shared" si="111"/>
        <v>Low</v>
      </c>
    </row>
    <row r="989" spans="1:24" ht="15.75" customHeight="1">
      <c r="A989" s="4" t="s">
        <v>2985</v>
      </c>
      <c r="B989" s="9">
        <v>45797</v>
      </c>
      <c r="C989" s="4" t="s">
        <v>1132</v>
      </c>
      <c r="D989" s="4" t="s">
        <v>1583</v>
      </c>
      <c r="E989" s="4" t="s">
        <v>1924</v>
      </c>
      <c r="F989" s="4">
        <v>2</v>
      </c>
      <c r="G989" s="4">
        <v>99.04</v>
      </c>
      <c r="H989" s="4">
        <v>0.26</v>
      </c>
      <c r="I989" s="4" t="s">
        <v>2004</v>
      </c>
      <c r="J989" s="10">
        <v>146.57919999999999</v>
      </c>
      <c r="K989" s="4" t="str">
        <f t="shared" si="105"/>
        <v>20-05-2025</v>
      </c>
      <c r="L989" s="4" t="str">
        <f>TEXT(Sales_Fact!$B989,"mmm")</f>
        <v>May</v>
      </c>
      <c r="M989" s="4">
        <f t="shared" si="106"/>
        <v>2</v>
      </c>
      <c r="N989" s="10">
        <f t="shared" si="107"/>
        <v>99.04</v>
      </c>
      <c r="O989" s="10">
        <f t="shared" si="108"/>
        <v>146.57920000000001</v>
      </c>
      <c r="P989" s="10">
        <f t="shared" si="109"/>
        <v>198.08</v>
      </c>
      <c r="Q989" s="3">
        <f t="shared" si="110"/>
        <v>0.25999999999999995</v>
      </c>
      <c r="R989" s="4" t="str">
        <f>IF(Sales_Fact!$O989&gt;1000,"High","Low")</f>
        <v>Low</v>
      </c>
      <c r="S989" s="4" t="str">
        <f>VLOOKUP(C989,Customer_Dim!$A:$N,9,FALSE())</f>
        <v>Michael Greene</v>
      </c>
      <c r="T989" s="4" t="str">
        <f>VLOOKUP(D989,Product_Dim!$A:$M,3,FALSE())</f>
        <v>Clothing</v>
      </c>
      <c r="U989" s="11" t="str">
        <f>VLOOKUP(D989,Product_Dim!$A:$M,2,FALSE())</f>
        <v>Men's Graphic T-Shirt</v>
      </c>
      <c r="V989" s="11" t="str">
        <f>VLOOKUP(E989,Store_Dim!$A:$E,3,FALSE())</f>
        <v>North</v>
      </c>
      <c r="W989" s="11" t="str">
        <f>VLOOKUP(C989,Customer_Dim!$A:$N,13,FALSE())</f>
        <v>Silver</v>
      </c>
      <c r="X989" s="11" t="str">
        <f t="shared" si="111"/>
        <v>Low</v>
      </c>
    </row>
    <row r="990" spans="1:24" ht="15.75" customHeight="1">
      <c r="A990" s="4" t="s">
        <v>2986</v>
      </c>
      <c r="B990" s="9">
        <v>45740</v>
      </c>
      <c r="C990" s="4" t="s">
        <v>951</v>
      </c>
      <c r="D990" s="4" t="s">
        <v>1592</v>
      </c>
      <c r="E990" s="4" t="s">
        <v>1940</v>
      </c>
      <c r="F990" s="4">
        <v>4</v>
      </c>
      <c r="G990" s="4">
        <v>625.13</v>
      </c>
      <c r="H990" s="4">
        <v>0.06</v>
      </c>
      <c r="I990" s="4" t="s">
        <v>1996</v>
      </c>
      <c r="J990" s="10">
        <v>2350.4888000000001</v>
      </c>
      <c r="K990" s="4" t="str">
        <f t="shared" si="105"/>
        <v>24-03-2025</v>
      </c>
      <c r="L990" s="4" t="str">
        <f>TEXT(Sales_Fact!$B990,"mmm")</f>
        <v>Mar</v>
      </c>
      <c r="M990" s="4">
        <f t="shared" si="106"/>
        <v>4</v>
      </c>
      <c r="N990" s="10">
        <f t="shared" si="107"/>
        <v>625.13</v>
      </c>
      <c r="O990" s="10">
        <f t="shared" si="108"/>
        <v>2350.4887999999996</v>
      </c>
      <c r="P990" s="10">
        <f t="shared" si="109"/>
        <v>2500.52</v>
      </c>
      <c r="Q990" s="3">
        <f t="shared" si="110"/>
        <v>6.0000000000000143E-2</v>
      </c>
      <c r="R990" s="4" t="str">
        <f>IF(Sales_Fact!$O990&gt;1000,"High","Low")</f>
        <v>High</v>
      </c>
      <c r="S990" s="4" t="str">
        <f>VLOOKUP(C990,Customer_Dim!$A:$N,9,FALSE())</f>
        <v>James Powell</v>
      </c>
      <c r="T990" s="4" t="str">
        <f>VLOOKUP(D990,Product_Dim!$A:$M,3,FALSE())</f>
        <v>Clothing</v>
      </c>
      <c r="U990" s="11" t="str">
        <f>VLOOKUP(D990,Product_Dim!$A:$M,2,FALSE())</f>
        <v>Men's Running Jacket</v>
      </c>
      <c r="V990" s="11" t="str">
        <f>VLOOKUP(E990,Store_Dim!$A:$E,3,FALSE())</f>
        <v>West</v>
      </c>
      <c r="W990" s="11" t="str">
        <f>VLOOKUP(C990,Customer_Dim!$A:$N,13,FALSE())</f>
        <v>Bronze</v>
      </c>
      <c r="X990" s="11" t="str">
        <f t="shared" si="111"/>
        <v>High</v>
      </c>
    </row>
    <row r="991" spans="1:24" ht="15.75" customHeight="1">
      <c r="A991" s="4" t="s">
        <v>2987</v>
      </c>
      <c r="B991" s="9">
        <v>45824</v>
      </c>
      <c r="C991" s="4" t="s">
        <v>165</v>
      </c>
      <c r="D991" s="4" t="s">
        <v>1723</v>
      </c>
      <c r="E991" s="4" t="s">
        <v>1968</v>
      </c>
      <c r="F991" s="4">
        <v>4</v>
      </c>
      <c r="G991" s="4">
        <v>38.380000000000003</v>
      </c>
      <c r="H991" s="4">
        <v>0.16</v>
      </c>
      <c r="I991" s="4" t="s">
        <v>2004</v>
      </c>
      <c r="J991" s="10">
        <v>128.95679999999999</v>
      </c>
      <c r="K991" s="4" t="str">
        <f t="shared" si="105"/>
        <v>16-06-2025</v>
      </c>
      <c r="L991" s="4" t="str">
        <f>TEXT(Sales_Fact!$B991,"mmm")</f>
        <v>Jun</v>
      </c>
      <c r="M991" s="4">
        <f t="shared" si="106"/>
        <v>4</v>
      </c>
      <c r="N991" s="10">
        <f t="shared" si="107"/>
        <v>38.380000000000003</v>
      </c>
      <c r="O991" s="10">
        <f t="shared" si="108"/>
        <v>128.95680000000002</v>
      </c>
      <c r="P991" s="10">
        <f t="shared" si="109"/>
        <v>153.52000000000001</v>
      </c>
      <c r="Q991" s="3">
        <f t="shared" si="110"/>
        <v>0.15999999999999995</v>
      </c>
      <c r="R991" s="4" t="str">
        <f>IF(Sales_Fact!$O991&gt;1000,"High","Low")</f>
        <v>Low</v>
      </c>
      <c r="S991" s="4" t="str">
        <f>VLOOKUP(C991,Customer_Dim!$A:$N,9,FALSE())</f>
        <v>Thomas Phillips</v>
      </c>
      <c r="T991" s="4" t="str">
        <f>VLOOKUP(D991,Product_Dim!$A:$M,3,FALSE())</f>
        <v>Electronics</v>
      </c>
      <c r="U991" s="11" t="str">
        <f>VLOOKUP(D991,Product_Dim!$A:$M,2,FALSE())</f>
        <v>Noise-Canceling Headphones</v>
      </c>
      <c r="V991" s="11" t="str">
        <f>VLOOKUP(E991,Store_Dim!$A:$E,3,FALSE())</f>
        <v>East</v>
      </c>
      <c r="W991" s="11" t="str">
        <f>VLOOKUP(C991,Customer_Dim!$A:$N,13,FALSE())</f>
        <v>Gold</v>
      </c>
      <c r="X991" s="11" t="str">
        <f t="shared" si="111"/>
        <v>High</v>
      </c>
    </row>
    <row r="992" spans="1:24" ht="15.75" customHeight="1">
      <c r="A992" s="4" t="s">
        <v>2988</v>
      </c>
      <c r="B992" s="9">
        <v>45411</v>
      </c>
      <c r="C992" s="4" t="s">
        <v>350</v>
      </c>
      <c r="D992" s="4" t="s">
        <v>1741</v>
      </c>
      <c r="E992" s="4" t="s">
        <v>1924</v>
      </c>
      <c r="F992" s="4">
        <v>1</v>
      </c>
      <c r="G992" s="4">
        <v>580.76</v>
      </c>
      <c r="H992" s="4">
        <v>0.1</v>
      </c>
      <c r="I992" s="4" t="s">
        <v>2004</v>
      </c>
      <c r="J992" s="10">
        <v>522.68399999999997</v>
      </c>
      <c r="K992" s="4" t="str">
        <f t="shared" si="105"/>
        <v>29-04-2024</v>
      </c>
      <c r="L992" s="4" t="str">
        <f>TEXT(Sales_Fact!$B992,"mmm")</f>
        <v>Apr</v>
      </c>
      <c r="M992" s="4">
        <f t="shared" si="106"/>
        <v>1</v>
      </c>
      <c r="N992" s="10">
        <f t="shared" si="107"/>
        <v>580.76</v>
      </c>
      <c r="O992" s="10">
        <f t="shared" si="108"/>
        <v>522.68399999999997</v>
      </c>
      <c r="P992" s="10">
        <f t="shared" si="109"/>
        <v>580.76</v>
      </c>
      <c r="Q992" s="3">
        <f t="shared" si="110"/>
        <v>0.10000000000000003</v>
      </c>
      <c r="R992" s="4" t="str">
        <f>IF(Sales_Fact!$O992&gt;1000,"High","Low")</f>
        <v>Low</v>
      </c>
      <c r="S992" s="4" t="str">
        <f>VLOOKUP(C992,Customer_Dim!$A:$N,9,FALSE())</f>
        <v>Donna Gregory</v>
      </c>
      <c r="T992" s="4" t="str">
        <f>VLOOKUP(D992,Product_Dim!$A:$M,3,FALSE())</f>
        <v>Clothing</v>
      </c>
      <c r="U992" s="11" t="str">
        <f>VLOOKUP(D992,Product_Dim!$A:$M,2,FALSE())</f>
        <v>Men's Winter Jacket</v>
      </c>
      <c r="V992" s="11" t="str">
        <f>VLOOKUP(E992,Store_Dim!$A:$E,3,FALSE())</f>
        <v>North</v>
      </c>
      <c r="W992" s="11" t="str">
        <f>VLOOKUP(C992,Customer_Dim!$A:$N,13,FALSE())</f>
        <v>Silver</v>
      </c>
      <c r="X992" s="11" t="str">
        <f t="shared" si="111"/>
        <v>Low</v>
      </c>
    </row>
    <row r="993" spans="1:24" ht="15.75" customHeight="1">
      <c r="A993" s="4" t="s">
        <v>2989</v>
      </c>
      <c r="B993" s="9">
        <v>45404</v>
      </c>
      <c r="C993" s="4" t="s">
        <v>1542</v>
      </c>
      <c r="D993" s="4" t="s">
        <v>1888</v>
      </c>
      <c r="E993" s="4" t="s">
        <v>1947</v>
      </c>
      <c r="F993" s="4">
        <v>4</v>
      </c>
      <c r="G993" s="4">
        <v>731.72</v>
      </c>
      <c r="H993" s="4">
        <v>0.22</v>
      </c>
      <c r="I993" s="4" t="s">
        <v>2004</v>
      </c>
      <c r="J993" s="10">
        <v>2282.9663999999998</v>
      </c>
      <c r="K993" s="4" t="str">
        <f t="shared" si="105"/>
        <v>22-04-2024</v>
      </c>
      <c r="L993" s="4" t="str">
        <f>TEXT(Sales_Fact!$B993,"mmm")</f>
        <v>Apr</v>
      </c>
      <c r="M993" s="4">
        <f t="shared" si="106"/>
        <v>4</v>
      </c>
      <c r="N993" s="10">
        <f t="shared" si="107"/>
        <v>731.72</v>
      </c>
      <c r="O993" s="10">
        <f t="shared" si="108"/>
        <v>2282.9664000000002</v>
      </c>
      <c r="P993" s="10">
        <f t="shared" si="109"/>
        <v>2926.88</v>
      </c>
      <c r="Q993" s="3">
        <f t="shared" si="110"/>
        <v>0.21999999999999995</v>
      </c>
      <c r="R993" s="4" t="str">
        <f>IF(Sales_Fact!$O993&gt;1000,"High","Low")</f>
        <v>High</v>
      </c>
      <c r="S993" s="4" t="str">
        <f>VLOOKUP(C993,Customer_Dim!$A:$N,9,FALSE())</f>
        <v>Darrell Miller</v>
      </c>
      <c r="T993" s="4" t="str">
        <f>VLOOKUP(D993,Product_Dim!$A:$M,3,FALSE())</f>
        <v>Beauty</v>
      </c>
      <c r="U993" s="11" t="str">
        <f>VLOOKUP(D993,Product_Dim!$A:$M,2,FALSE())</f>
        <v>Vitamin E Body Lotion</v>
      </c>
      <c r="V993" s="11" t="str">
        <f>VLOOKUP(E993,Store_Dim!$A:$E,3,FALSE())</f>
        <v>East</v>
      </c>
      <c r="W993" s="11" t="str">
        <f>VLOOKUP(C993,Customer_Dim!$A:$N,13,FALSE())</f>
        <v>Platinum</v>
      </c>
      <c r="X993" s="11" t="str">
        <f t="shared" si="111"/>
        <v>High</v>
      </c>
    </row>
    <row r="994" spans="1:24" ht="15.75" customHeight="1">
      <c r="A994" s="4" t="s">
        <v>2990</v>
      </c>
      <c r="B994" s="9">
        <v>45916</v>
      </c>
      <c r="C994" s="4" t="s">
        <v>1440</v>
      </c>
      <c r="D994" s="4" t="s">
        <v>1849</v>
      </c>
      <c r="E994" s="4" t="s">
        <v>1971</v>
      </c>
      <c r="F994" s="4">
        <v>3</v>
      </c>
      <c r="G994" s="4">
        <v>825.33</v>
      </c>
      <c r="H994" s="4">
        <v>0.21</v>
      </c>
      <c r="I994" s="4" t="s">
        <v>1996</v>
      </c>
      <c r="J994" s="10">
        <v>1956.0320999999999</v>
      </c>
      <c r="K994" s="4" t="str">
        <f t="shared" si="105"/>
        <v>16-09-2025</v>
      </c>
      <c r="L994" s="4" t="str">
        <f>TEXT(Sales_Fact!$B994,"mmm")</f>
        <v>Sep</v>
      </c>
      <c r="M994" s="4">
        <f t="shared" si="106"/>
        <v>3</v>
      </c>
      <c r="N994" s="10">
        <f t="shared" si="107"/>
        <v>825.33</v>
      </c>
      <c r="O994" s="10">
        <f t="shared" si="108"/>
        <v>1956.0321000000004</v>
      </c>
      <c r="P994" s="10">
        <f t="shared" si="109"/>
        <v>2475.9900000000002</v>
      </c>
      <c r="Q994" s="3">
        <f t="shared" si="110"/>
        <v>0.20999999999999994</v>
      </c>
      <c r="R994" s="4" t="str">
        <f>IF(Sales_Fact!$O994&gt;1000,"High","Low")</f>
        <v>High</v>
      </c>
      <c r="S994" s="4" t="str">
        <f>VLOOKUP(C994,Customer_Dim!$A:$N,9,FALSE())</f>
        <v>Christina Robertson</v>
      </c>
      <c r="T994" s="4" t="str">
        <f>VLOOKUP(D994,Product_Dim!$A:$M,3,FALSE())</f>
        <v>Sports</v>
      </c>
      <c r="U994" s="11" t="str">
        <f>VLOOKUP(D994,Product_Dim!$A:$M,2,FALSE())</f>
        <v>Badminton Racket Set</v>
      </c>
      <c r="V994" s="11" t="str">
        <f>VLOOKUP(E994,Store_Dim!$A:$E,3,FALSE())</f>
        <v>East</v>
      </c>
      <c r="W994" s="11" t="str">
        <f>VLOOKUP(C994,Customer_Dim!$A:$N,13,FALSE())</f>
        <v>Platinum</v>
      </c>
      <c r="X994" s="11" t="str">
        <f t="shared" si="111"/>
        <v>Low</v>
      </c>
    </row>
    <row r="995" spans="1:24" ht="15.75" customHeight="1">
      <c r="A995" s="4" t="s">
        <v>2991</v>
      </c>
      <c r="B995" s="9">
        <v>45269</v>
      </c>
      <c r="C995" s="4" t="s">
        <v>242</v>
      </c>
      <c r="D995" s="4" t="s">
        <v>1816</v>
      </c>
      <c r="E995" s="4" t="s">
        <v>1957</v>
      </c>
      <c r="F995" s="4">
        <v>2</v>
      </c>
      <c r="G995" s="4">
        <v>47.3</v>
      </c>
      <c r="H995" s="4">
        <v>0.01</v>
      </c>
      <c r="I995" s="4" t="s">
        <v>1998</v>
      </c>
      <c r="J995" s="10">
        <v>93.653999999999996</v>
      </c>
      <c r="K995" s="4" t="str">
        <f t="shared" si="105"/>
        <v>09-12-2023</v>
      </c>
      <c r="L995" s="4" t="str">
        <f>TEXT(Sales_Fact!$B995,"mmm")</f>
        <v>Dec</v>
      </c>
      <c r="M995" s="4">
        <f t="shared" si="106"/>
        <v>2</v>
      </c>
      <c r="N995" s="10">
        <f t="shared" si="107"/>
        <v>47.3</v>
      </c>
      <c r="O995" s="10">
        <f t="shared" si="108"/>
        <v>93.653999999999996</v>
      </c>
      <c r="P995" s="10">
        <f t="shared" si="109"/>
        <v>94.6</v>
      </c>
      <c r="Q995" s="3">
        <f t="shared" si="110"/>
        <v>9.9999999999999794E-3</v>
      </c>
      <c r="R995" s="4" t="str">
        <f>IF(Sales_Fact!$O995&gt;1000,"High","Low")</f>
        <v>Low</v>
      </c>
      <c r="S995" s="4" t="str">
        <f>VLOOKUP(C995,Customer_Dim!$A:$N,9,FALSE())</f>
        <v>Alyssa Vargas</v>
      </c>
      <c r="T995" s="4" t="str">
        <f>VLOOKUP(D995,Product_Dim!$A:$M,3,FALSE())</f>
        <v>Home</v>
      </c>
      <c r="U995" s="11" t="str">
        <f>VLOOKUP(D995,Product_Dim!$A:$M,2,FALSE())</f>
        <v>Kitchen Storage Rack</v>
      </c>
      <c r="V995" s="11" t="str">
        <f>VLOOKUP(E995,Store_Dim!$A:$E,3,FALSE())</f>
        <v>South</v>
      </c>
      <c r="W995" s="11" t="str">
        <f>VLOOKUP(C995,Customer_Dim!$A:$N,13,FALSE())</f>
        <v>Platinum</v>
      </c>
      <c r="X995" s="11" t="str">
        <f t="shared" si="111"/>
        <v>Low</v>
      </c>
    </row>
    <row r="996" spans="1:24" ht="15.75" customHeight="1">
      <c r="A996" s="4" t="s">
        <v>2992</v>
      </c>
      <c r="B996" s="9">
        <v>45493</v>
      </c>
      <c r="C996" s="4" t="s">
        <v>592</v>
      </c>
      <c r="D996" s="4" t="s">
        <v>1822</v>
      </c>
      <c r="E996" s="4" t="s">
        <v>1965</v>
      </c>
      <c r="F996" s="4">
        <v>1</v>
      </c>
      <c r="G996" s="4">
        <v>389.12</v>
      </c>
      <c r="H996" s="4">
        <v>0.18</v>
      </c>
      <c r="I996" s="4" t="s">
        <v>1998</v>
      </c>
      <c r="J996" s="10">
        <v>319.07839999999999</v>
      </c>
      <c r="K996" s="4" t="str">
        <f t="shared" si="105"/>
        <v>20-07-2024</v>
      </c>
      <c r="L996" s="4" t="str">
        <f>TEXT(Sales_Fact!$B996,"mmm")</f>
        <v>Jul</v>
      </c>
      <c r="M996" s="4">
        <f t="shared" si="106"/>
        <v>1</v>
      </c>
      <c r="N996" s="10">
        <f t="shared" si="107"/>
        <v>389.12</v>
      </c>
      <c r="O996" s="10">
        <f t="shared" si="108"/>
        <v>319.07840000000004</v>
      </c>
      <c r="P996" s="10">
        <f t="shared" si="109"/>
        <v>389.12</v>
      </c>
      <c r="Q996" s="3">
        <f t="shared" si="110"/>
        <v>0.17999999999999988</v>
      </c>
      <c r="R996" s="4" t="str">
        <f>IF(Sales_Fact!$O996&gt;1000,"High","Low")</f>
        <v>Low</v>
      </c>
      <c r="S996" s="4" t="str">
        <f>VLOOKUP(C996,Customer_Dim!$A:$N,9,FALSE())</f>
        <v>Amy Wilson</v>
      </c>
      <c r="T996" s="4" t="str">
        <f>VLOOKUP(D996,Product_Dim!$A:$M,3,FALSE())</f>
        <v>Sports</v>
      </c>
      <c r="U996" s="11" t="str">
        <f>VLOOKUP(D996,Product_Dim!$A:$M,2,FALSE())</f>
        <v>Professional Jump Rope</v>
      </c>
      <c r="V996" s="11" t="str">
        <f>VLOOKUP(E996,Store_Dim!$A:$E,3,FALSE())</f>
        <v>North</v>
      </c>
      <c r="W996" s="11" t="str">
        <f>VLOOKUP(C996,Customer_Dim!$A:$N,13,FALSE())</f>
        <v>Platinum</v>
      </c>
      <c r="X996" s="11" t="str">
        <f t="shared" si="111"/>
        <v>Low</v>
      </c>
    </row>
    <row r="997" spans="1:24" ht="15.75" customHeight="1">
      <c r="A997" s="4" t="s">
        <v>2993</v>
      </c>
      <c r="B997" s="9">
        <v>45558</v>
      </c>
      <c r="C997" s="4" t="s">
        <v>1443</v>
      </c>
      <c r="D997" s="4" t="s">
        <v>1852</v>
      </c>
      <c r="E997" s="4" t="s">
        <v>1968</v>
      </c>
      <c r="F997" s="4">
        <v>3</v>
      </c>
      <c r="G997" s="4">
        <v>543.83000000000004</v>
      </c>
      <c r="H997" s="4">
        <v>0.05</v>
      </c>
      <c r="I997" s="4" t="s">
        <v>1996</v>
      </c>
      <c r="J997" s="10">
        <v>1549.9155000000001</v>
      </c>
      <c r="K997" s="4" t="str">
        <f t="shared" si="105"/>
        <v>23-09-2024</v>
      </c>
      <c r="L997" s="4" t="str">
        <f>TEXT(Sales_Fact!$B997,"mmm")</f>
        <v>Sep</v>
      </c>
      <c r="M997" s="4">
        <f t="shared" si="106"/>
        <v>3</v>
      </c>
      <c r="N997" s="10">
        <f t="shared" si="107"/>
        <v>543.83000000000004</v>
      </c>
      <c r="O997" s="10">
        <f t="shared" si="108"/>
        <v>1549.9155000000001</v>
      </c>
      <c r="P997" s="10">
        <f t="shared" si="109"/>
        <v>1631.4900000000002</v>
      </c>
      <c r="Q997" s="3">
        <f t="shared" si="110"/>
        <v>5.00000000000001E-2</v>
      </c>
      <c r="R997" s="4" t="str">
        <f>IF(Sales_Fact!$O997&gt;1000,"High","Low")</f>
        <v>High</v>
      </c>
      <c r="S997" s="4" t="str">
        <f>VLOOKUP(C997,Customer_Dim!$A:$N,9,FALSE())</f>
        <v>Kelly Garrett</v>
      </c>
      <c r="T997" s="4" t="str">
        <f>VLOOKUP(D997,Product_Dim!$A:$M,3,FALSE())</f>
        <v>Sports</v>
      </c>
      <c r="U997" s="11" t="str">
        <f>VLOOKUP(D997,Product_Dim!$A:$M,2,FALSE())</f>
        <v>Fitness Resistance Bands</v>
      </c>
      <c r="V997" s="11" t="str">
        <f>VLOOKUP(E997,Store_Dim!$A:$E,3,FALSE())</f>
        <v>East</v>
      </c>
      <c r="W997" s="11" t="str">
        <f>VLOOKUP(C997,Customer_Dim!$A:$N,13,FALSE())</f>
        <v>Silver</v>
      </c>
      <c r="X997" s="11" t="str">
        <f t="shared" si="111"/>
        <v>Low</v>
      </c>
    </row>
    <row r="998" spans="1:24" ht="15.75" customHeight="1">
      <c r="A998" s="4" t="s">
        <v>2994</v>
      </c>
      <c r="B998" s="9">
        <v>45423</v>
      </c>
      <c r="C998" s="4" t="s">
        <v>124</v>
      </c>
      <c r="D998" s="4" t="s">
        <v>1636</v>
      </c>
      <c r="E998" s="4" t="s">
        <v>1915</v>
      </c>
      <c r="F998" s="4">
        <v>2</v>
      </c>
      <c r="G998" s="4">
        <v>660.27</v>
      </c>
      <c r="H998" s="4">
        <v>0.01</v>
      </c>
      <c r="I998" s="4" t="s">
        <v>1998</v>
      </c>
      <c r="J998" s="10">
        <v>1307.3345999999999</v>
      </c>
      <c r="K998" s="4" t="str">
        <f t="shared" si="105"/>
        <v>11-05-2024</v>
      </c>
      <c r="L998" s="4" t="str">
        <f>TEXT(Sales_Fact!$B998,"mmm")</f>
        <v>May</v>
      </c>
      <c r="M998" s="4">
        <f t="shared" si="106"/>
        <v>2</v>
      </c>
      <c r="N998" s="10">
        <f t="shared" si="107"/>
        <v>660.27</v>
      </c>
      <c r="O998" s="10">
        <f t="shared" si="108"/>
        <v>1307.3345999999999</v>
      </c>
      <c r="P998" s="10">
        <f t="shared" si="109"/>
        <v>1320.54</v>
      </c>
      <c r="Q998" s="3">
        <f t="shared" si="110"/>
        <v>1.0000000000000042E-2</v>
      </c>
      <c r="R998" s="4" t="str">
        <f>IF(Sales_Fact!$O998&gt;1000,"High","Low")</f>
        <v>High</v>
      </c>
      <c r="S998" s="4" t="str">
        <f>VLOOKUP(C998,Customer_Dim!$A:$N,9,FALSE())</f>
        <v>Heather Collins</v>
      </c>
      <c r="T998" s="4" t="str">
        <f>VLOOKUP(D998,Product_Dim!$A:$M,3,FALSE())</f>
        <v>Home</v>
      </c>
      <c r="U998" s="11" t="str">
        <f>VLOOKUP(D998,Product_Dim!$A:$M,2,FALSE())</f>
        <v>Decorative Wall Mirror</v>
      </c>
      <c r="V998" s="11" t="str">
        <f>VLOOKUP(E998,Store_Dim!$A:$E,3,FALSE())</f>
        <v>North</v>
      </c>
      <c r="W998" s="11" t="str">
        <f>VLOOKUP(C998,Customer_Dim!$A:$N,13,FALSE())</f>
        <v>Platinum</v>
      </c>
      <c r="X998" s="11" t="str">
        <f t="shared" si="111"/>
        <v>Low</v>
      </c>
    </row>
    <row r="999" spans="1:24" ht="15.75" customHeight="1">
      <c r="A999" s="4" t="s">
        <v>2995</v>
      </c>
      <c r="B999" s="9">
        <v>45780</v>
      </c>
      <c r="C999" s="4" t="s">
        <v>1375</v>
      </c>
      <c r="D999" s="4" t="s">
        <v>1633</v>
      </c>
      <c r="E999" s="4" t="s">
        <v>1940</v>
      </c>
      <c r="F999" s="4">
        <v>4</v>
      </c>
      <c r="G999" s="4">
        <v>729.31</v>
      </c>
      <c r="H999" s="4">
        <v>0.03</v>
      </c>
      <c r="I999" s="4" t="s">
        <v>1996</v>
      </c>
      <c r="J999" s="10">
        <v>2829.7228</v>
      </c>
      <c r="K999" s="4" t="str">
        <f t="shared" si="105"/>
        <v>03-05-2025</v>
      </c>
      <c r="L999" s="4" t="str">
        <f>TEXT(Sales_Fact!$B999,"mmm")</f>
        <v>May</v>
      </c>
      <c r="M999" s="4">
        <f t="shared" si="106"/>
        <v>4</v>
      </c>
      <c r="N999" s="10">
        <f t="shared" si="107"/>
        <v>729.31</v>
      </c>
      <c r="O999" s="10">
        <f t="shared" si="108"/>
        <v>2829.7227999999996</v>
      </c>
      <c r="P999" s="10">
        <f t="shared" si="109"/>
        <v>2917.24</v>
      </c>
      <c r="Q999" s="3">
        <f t="shared" si="110"/>
        <v>3.0000000000000082E-2</v>
      </c>
      <c r="R999" s="4" t="str">
        <f>IF(Sales_Fact!$O999&gt;1000,"High","Low")</f>
        <v>High</v>
      </c>
      <c r="S999" s="4" t="str">
        <f>VLOOKUP(C999,Customer_Dim!$A:$N,9,FALSE())</f>
        <v>Monique Castro</v>
      </c>
      <c r="T999" s="4" t="str">
        <f>VLOOKUP(D999,Product_Dim!$A:$M,3,FALSE())</f>
        <v>Electronics</v>
      </c>
      <c r="U999" s="11" t="str">
        <f>VLOOKUP(D999,Product_Dim!$A:$M,2,FALSE())</f>
        <v>USB-C Fast Charger</v>
      </c>
      <c r="V999" s="11" t="str">
        <f>VLOOKUP(E999,Store_Dim!$A:$E,3,FALSE())</f>
        <v>West</v>
      </c>
      <c r="W999" s="11" t="str">
        <f>VLOOKUP(C999,Customer_Dim!$A:$N,13,FALSE())</f>
        <v>Gold</v>
      </c>
      <c r="X999" s="11" t="str">
        <f t="shared" si="111"/>
        <v>High</v>
      </c>
    </row>
    <row r="1000" spans="1:24" ht="15.75" customHeight="1">
      <c r="A1000" s="4" t="s">
        <v>2996</v>
      </c>
      <c r="B1000" s="9">
        <v>45345</v>
      </c>
      <c r="C1000" s="4" t="s">
        <v>1336</v>
      </c>
      <c r="D1000" s="4" t="s">
        <v>1867</v>
      </c>
      <c r="E1000" s="4" t="s">
        <v>1934</v>
      </c>
      <c r="F1000" s="4">
        <v>2</v>
      </c>
      <c r="G1000" s="4">
        <v>152.91</v>
      </c>
      <c r="H1000" s="4">
        <v>0.24</v>
      </c>
      <c r="I1000" s="4" t="s">
        <v>1998</v>
      </c>
      <c r="J1000" s="10">
        <v>232.42320000000001</v>
      </c>
      <c r="K1000" s="4" t="str">
        <f t="shared" si="105"/>
        <v>23-02-2024</v>
      </c>
      <c r="L1000" s="4" t="str">
        <f>TEXT(Sales_Fact!$B1000,"mmm")</f>
        <v>Feb</v>
      </c>
      <c r="M1000" s="4">
        <f t="shared" si="106"/>
        <v>2</v>
      </c>
      <c r="N1000" s="10">
        <f t="shared" si="107"/>
        <v>152.91</v>
      </c>
      <c r="O1000" s="10">
        <f t="shared" si="108"/>
        <v>232.42320000000001</v>
      </c>
      <c r="P1000" s="10">
        <f t="shared" si="109"/>
        <v>305.82</v>
      </c>
      <c r="Q1000" s="3">
        <f t="shared" si="110"/>
        <v>0.23999999999999996</v>
      </c>
      <c r="R1000" s="4" t="str">
        <f>IF(Sales_Fact!$O1000&gt;1000,"High","Low")</f>
        <v>Low</v>
      </c>
      <c r="S1000" s="4" t="str">
        <f>VLOOKUP(C1000,Customer_Dim!$A:$N,9,FALSE())</f>
        <v>Holly Robinson</v>
      </c>
      <c r="T1000" s="4" t="str">
        <f>VLOOKUP(D1000,Product_Dim!$A:$M,3,FALSE())</f>
        <v>Home</v>
      </c>
      <c r="U1000" s="11" t="str">
        <f>VLOOKUP(D1000,Product_Dim!$A:$M,2,FALSE())</f>
        <v>LED Bedside Lamp</v>
      </c>
      <c r="V1000" s="11" t="str">
        <f>VLOOKUP(E1000,Store_Dim!$A:$E,3,FALSE())</f>
        <v>East</v>
      </c>
      <c r="W1000" s="11" t="str">
        <f>VLOOKUP(C1000,Customer_Dim!$A:$N,13,FALSE())</f>
        <v>Platinum</v>
      </c>
      <c r="X1000" s="11" t="str">
        <f t="shared" si="111"/>
        <v>Low</v>
      </c>
    </row>
    <row r="1001" spans="1:24" ht="15.75" customHeight="1">
      <c r="A1001" s="4" t="s">
        <v>2997</v>
      </c>
      <c r="B1001" s="9">
        <v>45344</v>
      </c>
      <c r="C1001" s="4" t="s">
        <v>1451</v>
      </c>
      <c r="D1001" s="4" t="s">
        <v>1828</v>
      </c>
      <c r="E1001" s="4" t="s">
        <v>1959</v>
      </c>
      <c r="F1001" s="4">
        <v>4</v>
      </c>
      <c r="G1001" s="4">
        <v>592.14</v>
      </c>
      <c r="H1001" s="4">
        <v>0.12</v>
      </c>
      <c r="I1001" s="4" t="s">
        <v>2004</v>
      </c>
      <c r="J1001" s="10">
        <v>2084.3328000000001</v>
      </c>
      <c r="K1001" s="4" t="str">
        <f t="shared" si="105"/>
        <v>22-02-2024</v>
      </c>
      <c r="L1001" s="4" t="str">
        <f>TEXT(Sales_Fact!$B1001,"mmm")</f>
        <v>Feb</v>
      </c>
      <c r="M1001" s="4">
        <f t="shared" si="106"/>
        <v>4</v>
      </c>
      <c r="N1001" s="10">
        <f t="shared" si="107"/>
        <v>592.14</v>
      </c>
      <c r="O1001" s="10">
        <f t="shared" si="108"/>
        <v>2084.3328000000001</v>
      </c>
      <c r="P1001" s="10">
        <f t="shared" si="109"/>
        <v>2368.56</v>
      </c>
      <c r="Q1001" s="3">
        <f t="shared" si="110"/>
        <v>0.11999999999999993</v>
      </c>
      <c r="R1001" s="4" t="str">
        <f>IF(Sales_Fact!$O1001&gt;1000,"High","Low")</f>
        <v>High</v>
      </c>
      <c r="S1001" s="4" t="str">
        <f>VLOOKUP(C1001,Customer_Dim!$A:$N,9,FALSE())</f>
        <v>Paul Cox</v>
      </c>
      <c r="T1001" s="4" t="str">
        <f>VLOOKUP(D1001,Product_Dim!$A:$M,3,FALSE())</f>
        <v>Electronics</v>
      </c>
      <c r="U1001" s="11" t="str">
        <f>VLOOKUP(D1001,Product_Dim!$A:$M,2,FALSE())</f>
        <v>Bluetooth Car Audio System</v>
      </c>
      <c r="V1001" s="11" t="str">
        <f>VLOOKUP(E1001,Store_Dim!$A:$E,3,FALSE())</f>
        <v>North</v>
      </c>
      <c r="W1001" s="11" t="str">
        <f>VLOOKUP(C1001,Customer_Dim!$A:$N,13,FALSE())</f>
        <v>Silver</v>
      </c>
      <c r="X1001" s="11" t="str">
        <f t="shared" si="111"/>
        <v>High</v>
      </c>
    </row>
    <row r="1002" spans="1:24" ht="15.75" customHeight="1">
      <c r="A1002" s="4" t="s">
        <v>2998</v>
      </c>
      <c r="B1002" s="9">
        <v>45525</v>
      </c>
      <c r="C1002" s="4" t="s">
        <v>251</v>
      </c>
      <c r="D1002" s="4" t="s">
        <v>1840</v>
      </c>
      <c r="E1002" s="4" t="s">
        <v>1952</v>
      </c>
      <c r="F1002" s="4">
        <v>1</v>
      </c>
      <c r="G1002" s="4">
        <v>984.37</v>
      </c>
      <c r="H1002" s="4">
        <v>0</v>
      </c>
      <c r="I1002" s="4" t="s">
        <v>1998</v>
      </c>
      <c r="J1002" s="10">
        <v>984.37</v>
      </c>
      <c r="K1002" s="4" t="str">
        <f t="shared" si="105"/>
        <v>21-08-2024</v>
      </c>
      <c r="L1002" s="4" t="str">
        <f>TEXT(Sales_Fact!$B1002,"mmm")</f>
        <v>Aug</v>
      </c>
      <c r="M1002" s="4">
        <f t="shared" si="106"/>
        <v>1</v>
      </c>
      <c r="N1002" s="10">
        <f t="shared" si="107"/>
        <v>984.37</v>
      </c>
      <c r="O1002" s="10">
        <f t="shared" si="108"/>
        <v>984.37</v>
      </c>
      <c r="P1002" s="10">
        <f t="shared" si="109"/>
        <v>984.37</v>
      </c>
      <c r="Q1002" s="3">
        <f t="shared" si="110"/>
        <v>0</v>
      </c>
      <c r="R1002" s="4" t="str">
        <f>IF(Sales_Fact!$O1002&gt;1000,"High","Low")</f>
        <v>Low</v>
      </c>
      <c r="S1002" s="4" t="str">
        <f>VLOOKUP(C1002,Customer_Dim!$A:$N,9,FALSE())</f>
        <v>James Bean</v>
      </c>
      <c r="T1002" s="4" t="str">
        <f>VLOOKUP(D1002,Product_Dim!$A:$M,3,FALSE())</f>
        <v>Home</v>
      </c>
      <c r="U1002" s="11" t="str">
        <f>VLOOKUP(D1002,Product_Dim!$A:$M,2,FALSE())</f>
        <v>Essential Oil Diffuser</v>
      </c>
      <c r="V1002" s="11" t="str">
        <f>VLOOKUP(E1002,Store_Dim!$A:$E,3,FALSE())</f>
        <v>North</v>
      </c>
      <c r="W1002" s="11" t="str">
        <f>VLOOKUP(C1002,Customer_Dim!$A:$N,13,FALSE())</f>
        <v>Bronze</v>
      </c>
      <c r="X1002" s="11" t="str">
        <f t="shared" si="111"/>
        <v>Low</v>
      </c>
    </row>
    <row r="1003" spans="1:24" ht="15.75" customHeight="1">
      <c r="A1003" s="4" t="s">
        <v>2999</v>
      </c>
      <c r="B1003" s="9">
        <v>45369</v>
      </c>
      <c r="C1003" s="4" t="s">
        <v>795</v>
      </c>
      <c r="D1003" s="4" t="s">
        <v>1785</v>
      </c>
      <c r="E1003" s="4" t="s">
        <v>1955</v>
      </c>
      <c r="F1003" s="4">
        <v>4</v>
      </c>
      <c r="G1003" s="4"/>
      <c r="H1003" s="4">
        <v>0.04</v>
      </c>
      <c r="I1003" s="4" t="s">
        <v>2004</v>
      </c>
      <c r="J1003" s="10">
        <v>1782.4512</v>
      </c>
      <c r="K1003" s="4" t="str">
        <f t="shared" si="105"/>
        <v>18-03-2024</v>
      </c>
      <c r="L1003" s="4" t="str">
        <f>TEXT(Sales_Fact!$B1003,"mmm")</f>
        <v>Mar</v>
      </c>
      <c r="M1003" s="4">
        <f t="shared" si="106"/>
        <v>4</v>
      </c>
      <c r="N1003" s="10">
        <f t="shared" si="107"/>
        <v>513.99</v>
      </c>
      <c r="O1003" s="10">
        <f t="shared" si="108"/>
        <v>1973.7215999999999</v>
      </c>
      <c r="P1003" s="10">
        <f t="shared" si="109"/>
        <v>2055.96</v>
      </c>
      <c r="Q1003" s="3">
        <f t="shared" si="110"/>
        <v>4.0000000000000091E-2</v>
      </c>
      <c r="R1003" s="4" t="str">
        <f>IF(Sales_Fact!$O1003&gt;1000,"High","Low")</f>
        <v>High</v>
      </c>
      <c r="S1003" s="4" t="str">
        <f>VLOOKUP(C1003,Customer_Dim!$A:$N,9,FALSE())</f>
        <v>Maria Hill</v>
      </c>
      <c r="T1003" s="4" t="str">
        <f>VLOOKUP(D1003,Product_Dim!$A:$M,3,FALSE())</f>
        <v>Beauty</v>
      </c>
      <c r="U1003" s="11" t="str">
        <f>VLOOKUP(D1003,Product_Dim!$A:$M,2,FALSE())</f>
        <v>Luxury Perfume Spray</v>
      </c>
      <c r="V1003" s="11" t="str">
        <f>VLOOKUP(E1003,Store_Dim!$A:$E,3,FALSE())</f>
        <v>East</v>
      </c>
      <c r="W1003" s="11" t="str">
        <f>VLOOKUP(C1003,Customer_Dim!$A:$N,13,FALSE())</f>
        <v>Platinum</v>
      </c>
      <c r="X1003" s="11" t="str">
        <f t="shared" si="111"/>
        <v>High</v>
      </c>
    </row>
    <row r="1004" spans="1:24" ht="15.75" customHeight="1">
      <c r="A1004" s="4" t="s">
        <v>3000</v>
      </c>
      <c r="B1004" s="9">
        <v>45775</v>
      </c>
      <c r="C1004" s="4" t="s">
        <v>1078</v>
      </c>
      <c r="D1004" s="4" t="s">
        <v>1819</v>
      </c>
      <c r="E1004" s="4" t="s">
        <v>1944</v>
      </c>
      <c r="F1004" s="4">
        <v>3</v>
      </c>
      <c r="G1004" s="4">
        <v>444.55</v>
      </c>
      <c r="H1004" s="4">
        <v>0.14000000000000001</v>
      </c>
      <c r="I1004" s="4" t="s">
        <v>1998</v>
      </c>
      <c r="J1004" s="10">
        <v>1146.9390000000001</v>
      </c>
      <c r="K1004" s="4" t="str">
        <f t="shared" si="105"/>
        <v>28-04-2025</v>
      </c>
      <c r="L1004" s="4" t="str">
        <f>TEXT(Sales_Fact!$B1004,"mmm")</f>
        <v>Apr</v>
      </c>
      <c r="M1004" s="4">
        <f t="shared" si="106"/>
        <v>3</v>
      </c>
      <c r="N1004" s="10">
        <f t="shared" si="107"/>
        <v>444.55</v>
      </c>
      <c r="O1004" s="10">
        <f t="shared" si="108"/>
        <v>1146.9390000000001</v>
      </c>
      <c r="P1004" s="10">
        <f t="shared" si="109"/>
        <v>1333.65</v>
      </c>
      <c r="Q1004" s="3">
        <f t="shared" si="110"/>
        <v>0.14000000000000001</v>
      </c>
      <c r="R1004" s="4" t="str">
        <f>IF(Sales_Fact!$O1004&gt;1000,"High","Low")</f>
        <v>High</v>
      </c>
      <c r="S1004" s="4" t="str">
        <f>VLOOKUP(C1004,Customer_Dim!$A:$N,9,FALSE())</f>
        <v>Mr. Christopher Sims</v>
      </c>
      <c r="T1004" s="4" t="str">
        <f>VLOOKUP(D1004,Product_Dim!$A:$M,3,FALSE())</f>
        <v>Beauty</v>
      </c>
      <c r="U1004" s="11" t="str">
        <f>VLOOKUP(D1004,Product_Dim!$A:$M,2,FALSE())</f>
        <v>Hair Repair Oil Treatment</v>
      </c>
      <c r="V1004" s="11" t="str">
        <f>VLOOKUP(E1004,Store_Dim!$A:$E,3,FALSE())</f>
        <v>South</v>
      </c>
      <c r="W1004" s="11" t="str">
        <f>VLOOKUP(C1004,Customer_Dim!$A:$N,13,FALSE())</f>
        <v>Silver</v>
      </c>
      <c r="X1004" s="11" t="str">
        <f t="shared" si="111"/>
        <v>Low</v>
      </c>
    </row>
    <row r="1005" spans="1:24" ht="15.75" customHeight="1">
      <c r="A1005" s="4" t="s">
        <v>3001</v>
      </c>
      <c r="B1005" s="9">
        <v>45329</v>
      </c>
      <c r="C1005" s="4" t="s">
        <v>954</v>
      </c>
      <c r="D1005" s="4" t="s">
        <v>1583</v>
      </c>
      <c r="E1005" s="4" t="s">
        <v>1952</v>
      </c>
      <c r="F1005" s="4">
        <v>2</v>
      </c>
      <c r="G1005" s="4">
        <v>237.59</v>
      </c>
      <c r="H1005" s="4">
        <v>0.12</v>
      </c>
      <c r="I1005" s="4" t="s">
        <v>1996</v>
      </c>
      <c r="J1005" s="10">
        <v>418.15839999999997</v>
      </c>
      <c r="K1005" s="4" t="str">
        <f t="shared" si="105"/>
        <v>07-02-2024</v>
      </c>
      <c r="L1005" s="4" t="str">
        <f>TEXT(Sales_Fact!$B1005,"mmm")</f>
        <v>Feb</v>
      </c>
      <c r="M1005" s="4">
        <f t="shared" si="106"/>
        <v>2</v>
      </c>
      <c r="N1005" s="10">
        <f t="shared" si="107"/>
        <v>237.59</v>
      </c>
      <c r="O1005" s="10">
        <f t="shared" si="108"/>
        <v>418.15840000000003</v>
      </c>
      <c r="P1005" s="10">
        <f t="shared" si="109"/>
        <v>475.18</v>
      </c>
      <c r="Q1005" s="3">
        <f t="shared" si="110"/>
        <v>0.11999999999999995</v>
      </c>
      <c r="R1005" s="4" t="str">
        <f>IF(Sales_Fact!$O1005&gt;1000,"High","Low")</f>
        <v>Low</v>
      </c>
      <c r="S1005" s="4" t="str">
        <f>VLOOKUP(C1005,Customer_Dim!$A:$N,9,FALSE())</f>
        <v>Ricardo Jones</v>
      </c>
      <c r="T1005" s="4" t="str">
        <f>VLOOKUP(D1005,Product_Dim!$A:$M,3,FALSE())</f>
        <v>Clothing</v>
      </c>
      <c r="U1005" s="11" t="str">
        <f>VLOOKUP(D1005,Product_Dim!$A:$M,2,FALSE())</f>
        <v>Men's Graphic T-Shirt</v>
      </c>
      <c r="V1005" s="11" t="str">
        <f>VLOOKUP(E1005,Store_Dim!$A:$E,3,FALSE())</f>
        <v>North</v>
      </c>
      <c r="W1005" s="11" t="str">
        <f>VLOOKUP(C1005,Customer_Dim!$A:$N,13,FALSE())</f>
        <v>Silver</v>
      </c>
      <c r="X1005" s="11" t="str">
        <f t="shared" si="111"/>
        <v>Low</v>
      </c>
    </row>
    <row r="1006" spans="1:24" ht="15.75" customHeight="1">
      <c r="A1006" s="4" t="s">
        <v>3002</v>
      </c>
      <c r="B1006" s="9">
        <v>45250</v>
      </c>
      <c r="C1006" s="4" t="s">
        <v>1366</v>
      </c>
      <c r="D1006" s="4" t="s">
        <v>1675</v>
      </c>
      <c r="E1006" s="4" t="s">
        <v>1940</v>
      </c>
      <c r="F1006" s="4">
        <v>1</v>
      </c>
      <c r="G1006" s="4">
        <v>52.06</v>
      </c>
      <c r="H1006" s="4">
        <v>0.27</v>
      </c>
      <c r="I1006" s="4" t="s">
        <v>2004</v>
      </c>
      <c r="J1006" s="10">
        <v>38.003799999999998</v>
      </c>
      <c r="K1006" s="4" t="str">
        <f t="shared" si="105"/>
        <v>20-11-2023</v>
      </c>
      <c r="L1006" s="4" t="str">
        <f>TEXT(Sales_Fact!$B1006,"mmm")</f>
        <v>Nov</v>
      </c>
      <c r="M1006" s="4">
        <f t="shared" si="106"/>
        <v>1</v>
      </c>
      <c r="N1006" s="10">
        <f t="shared" si="107"/>
        <v>52.06</v>
      </c>
      <c r="O1006" s="10">
        <f t="shared" si="108"/>
        <v>38.003799999999998</v>
      </c>
      <c r="P1006" s="10">
        <f t="shared" si="109"/>
        <v>52.06</v>
      </c>
      <c r="Q1006" s="3">
        <f t="shared" si="110"/>
        <v>0.27000000000000007</v>
      </c>
      <c r="R1006" s="4" t="str">
        <f>IF(Sales_Fact!$O1006&gt;1000,"High","Low")</f>
        <v>Low</v>
      </c>
      <c r="S1006" s="4" t="str">
        <f>VLOOKUP(C1006,Customer_Dim!$A:$N,9,FALSE())</f>
        <v>John Smith</v>
      </c>
      <c r="T1006" s="4" t="str">
        <f>VLOOKUP(D1006,Product_Dim!$A:$M,3,FALSE())</f>
        <v>Clothing</v>
      </c>
      <c r="U1006" s="11" t="str">
        <f>VLOOKUP(D1006,Product_Dim!$A:$M,2,FALSE())</f>
        <v>Women's Scarf Set</v>
      </c>
      <c r="V1006" s="11" t="str">
        <f>VLOOKUP(E1006,Store_Dim!$A:$E,3,FALSE())</f>
        <v>West</v>
      </c>
      <c r="W1006" s="11" t="str">
        <f>VLOOKUP(C1006,Customer_Dim!$A:$N,13,FALSE())</f>
        <v>Platinum</v>
      </c>
      <c r="X1006" s="11" t="str">
        <f t="shared" si="111"/>
        <v>Low</v>
      </c>
    </row>
    <row r="1007" spans="1:24" ht="15.75" customHeight="1">
      <c r="A1007" s="4" t="s">
        <v>3003</v>
      </c>
      <c r="B1007" s="9">
        <v>45691</v>
      </c>
      <c r="C1007" s="4" t="s">
        <v>1434</v>
      </c>
      <c r="D1007" s="4" t="s">
        <v>1592</v>
      </c>
      <c r="E1007" s="4" t="s">
        <v>1915</v>
      </c>
      <c r="F1007" s="4">
        <v>2</v>
      </c>
      <c r="G1007" s="4">
        <v>594.63</v>
      </c>
      <c r="H1007" s="4">
        <v>0.12</v>
      </c>
      <c r="I1007" s="4" t="s">
        <v>1996</v>
      </c>
      <c r="J1007" s="10">
        <v>1046.5488</v>
      </c>
      <c r="K1007" s="4" t="str">
        <f t="shared" si="105"/>
        <v>03-02-2025</v>
      </c>
      <c r="L1007" s="4" t="str">
        <f>TEXT(Sales_Fact!$B1007,"mmm")</f>
        <v>Feb</v>
      </c>
      <c r="M1007" s="4">
        <f t="shared" si="106"/>
        <v>2</v>
      </c>
      <c r="N1007" s="10">
        <f t="shared" si="107"/>
        <v>594.63</v>
      </c>
      <c r="O1007" s="10">
        <f t="shared" si="108"/>
        <v>1046.5488</v>
      </c>
      <c r="P1007" s="10">
        <f t="shared" si="109"/>
        <v>1189.26</v>
      </c>
      <c r="Q1007" s="3">
        <f t="shared" si="110"/>
        <v>0.11999999999999997</v>
      </c>
      <c r="R1007" s="4" t="str">
        <f>IF(Sales_Fact!$O1007&gt;1000,"High","Low")</f>
        <v>High</v>
      </c>
      <c r="S1007" s="4" t="str">
        <f>VLOOKUP(C1007,Customer_Dim!$A:$N,9,FALSE())</f>
        <v>Tyler Weber</v>
      </c>
      <c r="T1007" s="4" t="str">
        <f>VLOOKUP(D1007,Product_Dim!$A:$M,3,FALSE())</f>
        <v>Clothing</v>
      </c>
      <c r="U1007" s="11" t="str">
        <f>VLOOKUP(D1007,Product_Dim!$A:$M,2,FALSE())</f>
        <v>Men's Running Jacket</v>
      </c>
      <c r="V1007" s="11" t="str">
        <f>VLOOKUP(E1007,Store_Dim!$A:$E,3,FALSE())</f>
        <v>North</v>
      </c>
      <c r="W1007" s="11" t="str">
        <f>VLOOKUP(C1007,Customer_Dim!$A:$N,13,FALSE())</f>
        <v>Gold</v>
      </c>
      <c r="X1007" s="11" t="str">
        <f t="shared" si="111"/>
        <v>Low</v>
      </c>
    </row>
    <row r="1008" spans="1:24" ht="15.75" customHeight="1">
      <c r="A1008" s="4" t="s">
        <v>3004</v>
      </c>
      <c r="B1008" s="9">
        <v>45644</v>
      </c>
      <c r="C1008" s="4" t="s">
        <v>580</v>
      </c>
      <c r="D1008" s="4" t="s">
        <v>1592</v>
      </c>
      <c r="E1008" s="4" t="s">
        <v>1910</v>
      </c>
      <c r="F1008" s="4">
        <v>3</v>
      </c>
      <c r="G1008" s="4">
        <v>476.1</v>
      </c>
      <c r="H1008" s="4">
        <v>0.05</v>
      </c>
      <c r="I1008" s="4" t="s">
        <v>2004</v>
      </c>
      <c r="J1008" s="10">
        <v>1356.885</v>
      </c>
      <c r="K1008" s="4" t="str">
        <f t="shared" si="105"/>
        <v>18-12-2024</v>
      </c>
      <c r="L1008" s="4" t="str">
        <f>TEXT(Sales_Fact!$B1008,"mmm")</f>
        <v>Dec</v>
      </c>
      <c r="M1008" s="4">
        <f t="shared" si="106"/>
        <v>3</v>
      </c>
      <c r="N1008" s="10">
        <f t="shared" si="107"/>
        <v>476.1</v>
      </c>
      <c r="O1008" s="10">
        <f t="shared" si="108"/>
        <v>1356.8850000000002</v>
      </c>
      <c r="P1008" s="10">
        <f t="shared" si="109"/>
        <v>1428.3000000000002</v>
      </c>
      <c r="Q1008" s="3">
        <f t="shared" si="110"/>
        <v>4.9999999999999968E-2</v>
      </c>
      <c r="R1008" s="4" t="str">
        <f>IF(Sales_Fact!$O1008&gt;1000,"High","Low")</f>
        <v>High</v>
      </c>
      <c r="S1008" s="4" t="str">
        <f>VLOOKUP(C1008,Customer_Dim!$A:$N,9,FALSE())</f>
        <v>Antonio Wade</v>
      </c>
      <c r="T1008" s="4" t="str">
        <f>VLOOKUP(D1008,Product_Dim!$A:$M,3,FALSE())</f>
        <v>Clothing</v>
      </c>
      <c r="U1008" s="11" t="str">
        <f>VLOOKUP(D1008,Product_Dim!$A:$M,2,FALSE())</f>
        <v>Men's Running Jacket</v>
      </c>
      <c r="V1008" s="11" t="str">
        <f>VLOOKUP(E1008,Store_Dim!$A:$E,3,FALSE())</f>
        <v>East</v>
      </c>
      <c r="W1008" s="11" t="str">
        <f>VLOOKUP(C1008,Customer_Dim!$A:$N,13,FALSE())</f>
        <v>Gold</v>
      </c>
      <c r="X1008" s="11" t="str">
        <f t="shared" si="111"/>
        <v>Low</v>
      </c>
    </row>
    <row r="1009" spans="1:24" ht="15.75" customHeight="1">
      <c r="A1009" s="4" t="s">
        <v>3005</v>
      </c>
      <c r="B1009" s="9">
        <v>45514</v>
      </c>
      <c r="C1009" s="4" t="s">
        <v>248</v>
      </c>
      <c r="D1009" s="4" t="s">
        <v>1788</v>
      </c>
      <c r="E1009" s="4" t="s">
        <v>1934</v>
      </c>
      <c r="F1009" s="4">
        <v>1</v>
      </c>
      <c r="G1009" s="4">
        <v>546.47</v>
      </c>
      <c r="H1009" s="4">
        <v>0.08</v>
      </c>
      <c r="I1009" s="4" t="s">
        <v>2004</v>
      </c>
      <c r="J1009" s="10">
        <v>502.75240000000002</v>
      </c>
      <c r="K1009" s="4" t="str">
        <f t="shared" si="105"/>
        <v>10-08-2024</v>
      </c>
      <c r="L1009" s="4" t="str">
        <f>TEXT(Sales_Fact!$B1009,"mmm")</f>
        <v>Aug</v>
      </c>
      <c r="M1009" s="4">
        <f t="shared" si="106"/>
        <v>1</v>
      </c>
      <c r="N1009" s="10">
        <f t="shared" si="107"/>
        <v>546.47</v>
      </c>
      <c r="O1009" s="10">
        <f t="shared" si="108"/>
        <v>502.75240000000002</v>
      </c>
      <c r="P1009" s="10">
        <f t="shared" si="109"/>
        <v>546.47</v>
      </c>
      <c r="Q1009" s="3">
        <f t="shared" si="110"/>
        <v>0.08</v>
      </c>
      <c r="R1009" s="4" t="str">
        <f>IF(Sales_Fact!$O1009&gt;1000,"High","Low")</f>
        <v>Low</v>
      </c>
      <c r="S1009" s="4" t="str">
        <f>VLOOKUP(C1009,Customer_Dim!$A:$N,9,FALSE())</f>
        <v>Kristin Stein</v>
      </c>
      <c r="T1009" s="4" t="str">
        <f>VLOOKUP(D1009,Product_Dim!$A:$M,3,FALSE())</f>
        <v>Sports</v>
      </c>
      <c r="U1009" s="11" t="str">
        <f>VLOOKUP(D1009,Product_Dim!$A:$M,2,FALSE())</f>
        <v>Tennis Ball 3-Pack</v>
      </c>
      <c r="V1009" s="11" t="str">
        <f>VLOOKUP(E1009,Store_Dim!$A:$E,3,FALSE())</f>
        <v>East</v>
      </c>
      <c r="W1009" s="11" t="str">
        <f>VLOOKUP(C1009,Customer_Dim!$A:$N,13,FALSE())</f>
        <v>Silver</v>
      </c>
      <c r="X1009" s="11" t="str">
        <f t="shared" si="111"/>
        <v>Low</v>
      </c>
    </row>
    <row r="1010" spans="1:24" ht="15.75" customHeight="1">
      <c r="A1010" s="4" t="s">
        <v>3006</v>
      </c>
      <c r="B1010" s="9">
        <v>45760</v>
      </c>
      <c r="C1010" s="4" t="s">
        <v>607</v>
      </c>
      <c r="D1010" s="4" t="s">
        <v>1831</v>
      </c>
      <c r="E1010" s="4" t="s">
        <v>1952</v>
      </c>
      <c r="F1010" s="4">
        <v>1</v>
      </c>
      <c r="G1010" s="4">
        <v>979.49</v>
      </c>
      <c r="H1010" s="4">
        <v>0.19</v>
      </c>
      <c r="I1010" s="4" t="s">
        <v>2004</v>
      </c>
      <c r="J1010" s="10">
        <v>793.38689999999997</v>
      </c>
      <c r="K1010" s="4" t="str">
        <f t="shared" si="105"/>
        <v>13-04-2025</v>
      </c>
      <c r="L1010" s="4" t="str">
        <f>TEXT(Sales_Fact!$B1010,"mmm")</f>
        <v>Apr</v>
      </c>
      <c r="M1010" s="4">
        <f t="shared" si="106"/>
        <v>1</v>
      </c>
      <c r="N1010" s="10">
        <f t="shared" si="107"/>
        <v>979.49</v>
      </c>
      <c r="O1010" s="10">
        <f t="shared" si="108"/>
        <v>793.38690000000008</v>
      </c>
      <c r="P1010" s="10">
        <f t="shared" si="109"/>
        <v>979.49</v>
      </c>
      <c r="Q1010" s="3">
        <f t="shared" si="110"/>
        <v>0.18999999999999992</v>
      </c>
      <c r="R1010" s="4" t="str">
        <f>IF(Sales_Fact!$O1010&gt;1000,"High","Low")</f>
        <v>Low</v>
      </c>
      <c r="S1010" s="4" t="str">
        <f>VLOOKUP(C1010,Customer_Dim!$A:$N,9,FALSE())</f>
        <v>John Bradford</v>
      </c>
      <c r="T1010" s="4" t="str">
        <f>VLOOKUP(D1010,Product_Dim!$A:$M,3,FALSE())</f>
        <v>Clothing</v>
      </c>
      <c r="U1010" s="11" t="str">
        <f>VLOOKUP(D1010,Product_Dim!$A:$M,2,FALSE())</f>
        <v>Women's Ankle Boots</v>
      </c>
      <c r="V1010" s="11" t="str">
        <f>VLOOKUP(E1010,Store_Dim!$A:$E,3,FALSE())</f>
        <v>North</v>
      </c>
      <c r="W1010" s="11" t="str">
        <f>VLOOKUP(C1010,Customer_Dim!$A:$N,13,FALSE())</f>
        <v>Silver</v>
      </c>
      <c r="X1010" s="11" t="str">
        <f t="shared" si="111"/>
        <v>Low</v>
      </c>
    </row>
    <row r="1011" spans="1:24" ht="15.75" customHeight="1">
      <c r="A1011" s="4" t="s">
        <v>3007</v>
      </c>
      <c r="B1011" s="9">
        <v>45289</v>
      </c>
      <c r="C1011" s="4" t="s">
        <v>659</v>
      </c>
      <c r="D1011" s="4" t="s">
        <v>1648</v>
      </c>
      <c r="E1011" s="4" t="s">
        <v>1919</v>
      </c>
      <c r="F1011" s="4">
        <v>3</v>
      </c>
      <c r="G1011" s="4">
        <v>988.53</v>
      </c>
      <c r="H1011" s="4">
        <v>0.3</v>
      </c>
      <c r="I1011" s="4" t="s">
        <v>2004</v>
      </c>
      <c r="J1011" s="10">
        <v>2075.913</v>
      </c>
      <c r="K1011" s="4" t="str">
        <f t="shared" si="105"/>
        <v>29-12-2023</v>
      </c>
      <c r="L1011" s="4" t="str">
        <f>TEXT(Sales_Fact!$B1011,"mmm")</f>
        <v>Dec</v>
      </c>
      <c r="M1011" s="4">
        <f t="shared" si="106"/>
        <v>3</v>
      </c>
      <c r="N1011" s="10">
        <f t="shared" si="107"/>
        <v>988.53</v>
      </c>
      <c r="O1011" s="10">
        <f t="shared" si="108"/>
        <v>2075.913</v>
      </c>
      <c r="P1011" s="10">
        <f t="shared" si="109"/>
        <v>2965.59</v>
      </c>
      <c r="Q1011" s="3">
        <f t="shared" si="110"/>
        <v>0.30000000000000004</v>
      </c>
      <c r="R1011" s="4" t="str">
        <f>IF(Sales_Fact!$O1011&gt;1000,"High","Low")</f>
        <v>High</v>
      </c>
      <c r="S1011" s="4" t="str">
        <f>VLOOKUP(C1011,Customer_Dim!$A:$N,9,FALSE())</f>
        <v>David Roberts</v>
      </c>
      <c r="T1011" s="4" t="str">
        <f>VLOOKUP(D1011,Product_Dim!$A:$M,3,FALSE())</f>
        <v>Sports</v>
      </c>
      <c r="U1011" s="11" t="str">
        <f>VLOOKUP(D1011,Product_Dim!$A:$M,2,FALSE())</f>
        <v>Soccer Training Cone Set</v>
      </c>
      <c r="V1011" s="11" t="str">
        <f>VLOOKUP(E1011,Store_Dim!$A:$E,3,FALSE())</f>
        <v>South</v>
      </c>
      <c r="W1011" s="11" t="str">
        <f>VLOOKUP(C1011,Customer_Dim!$A:$N,13,FALSE())</f>
        <v>Gold</v>
      </c>
      <c r="X1011" s="11" t="str">
        <f t="shared" si="111"/>
        <v>Low</v>
      </c>
    </row>
    <row r="1012" spans="1:24" ht="15.75" customHeight="1">
      <c r="A1012" s="4" t="s">
        <v>3008</v>
      </c>
      <c r="B1012" s="9">
        <v>45704</v>
      </c>
      <c r="C1012" s="4" t="s">
        <v>843</v>
      </c>
      <c r="D1012" s="4" t="s">
        <v>1834</v>
      </c>
      <c r="E1012" s="4" t="s">
        <v>1924</v>
      </c>
      <c r="F1012" s="4">
        <v>4</v>
      </c>
      <c r="G1012" s="4">
        <v>849.29</v>
      </c>
      <c r="H1012" s="4">
        <v>0.26</v>
      </c>
      <c r="I1012" s="4" t="s">
        <v>1996</v>
      </c>
      <c r="J1012" s="10">
        <v>2513.8984</v>
      </c>
      <c r="K1012" s="4" t="str">
        <f t="shared" si="105"/>
        <v>16-02-2025</v>
      </c>
      <c r="L1012" s="4" t="str">
        <f>TEXT(Sales_Fact!$B1012,"mmm")</f>
        <v>Feb</v>
      </c>
      <c r="M1012" s="4">
        <f t="shared" si="106"/>
        <v>4</v>
      </c>
      <c r="N1012" s="10">
        <f t="shared" si="107"/>
        <v>849.29</v>
      </c>
      <c r="O1012" s="10">
        <f t="shared" si="108"/>
        <v>2513.8984</v>
      </c>
      <c r="P1012" s="10">
        <f t="shared" si="109"/>
        <v>3397.16</v>
      </c>
      <c r="Q1012" s="3">
        <f t="shared" si="110"/>
        <v>0.25999999999999995</v>
      </c>
      <c r="R1012" s="4" t="str">
        <f>IF(Sales_Fact!$O1012&gt;1000,"High","Low")</f>
        <v>High</v>
      </c>
      <c r="S1012" s="4" t="str">
        <f>VLOOKUP(C1012,Customer_Dim!$A:$N,9,FALSE())</f>
        <v>Damon Perez</v>
      </c>
      <c r="T1012" s="4" t="str">
        <f>VLOOKUP(D1012,Product_Dim!$A:$M,3,FALSE())</f>
        <v>Electronics</v>
      </c>
      <c r="U1012" s="11" t="str">
        <f>VLOOKUP(D1012,Product_Dim!$A:$M,2,FALSE())</f>
        <v>Wireless Mouse</v>
      </c>
      <c r="V1012" s="11" t="str">
        <f>VLOOKUP(E1012,Store_Dim!$A:$E,3,FALSE())</f>
        <v>North</v>
      </c>
      <c r="W1012" s="11" t="str">
        <f>VLOOKUP(C1012,Customer_Dim!$A:$N,13,FALSE())</f>
        <v>Gold</v>
      </c>
      <c r="X1012" s="11" t="str">
        <f t="shared" si="111"/>
        <v>High</v>
      </c>
    </row>
    <row r="1013" spans="1:24" ht="15.75" customHeight="1">
      <c r="A1013" s="4" t="s">
        <v>3009</v>
      </c>
      <c r="B1013" s="9">
        <v>45318</v>
      </c>
      <c r="C1013" s="4" t="s">
        <v>1105</v>
      </c>
      <c r="D1013" s="4" t="s">
        <v>1891</v>
      </c>
      <c r="E1013" s="4" t="s">
        <v>1957</v>
      </c>
      <c r="F1013" s="4">
        <v>2</v>
      </c>
      <c r="G1013" s="4">
        <v>452.29</v>
      </c>
      <c r="H1013" s="4">
        <v>0.01</v>
      </c>
      <c r="I1013" s="4" t="s">
        <v>2004</v>
      </c>
      <c r="J1013" s="10">
        <v>895.53420000000006</v>
      </c>
      <c r="K1013" s="4" t="str">
        <f t="shared" si="105"/>
        <v>27-01-2024</v>
      </c>
      <c r="L1013" s="4" t="str">
        <f>TEXT(Sales_Fact!$B1013,"mmm")</f>
        <v>Jan</v>
      </c>
      <c r="M1013" s="4">
        <f t="shared" si="106"/>
        <v>2</v>
      </c>
      <c r="N1013" s="10">
        <f t="shared" si="107"/>
        <v>452.29</v>
      </c>
      <c r="O1013" s="10">
        <f t="shared" si="108"/>
        <v>895.53420000000006</v>
      </c>
      <c r="P1013" s="10">
        <f t="shared" si="109"/>
        <v>904.58</v>
      </c>
      <c r="Q1013" s="3">
        <f t="shared" si="110"/>
        <v>9.9999999999999829E-3</v>
      </c>
      <c r="R1013" s="4" t="str">
        <f>IF(Sales_Fact!$O1013&gt;1000,"High","Low")</f>
        <v>Low</v>
      </c>
      <c r="S1013" s="4" t="str">
        <f>VLOOKUP(C1013,Customer_Dim!$A:$N,9,FALSE())</f>
        <v>Ryan Moore</v>
      </c>
      <c r="T1013" s="4" t="str">
        <f>VLOOKUP(D1013,Product_Dim!$A:$M,3,FALSE())</f>
        <v>Sports</v>
      </c>
      <c r="U1013" s="11" t="str">
        <f>VLOOKUP(D1013,Product_Dim!$A:$M,2,FALSE())</f>
        <v>Sports Stopwatch Basic</v>
      </c>
      <c r="V1013" s="11" t="str">
        <f>VLOOKUP(E1013,Store_Dim!$A:$E,3,FALSE())</f>
        <v>South</v>
      </c>
      <c r="W1013" s="11" t="str">
        <f>VLOOKUP(C1013,Customer_Dim!$A:$N,13,FALSE())</f>
        <v>Bronze</v>
      </c>
      <c r="X1013" s="11" t="str">
        <f t="shared" si="111"/>
        <v>Low</v>
      </c>
    </row>
    <row r="1014" spans="1:24" ht="15.75" customHeight="1">
      <c r="A1014" s="4" t="s">
        <v>3010</v>
      </c>
      <c r="B1014" s="9">
        <v>45495</v>
      </c>
      <c r="C1014" s="4" t="s">
        <v>1406</v>
      </c>
      <c r="D1014" s="4" t="s">
        <v>1767</v>
      </c>
      <c r="E1014" s="4" t="s">
        <v>1968</v>
      </c>
      <c r="F1014" s="4">
        <v>2</v>
      </c>
      <c r="G1014" s="4">
        <v>810.81</v>
      </c>
      <c r="H1014" s="4">
        <v>0.11</v>
      </c>
      <c r="I1014" s="4" t="s">
        <v>2004</v>
      </c>
      <c r="J1014" s="10">
        <v>1443.2418</v>
      </c>
      <c r="K1014" s="4" t="str">
        <f t="shared" si="105"/>
        <v>22-07-2024</v>
      </c>
      <c r="L1014" s="4" t="str">
        <f>TEXT(Sales_Fact!$B1014,"mmm")</f>
        <v>Jul</v>
      </c>
      <c r="M1014" s="4">
        <f t="shared" si="106"/>
        <v>2</v>
      </c>
      <c r="N1014" s="10">
        <f t="shared" si="107"/>
        <v>810.81</v>
      </c>
      <c r="O1014" s="10">
        <f t="shared" si="108"/>
        <v>1443.2418</v>
      </c>
      <c r="P1014" s="10">
        <f t="shared" si="109"/>
        <v>1621.62</v>
      </c>
      <c r="Q1014" s="3">
        <f t="shared" si="110"/>
        <v>0.10999999999999993</v>
      </c>
      <c r="R1014" s="4" t="str">
        <f>IF(Sales_Fact!$O1014&gt;1000,"High","Low")</f>
        <v>High</v>
      </c>
      <c r="S1014" s="4" t="str">
        <f>VLOOKUP(C1014,Customer_Dim!$A:$N,9,FALSE())</f>
        <v>Gene Lee</v>
      </c>
      <c r="T1014" s="4" t="str">
        <f>VLOOKUP(D1014,Product_Dim!$A:$M,3,FALSE())</f>
        <v>Sports</v>
      </c>
      <c r="U1014" s="11" t="str">
        <f>VLOOKUP(D1014,Product_Dim!$A:$M,2,FALSE())</f>
        <v>Sports Stopwatch Pro</v>
      </c>
      <c r="V1014" s="11" t="str">
        <f>VLOOKUP(E1014,Store_Dim!$A:$E,3,FALSE())</f>
        <v>East</v>
      </c>
      <c r="W1014" s="11" t="str">
        <f>VLOOKUP(C1014,Customer_Dim!$A:$N,13,FALSE())</f>
        <v>Platinum</v>
      </c>
      <c r="X1014" s="11" t="str">
        <f t="shared" si="111"/>
        <v>Low</v>
      </c>
    </row>
    <row r="1015" spans="1:24" ht="15.75" customHeight="1">
      <c r="A1015" s="4" t="s">
        <v>3011</v>
      </c>
      <c r="B1015" s="9">
        <v>45459</v>
      </c>
      <c r="C1015" s="4" t="s">
        <v>494</v>
      </c>
      <c r="D1015" s="4" t="s">
        <v>1741</v>
      </c>
      <c r="E1015" s="4" t="s">
        <v>1968</v>
      </c>
      <c r="F1015" s="4">
        <v>1</v>
      </c>
      <c r="G1015" s="4">
        <v>804.9</v>
      </c>
      <c r="H1015" s="4">
        <v>0.03</v>
      </c>
      <c r="I1015" s="4" t="s">
        <v>1998</v>
      </c>
      <c r="J1015" s="10">
        <v>780.75300000000004</v>
      </c>
      <c r="K1015" s="4" t="str">
        <f t="shared" si="105"/>
        <v>16-06-2024</v>
      </c>
      <c r="L1015" s="4" t="str">
        <f>TEXT(Sales_Fact!$B1015,"mmm")</f>
        <v>Jun</v>
      </c>
      <c r="M1015" s="4">
        <f t="shared" si="106"/>
        <v>1</v>
      </c>
      <c r="N1015" s="10">
        <f t="shared" si="107"/>
        <v>804.9</v>
      </c>
      <c r="O1015" s="10">
        <f t="shared" si="108"/>
        <v>780.75299999999993</v>
      </c>
      <c r="P1015" s="10">
        <f t="shared" si="109"/>
        <v>804.9</v>
      </c>
      <c r="Q1015" s="3">
        <f t="shared" si="110"/>
        <v>3.0000000000000061E-2</v>
      </c>
      <c r="R1015" s="4" t="str">
        <f>IF(Sales_Fact!$O1015&gt;1000,"High","Low")</f>
        <v>Low</v>
      </c>
      <c r="S1015" s="4" t="str">
        <f>VLOOKUP(C1015,Customer_Dim!$A:$N,9,FALSE())</f>
        <v>Sean Roth</v>
      </c>
      <c r="T1015" s="4" t="str">
        <f>VLOOKUP(D1015,Product_Dim!$A:$M,3,FALSE())</f>
        <v>Clothing</v>
      </c>
      <c r="U1015" s="11" t="str">
        <f>VLOOKUP(D1015,Product_Dim!$A:$M,2,FALSE())</f>
        <v>Men's Winter Jacket</v>
      </c>
      <c r="V1015" s="11" t="str">
        <f>VLOOKUP(E1015,Store_Dim!$A:$E,3,FALSE())</f>
        <v>East</v>
      </c>
      <c r="W1015" s="11" t="str">
        <f>VLOOKUP(C1015,Customer_Dim!$A:$N,13,FALSE())</f>
        <v>Gold</v>
      </c>
      <c r="X1015" s="11" t="str">
        <f t="shared" si="111"/>
        <v>Low</v>
      </c>
    </row>
    <row r="1016" spans="1:24" ht="15.75" customHeight="1">
      <c r="A1016" s="4" t="s">
        <v>3012</v>
      </c>
      <c r="B1016" s="9">
        <v>45560</v>
      </c>
      <c r="C1016" s="4" t="s">
        <v>148</v>
      </c>
      <c r="D1016" s="4" t="s">
        <v>1788</v>
      </c>
      <c r="E1016" s="4" t="s">
        <v>1940</v>
      </c>
      <c r="F1016" s="4">
        <v>1</v>
      </c>
      <c r="G1016" s="4">
        <v>846.67</v>
      </c>
      <c r="H1016" s="4">
        <v>0.1</v>
      </c>
      <c r="I1016" s="4" t="s">
        <v>2004</v>
      </c>
      <c r="J1016" s="10">
        <v>762.00300000000004</v>
      </c>
      <c r="K1016" s="4" t="str">
        <f t="shared" si="105"/>
        <v>25-09-2024</v>
      </c>
      <c r="L1016" s="4" t="str">
        <f>TEXT(Sales_Fact!$B1016,"mmm")</f>
        <v>Sep</v>
      </c>
      <c r="M1016" s="4">
        <f t="shared" si="106"/>
        <v>1</v>
      </c>
      <c r="N1016" s="10">
        <f t="shared" si="107"/>
        <v>846.67</v>
      </c>
      <c r="O1016" s="10">
        <f t="shared" si="108"/>
        <v>762.00299999999993</v>
      </c>
      <c r="P1016" s="10">
        <f t="shared" si="109"/>
        <v>846.67</v>
      </c>
      <c r="Q1016" s="3">
        <f t="shared" si="110"/>
        <v>0.10000000000000005</v>
      </c>
      <c r="R1016" s="4" t="str">
        <f>IF(Sales_Fact!$O1016&gt;1000,"High","Low")</f>
        <v>Low</v>
      </c>
      <c r="S1016" s="4" t="str">
        <f>VLOOKUP(C1016,Customer_Dim!$A:$N,9,FALSE())</f>
        <v>Sarah Vance</v>
      </c>
      <c r="T1016" s="4" t="str">
        <f>VLOOKUP(D1016,Product_Dim!$A:$M,3,FALSE())</f>
        <v>Sports</v>
      </c>
      <c r="U1016" s="11" t="str">
        <f>VLOOKUP(D1016,Product_Dim!$A:$M,2,FALSE())</f>
        <v>Tennis Ball 3-Pack</v>
      </c>
      <c r="V1016" s="11" t="str">
        <f>VLOOKUP(E1016,Store_Dim!$A:$E,3,FALSE())</f>
        <v>West</v>
      </c>
      <c r="W1016" s="11" t="str">
        <f>VLOOKUP(C1016,Customer_Dim!$A:$N,13,FALSE())</f>
        <v>Silver</v>
      </c>
      <c r="X1016" s="11" t="str">
        <f t="shared" si="111"/>
        <v>Low</v>
      </c>
    </row>
    <row r="1017" spans="1:24" ht="15.75" customHeight="1">
      <c r="A1017" s="4" t="s">
        <v>3013</v>
      </c>
      <c r="B1017" s="9">
        <v>45367</v>
      </c>
      <c r="C1017" s="4" t="s">
        <v>98</v>
      </c>
      <c r="D1017" s="4" t="s">
        <v>1671</v>
      </c>
      <c r="E1017" s="4" t="s">
        <v>1934</v>
      </c>
      <c r="F1017" s="4">
        <v>4</v>
      </c>
      <c r="G1017" s="4">
        <v>73.55</v>
      </c>
      <c r="H1017" s="4">
        <v>0.24</v>
      </c>
      <c r="I1017" s="4" t="s">
        <v>2004</v>
      </c>
      <c r="J1017" s="10">
        <v>223.59200000000001</v>
      </c>
      <c r="K1017" s="4" t="str">
        <f t="shared" si="105"/>
        <v>16-03-2024</v>
      </c>
      <c r="L1017" s="4" t="str">
        <f>TEXT(Sales_Fact!$B1017,"mmm")</f>
        <v>Mar</v>
      </c>
      <c r="M1017" s="4">
        <f t="shared" si="106"/>
        <v>4</v>
      </c>
      <c r="N1017" s="10">
        <f t="shared" si="107"/>
        <v>73.55</v>
      </c>
      <c r="O1017" s="10">
        <f t="shared" si="108"/>
        <v>223.59199999999998</v>
      </c>
      <c r="P1017" s="10">
        <f t="shared" si="109"/>
        <v>294.2</v>
      </c>
      <c r="Q1017" s="3">
        <f t="shared" si="110"/>
        <v>0.24000000000000002</v>
      </c>
      <c r="R1017" s="4" t="str">
        <f>IF(Sales_Fact!$O1017&gt;1000,"High","Low")</f>
        <v>Low</v>
      </c>
      <c r="S1017" s="4" t="str">
        <f>VLOOKUP(C1017,Customer_Dim!$A:$N,9,FALSE())</f>
        <v>Adam Cruz</v>
      </c>
      <c r="T1017" s="4" t="str">
        <f>VLOOKUP(D1017,Product_Dim!$A:$M,3,FALSE())</f>
        <v>Sports</v>
      </c>
      <c r="U1017" s="11" t="str">
        <f>VLOOKUP(D1017,Product_Dim!$A:$M,2,FALSE())</f>
        <v>Foldable Camping Chair</v>
      </c>
      <c r="V1017" s="11" t="str">
        <f>VLOOKUP(E1017,Store_Dim!$A:$E,3,FALSE())</f>
        <v>East</v>
      </c>
      <c r="W1017" s="11" t="str">
        <f>VLOOKUP(C1017,Customer_Dim!$A:$N,13,FALSE())</f>
        <v>Platinum</v>
      </c>
      <c r="X1017" s="11" t="str">
        <f t="shared" si="111"/>
        <v>High</v>
      </c>
    </row>
    <row r="1018" spans="1:24" ht="15.75" customHeight="1">
      <c r="A1018" s="4" t="s">
        <v>3014</v>
      </c>
      <c r="B1018" s="9">
        <v>45861</v>
      </c>
      <c r="C1018" s="4" t="s">
        <v>912</v>
      </c>
      <c r="D1018" s="4" t="s">
        <v>1882</v>
      </c>
      <c r="E1018" s="4" t="s">
        <v>1934</v>
      </c>
      <c r="F1018" s="4">
        <v>1</v>
      </c>
      <c r="G1018" s="4">
        <v>882.03</v>
      </c>
      <c r="H1018" s="4">
        <v>0.04</v>
      </c>
      <c r="I1018" s="4" t="s">
        <v>2004</v>
      </c>
      <c r="J1018" s="10">
        <v>846.74879999999996</v>
      </c>
      <c r="K1018" s="4" t="str">
        <f t="shared" si="105"/>
        <v>23-07-2025</v>
      </c>
      <c r="L1018" s="4" t="str">
        <f>TEXT(Sales_Fact!$B1018,"mmm")</f>
        <v>Jul</v>
      </c>
      <c r="M1018" s="4">
        <f t="shared" si="106"/>
        <v>1</v>
      </c>
      <c r="N1018" s="10">
        <f t="shared" si="107"/>
        <v>882.03</v>
      </c>
      <c r="O1018" s="10">
        <f t="shared" si="108"/>
        <v>846.74879999999996</v>
      </c>
      <c r="P1018" s="10">
        <f t="shared" si="109"/>
        <v>882.03</v>
      </c>
      <c r="Q1018" s="3">
        <f t="shared" si="110"/>
        <v>4.0000000000000015E-2</v>
      </c>
      <c r="R1018" s="4" t="str">
        <f>IF(Sales_Fact!$O1018&gt;1000,"High","Low")</f>
        <v>Low</v>
      </c>
      <c r="S1018" s="4" t="str">
        <f>VLOOKUP(C1018,Customer_Dim!$A:$N,9,FALSE())</f>
        <v>Stephen Fowler</v>
      </c>
      <c r="T1018" s="4" t="str">
        <f>VLOOKUP(D1018,Product_Dim!$A:$M,3,FALSE())</f>
        <v>Home</v>
      </c>
      <c r="U1018" s="11" t="str">
        <f>VLOOKUP(D1018,Product_Dim!$A:$M,2,FALSE())</f>
        <v>Microwave Oven</v>
      </c>
      <c r="V1018" s="11" t="str">
        <f>VLOOKUP(E1018,Store_Dim!$A:$E,3,FALSE())</f>
        <v>East</v>
      </c>
      <c r="W1018" s="11" t="str">
        <f>VLOOKUP(C1018,Customer_Dim!$A:$N,13,FALSE())</f>
        <v>Platinum</v>
      </c>
      <c r="X1018" s="11" t="str">
        <f t="shared" si="111"/>
        <v>Low</v>
      </c>
    </row>
    <row r="1019" spans="1:24" ht="15.75" customHeight="1">
      <c r="A1019" s="4" t="s">
        <v>3015</v>
      </c>
      <c r="B1019" s="9">
        <v>45589</v>
      </c>
      <c r="C1019" s="4" t="s">
        <v>63</v>
      </c>
      <c r="D1019" s="4" t="s">
        <v>1665</v>
      </c>
      <c r="E1019" s="4" t="s">
        <v>1957</v>
      </c>
      <c r="F1019" s="4">
        <v>1</v>
      </c>
      <c r="G1019" s="4">
        <v>958.44</v>
      </c>
      <c r="H1019" s="4">
        <v>0.21</v>
      </c>
      <c r="I1019" s="4" t="s">
        <v>1996</v>
      </c>
      <c r="J1019" s="10">
        <v>757.16759999999999</v>
      </c>
      <c r="K1019" s="4" t="str">
        <f t="shared" si="105"/>
        <v>24-10-2024</v>
      </c>
      <c r="L1019" s="4" t="str">
        <f>TEXT(Sales_Fact!$B1019,"mmm")</f>
        <v>Oct</v>
      </c>
      <c r="M1019" s="4">
        <f t="shared" si="106"/>
        <v>1</v>
      </c>
      <c r="N1019" s="10">
        <f t="shared" si="107"/>
        <v>958.44</v>
      </c>
      <c r="O1019" s="10">
        <f t="shared" si="108"/>
        <v>757.16760000000011</v>
      </c>
      <c r="P1019" s="10">
        <f t="shared" si="109"/>
        <v>958.44</v>
      </c>
      <c r="Q1019" s="3">
        <f t="shared" si="110"/>
        <v>0.20999999999999994</v>
      </c>
      <c r="R1019" s="4" t="str">
        <f>IF(Sales_Fact!$O1019&gt;1000,"High","Low")</f>
        <v>Low</v>
      </c>
      <c r="S1019" s="4" t="str">
        <f>VLOOKUP(C1019,Customer_Dim!$A:$N,9,FALSE())</f>
        <v>Melissa Howard</v>
      </c>
      <c r="T1019" s="4" t="str">
        <f>VLOOKUP(D1019,Product_Dim!$A:$M,3,FALSE())</f>
        <v>Sports</v>
      </c>
      <c r="U1019" s="11" t="str">
        <f>VLOOKUP(D1019,Product_Dim!$A:$M,2,FALSE())</f>
        <v>Carbon Fiber Tennis Racket</v>
      </c>
      <c r="V1019" s="11" t="str">
        <f>VLOOKUP(E1019,Store_Dim!$A:$E,3,FALSE())</f>
        <v>South</v>
      </c>
      <c r="W1019" s="11" t="str">
        <f>VLOOKUP(C1019,Customer_Dim!$A:$N,13,FALSE())</f>
        <v>Gold</v>
      </c>
      <c r="X1019" s="11" t="str">
        <f t="shared" si="111"/>
        <v>Low</v>
      </c>
    </row>
    <row r="1020" spans="1:24" ht="15.75" customHeight="1">
      <c r="A1020" s="4" t="s">
        <v>3016</v>
      </c>
      <c r="B1020" s="9">
        <v>45560</v>
      </c>
      <c r="C1020" s="4" t="s">
        <v>63</v>
      </c>
      <c r="D1020" s="4" t="s">
        <v>1903</v>
      </c>
      <c r="E1020" s="4" t="s">
        <v>1919</v>
      </c>
      <c r="F1020" s="4">
        <v>1</v>
      </c>
      <c r="G1020" s="4">
        <v>716.29</v>
      </c>
      <c r="H1020" s="4">
        <v>0.01</v>
      </c>
      <c r="I1020" s="4" t="s">
        <v>1998</v>
      </c>
      <c r="J1020" s="10">
        <v>709.12710000000004</v>
      </c>
      <c r="K1020" s="4" t="str">
        <f t="shared" si="105"/>
        <v>25-09-2024</v>
      </c>
      <c r="L1020" s="4" t="str">
        <f>TEXT(Sales_Fact!$B1020,"mmm")</f>
        <v>Sep</v>
      </c>
      <c r="M1020" s="4">
        <f t="shared" si="106"/>
        <v>1</v>
      </c>
      <c r="N1020" s="10">
        <f t="shared" si="107"/>
        <v>716.29</v>
      </c>
      <c r="O1020" s="10">
        <f t="shared" si="108"/>
        <v>709.12709999999993</v>
      </c>
      <c r="P1020" s="10">
        <f t="shared" si="109"/>
        <v>716.29</v>
      </c>
      <c r="Q1020" s="3">
        <f t="shared" si="110"/>
        <v>1.0000000000000051E-2</v>
      </c>
      <c r="R1020" s="4" t="str">
        <f>IF(Sales_Fact!$O1020&gt;1000,"High","Low")</f>
        <v>Low</v>
      </c>
      <c r="S1020" s="4" t="str">
        <f>VLOOKUP(C1020,Customer_Dim!$A:$N,9,FALSE())</f>
        <v>Melissa Howard</v>
      </c>
      <c r="T1020" s="4" t="str">
        <f>VLOOKUP(D1020,Product_Dim!$A:$M,3,FALSE())</f>
        <v>Home</v>
      </c>
      <c r="U1020" s="11" t="str">
        <f>VLOOKUP(D1020,Product_Dim!$A:$M,2,FALSE())</f>
        <v>Stainless Steel Cookware Set</v>
      </c>
      <c r="V1020" s="11" t="str">
        <f>VLOOKUP(E1020,Store_Dim!$A:$E,3,FALSE())</f>
        <v>South</v>
      </c>
      <c r="W1020" s="11" t="str">
        <f>VLOOKUP(C1020,Customer_Dim!$A:$N,13,FALSE())</f>
        <v>Gold</v>
      </c>
      <c r="X1020" s="11" t="str">
        <f t="shared" si="111"/>
        <v>Low</v>
      </c>
    </row>
    <row r="1021" spans="1:24" ht="15.75" customHeight="1">
      <c r="A1021" s="4" t="s">
        <v>3017</v>
      </c>
      <c r="B1021" s="9">
        <v>45408</v>
      </c>
      <c r="C1021" s="4" t="s">
        <v>1045</v>
      </c>
      <c r="D1021" s="4" t="s">
        <v>1617</v>
      </c>
      <c r="E1021" s="4" t="s">
        <v>1962</v>
      </c>
      <c r="F1021" s="4">
        <v>2</v>
      </c>
      <c r="G1021" s="4">
        <v>409.14</v>
      </c>
      <c r="H1021" s="4">
        <v>0.01</v>
      </c>
      <c r="I1021" s="4" t="s">
        <v>1998</v>
      </c>
      <c r="J1021" s="10">
        <v>810.09720000000004</v>
      </c>
      <c r="K1021" s="4" t="str">
        <f t="shared" si="105"/>
        <v>26-04-2024</v>
      </c>
      <c r="L1021" s="4" t="str">
        <f>TEXT(Sales_Fact!$B1021,"mmm")</f>
        <v>Apr</v>
      </c>
      <c r="M1021" s="4">
        <f t="shared" si="106"/>
        <v>2</v>
      </c>
      <c r="N1021" s="10">
        <f t="shared" si="107"/>
        <v>409.14</v>
      </c>
      <c r="O1021" s="10">
        <f t="shared" si="108"/>
        <v>810.09719999999993</v>
      </c>
      <c r="P1021" s="10">
        <f t="shared" si="109"/>
        <v>818.28</v>
      </c>
      <c r="Q1021" s="3">
        <f t="shared" si="110"/>
        <v>1.0000000000000052E-2</v>
      </c>
      <c r="R1021" s="4" t="str">
        <f>IF(Sales_Fact!$O1021&gt;1000,"High","Low")</f>
        <v>Low</v>
      </c>
      <c r="S1021" s="4" t="str">
        <f>VLOOKUP(C1021,Customer_Dim!$A:$N,9,FALSE())</f>
        <v>Kristy Dunlap</v>
      </c>
      <c r="T1021" s="4" t="str">
        <f>VLOOKUP(D1021,Product_Dim!$A:$M,3,FALSE())</f>
        <v>Sports</v>
      </c>
      <c r="U1021" s="11" t="str">
        <f>VLOOKUP(D1021,Product_Dim!$A:$M,2,FALSE())</f>
        <v>Adjustable Dumbbell Set</v>
      </c>
      <c r="V1021" s="11" t="str">
        <f>VLOOKUP(E1021,Store_Dim!$A:$E,3,FALSE())</f>
        <v>West</v>
      </c>
      <c r="W1021" s="11" t="str">
        <f>VLOOKUP(C1021,Customer_Dim!$A:$N,13,FALSE())</f>
        <v>Platinum</v>
      </c>
      <c r="X1021" s="11" t="str">
        <f t="shared" si="111"/>
        <v>Low</v>
      </c>
    </row>
    <row r="1022" spans="1:24" ht="15.75" customHeight="1">
      <c r="A1022" s="4" t="s">
        <v>3018</v>
      </c>
      <c r="B1022" s="9">
        <v>45714</v>
      </c>
      <c r="C1022" s="4" t="s">
        <v>325</v>
      </c>
      <c r="D1022" s="4" t="s">
        <v>1903</v>
      </c>
      <c r="E1022" s="4" t="s">
        <v>1944</v>
      </c>
      <c r="F1022" s="4">
        <v>4</v>
      </c>
      <c r="G1022" s="4">
        <v>261.73</v>
      </c>
      <c r="H1022" s="4">
        <v>0.1</v>
      </c>
      <c r="I1022" s="4" t="s">
        <v>1998</v>
      </c>
      <c r="J1022" s="10">
        <v>942.22799999999995</v>
      </c>
      <c r="K1022" s="4" t="str">
        <f t="shared" si="105"/>
        <v>26-02-2025</v>
      </c>
      <c r="L1022" s="4" t="str">
        <f>TEXT(Sales_Fact!$B1022,"mmm")</f>
        <v>Feb</v>
      </c>
      <c r="M1022" s="4">
        <f t="shared" si="106"/>
        <v>4</v>
      </c>
      <c r="N1022" s="10">
        <f t="shared" si="107"/>
        <v>261.73</v>
      </c>
      <c r="O1022" s="10">
        <f t="shared" si="108"/>
        <v>942.22800000000007</v>
      </c>
      <c r="P1022" s="10">
        <f t="shared" si="109"/>
        <v>1046.92</v>
      </c>
      <c r="Q1022" s="3">
        <f t="shared" si="110"/>
        <v>0.1</v>
      </c>
      <c r="R1022" s="4" t="str">
        <f>IF(Sales_Fact!$O1022&gt;1000,"High","Low")</f>
        <v>Low</v>
      </c>
      <c r="S1022" s="4" t="str">
        <f>VLOOKUP(C1022,Customer_Dim!$A:$N,9,FALSE())</f>
        <v>Christy Hoffman</v>
      </c>
      <c r="T1022" s="4" t="str">
        <f>VLOOKUP(D1022,Product_Dim!$A:$M,3,FALSE())</f>
        <v>Home</v>
      </c>
      <c r="U1022" s="11" t="str">
        <f>VLOOKUP(D1022,Product_Dim!$A:$M,2,FALSE())</f>
        <v>Stainless Steel Cookware Set</v>
      </c>
      <c r="V1022" s="11" t="str">
        <f>VLOOKUP(E1022,Store_Dim!$A:$E,3,FALSE())</f>
        <v>South</v>
      </c>
      <c r="W1022" s="11" t="str">
        <f>VLOOKUP(C1022,Customer_Dim!$A:$N,13,FALSE())</f>
        <v>Platinum</v>
      </c>
      <c r="X1022" s="11" t="str">
        <f t="shared" si="111"/>
        <v>High</v>
      </c>
    </row>
    <row r="1023" spans="1:24" ht="15.75" customHeight="1">
      <c r="A1023" s="4" t="s">
        <v>3019</v>
      </c>
      <c r="B1023" s="9">
        <v>45661</v>
      </c>
      <c r="C1023" s="4" t="s">
        <v>1466</v>
      </c>
      <c r="D1023" s="4" t="s">
        <v>1629</v>
      </c>
      <c r="E1023" s="4" t="s">
        <v>1910</v>
      </c>
      <c r="F1023" s="4">
        <v>2</v>
      </c>
      <c r="G1023" s="4">
        <v>687.35</v>
      </c>
      <c r="H1023" s="4">
        <v>0.2</v>
      </c>
      <c r="I1023" s="4" t="s">
        <v>2004</v>
      </c>
      <c r="J1023" s="10">
        <v>1099.76</v>
      </c>
      <c r="K1023" s="4" t="str">
        <f t="shared" si="105"/>
        <v>04-01-2025</v>
      </c>
      <c r="L1023" s="4" t="str">
        <f>TEXT(Sales_Fact!$B1023,"mmm")</f>
        <v>Jan</v>
      </c>
      <c r="M1023" s="4">
        <f t="shared" si="106"/>
        <v>2</v>
      </c>
      <c r="N1023" s="10">
        <f t="shared" si="107"/>
        <v>687.35</v>
      </c>
      <c r="O1023" s="10">
        <f t="shared" si="108"/>
        <v>1099.76</v>
      </c>
      <c r="P1023" s="10">
        <f t="shared" si="109"/>
        <v>1374.7</v>
      </c>
      <c r="Q1023" s="3">
        <f t="shared" si="110"/>
        <v>0.20000000000000004</v>
      </c>
      <c r="R1023" s="4" t="str">
        <f>IF(Sales_Fact!$O1023&gt;1000,"High","Low")</f>
        <v>High</v>
      </c>
      <c r="S1023" s="4" t="str">
        <f>VLOOKUP(C1023,Customer_Dim!$A:$N,9,FALSE())</f>
        <v>Cynthia Parrish</v>
      </c>
      <c r="T1023" s="4" t="str">
        <f>VLOOKUP(D1023,Product_Dim!$A:$M,3,FALSE())</f>
        <v>Beauty</v>
      </c>
      <c r="U1023" s="11" t="str">
        <f>VLOOKUP(D1023,Product_Dim!$A:$M,2,FALSE())</f>
        <v>Hair Strengthening Shampoo</v>
      </c>
      <c r="V1023" s="11" t="str">
        <f>VLOOKUP(E1023,Store_Dim!$A:$E,3,FALSE())</f>
        <v>East</v>
      </c>
      <c r="W1023" s="11" t="str">
        <f>VLOOKUP(C1023,Customer_Dim!$A:$N,13,FALSE())</f>
        <v>Silver</v>
      </c>
      <c r="X1023" s="11" t="str">
        <f t="shared" si="111"/>
        <v>Low</v>
      </c>
    </row>
    <row r="1024" spans="1:24" ht="15.75" customHeight="1">
      <c r="A1024" s="4" t="s">
        <v>3020</v>
      </c>
      <c r="B1024" s="9">
        <v>45921</v>
      </c>
      <c r="C1024" s="4" t="s">
        <v>700</v>
      </c>
      <c r="D1024" s="4" t="s">
        <v>1858</v>
      </c>
      <c r="E1024" s="4" t="s">
        <v>1940</v>
      </c>
      <c r="F1024" s="4">
        <v>2</v>
      </c>
      <c r="G1024" s="4">
        <v>30.14</v>
      </c>
      <c r="H1024" s="4">
        <v>0.21</v>
      </c>
      <c r="I1024" s="4" t="s">
        <v>1996</v>
      </c>
      <c r="J1024" s="10">
        <v>47.621200000000002</v>
      </c>
      <c r="K1024" s="4" t="str">
        <f t="shared" si="105"/>
        <v>21-09-2025</v>
      </c>
      <c r="L1024" s="4" t="str">
        <f>TEXT(Sales_Fact!$B1024,"mmm")</f>
        <v>Sep</v>
      </c>
      <c r="M1024" s="4">
        <f t="shared" si="106"/>
        <v>2</v>
      </c>
      <c r="N1024" s="10">
        <f t="shared" si="107"/>
        <v>30.14</v>
      </c>
      <c r="O1024" s="10">
        <f t="shared" si="108"/>
        <v>47.621200000000002</v>
      </c>
      <c r="P1024" s="10">
        <f t="shared" si="109"/>
        <v>60.28</v>
      </c>
      <c r="Q1024" s="3">
        <f t="shared" si="110"/>
        <v>0.21</v>
      </c>
      <c r="R1024" s="4" t="str">
        <f>IF(Sales_Fact!$O1024&gt;1000,"High","Low")</f>
        <v>Low</v>
      </c>
      <c r="S1024" s="4" t="str">
        <f>VLOOKUP(C1024,Customer_Dim!$A:$N,9,FALSE())</f>
        <v>Jacqueline Pacheco</v>
      </c>
      <c r="T1024" s="4" t="str">
        <f>VLOOKUP(D1024,Product_Dim!$A:$M,3,FALSE())</f>
        <v>Home</v>
      </c>
      <c r="U1024" s="11" t="str">
        <f>VLOOKUP(D1024,Product_Dim!$A:$M,2,FALSE())</f>
        <v>Wooden Bookshelf</v>
      </c>
      <c r="V1024" s="11" t="str">
        <f>VLOOKUP(E1024,Store_Dim!$A:$E,3,FALSE())</f>
        <v>West</v>
      </c>
      <c r="W1024" s="11" t="str">
        <f>VLOOKUP(C1024,Customer_Dim!$A:$N,13,FALSE())</f>
        <v>Bronze</v>
      </c>
      <c r="X1024" s="11" t="str">
        <f t="shared" si="111"/>
        <v>Low</v>
      </c>
    </row>
    <row r="1025" spans="1:24" ht="15.75" customHeight="1">
      <c r="A1025" s="4" t="s">
        <v>3021</v>
      </c>
      <c r="B1025" s="9">
        <v>45651</v>
      </c>
      <c r="C1025" s="4" t="s">
        <v>374</v>
      </c>
      <c r="D1025" s="4" t="s">
        <v>1703</v>
      </c>
      <c r="E1025" s="4" t="s">
        <v>1940</v>
      </c>
      <c r="F1025" s="4">
        <v>3</v>
      </c>
      <c r="G1025" s="4">
        <v>570.12</v>
      </c>
      <c r="H1025" s="4">
        <v>0.12</v>
      </c>
      <c r="I1025" s="4" t="s">
        <v>1998</v>
      </c>
      <c r="J1025" s="10">
        <v>1505.1168</v>
      </c>
      <c r="K1025" s="4" t="str">
        <f t="shared" si="105"/>
        <v>25-12-2024</v>
      </c>
      <c r="L1025" s="4" t="str">
        <f>TEXT(Sales_Fact!$B1025,"mmm")</f>
        <v>Dec</v>
      </c>
      <c r="M1025" s="4">
        <f t="shared" si="106"/>
        <v>3</v>
      </c>
      <c r="N1025" s="10">
        <f t="shared" si="107"/>
        <v>570.12</v>
      </c>
      <c r="O1025" s="10">
        <f t="shared" si="108"/>
        <v>1505.1168</v>
      </c>
      <c r="P1025" s="10">
        <f t="shared" si="109"/>
        <v>1710.3600000000001</v>
      </c>
      <c r="Q1025" s="3">
        <f t="shared" si="110"/>
        <v>0.12000000000000006</v>
      </c>
      <c r="R1025" s="4" t="str">
        <f>IF(Sales_Fact!$O1025&gt;1000,"High","Low")</f>
        <v>High</v>
      </c>
      <c r="S1025" s="4" t="str">
        <f>VLOOKUP(C1025,Customer_Dim!$A:$N,9,FALSE())</f>
        <v>Sheila Wilson</v>
      </c>
      <c r="T1025" s="4" t="str">
        <f>VLOOKUP(D1025,Product_Dim!$A:$M,3,FALSE())</f>
        <v>Electronics</v>
      </c>
      <c r="U1025" s="11" t="str">
        <f>VLOOKUP(D1025,Product_Dim!$A:$M,2,FALSE())</f>
        <v>Gaming Mechanical Keyboard</v>
      </c>
      <c r="V1025" s="11" t="str">
        <f>VLOOKUP(E1025,Store_Dim!$A:$E,3,FALSE())</f>
        <v>West</v>
      </c>
      <c r="W1025" s="11" t="str">
        <f>VLOOKUP(C1025,Customer_Dim!$A:$N,13,FALSE())</f>
        <v>Silver</v>
      </c>
      <c r="X1025" s="11" t="str">
        <f t="shared" si="111"/>
        <v>Low</v>
      </c>
    </row>
    <row r="1026" spans="1:24" ht="15.75" customHeight="1">
      <c r="A1026" s="4" t="s">
        <v>3022</v>
      </c>
      <c r="B1026" s="9">
        <v>45617</v>
      </c>
      <c r="C1026" s="4" t="s">
        <v>1345</v>
      </c>
      <c r="D1026" s="4" t="s">
        <v>1882</v>
      </c>
      <c r="E1026" s="4" t="s">
        <v>1957</v>
      </c>
      <c r="F1026" s="4">
        <v>3</v>
      </c>
      <c r="G1026" s="4">
        <v>361.65</v>
      </c>
      <c r="H1026" s="4">
        <v>0.15</v>
      </c>
      <c r="I1026" s="4" t="s">
        <v>2004</v>
      </c>
      <c r="J1026" s="10">
        <v>922.20749999999998</v>
      </c>
      <c r="K1026" s="4" t="str">
        <f t="shared" ref="K1026:K1089" si="112">TEXT(B1026,"dd-mm-yyyy")</f>
        <v>21-11-2024</v>
      </c>
      <c r="L1026" s="4" t="str">
        <f>TEXT(Sales_Fact!$B1026,"mmm")</f>
        <v>Nov</v>
      </c>
      <c r="M1026" s="4">
        <f t="shared" ref="M1026:M1089" si="113">IF(ISBLANK(F1026),1,F1026)</f>
        <v>3</v>
      </c>
      <c r="N1026" s="10">
        <f t="shared" ref="N1026:N1089" si="114">ROUNDUP(IF(ISBLANK(G1026),AVERAGE(C:C,G1026,G:G),G1026),2)</f>
        <v>361.65</v>
      </c>
      <c r="O1026" s="10">
        <f t="shared" ref="O1026:O1089" si="115">M1026*N1026*(1-H1026)</f>
        <v>922.20749999999987</v>
      </c>
      <c r="P1026" s="10">
        <f t="shared" ref="P1026:P1089" si="116">M1026*N1026</f>
        <v>1084.9499999999998</v>
      </c>
      <c r="Q1026" s="3">
        <f t="shared" ref="Q1026:Q1089" si="117">(P1026-O1026)/P1026</f>
        <v>0.14999999999999997</v>
      </c>
      <c r="R1026" s="4" t="str">
        <f>IF(Sales_Fact!$O1026&gt;1000,"High","Low")</f>
        <v>Low</v>
      </c>
      <c r="S1026" s="4" t="str">
        <f>VLOOKUP(C1026,Customer_Dim!$A:$N,9,FALSE())</f>
        <v>Edwin Barnes</v>
      </c>
      <c r="T1026" s="4" t="str">
        <f>VLOOKUP(D1026,Product_Dim!$A:$M,3,FALSE())</f>
        <v>Home</v>
      </c>
      <c r="U1026" s="11" t="str">
        <f>VLOOKUP(D1026,Product_Dim!$A:$M,2,FALSE())</f>
        <v>Microwave Oven</v>
      </c>
      <c r="V1026" s="11" t="str">
        <f>VLOOKUP(E1026,Store_Dim!$A:$E,3,FALSE())</f>
        <v>South</v>
      </c>
      <c r="W1026" s="11" t="str">
        <f>VLOOKUP(C1026,Customer_Dim!$A:$N,13,FALSE())</f>
        <v>Bronze</v>
      </c>
      <c r="X1026" s="11" t="str">
        <f t="shared" ref="X1026:X1089" si="118">IF(F1026&gt;3,"High","Low")</f>
        <v>Low</v>
      </c>
    </row>
    <row r="1027" spans="1:24" ht="15.75" customHeight="1">
      <c r="A1027" s="4" t="s">
        <v>3023</v>
      </c>
      <c r="B1027" s="9">
        <v>45883</v>
      </c>
      <c r="C1027" s="4" t="s">
        <v>921</v>
      </c>
      <c r="D1027" s="4" t="s">
        <v>1837</v>
      </c>
      <c r="E1027" s="4" t="s">
        <v>1971</v>
      </c>
      <c r="F1027" s="4">
        <v>3</v>
      </c>
      <c r="G1027" s="4">
        <v>401.87</v>
      </c>
      <c r="H1027" s="4">
        <v>0.28999999999999998</v>
      </c>
      <c r="I1027" s="4" t="s">
        <v>2004</v>
      </c>
      <c r="J1027" s="10">
        <v>855.98310000000004</v>
      </c>
      <c r="K1027" s="4" t="str">
        <f t="shared" si="112"/>
        <v>14-08-2025</v>
      </c>
      <c r="L1027" s="4" t="str">
        <f>TEXT(Sales_Fact!$B1027,"mmm")</f>
        <v>Aug</v>
      </c>
      <c r="M1027" s="4">
        <f t="shared" si="113"/>
        <v>3</v>
      </c>
      <c r="N1027" s="10">
        <f t="shared" si="114"/>
        <v>401.87</v>
      </c>
      <c r="O1027" s="10">
        <f t="shared" si="115"/>
        <v>855.98310000000004</v>
      </c>
      <c r="P1027" s="10">
        <f t="shared" si="116"/>
        <v>1205.6100000000001</v>
      </c>
      <c r="Q1027" s="3">
        <f t="shared" si="117"/>
        <v>0.29000000000000004</v>
      </c>
      <c r="R1027" s="4" t="str">
        <f>IF(Sales_Fact!$O1027&gt;1000,"High","Low")</f>
        <v>Low</v>
      </c>
      <c r="S1027" s="4" t="str">
        <f>VLOOKUP(C1027,Customer_Dim!$A:$N,9,FALSE())</f>
        <v>Brittany Watson</v>
      </c>
      <c r="T1027" s="4" t="str">
        <f>VLOOKUP(D1027,Product_Dim!$A:$M,3,FALSE())</f>
        <v>Electronics</v>
      </c>
      <c r="U1027" s="11" t="str">
        <f>VLOOKUP(D1027,Product_Dim!$A:$M,2,FALSE())</f>
        <v>WiFi Mesh Router</v>
      </c>
      <c r="V1027" s="11" t="str">
        <f>VLOOKUP(E1027,Store_Dim!$A:$E,3,FALSE())</f>
        <v>East</v>
      </c>
      <c r="W1027" s="11" t="str">
        <f>VLOOKUP(C1027,Customer_Dim!$A:$N,13,FALSE())</f>
        <v>Platinum</v>
      </c>
      <c r="X1027" s="11" t="str">
        <f t="shared" si="118"/>
        <v>Low</v>
      </c>
    </row>
    <row r="1028" spans="1:24" ht="15.75" customHeight="1">
      <c r="A1028" s="4" t="s">
        <v>3024</v>
      </c>
      <c r="B1028" s="9">
        <v>45624</v>
      </c>
      <c r="C1028" s="4" t="s">
        <v>1553</v>
      </c>
      <c r="D1028" s="4" t="s">
        <v>1843</v>
      </c>
      <c r="E1028" s="4" t="s">
        <v>1952</v>
      </c>
      <c r="F1028" s="4">
        <v>4</v>
      </c>
      <c r="G1028" s="4">
        <v>619.35</v>
      </c>
      <c r="H1028" s="4">
        <v>0.3</v>
      </c>
      <c r="I1028" s="4" t="s">
        <v>1996</v>
      </c>
      <c r="J1028" s="10">
        <v>1734.18</v>
      </c>
      <c r="K1028" s="4" t="str">
        <f t="shared" si="112"/>
        <v>28-11-2024</v>
      </c>
      <c r="L1028" s="4" t="str">
        <f>TEXT(Sales_Fact!$B1028,"mmm")</f>
        <v>Nov</v>
      </c>
      <c r="M1028" s="4">
        <f t="shared" si="113"/>
        <v>4</v>
      </c>
      <c r="N1028" s="10">
        <f t="shared" si="114"/>
        <v>619.35</v>
      </c>
      <c r="O1028" s="10">
        <f t="shared" si="115"/>
        <v>1734.18</v>
      </c>
      <c r="P1028" s="10">
        <f t="shared" si="116"/>
        <v>2477.4</v>
      </c>
      <c r="Q1028" s="3">
        <f t="shared" si="117"/>
        <v>0.3</v>
      </c>
      <c r="R1028" s="4" t="str">
        <f>IF(Sales_Fact!$O1028&gt;1000,"High","Low")</f>
        <v>High</v>
      </c>
      <c r="S1028" s="4" t="str">
        <f>VLOOKUP(C1028,Customer_Dim!$A:$N,9,FALSE())</f>
        <v>Christopher Ford</v>
      </c>
      <c r="T1028" s="4" t="str">
        <f>VLOOKUP(D1028,Product_Dim!$A:$M,3,FALSE())</f>
        <v>Home</v>
      </c>
      <c r="U1028" s="11" t="str">
        <f>VLOOKUP(D1028,Product_Dim!$A:$M,2,FALSE())</f>
        <v>Decorative Lamp Shade</v>
      </c>
      <c r="V1028" s="11" t="str">
        <f>VLOOKUP(E1028,Store_Dim!$A:$E,3,FALSE())</f>
        <v>North</v>
      </c>
      <c r="W1028" s="11" t="str">
        <f>VLOOKUP(C1028,Customer_Dim!$A:$N,13,FALSE())</f>
        <v>Bronze</v>
      </c>
      <c r="X1028" s="11" t="str">
        <f t="shared" si="118"/>
        <v>High</v>
      </c>
    </row>
    <row r="1029" spans="1:24" ht="15.75" customHeight="1">
      <c r="A1029" s="4" t="s">
        <v>3025</v>
      </c>
      <c r="B1029" s="9">
        <v>45276</v>
      </c>
      <c r="C1029" s="4" t="s">
        <v>819</v>
      </c>
      <c r="D1029" s="4" t="s">
        <v>1741</v>
      </c>
      <c r="E1029" s="4" t="s">
        <v>1965</v>
      </c>
      <c r="F1029" s="4">
        <v>4</v>
      </c>
      <c r="G1029" s="4">
        <v>569.36</v>
      </c>
      <c r="H1029" s="4">
        <v>0.27</v>
      </c>
      <c r="I1029" s="4" t="s">
        <v>1998</v>
      </c>
      <c r="J1029" s="10">
        <v>1662.5311999999999</v>
      </c>
      <c r="K1029" s="4" t="str">
        <f t="shared" si="112"/>
        <v>16-12-2023</v>
      </c>
      <c r="L1029" s="4" t="str">
        <f>TEXT(Sales_Fact!$B1029,"mmm")</f>
        <v>Dec</v>
      </c>
      <c r="M1029" s="4">
        <f t="shared" si="113"/>
        <v>4</v>
      </c>
      <c r="N1029" s="10">
        <f t="shared" si="114"/>
        <v>569.36</v>
      </c>
      <c r="O1029" s="10">
        <f t="shared" si="115"/>
        <v>1662.5311999999999</v>
      </c>
      <c r="P1029" s="10">
        <f t="shared" si="116"/>
        <v>2277.44</v>
      </c>
      <c r="Q1029" s="3">
        <f t="shared" si="117"/>
        <v>0.27000000000000007</v>
      </c>
      <c r="R1029" s="4" t="str">
        <f>IF(Sales_Fact!$O1029&gt;1000,"High","Low")</f>
        <v>High</v>
      </c>
      <c r="S1029" s="4" t="str">
        <f>VLOOKUP(C1029,Customer_Dim!$A:$N,9,FALSE())</f>
        <v>Douglas Rhodes</v>
      </c>
      <c r="T1029" s="4" t="str">
        <f>VLOOKUP(D1029,Product_Dim!$A:$M,3,FALSE())</f>
        <v>Clothing</v>
      </c>
      <c r="U1029" s="11" t="str">
        <f>VLOOKUP(D1029,Product_Dim!$A:$M,2,FALSE())</f>
        <v>Men's Winter Jacket</v>
      </c>
      <c r="V1029" s="11" t="str">
        <f>VLOOKUP(E1029,Store_Dim!$A:$E,3,FALSE())</f>
        <v>North</v>
      </c>
      <c r="W1029" s="11" t="str">
        <f>VLOOKUP(C1029,Customer_Dim!$A:$N,13,FALSE())</f>
        <v>Platinum</v>
      </c>
      <c r="X1029" s="11" t="str">
        <f t="shared" si="118"/>
        <v>High</v>
      </c>
    </row>
    <row r="1030" spans="1:24" ht="15.75" customHeight="1">
      <c r="A1030" s="4" t="s">
        <v>3026</v>
      </c>
      <c r="B1030" s="9">
        <v>45344</v>
      </c>
      <c r="C1030" s="4" t="s">
        <v>1495</v>
      </c>
      <c r="D1030" s="4" t="s">
        <v>1681</v>
      </c>
      <c r="E1030" s="4" t="s">
        <v>1927</v>
      </c>
      <c r="F1030" s="4">
        <v>2</v>
      </c>
      <c r="G1030" s="4">
        <v>846.35</v>
      </c>
      <c r="H1030" s="4">
        <v>0.3</v>
      </c>
      <c r="I1030" s="4" t="s">
        <v>2004</v>
      </c>
      <c r="J1030" s="10">
        <v>1184.8900000000001</v>
      </c>
      <c r="K1030" s="4" t="str">
        <f t="shared" si="112"/>
        <v>22-02-2024</v>
      </c>
      <c r="L1030" s="4" t="str">
        <f>TEXT(Sales_Fact!$B1030,"mmm")</f>
        <v>Feb</v>
      </c>
      <c r="M1030" s="4">
        <f t="shared" si="113"/>
        <v>2</v>
      </c>
      <c r="N1030" s="10">
        <f t="shared" si="114"/>
        <v>846.35</v>
      </c>
      <c r="O1030" s="10">
        <f t="shared" si="115"/>
        <v>1184.8899999999999</v>
      </c>
      <c r="P1030" s="10">
        <f t="shared" si="116"/>
        <v>1692.7</v>
      </c>
      <c r="Q1030" s="3">
        <f t="shared" si="117"/>
        <v>0.3000000000000001</v>
      </c>
      <c r="R1030" s="4" t="str">
        <f>IF(Sales_Fact!$O1030&gt;1000,"High","Low")</f>
        <v>High</v>
      </c>
      <c r="S1030" s="4" t="str">
        <f>VLOOKUP(C1030,Customer_Dim!$A:$N,9,FALSE())</f>
        <v>Elizabeth Foster</v>
      </c>
      <c r="T1030" s="4" t="str">
        <f>VLOOKUP(D1030,Product_Dim!$A:$M,3,FALSE())</f>
        <v>Home</v>
      </c>
      <c r="U1030" s="11" t="str">
        <f>VLOOKUP(D1030,Product_Dim!$A:$M,2,FALSE())</f>
        <v>Decorative Floor Vase</v>
      </c>
      <c r="V1030" s="11" t="str">
        <f>VLOOKUP(E1030,Store_Dim!$A:$E,3,FALSE())</f>
        <v>South</v>
      </c>
      <c r="W1030" s="11" t="str">
        <f>VLOOKUP(C1030,Customer_Dim!$A:$N,13,FALSE())</f>
        <v>Gold</v>
      </c>
      <c r="X1030" s="11" t="str">
        <f t="shared" si="118"/>
        <v>Low</v>
      </c>
    </row>
    <row r="1031" spans="1:24" ht="15.75" customHeight="1">
      <c r="A1031" s="4" t="s">
        <v>3027</v>
      </c>
      <c r="B1031" s="9">
        <v>45849</v>
      </c>
      <c r="C1031" s="4" t="s">
        <v>1375</v>
      </c>
      <c r="D1031" s="4" t="s">
        <v>1690</v>
      </c>
      <c r="E1031" s="4" t="s">
        <v>1919</v>
      </c>
      <c r="F1031" s="4">
        <v>1</v>
      </c>
      <c r="G1031" s="4">
        <v>788.45</v>
      </c>
      <c r="H1031" s="4">
        <v>0.28999999999999998</v>
      </c>
      <c r="I1031" s="4" t="s">
        <v>1998</v>
      </c>
      <c r="J1031" s="10">
        <v>559.79949999999997</v>
      </c>
      <c r="K1031" s="4" t="str">
        <f t="shared" si="112"/>
        <v>11-07-2025</v>
      </c>
      <c r="L1031" s="4" t="str">
        <f>TEXT(Sales_Fact!$B1031,"mmm")</f>
        <v>Jul</v>
      </c>
      <c r="M1031" s="4">
        <f t="shared" si="113"/>
        <v>1</v>
      </c>
      <c r="N1031" s="10">
        <f t="shared" si="114"/>
        <v>788.45</v>
      </c>
      <c r="O1031" s="10">
        <f t="shared" si="115"/>
        <v>559.79949999999997</v>
      </c>
      <c r="P1031" s="10">
        <f t="shared" si="116"/>
        <v>788.45</v>
      </c>
      <c r="Q1031" s="3">
        <f t="shared" si="117"/>
        <v>0.29000000000000009</v>
      </c>
      <c r="R1031" s="4" t="str">
        <f>IF(Sales_Fact!$O1031&gt;1000,"High","Low")</f>
        <v>Low</v>
      </c>
      <c r="S1031" s="4" t="str">
        <f>VLOOKUP(C1031,Customer_Dim!$A:$N,9,FALSE())</f>
        <v>Monique Castro</v>
      </c>
      <c r="T1031" s="4" t="str">
        <f>VLOOKUP(D1031,Product_Dim!$A:$M,3,FALSE())</f>
        <v>Home</v>
      </c>
      <c r="U1031" s="11" t="str">
        <f>VLOOKUP(D1031,Product_Dim!$A:$M,2,FALSE())</f>
        <v>Stainless Steel Cutlery Set</v>
      </c>
      <c r="V1031" s="11" t="str">
        <f>VLOOKUP(E1031,Store_Dim!$A:$E,3,FALSE())</f>
        <v>South</v>
      </c>
      <c r="W1031" s="11" t="str">
        <f>VLOOKUP(C1031,Customer_Dim!$A:$N,13,FALSE())</f>
        <v>Gold</v>
      </c>
      <c r="X1031" s="11" t="str">
        <f t="shared" si="118"/>
        <v>Low</v>
      </c>
    </row>
    <row r="1032" spans="1:24" ht="15.75" customHeight="1">
      <c r="A1032" s="4" t="s">
        <v>3028</v>
      </c>
      <c r="B1032" s="9">
        <v>45880</v>
      </c>
      <c r="C1032" s="4" t="s">
        <v>1156</v>
      </c>
      <c r="D1032" s="4" t="s">
        <v>1706</v>
      </c>
      <c r="E1032" s="4" t="s">
        <v>1952</v>
      </c>
      <c r="F1032" s="4">
        <v>2</v>
      </c>
      <c r="G1032" s="4">
        <v>338.81</v>
      </c>
      <c r="H1032" s="4">
        <v>7.0000000000000007E-2</v>
      </c>
      <c r="I1032" s="4" t="s">
        <v>2004</v>
      </c>
      <c r="J1032" s="10">
        <v>630.1866</v>
      </c>
      <c r="K1032" s="4" t="str">
        <f t="shared" si="112"/>
        <v>11-08-2025</v>
      </c>
      <c r="L1032" s="4" t="str">
        <f>TEXT(Sales_Fact!$B1032,"mmm")</f>
        <v>Aug</v>
      </c>
      <c r="M1032" s="4">
        <f t="shared" si="113"/>
        <v>2</v>
      </c>
      <c r="N1032" s="10">
        <f t="shared" si="114"/>
        <v>338.81</v>
      </c>
      <c r="O1032" s="10">
        <f t="shared" si="115"/>
        <v>630.1866</v>
      </c>
      <c r="P1032" s="10">
        <f t="shared" si="116"/>
        <v>677.62</v>
      </c>
      <c r="Q1032" s="3">
        <f t="shared" si="117"/>
        <v>7.0000000000000007E-2</v>
      </c>
      <c r="R1032" s="4" t="str">
        <f>IF(Sales_Fact!$O1032&gt;1000,"High","Low")</f>
        <v>Low</v>
      </c>
      <c r="S1032" s="4" t="str">
        <f>VLOOKUP(C1032,Customer_Dim!$A:$N,9,FALSE())</f>
        <v>Denise Tate</v>
      </c>
      <c r="T1032" s="4" t="str">
        <f>VLOOKUP(D1032,Product_Dim!$A:$M,3,FALSE())</f>
        <v>Home</v>
      </c>
      <c r="U1032" s="11" t="str">
        <f>VLOOKUP(D1032,Product_Dim!$A:$M,2,FALSE())</f>
        <v>Bedroom Table Lamp</v>
      </c>
      <c r="V1032" s="11" t="str">
        <f>VLOOKUP(E1032,Store_Dim!$A:$E,3,FALSE())</f>
        <v>North</v>
      </c>
      <c r="W1032" s="11" t="str">
        <f>VLOOKUP(C1032,Customer_Dim!$A:$N,13,FALSE())</f>
        <v>Platinum</v>
      </c>
      <c r="X1032" s="11" t="str">
        <f t="shared" si="118"/>
        <v>Low</v>
      </c>
    </row>
    <row r="1033" spans="1:24" ht="15.75" customHeight="1">
      <c r="A1033" s="4" t="s">
        <v>3029</v>
      </c>
      <c r="B1033" s="9">
        <v>45907</v>
      </c>
      <c r="C1033" s="4" t="s">
        <v>131</v>
      </c>
      <c r="D1033" s="4" t="s">
        <v>1636</v>
      </c>
      <c r="E1033" s="4" t="s">
        <v>1931</v>
      </c>
      <c r="F1033" s="4">
        <v>4</v>
      </c>
      <c r="G1033" s="4">
        <v>94.48</v>
      </c>
      <c r="H1033" s="4">
        <v>0.06</v>
      </c>
      <c r="I1033" s="4" t="s">
        <v>2004</v>
      </c>
      <c r="J1033" s="10">
        <v>355.2448</v>
      </c>
      <c r="K1033" s="4" t="str">
        <f t="shared" si="112"/>
        <v>07-09-2025</v>
      </c>
      <c r="L1033" s="4" t="str">
        <f>TEXT(Sales_Fact!$B1033,"mmm")</f>
        <v>Sep</v>
      </c>
      <c r="M1033" s="4">
        <f t="shared" si="113"/>
        <v>4</v>
      </c>
      <c r="N1033" s="10">
        <f t="shared" si="114"/>
        <v>94.48</v>
      </c>
      <c r="O1033" s="10">
        <f t="shared" si="115"/>
        <v>355.2448</v>
      </c>
      <c r="P1033" s="10">
        <f t="shared" si="116"/>
        <v>377.92</v>
      </c>
      <c r="Q1033" s="3">
        <f t="shared" si="117"/>
        <v>6.0000000000000046E-2</v>
      </c>
      <c r="R1033" s="4" t="str">
        <f>IF(Sales_Fact!$O1033&gt;1000,"High","Low")</f>
        <v>Low</v>
      </c>
      <c r="S1033" s="4" t="str">
        <f>VLOOKUP(C1033,Customer_Dim!$A:$N,9,FALSE())</f>
        <v>Amber Carlson</v>
      </c>
      <c r="T1033" s="4" t="str">
        <f>VLOOKUP(D1033,Product_Dim!$A:$M,3,FALSE())</f>
        <v>Home</v>
      </c>
      <c r="U1033" s="11" t="str">
        <f>VLOOKUP(D1033,Product_Dim!$A:$M,2,FALSE())</f>
        <v>Decorative Wall Mirror</v>
      </c>
      <c r="V1033" s="11" t="str">
        <f>VLOOKUP(E1033,Store_Dim!$A:$E,3,FALSE())</f>
        <v>North</v>
      </c>
      <c r="W1033" s="11" t="str">
        <f>VLOOKUP(C1033,Customer_Dim!$A:$N,13,FALSE())</f>
        <v>Gold</v>
      </c>
      <c r="X1033" s="11" t="str">
        <f t="shared" si="118"/>
        <v>High</v>
      </c>
    </row>
    <row r="1034" spans="1:24" ht="15.75" customHeight="1">
      <c r="A1034" s="4" t="s">
        <v>3030</v>
      </c>
      <c r="B1034" s="9">
        <v>45545</v>
      </c>
      <c r="C1034" s="4" t="s">
        <v>1498</v>
      </c>
      <c r="D1034" s="4" t="s">
        <v>1654</v>
      </c>
      <c r="E1034" s="4" t="s">
        <v>1955</v>
      </c>
      <c r="F1034" s="4">
        <v>3</v>
      </c>
      <c r="G1034" s="4">
        <v>941.85</v>
      </c>
      <c r="H1034" s="4">
        <v>0.16</v>
      </c>
      <c r="I1034" s="4" t="s">
        <v>1998</v>
      </c>
      <c r="J1034" s="10">
        <v>2373.462</v>
      </c>
      <c r="K1034" s="4" t="str">
        <f t="shared" si="112"/>
        <v>10-09-2024</v>
      </c>
      <c r="L1034" s="4" t="str">
        <f>TEXT(Sales_Fact!$B1034,"mmm")</f>
        <v>Sep</v>
      </c>
      <c r="M1034" s="4">
        <f t="shared" si="113"/>
        <v>3</v>
      </c>
      <c r="N1034" s="10">
        <f t="shared" si="114"/>
        <v>941.85</v>
      </c>
      <c r="O1034" s="10">
        <f t="shared" si="115"/>
        <v>2373.462</v>
      </c>
      <c r="P1034" s="10">
        <f t="shared" si="116"/>
        <v>2825.55</v>
      </c>
      <c r="Q1034" s="3">
        <f t="shared" si="117"/>
        <v>0.16000000000000006</v>
      </c>
      <c r="R1034" s="4" t="str">
        <f>IF(Sales_Fact!$O1034&gt;1000,"High","Low")</f>
        <v>High</v>
      </c>
      <c r="S1034" s="4" t="str">
        <f>VLOOKUP(C1034,Customer_Dim!$A:$N,9,FALSE())</f>
        <v>Andrea Harris</v>
      </c>
      <c r="T1034" s="4" t="str">
        <f>VLOOKUP(D1034,Product_Dim!$A:$M,3,FALSE())</f>
        <v>Sports</v>
      </c>
      <c r="U1034" s="11" t="str">
        <f>VLOOKUP(D1034,Product_Dim!$A:$M,2,FALSE())</f>
        <v>Knee Support Brace</v>
      </c>
      <c r="V1034" s="11" t="str">
        <f>VLOOKUP(E1034,Store_Dim!$A:$E,3,FALSE())</f>
        <v>East</v>
      </c>
      <c r="W1034" s="11" t="str">
        <f>VLOOKUP(C1034,Customer_Dim!$A:$N,13,FALSE())</f>
        <v>Platinum</v>
      </c>
      <c r="X1034" s="11" t="str">
        <f t="shared" si="118"/>
        <v>Low</v>
      </c>
    </row>
    <row r="1035" spans="1:24" ht="15.75" customHeight="1">
      <c r="A1035" s="4" t="s">
        <v>3031</v>
      </c>
      <c r="B1035" s="9">
        <v>45257</v>
      </c>
      <c r="C1035" s="4" t="s">
        <v>562</v>
      </c>
      <c r="D1035" s="4" t="s">
        <v>1738</v>
      </c>
      <c r="E1035" s="4" t="s">
        <v>1931</v>
      </c>
      <c r="F1035" s="4">
        <v>2</v>
      </c>
      <c r="G1035" s="4">
        <v>336.97</v>
      </c>
      <c r="H1035" s="4">
        <v>0.14000000000000001</v>
      </c>
      <c r="I1035" s="4" t="s">
        <v>1998</v>
      </c>
      <c r="J1035" s="10">
        <v>579.58839999999998</v>
      </c>
      <c r="K1035" s="4" t="str">
        <f t="shared" si="112"/>
        <v>27-11-2023</v>
      </c>
      <c r="L1035" s="4" t="str">
        <f>TEXT(Sales_Fact!$B1035,"mmm")</f>
        <v>Nov</v>
      </c>
      <c r="M1035" s="4">
        <f t="shared" si="113"/>
        <v>2</v>
      </c>
      <c r="N1035" s="10">
        <f t="shared" si="114"/>
        <v>336.97</v>
      </c>
      <c r="O1035" s="10">
        <f t="shared" si="115"/>
        <v>579.58840000000009</v>
      </c>
      <c r="P1035" s="10">
        <f t="shared" si="116"/>
        <v>673.94</v>
      </c>
      <c r="Q1035" s="3">
        <f t="shared" si="117"/>
        <v>0.13999999999999993</v>
      </c>
      <c r="R1035" s="4" t="str">
        <f>IF(Sales_Fact!$O1035&gt;1000,"High","Low")</f>
        <v>Low</v>
      </c>
      <c r="S1035" s="4" t="str">
        <f>VLOOKUP(C1035,Customer_Dim!$A:$N,9,FALSE())</f>
        <v>Cynthia Morris</v>
      </c>
      <c r="T1035" s="4" t="str">
        <f>VLOOKUP(D1035,Product_Dim!$A:$M,3,FALSE())</f>
        <v>Sports</v>
      </c>
      <c r="U1035" s="11" t="str">
        <f>VLOOKUP(D1035,Product_Dim!$A:$M,2,FALSE())</f>
        <v>High-Grip Football</v>
      </c>
      <c r="V1035" s="11" t="str">
        <f>VLOOKUP(E1035,Store_Dim!$A:$E,3,FALSE())</f>
        <v>North</v>
      </c>
      <c r="W1035" s="11" t="str">
        <f>VLOOKUP(C1035,Customer_Dim!$A:$N,13,FALSE())</f>
        <v>Silver</v>
      </c>
      <c r="X1035" s="11" t="str">
        <f t="shared" si="118"/>
        <v>Low</v>
      </c>
    </row>
    <row r="1036" spans="1:24" ht="15.75" customHeight="1">
      <c r="A1036" s="4" t="s">
        <v>3032</v>
      </c>
      <c r="B1036" s="9">
        <v>45466</v>
      </c>
      <c r="C1036" s="4" t="s">
        <v>1006</v>
      </c>
      <c r="D1036" s="4" t="s">
        <v>1599</v>
      </c>
      <c r="E1036" s="4" t="s">
        <v>1931</v>
      </c>
      <c r="F1036" s="4">
        <v>2</v>
      </c>
      <c r="G1036" s="4">
        <v>344.16</v>
      </c>
      <c r="H1036" s="4">
        <v>0.09</v>
      </c>
      <c r="I1036" s="4" t="s">
        <v>1998</v>
      </c>
      <c r="J1036" s="10">
        <v>626.37120000000004</v>
      </c>
      <c r="K1036" s="4" t="str">
        <f t="shared" si="112"/>
        <v>23-06-2024</v>
      </c>
      <c r="L1036" s="4" t="str">
        <f>TEXT(Sales_Fact!$B1036,"mmm")</f>
        <v>Jun</v>
      </c>
      <c r="M1036" s="4">
        <f t="shared" si="113"/>
        <v>2</v>
      </c>
      <c r="N1036" s="10">
        <f t="shared" si="114"/>
        <v>344.16</v>
      </c>
      <c r="O1036" s="10">
        <f t="shared" si="115"/>
        <v>626.37120000000004</v>
      </c>
      <c r="P1036" s="10">
        <f t="shared" si="116"/>
        <v>688.32</v>
      </c>
      <c r="Q1036" s="3">
        <f t="shared" si="117"/>
        <v>0.09</v>
      </c>
      <c r="R1036" s="4" t="str">
        <f>IF(Sales_Fact!$O1036&gt;1000,"High","Low")</f>
        <v>Low</v>
      </c>
      <c r="S1036" s="4" t="str">
        <f>VLOOKUP(C1036,Customer_Dim!$A:$N,9,FALSE())</f>
        <v>Kara Dodson</v>
      </c>
      <c r="T1036" s="4" t="str">
        <f>VLOOKUP(D1036,Product_Dim!$A:$M,3,FALSE())</f>
        <v>Clothing</v>
      </c>
      <c r="U1036" s="11" t="str">
        <f>VLOOKUP(D1036,Product_Dim!$A:$M,2,FALSE())</f>
        <v>Men's Leather Belt</v>
      </c>
      <c r="V1036" s="11" t="str">
        <f>VLOOKUP(E1036,Store_Dim!$A:$E,3,FALSE())</f>
        <v>North</v>
      </c>
      <c r="W1036" s="11" t="str">
        <f>VLOOKUP(C1036,Customer_Dim!$A:$N,13,FALSE())</f>
        <v>Silver</v>
      </c>
      <c r="X1036" s="11" t="str">
        <f t="shared" si="118"/>
        <v>Low</v>
      </c>
    </row>
    <row r="1037" spans="1:24" ht="15.75" customHeight="1">
      <c r="A1037" s="4" t="s">
        <v>3033</v>
      </c>
      <c r="B1037" s="9">
        <v>45763</v>
      </c>
      <c r="C1037" s="4" t="s">
        <v>565</v>
      </c>
      <c r="D1037" s="4" t="s">
        <v>1608</v>
      </c>
      <c r="E1037" s="4" t="s">
        <v>1927</v>
      </c>
      <c r="F1037" s="4">
        <v>1</v>
      </c>
      <c r="G1037" s="4">
        <v>271.76</v>
      </c>
      <c r="H1037" s="4">
        <v>0.03</v>
      </c>
      <c r="I1037" s="4" t="s">
        <v>1996</v>
      </c>
      <c r="J1037" s="10">
        <v>263.60719999999998</v>
      </c>
      <c r="K1037" s="4" t="str">
        <f t="shared" si="112"/>
        <v>16-04-2025</v>
      </c>
      <c r="L1037" s="4" t="str">
        <f>TEXT(Sales_Fact!$B1037,"mmm")</f>
        <v>Apr</v>
      </c>
      <c r="M1037" s="4">
        <f t="shared" si="113"/>
        <v>1</v>
      </c>
      <c r="N1037" s="10">
        <f t="shared" si="114"/>
        <v>271.76</v>
      </c>
      <c r="O1037" s="10">
        <f t="shared" si="115"/>
        <v>263.60719999999998</v>
      </c>
      <c r="P1037" s="10">
        <f t="shared" si="116"/>
        <v>271.76</v>
      </c>
      <c r="Q1037" s="3">
        <f t="shared" si="117"/>
        <v>3.0000000000000051E-2</v>
      </c>
      <c r="R1037" s="4" t="str">
        <f>IF(Sales_Fact!$O1037&gt;1000,"High","Low")</f>
        <v>Low</v>
      </c>
      <c r="S1037" s="4" t="str">
        <f>VLOOKUP(C1037,Customer_Dim!$A:$N,9,FALSE())</f>
        <v>Mariah Brown</v>
      </c>
      <c r="T1037" s="4" t="str">
        <f>VLOOKUP(D1037,Product_Dim!$A:$M,3,FALSE())</f>
        <v>Home</v>
      </c>
      <c r="U1037" s="11" t="str">
        <f>VLOOKUP(D1037,Product_Dim!$A:$M,2,FALSE())</f>
        <v>LED Table Lamp</v>
      </c>
      <c r="V1037" s="11" t="str">
        <f>VLOOKUP(E1037,Store_Dim!$A:$E,3,FALSE())</f>
        <v>South</v>
      </c>
      <c r="W1037" s="11" t="str">
        <f>VLOOKUP(C1037,Customer_Dim!$A:$N,13,FALSE())</f>
        <v>Silver</v>
      </c>
      <c r="X1037" s="11" t="str">
        <f t="shared" si="118"/>
        <v>Low</v>
      </c>
    </row>
    <row r="1038" spans="1:24" ht="15.75" customHeight="1">
      <c r="A1038" s="4" t="s">
        <v>3034</v>
      </c>
      <c r="B1038" s="9">
        <v>45847</v>
      </c>
      <c r="C1038" s="4" t="s">
        <v>976</v>
      </c>
      <c r="D1038" s="4" t="s">
        <v>1748</v>
      </c>
      <c r="E1038" s="4" t="s">
        <v>1944</v>
      </c>
      <c r="F1038" s="4">
        <v>1</v>
      </c>
      <c r="G1038" s="4">
        <v>841.53</v>
      </c>
      <c r="H1038" s="4">
        <v>0.15</v>
      </c>
      <c r="I1038" s="4" t="s">
        <v>1996</v>
      </c>
      <c r="J1038" s="10">
        <v>715.30050000000006</v>
      </c>
      <c r="K1038" s="4" t="str">
        <f t="shared" si="112"/>
        <v>09-07-2025</v>
      </c>
      <c r="L1038" s="4" t="str">
        <f>TEXT(Sales_Fact!$B1038,"mmm")</f>
        <v>Jul</v>
      </c>
      <c r="M1038" s="4">
        <f t="shared" si="113"/>
        <v>1</v>
      </c>
      <c r="N1038" s="10">
        <f t="shared" si="114"/>
        <v>841.53</v>
      </c>
      <c r="O1038" s="10">
        <f t="shared" si="115"/>
        <v>715.30049999999994</v>
      </c>
      <c r="P1038" s="10">
        <f t="shared" si="116"/>
        <v>841.53</v>
      </c>
      <c r="Q1038" s="3">
        <f t="shared" si="117"/>
        <v>0.15000000000000005</v>
      </c>
      <c r="R1038" s="4" t="str">
        <f>IF(Sales_Fact!$O1038&gt;1000,"High","Low")</f>
        <v>Low</v>
      </c>
      <c r="S1038" s="4" t="str">
        <f>VLOOKUP(C1038,Customer_Dim!$A:$N,9,FALSE())</f>
        <v>Matthew Avery</v>
      </c>
      <c r="T1038" s="4" t="str">
        <f>VLOOKUP(D1038,Product_Dim!$A:$M,3,FALSE())</f>
        <v>Electronics</v>
      </c>
      <c r="U1038" s="11" t="str">
        <f>VLOOKUP(D1038,Product_Dim!$A:$M,2,FALSE())</f>
        <v>Car Dashboard Phone Holder</v>
      </c>
      <c r="V1038" s="11" t="str">
        <f>VLOOKUP(E1038,Store_Dim!$A:$E,3,FALSE())</f>
        <v>South</v>
      </c>
      <c r="W1038" s="11" t="str">
        <f>VLOOKUP(C1038,Customer_Dim!$A:$N,13,FALSE())</f>
        <v>Silver</v>
      </c>
      <c r="X1038" s="11" t="str">
        <f t="shared" si="118"/>
        <v>Low</v>
      </c>
    </row>
    <row r="1039" spans="1:24" ht="15.75" customHeight="1">
      <c r="A1039" s="4" t="s">
        <v>3035</v>
      </c>
      <c r="B1039" s="9">
        <v>45825</v>
      </c>
      <c r="C1039" s="4" t="s">
        <v>1345</v>
      </c>
      <c r="D1039" s="4" t="s">
        <v>1855</v>
      </c>
      <c r="E1039" s="4" t="s">
        <v>1965</v>
      </c>
      <c r="F1039" s="4">
        <v>3</v>
      </c>
      <c r="G1039" s="4">
        <v>63.36</v>
      </c>
      <c r="H1039" s="4">
        <v>0.28999999999999998</v>
      </c>
      <c r="I1039" s="4" t="s">
        <v>2004</v>
      </c>
      <c r="J1039" s="10">
        <v>134.95679999999999</v>
      </c>
      <c r="K1039" s="4" t="str">
        <f t="shared" si="112"/>
        <v>17-06-2025</v>
      </c>
      <c r="L1039" s="4" t="str">
        <f>TEXT(Sales_Fact!$B1039,"mmm")</f>
        <v>Jun</v>
      </c>
      <c r="M1039" s="4">
        <f t="shared" si="113"/>
        <v>3</v>
      </c>
      <c r="N1039" s="10">
        <f t="shared" si="114"/>
        <v>63.36</v>
      </c>
      <c r="O1039" s="10">
        <f t="shared" si="115"/>
        <v>134.95679999999999</v>
      </c>
      <c r="P1039" s="10">
        <f t="shared" si="116"/>
        <v>190.07999999999998</v>
      </c>
      <c r="Q1039" s="3">
        <f t="shared" si="117"/>
        <v>0.29000000000000004</v>
      </c>
      <c r="R1039" s="4" t="str">
        <f>IF(Sales_Fact!$O1039&gt;1000,"High","Low")</f>
        <v>Low</v>
      </c>
      <c r="S1039" s="4" t="str">
        <f>VLOOKUP(C1039,Customer_Dim!$A:$N,9,FALSE())</f>
        <v>Edwin Barnes</v>
      </c>
      <c r="T1039" s="4" t="str">
        <f>VLOOKUP(D1039,Product_Dim!$A:$M,3,FALSE())</f>
        <v>Beauty</v>
      </c>
      <c r="U1039" s="11" t="str">
        <f>VLOOKUP(D1039,Product_Dim!$A:$M,2,FALSE())</f>
        <v>Hydrating Face Cleanser</v>
      </c>
      <c r="V1039" s="11" t="str">
        <f>VLOOKUP(E1039,Store_Dim!$A:$E,3,FALSE())</f>
        <v>North</v>
      </c>
      <c r="W1039" s="11" t="str">
        <f>VLOOKUP(C1039,Customer_Dim!$A:$N,13,FALSE())</f>
        <v>Bronze</v>
      </c>
      <c r="X1039" s="11" t="str">
        <f t="shared" si="118"/>
        <v>Low</v>
      </c>
    </row>
    <row r="1040" spans="1:24" ht="15.75" customHeight="1">
      <c r="A1040" s="4" t="s">
        <v>3036</v>
      </c>
      <c r="B1040" s="9">
        <v>45839</v>
      </c>
      <c r="C1040" s="4" t="s">
        <v>1553</v>
      </c>
      <c r="D1040" s="4" t="s">
        <v>1840</v>
      </c>
      <c r="E1040" s="4" t="s">
        <v>1940</v>
      </c>
      <c r="F1040" s="4">
        <v>2</v>
      </c>
      <c r="G1040" s="4">
        <v>552.49</v>
      </c>
      <c r="H1040" s="4">
        <v>0.1</v>
      </c>
      <c r="I1040" s="4" t="s">
        <v>1996</v>
      </c>
      <c r="J1040" s="10">
        <v>994.48199999999997</v>
      </c>
      <c r="K1040" s="4" t="str">
        <f t="shared" si="112"/>
        <v>01-07-2025</v>
      </c>
      <c r="L1040" s="4" t="str">
        <f>TEXT(Sales_Fact!$B1040,"mmm")</f>
        <v>Jul</v>
      </c>
      <c r="M1040" s="4">
        <f t="shared" si="113"/>
        <v>2</v>
      </c>
      <c r="N1040" s="10">
        <f t="shared" si="114"/>
        <v>552.49</v>
      </c>
      <c r="O1040" s="10">
        <f t="shared" si="115"/>
        <v>994.48200000000008</v>
      </c>
      <c r="P1040" s="10">
        <f t="shared" si="116"/>
        <v>1104.98</v>
      </c>
      <c r="Q1040" s="3">
        <f t="shared" si="117"/>
        <v>9.9999999999999936E-2</v>
      </c>
      <c r="R1040" s="4" t="str">
        <f>IF(Sales_Fact!$O1040&gt;1000,"High","Low")</f>
        <v>Low</v>
      </c>
      <c r="S1040" s="4" t="str">
        <f>VLOOKUP(C1040,Customer_Dim!$A:$N,9,FALSE())</f>
        <v>Christopher Ford</v>
      </c>
      <c r="T1040" s="4" t="str">
        <f>VLOOKUP(D1040,Product_Dim!$A:$M,3,FALSE())</f>
        <v>Home</v>
      </c>
      <c r="U1040" s="11" t="str">
        <f>VLOOKUP(D1040,Product_Dim!$A:$M,2,FALSE())</f>
        <v>Essential Oil Diffuser</v>
      </c>
      <c r="V1040" s="11" t="str">
        <f>VLOOKUP(E1040,Store_Dim!$A:$E,3,FALSE())</f>
        <v>West</v>
      </c>
      <c r="W1040" s="11" t="str">
        <f>VLOOKUP(C1040,Customer_Dim!$A:$N,13,FALSE())</f>
        <v>Bronze</v>
      </c>
      <c r="X1040" s="11" t="str">
        <f t="shared" si="118"/>
        <v>Low</v>
      </c>
    </row>
    <row r="1041" spans="1:24" ht="15.75" customHeight="1">
      <c r="A1041" s="4" t="s">
        <v>3037</v>
      </c>
      <c r="B1041" s="9">
        <v>45720</v>
      </c>
      <c r="C1041" s="4" t="s">
        <v>786</v>
      </c>
      <c r="D1041" s="4" t="s">
        <v>1671</v>
      </c>
      <c r="E1041" s="4" t="s">
        <v>1934</v>
      </c>
      <c r="F1041" s="4">
        <v>3</v>
      </c>
      <c r="G1041" s="4">
        <v>447.38</v>
      </c>
      <c r="H1041" s="4">
        <v>0.03</v>
      </c>
      <c r="I1041" s="4" t="s">
        <v>1996</v>
      </c>
      <c r="J1041" s="10">
        <v>1301.8758</v>
      </c>
      <c r="K1041" s="4" t="str">
        <f t="shared" si="112"/>
        <v>04-03-2025</v>
      </c>
      <c r="L1041" s="4" t="str">
        <f>TEXT(Sales_Fact!$B1041,"mmm")</f>
        <v>Mar</v>
      </c>
      <c r="M1041" s="4">
        <f t="shared" si="113"/>
        <v>3</v>
      </c>
      <c r="N1041" s="10">
        <f t="shared" si="114"/>
        <v>447.38</v>
      </c>
      <c r="O1041" s="10">
        <f t="shared" si="115"/>
        <v>1301.8757999999998</v>
      </c>
      <c r="P1041" s="10">
        <f t="shared" si="116"/>
        <v>1342.1399999999999</v>
      </c>
      <c r="Q1041" s="3">
        <f t="shared" si="117"/>
        <v>3.0000000000000058E-2</v>
      </c>
      <c r="R1041" s="4" t="str">
        <f>IF(Sales_Fact!$O1041&gt;1000,"High","Low")</f>
        <v>High</v>
      </c>
      <c r="S1041" s="4" t="str">
        <f>VLOOKUP(C1041,Customer_Dim!$A:$N,9,FALSE())</f>
        <v>Joshua Wilson</v>
      </c>
      <c r="T1041" s="4" t="str">
        <f>VLOOKUP(D1041,Product_Dim!$A:$M,3,FALSE())</f>
        <v>Sports</v>
      </c>
      <c r="U1041" s="11" t="str">
        <f>VLOOKUP(D1041,Product_Dim!$A:$M,2,FALSE())</f>
        <v>Foldable Camping Chair</v>
      </c>
      <c r="V1041" s="11" t="str">
        <f>VLOOKUP(E1041,Store_Dim!$A:$E,3,FALSE())</f>
        <v>East</v>
      </c>
      <c r="W1041" s="11" t="str">
        <f>VLOOKUP(C1041,Customer_Dim!$A:$N,13,FALSE())</f>
        <v>Bronze</v>
      </c>
      <c r="X1041" s="11" t="str">
        <f t="shared" si="118"/>
        <v>Low</v>
      </c>
    </row>
    <row r="1042" spans="1:24" ht="15.75" customHeight="1">
      <c r="A1042" s="4" t="s">
        <v>3038</v>
      </c>
      <c r="B1042" s="9">
        <v>45250</v>
      </c>
      <c r="C1042" s="4" t="s">
        <v>1421</v>
      </c>
      <c r="D1042" s="4" t="s">
        <v>1825</v>
      </c>
      <c r="E1042" s="4" t="s">
        <v>1971</v>
      </c>
      <c r="F1042" s="4">
        <v>1</v>
      </c>
      <c r="G1042" s="4">
        <v>727.7</v>
      </c>
      <c r="H1042" s="4">
        <v>0.21</v>
      </c>
      <c r="I1042" s="4" t="s">
        <v>2004</v>
      </c>
      <c r="J1042" s="10">
        <v>574.88300000000004</v>
      </c>
      <c r="K1042" s="4" t="str">
        <f t="shared" si="112"/>
        <v>20-11-2023</v>
      </c>
      <c r="L1042" s="4" t="str">
        <f>TEXT(Sales_Fact!$B1042,"mmm")</f>
        <v>Nov</v>
      </c>
      <c r="M1042" s="4">
        <f t="shared" si="113"/>
        <v>1</v>
      </c>
      <c r="N1042" s="10">
        <f t="shared" si="114"/>
        <v>727.7</v>
      </c>
      <c r="O1042" s="10">
        <f t="shared" si="115"/>
        <v>574.88300000000004</v>
      </c>
      <c r="P1042" s="10">
        <f t="shared" si="116"/>
        <v>727.7</v>
      </c>
      <c r="Q1042" s="3">
        <f t="shared" si="117"/>
        <v>0.21</v>
      </c>
      <c r="R1042" s="4" t="str">
        <f>IF(Sales_Fact!$O1042&gt;1000,"High","Low")</f>
        <v>Low</v>
      </c>
      <c r="S1042" s="4" t="str">
        <f>VLOOKUP(C1042,Customer_Dim!$A:$N,9,FALSE())</f>
        <v>Shane Mills</v>
      </c>
      <c r="T1042" s="4" t="str">
        <f>VLOOKUP(D1042,Product_Dim!$A:$M,3,FALSE())</f>
        <v>Sports</v>
      </c>
      <c r="U1042" s="11" t="str">
        <f>VLOOKUP(D1042,Product_Dim!$A:$M,2,FALSE())</f>
        <v>Shin Guards – Adult</v>
      </c>
      <c r="V1042" s="11" t="str">
        <f>VLOOKUP(E1042,Store_Dim!$A:$E,3,FALSE())</f>
        <v>East</v>
      </c>
      <c r="W1042" s="11" t="str">
        <f>VLOOKUP(C1042,Customer_Dim!$A:$N,13,FALSE())</f>
        <v>Bronze</v>
      </c>
      <c r="X1042" s="11" t="str">
        <f t="shared" si="118"/>
        <v>Low</v>
      </c>
    </row>
    <row r="1043" spans="1:24" ht="15.75" customHeight="1">
      <c r="A1043" s="4" t="s">
        <v>3039</v>
      </c>
      <c r="B1043" s="9">
        <v>45258</v>
      </c>
      <c r="C1043" s="4" t="s">
        <v>1381</v>
      </c>
      <c r="D1043" s="4" t="s">
        <v>1758</v>
      </c>
      <c r="E1043" s="4" t="s">
        <v>1937</v>
      </c>
      <c r="F1043" s="4">
        <v>4</v>
      </c>
      <c r="G1043" s="4">
        <v>581.34</v>
      </c>
      <c r="H1043" s="4">
        <v>0.08</v>
      </c>
      <c r="I1043" s="4" t="s">
        <v>1996</v>
      </c>
      <c r="J1043" s="10">
        <v>2139.3312000000001</v>
      </c>
      <c r="K1043" s="4" t="str">
        <f t="shared" si="112"/>
        <v>28-11-2023</v>
      </c>
      <c r="L1043" s="4" t="str">
        <f>TEXT(Sales_Fact!$B1043,"mmm")</f>
        <v>Nov</v>
      </c>
      <c r="M1043" s="4">
        <f t="shared" si="113"/>
        <v>4</v>
      </c>
      <c r="N1043" s="10">
        <f t="shared" si="114"/>
        <v>581.34</v>
      </c>
      <c r="O1043" s="10">
        <f t="shared" si="115"/>
        <v>2139.3312000000001</v>
      </c>
      <c r="P1043" s="10">
        <f t="shared" si="116"/>
        <v>2325.36</v>
      </c>
      <c r="Q1043" s="3">
        <f t="shared" si="117"/>
        <v>8.0000000000000016E-2</v>
      </c>
      <c r="R1043" s="4" t="str">
        <f>IF(Sales_Fact!$O1043&gt;1000,"High","Low")</f>
        <v>High</v>
      </c>
      <c r="S1043" s="4" t="str">
        <f>VLOOKUP(C1043,Customer_Dim!$A:$N,9,FALSE())</f>
        <v>Sharon Simpson</v>
      </c>
      <c r="T1043" s="4" t="str">
        <f>VLOOKUP(D1043,Product_Dim!$A:$M,3,FALSE())</f>
        <v>Electronics</v>
      </c>
      <c r="U1043" s="11" t="str">
        <f>VLOOKUP(D1043,Product_Dim!$A:$M,2,FALSE())</f>
        <v>HDMI Cable – 2m</v>
      </c>
      <c r="V1043" s="11" t="str">
        <f>VLOOKUP(E1043,Store_Dim!$A:$E,3,FALSE())</f>
        <v>South</v>
      </c>
      <c r="W1043" s="11" t="str">
        <f>VLOOKUP(C1043,Customer_Dim!$A:$N,13,FALSE())</f>
        <v>Gold</v>
      </c>
      <c r="X1043" s="11" t="str">
        <f t="shared" si="118"/>
        <v>High</v>
      </c>
    </row>
    <row r="1044" spans="1:24" ht="15.75" customHeight="1">
      <c r="A1044" s="4" t="s">
        <v>3040</v>
      </c>
      <c r="B1044" s="9">
        <v>45793</v>
      </c>
      <c r="C1044" s="4" t="s">
        <v>365</v>
      </c>
      <c r="D1044" s="4" t="s">
        <v>1803</v>
      </c>
      <c r="E1044" s="4" t="s">
        <v>1915</v>
      </c>
      <c r="F1044" s="4">
        <v>1</v>
      </c>
      <c r="G1044" s="4">
        <v>338.83</v>
      </c>
      <c r="H1044" s="4">
        <v>0.19</v>
      </c>
      <c r="I1044" s="4" t="s">
        <v>1998</v>
      </c>
      <c r="J1044" s="10">
        <v>274.45229999999998</v>
      </c>
      <c r="K1044" s="4" t="str">
        <f t="shared" si="112"/>
        <v>16-05-2025</v>
      </c>
      <c r="L1044" s="4" t="str">
        <f>TEXT(Sales_Fact!$B1044,"mmm")</f>
        <v>May</v>
      </c>
      <c r="M1044" s="4">
        <f t="shared" si="113"/>
        <v>1</v>
      </c>
      <c r="N1044" s="10">
        <f t="shared" si="114"/>
        <v>338.83</v>
      </c>
      <c r="O1044" s="10">
        <f t="shared" si="115"/>
        <v>274.45229999999998</v>
      </c>
      <c r="P1044" s="10">
        <f t="shared" si="116"/>
        <v>338.83</v>
      </c>
      <c r="Q1044" s="3">
        <f t="shared" si="117"/>
        <v>0.19000000000000003</v>
      </c>
      <c r="R1044" s="4" t="str">
        <f>IF(Sales_Fact!$O1044&gt;1000,"High","Low")</f>
        <v>Low</v>
      </c>
      <c r="S1044" s="4" t="str">
        <f>VLOOKUP(C1044,Customer_Dim!$A:$N,9,FALSE())</f>
        <v>Samantha Walker</v>
      </c>
      <c r="T1044" s="4" t="str">
        <f>VLOOKUP(D1044,Product_Dim!$A:$M,3,FALSE())</f>
        <v>Beauty</v>
      </c>
      <c r="U1044" s="11" t="str">
        <f>VLOOKUP(D1044,Product_Dim!$A:$M,2,FALSE())</f>
        <v>Women's Hair Dryer Brush</v>
      </c>
      <c r="V1044" s="11" t="str">
        <f>VLOOKUP(E1044,Store_Dim!$A:$E,3,FALSE())</f>
        <v>North</v>
      </c>
      <c r="W1044" s="11" t="str">
        <f>VLOOKUP(C1044,Customer_Dim!$A:$N,13,FALSE())</f>
        <v>Platinum</v>
      </c>
      <c r="X1044" s="11" t="str">
        <f t="shared" si="118"/>
        <v>Low</v>
      </c>
    </row>
    <row r="1045" spans="1:24" ht="15.75" customHeight="1">
      <c r="A1045" s="4" t="s">
        <v>3041</v>
      </c>
      <c r="B1045" s="9">
        <v>45265</v>
      </c>
      <c r="C1045" s="4" t="s">
        <v>933</v>
      </c>
      <c r="D1045" s="4" t="s">
        <v>1751</v>
      </c>
      <c r="E1045" s="4" t="s">
        <v>1955</v>
      </c>
      <c r="F1045" s="4">
        <v>4</v>
      </c>
      <c r="G1045" s="4">
        <v>568.80999999999995</v>
      </c>
      <c r="H1045" s="4">
        <v>0.25</v>
      </c>
      <c r="I1045" s="4" t="s">
        <v>1996</v>
      </c>
      <c r="J1045" s="10">
        <v>1706.43</v>
      </c>
      <c r="K1045" s="4" t="str">
        <f t="shared" si="112"/>
        <v>05-12-2023</v>
      </c>
      <c r="L1045" s="4" t="str">
        <f>TEXT(Sales_Fact!$B1045,"mmm")</f>
        <v>Dec</v>
      </c>
      <c r="M1045" s="4">
        <f t="shared" si="113"/>
        <v>4</v>
      </c>
      <c r="N1045" s="10">
        <f t="shared" si="114"/>
        <v>568.80999999999995</v>
      </c>
      <c r="O1045" s="10">
        <f t="shared" si="115"/>
        <v>1706.4299999999998</v>
      </c>
      <c r="P1045" s="10">
        <f t="shared" si="116"/>
        <v>2275.2399999999998</v>
      </c>
      <c r="Q1045" s="3">
        <f t="shared" si="117"/>
        <v>0.25</v>
      </c>
      <c r="R1045" s="4" t="str">
        <f>IF(Sales_Fact!$O1045&gt;1000,"High","Low")</f>
        <v>High</v>
      </c>
      <c r="S1045" s="4" t="str">
        <f>VLOOKUP(C1045,Customer_Dim!$A:$N,9,FALSE())</f>
        <v>Donna Guerra</v>
      </c>
      <c r="T1045" s="4" t="str">
        <f>VLOOKUP(D1045,Product_Dim!$A:$M,3,FALSE())</f>
        <v>Beauty</v>
      </c>
      <c r="U1045" s="11" t="str">
        <f>VLOOKUP(D1045,Product_Dim!$A:$M,2,FALSE())</f>
        <v>Men's Roll-On Perfume</v>
      </c>
      <c r="V1045" s="11" t="str">
        <f>VLOOKUP(E1045,Store_Dim!$A:$E,3,FALSE())</f>
        <v>East</v>
      </c>
      <c r="W1045" s="11" t="str">
        <f>VLOOKUP(C1045,Customer_Dim!$A:$N,13,FALSE())</f>
        <v>Silver</v>
      </c>
      <c r="X1045" s="11" t="str">
        <f t="shared" si="118"/>
        <v>High</v>
      </c>
    </row>
    <row r="1046" spans="1:24" ht="15.75" customHeight="1">
      <c r="A1046" s="4" t="s">
        <v>3042</v>
      </c>
      <c r="B1046" s="9">
        <v>45607</v>
      </c>
      <c r="C1046" s="4" t="s">
        <v>1201</v>
      </c>
      <c r="D1046" s="4" t="s">
        <v>1788</v>
      </c>
      <c r="E1046" s="4" t="s">
        <v>1965</v>
      </c>
      <c r="F1046" s="4">
        <v>2</v>
      </c>
      <c r="G1046" s="4">
        <v>352.63</v>
      </c>
      <c r="H1046" s="4">
        <v>0.15</v>
      </c>
      <c r="I1046" s="4" t="s">
        <v>1998</v>
      </c>
      <c r="J1046" s="10">
        <v>599.471</v>
      </c>
      <c r="K1046" s="4" t="str">
        <f t="shared" si="112"/>
        <v>11-11-2024</v>
      </c>
      <c r="L1046" s="4" t="str">
        <f>TEXT(Sales_Fact!$B1046,"mmm")</f>
        <v>Nov</v>
      </c>
      <c r="M1046" s="4">
        <f t="shared" si="113"/>
        <v>2</v>
      </c>
      <c r="N1046" s="10">
        <f t="shared" si="114"/>
        <v>352.63</v>
      </c>
      <c r="O1046" s="10">
        <f t="shared" si="115"/>
        <v>599.471</v>
      </c>
      <c r="P1046" s="10">
        <f t="shared" si="116"/>
        <v>705.26</v>
      </c>
      <c r="Q1046" s="3">
        <f t="shared" si="117"/>
        <v>0.15</v>
      </c>
      <c r="R1046" s="4" t="str">
        <f>IF(Sales_Fact!$O1046&gt;1000,"High","Low")</f>
        <v>Low</v>
      </c>
      <c r="S1046" s="4" t="str">
        <f>VLOOKUP(C1046,Customer_Dim!$A:$N,9,FALSE())</f>
        <v>Joshua Bell</v>
      </c>
      <c r="T1046" s="4" t="str">
        <f>VLOOKUP(D1046,Product_Dim!$A:$M,3,FALSE())</f>
        <v>Sports</v>
      </c>
      <c r="U1046" s="11" t="str">
        <f>VLOOKUP(D1046,Product_Dim!$A:$M,2,FALSE())</f>
        <v>Tennis Ball 3-Pack</v>
      </c>
      <c r="V1046" s="11" t="str">
        <f>VLOOKUP(E1046,Store_Dim!$A:$E,3,FALSE())</f>
        <v>North</v>
      </c>
      <c r="W1046" s="11" t="str">
        <f>VLOOKUP(C1046,Customer_Dim!$A:$N,13,FALSE())</f>
        <v>Platinum</v>
      </c>
      <c r="X1046" s="11" t="str">
        <f t="shared" si="118"/>
        <v>Low</v>
      </c>
    </row>
    <row r="1047" spans="1:24" ht="15.75" customHeight="1">
      <c r="A1047" s="4" t="s">
        <v>3043</v>
      </c>
      <c r="B1047" s="9">
        <v>45382</v>
      </c>
      <c r="C1047" s="4" t="s">
        <v>547</v>
      </c>
      <c r="D1047" s="4" t="s">
        <v>1894</v>
      </c>
      <c r="E1047" s="4" t="s">
        <v>1955</v>
      </c>
      <c r="F1047" s="4">
        <v>2</v>
      </c>
      <c r="G1047" s="4">
        <v>629.86</v>
      </c>
      <c r="H1047" s="4">
        <v>0.15</v>
      </c>
      <c r="I1047" s="4" t="s">
        <v>1998</v>
      </c>
      <c r="J1047" s="10">
        <v>1070.7619999999999</v>
      </c>
      <c r="K1047" s="4" t="str">
        <f t="shared" si="112"/>
        <v>31-03-2024</v>
      </c>
      <c r="L1047" s="4" t="str">
        <f>TEXT(Sales_Fact!$B1047,"mmm")</f>
        <v>Mar</v>
      </c>
      <c r="M1047" s="4">
        <f t="shared" si="113"/>
        <v>2</v>
      </c>
      <c r="N1047" s="10">
        <f t="shared" si="114"/>
        <v>629.86</v>
      </c>
      <c r="O1047" s="10">
        <f t="shared" si="115"/>
        <v>1070.7619999999999</v>
      </c>
      <c r="P1047" s="10">
        <f t="shared" si="116"/>
        <v>1259.72</v>
      </c>
      <c r="Q1047" s="3">
        <f t="shared" si="117"/>
        <v>0.15000000000000005</v>
      </c>
      <c r="R1047" s="4" t="str">
        <f>IF(Sales_Fact!$O1047&gt;1000,"High","Low")</f>
        <v>High</v>
      </c>
      <c r="S1047" s="4" t="str">
        <f>VLOOKUP(C1047,Customer_Dim!$A:$N,9,FALSE())</f>
        <v>Maria Sanchez</v>
      </c>
      <c r="T1047" s="4" t="str">
        <f>VLOOKUP(D1047,Product_Dim!$A:$M,3,FALSE())</f>
        <v>Clothing</v>
      </c>
      <c r="U1047" s="11" t="str">
        <f>VLOOKUP(D1047,Product_Dim!$A:$M,2,FALSE())</f>
        <v>Women's Formal Blazer</v>
      </c>
      <c r="V1047" s="11" t="str">
        <f>VLOOKUP(E1047,Store_Dim!$A:$E,3,FALSE())</f>
        <v>East</v>
      </c>
      <c r="W1047" s="11" t="str">
        <f>VLOOKUP(C1047,Customer_Dim!$A:$N,13,FALSE())</f>
        <v>Bronze</v>
      </c>
      <c r="X1047" s="11" t="str">
        <f t="shared" si="118"/>
        <v>Low</v>
      </c>
    </row>
    <row r="1048" spans="1:24" ht="15.75" customHeight="1">
      <c r="A1048" s="4" t="s">
        <v>3044</v>
      </c>
      <c r="B1048" s="9">
        <v>45618</v>
      </c>
      <c r="C1048" s="4" t="s">
        <v>1045</v>
      </c>
      <c r="D1048" s="4" t="s">
        <v>1751</v>
      </c>
      <c r="E1048" s="4" t="s">
        <v>1947</v>
      </c>
      <c r="F1048" s="4">
        <v>3</v>
      </c>
      <c r="G1048" s="4">
        <v>958.15</v>
      </c>
      <c r="H1048" s="4">
        <v>0.24</v>
      </c>
      <c r="I1048" s="4" t="s">
        <v>2004</v>
      </c>
      <c r="J1048" s="10">
        <v>2184.5819999999999</v>
      </c>
      <c r="K1048" s="4" t="str">
        <f t="shared" si="112"/>
        <v>22-11-2024</v>
      </c>
      <c r="L1048" s="4" t="str">
        <f>TEXT(Sales_Fact!$B1048,"mmm")</f>
        <v>Nov</v>
      </c>
      <c r="M1048" s="4">
        <f t="shared" si="113"/>
        <v>3</v>
      </c>
      <c r="N1048" s="10">
        <f t="shared" si="114"/>
        <v>958.15</v>
      </c>
      <c r="O1048" s="10">
        <f t="shared" si="115"/>
        <v>2184.5819999999999</v>
      </c>
      <c r="P1048" s="10">
        <f t="shared" si="116"/>
        <v>2874.45</v>
      </c>
      <c r="Q1048" s="3">
        <f t="shared" si="117"/>
        <v>0.24</v>
      </c>
      <c r="R1048" s="4" t="str">
        <f>IF(Sales_Fact!$O1048&gt;1000,"High","Low")</f>
        <v>High</v>
      </c>
      <c r="S1048" s="4" t="str">
        <f>VLOOKUP(C1048,Customer_Dim!$A:$N,9,FALSE())</f>
        <v>Kristy Dunlap</v>
      </c>
      <c r="T1048" s="4" t="str">
        <f>VLOOKUP(D1048,Product_Dim!$A:$M,3,FALSE())</f>
        <v>Beauty</v>
      </c>
      <c r="U1048" s="11" t="str">
        <f>VLOOKUP(D1048,Product_Dim!$A:$M,2,FALSE())</f>
        <v>Men's Roll-On Perfume</v>
      </c>
      <c r="V1048" s="11" t="str">
        <f>VLOOKUP(E1048,Store_Dim!$A:$E,3,FALSE())</f>
        <v>East</v>
      </c>
      <c r="W1048" s="11" t="str">
        <f>VLOOKUP(C1048,Customer_Dim!$A:$N,13,FALSE())</f>
        <v>Platinum</v>
      </c>
      <c r="X1048" s="11" t="str">
        <f t="shared" si="118"/>
        <v>Low</v>
      </c>
    </row>
    <row r="1049" spans="1:24" ht="15.75" customHeight="1">
      <c r="A1049" s="4" t="s">
        <v>3045</v>
      </c>
      <c r="B1049" s="9">
        <v>45793</v>
      </c>
      <c r="C1049" s="4" t="s">
        <v>1545</v>
      </c>
      <c r="D1049" s="4" t="s">
        <v>1900</v>
      </c>
      <c r="E1049" s="4" t="s">
        <v>1924</v>
      </c>
      <c r="F1049" s="4">
        <v>3</v>
      </c>
      <c r="G1049" s="4">
        <v>212.08</v>
      </c>
      <c r="H1049" s="4">
        <v>7.0000000000000007E-2</v>
      </c>
      <c r="I1049" s="4" t="s">
        <v>1996</v>
      </c>
      <c r="J1049" s="10">
        <v>591.70320000000004</v>
      </c>
      <c r="K1049" s="4" t="str">
        <f t="shared" si="112"/>
        <v>16-05-2025</v>
      </c>
      <c r="L1049" s="4" t="str">
        <f>TEXT(Sales_Fact!$B1049,"mmm")</f>
        <v>May</v>
      </c>
      <c r="M1049" s="4">
        <f t="shared" si="113"/>
        <v>3</v>
      </c>
      <c r="N1049" s="10">
        <f t="shared" si="114"/>
        <v>212.08</v>
      </c>
      <c r="O1049" s="10">
        <f t="shared" si="115"/>
        <v>591.70319999999992</v>
      </c>
      <c r="P1049" s="10">
        <f t="shared" si="116"/>
        <v>636.24</v>
      </c>
      <c r="Q1049" s="3">
        <f t="shared" si="117"/>
        <v>7.0000000000000132E-2</v>
      </c>
      <c r="R1049" s="4" t="str">
        <f>IF(Sales_Fact!$O1049&gt;1000,"High","Low")</f>
        <v>Low</v>
      </c>
      <c r="S1049" s="4" t="str">
        <f>VLOOKUP(C1049,Customer_Dim!$A:$N,9,FALSE())</f>
        <v>Amanda Powell</v>
      </c>
      <c r="T1049" s="4" t="str">
        <f>VLOOKUP(D1049,Product_Dim!$A:$M,3,FALSE())</f>
        <v>Electronics</v>
      </c>
      <c r="U1049" s="11" t="str">
        <f>VLOOKUP(D1049,Product_Dim!$A:$M,2,FALSE())</f>
        <v>Portable Bluetooth Speaker</v>
      </c>
      <c r="V1049" s="11" t="str">
        <f>VLOOKUP(E1049,Store_Dim!$A:$E,3,FALSE())</f>
        <v>North</v>
      </c>
      <c r="W1049" s="11" t="str">
        <f>VLOOKUP(C1049,Customer_Dim!$A:$N,13,FALSE())</f>
        <v>Silver</v>
      </c>
      <c r="X1049" s="11" t="str">
        <f t="shared" si="118"/>
        <v>Low</v>
      </c>
    </row>
    <row r="1050" spans="1:24" ht="15.75" customHeight="1">
      <c r="A1050" s="4" t="s">
        <v>3046</v>
      </c>
      <c r="B1050" s="9">
        <v>45590</v>
      </c>
      <c r="C1050" s="4" t="s">
        <v>562</v>
      </c>
      <c r="D1050" s="4" t="s">
        <v>1776</v>
      </c>
      <c r="E1050" s="4" t="s">
        <v>1919</v>
      </c>
      <c r="F1050" s="4">
        <v>3</v>
      </c>
      <c r="G1050" s="4">
        <v>878.62</v>
      </c>
      <c r="H1050" s="4">
        <v>0.05</v>
      </c>
      <c r="I1050" s="4" t="s">
        <v>1998</v>
      </c>
      <c r="J1050" s="10">
        <v>2504.067</v>
      </c>
      <c r="K1050" s="4" t="str">
        <f t="shared" si="112"/>
        <v>25-10-2024</v>
      </c>
      <c r="L1050" s="4" t="str">
        <f>TEXT(Sales_Fact!$B1050,"mmm")</f>
        <v>Oct</v>
      </c>
      <c r="M1050" s="4">
        <f t="shared" si="113"/>
        <v>3</v>
      </c>
      <c r="N1050" s="10">
        <f t="shared" si="114"/>
        <v>878.62</v>
      </c>
      <c r="O1050" s="10">
        <f t="shared" si="115"/>
        <v>2504.067</v>
      </c>
      <c r="P1050" s="10">
        <f t="shared" si="116"/>
        <v>2635.86</v>
      </c>
      <c r="Q1050" s="3">
        <f t="shared" si="117"/>
        <v>5.0000000000000044E-2</v>
      </c>
      <c r="R1050" s="4" t="str">
        <f>IF(Sales_Fact!$O1050&gt;1000,"High","Low")</f>
        <v>High</v>
      </c>
      <c r="S1050" s="4" t="str">
        <f>VLOOKUP(C1050,Customer_Dim!$A:$N,9,FALSE())</f>
        <v>Cynthia Morris</v>
      </c>
      <c r="T1050" s="4" t="str">
        <f>VLOOKUP(D1050,Product_Dim!$A:$M,3,FALSE())</f>
        <v>Sports</v>
      </c>
      <c r="U1050" s="11" t="str">
        <f>VLOOKUP(D1050,Product_Dim!$A:$M,2,FALSE())</f>
        <v>Foam Roller</v>
      </c>
      <c r="V1050" s="11" t="str">
        <f>VLOOKUP(E1050,Store_Dim!$A:$E,3,FALSE())</f>
        <v>South</v>
      </c>
      <c r="W1050" s="11" t="str">
        <f>VLOOKUP(C1050,Customer_Dim!$A:$N,13,FALSE())</f>
        <v>Silver</v>
      </c>
      <c r="X1050" s="11" t="str">
        <f t="shared" si="118"/>
        <v>Low</v>
      </c>
    </row>
    <row r="1051" spans="1:24" ht="15.75" customHeight="1">
      <c r="A1051" s="4" t="s">
        <v>3047</v>
      </c>
      <c r="B1051" s="9">
        <v>45679</v>
      </c>
      <c r="C1051" s="4" t="s">
        <v>861</v>
      </c>
      <c r="D1051" s="4" t="s">
        <v>1846</v>
      </c>
      <c r="E1051" s="4" t="s">
        <v>1947</v>
      </c>
      <c r="F1051" s="4">
        <v>4</v>
      </c>
      <c r="G1051" s="4">
        <v>87.83</v>
      </c>
      <c r="H1051" s="4">
        <v>0.23</v>
      </c>
      <c r="I1051" s="4" t="s">
        <v>1998</v>
      </c>
      <c r="J1051" s="10">
        <v>270.51639999999998</v>
      </c>
      <c r="K1051" s="4" t="str">
        <f t="shared" si="112"/>
        <v>22-01-2025</v>
      </c>
      <c r="L1051" s="4" t="str">
        <f>TEXT(Sales_Fact!$B1051,"mmm")</f>
        <v>Jan</v>
      </c>
      <c r="M1051" s="4">
        <f t="shared" si="113"/>
        <v>4</v>
      </c>
      <c r="N1051" s="10">
        <f t="shared" si="114"/>
        <v>87.83</v>
      </c>
      <c r="O1051" s="10">
        <f t="shared" si="115"/>
        <v>270.51639999999998</v>
      </c>
      <c r="P1051" s="10">
        <f t="shared" si="116"/>
        <v>351.32</v>
      </c>
      <c r="Q1051" s="3">
        <f t="shared" si="117"/>
        <v>0.23000000000000007</v>
      </c>
      <c r="R1051" s="4" t="str">
        <f>IF(Sales_Fact!$O1051&gt;1000,"High","Low")</f>
        <v>Low</v>
      </c>
      <c r="S1051" s="4" t="str">
        <f>VLOOKUP(C1051,Customer_Dim!$A:$N,9,FALSE())</f>
        <v>Carol Bishop</v>
      </c>
      <c r="T1051" s="4" t="str">
        <f>VLOOKUP(D1051,Product_Dim!$A:$M,3,FALSE())</f>
        <v>Home</v>
      </c>
      <c r="U1051" s="11" t="str">
        <f>VLOOKUP(D1051,Product_Dim!$A:$M,2,FALSE())</f>
        <v>Wall-Mounted Spice Rack</v>
      </c>
      <c r="V1051" s="11" t="str">
        <f>VLOOKUP(E1051,Store_Dim!$A:$E,3,FALSE())</f>
        <v>East</v>
      </c>
      <c r="W1051" s="11" t="str">
        <f>VLOOKUP(C1051,Customer_Dim!$A:$N,13,FALSE())</f>
        <v>Silver</v>
      </c>
      <c r="X1051" s="11" t="str">
        <f t="shared" si="118"/>
        <v>High</v>
      </c>
    </row>
    <row r="1052" spans="1:24" ht="15.75" customHeight="1">
      <c r="A1052" s="4" t="s">
        <v>3048</v>
      </c>
      <c r="B1052" s="9">
        <v>45814</v>
      </c>
      <c r="C1052" s="4" t="s">
        <v>903</v>
      </c>
      <c r="D1052" s="4" t="s">
        <v>1773</v>
      </c>
      <c r="E1052" s="4" t="s">
        <v>1944</v>
      </c>
      <c r="F1052" s="4">
        <v>3</v>
      </c>
      <c r="G1052" s="4">
        <v>442.64</v>
      </c>
      <c r="H1052" s="4">
        <v>0.15</v>
      </c>
      <c r="I1052" s="4" t="s">
        <v>2004</v>
      </c>
      <c r="J1052" s="10">
        <v>1128.732</v>
      </c>
      <c r="K1052" s="4" t="str">
        <f t="shared" si="112"/>
        <v>06-06-2025</v>
      </c>
      <c r="L1052" s="4" t="str">
        <f>TEXT(Sales_Fact!$B1052,"mmm")</f>
        <v>Jun</v>
      </c>
      <c r="M1052" s="4">
        <f t="shared" si="113"/>
        <v>3</v>
      </c>
      <c r="N1052" s="10">
        <f t="shared" si="114"/>
        <v>442.64</v>
      </c>
      <c r="O1052" s="10">
        <f t="shared" si="115"/>
        <v>1128.732</v>
      </c>
      <c r="P1052" s="10">
        <f t="shared" si="116"/>
        <v>1327.92</v>
      </c>
      <c r="Q1052" s="3">
        <f t="shared" si="117"/>
        <v>0.15000000000000008</v>
      </c>
      <c r="R1052" s="4" t="str">
        <f>IF(Sales_Fact!$O1052&gt;1000,"High","Low")</f>
        <v>High</v>
      </c>
      <c r="S1052" s="4" t="str">
        <f>VLOOKUP(C1052,Customer_Dim!$A:$N,9,FALSE())</f>
        <v>Shannon Miller</v>
      </c>
      <c r="T1052" s="4" t="str">
        <f>VLOOKUP(D1052,Product_Dim!$A:$M,3,FALSE())</f>
        <v>Home</v>
      </c>
      <c r="U1052" s="11" t="str">
        <f>VLOOKUP(D1052,Product_Dim!$A:$M,2,FALSE())</f>
        <v>Premium Blanket Throw</v>
      </c>
      <c r="V1052" s="11" t="str">
        <f>VLOOKUP(E1052,Store_Dim!$A:$E,3,FALSE())</f>
        <v>South</v>
      </c>
      <c r="W1052" s="11" t="str">
        <f>VLOOKUP(C1052,Customer_Dim!$A:$N,13,FALSE())</f>
        <v>Gold</v>
      </c>
      <c r="X1052" s="11" t="str">
        <f t="shared" si="118"/>
        <v>Low</v>
      </c>
    </row>
    <row r="1053" spans="1:24" ht="15.75" customHeight="1">
      <c r="A1053" s="4" t="s">
        <v>3049</v>
      </c>
      <c r="B1053" s="9">
        <v>45795</v>
      </c>
      <c r="C1053" s="4" t="s">
        <v>356</v>
      </c>
      <c r="D1053" s="4" t="s">
        <v>1716</v>
      </c>
      <c r="E1053" s="4" t="s">
        <v>1919</v>
      </c>
      <c r="F1053" s="4">
        <v>3</v>
      </c>
      <c r="G1053" s="4">
        <v>410.04</v>
      </c>
      <c r="H1053" s="4">
        <v>0.09</v>
      </c>
      <c r="I1053" s="4" t="s">
        <v>2004</v>
      </c>
      <c r="J1053" s="10">
        <v>1119.4092000000001</v>
      </c>
      <c r="K1053" s="4" t="str">
        <f t="shared" si="112"/>
        <v>18-05-2025</v>
      </c>
      <c r="L1053" s="4" t="str">
        <f>TEXT(Sales_Fact!$B1053,"mmm")</f>
        <v>May</v>
      </c>
      <c r="M1053" s="4">
        <f t="shared" si="113"/>
        <v>3</v>
      </c>
      <c r="N1053" s="10">
        <f t="shared" si="114"/>
        <v>410.04</v>
      </c>
      <c r="O1053" s="10">
        <f t="shared" si="115"/>
        <v>1119.4092000000001</v>
      </c>
      <c r="P1053" s="10">
        <f t="shared" si="116"/>
        <v>1230.1200000000001</v>
      </c>
      <c r="Q1053" s="3">
        <f t="shared" si="117"/>
        <v>9.0000000000000038E-2</v>
      </c>
      <c r="R1053" s="4" t="str">
        <f>IF(Sales_Fact!$O1053&gt;1000,"High","Low")</f>
        <v>High</v>
      </c>
      <c r="S1053" s="4" t="str">
        <f>VLOOKUP(C1053,Customer_Dim!$A:$N,9,FALSE())</f>
        <v>Christy Vasquez</v>
      </c>
      <c r="T1053" s="4" t="str">
        <f>VLOOKUP(D1053,Product_Dim!$A:$M,3,FALSE())</f>
        <v>Sports</v>
      </c>
      <c r="U1053" s="11" t="str">
        <f>VLOOKUP(D1053,Product_Dim!$A:$M,2,FALSE())</f>
        <v>Sports Water Hydration Pack</v>
      </c>
      <c r="V1053" s="11" t="str">
        <f>VLOOKUP(E1053,Store_Dim!$A:$E,3,FALSE())</f>
        <v>South</v>
      </c>
      <c r="W1053" s="11" t="str">
        <f>VLOOKUP(C1053,Customer_Dim!$A:$N,13,FALSE())</f>
        <v>Gold</v>
      </c>
      <c r="X1053" s="11" t="str">
        <f t="shared" si="118"/>
        <v>Low</v>
      </c>
    </row>
    <row r="1054" spans="1:24" ht="15.75" customHeight="1">
      <c r="A1054" s="4" t="s">
        <v>3050</v>
      </c>
      <c r="B1054" s="9">
        <v>45797</v>
      </c>
      <c r="C1054" s="4" t="s">
        <v>479</v>
      </c>
      <c r="D1054" s="4" t="s">
        <v>1888</v>
      </c>
      <c r="E1054" s="4" t="s">
        <v>1965</v>
      </c>
      <c r="F1054" s="4">
        <v>1</v>
      </c>
      <c r="G1054" s="4">
        <v>355.31</v>
      </c>
      <c r="H1054" s="4">
        <v>0.27</v>
      </c>
      <c r="I1054" s="4" t="s">
        <v>1996</v>
      </c>
      <c r="J1054" s="10">
        <v>259.37630000000001</v>
      </c>
      <c r="K1054" s="4" t="str">
        <f t="shared" si="112"/>
        <v>20-05-2025</v>
      </c>
      <c r="L1054" s="4" t="str">
        <f>TEXT(Sales_Fact!$B1054,"mmm")</f>
        <v>May</v>
      </c>
      <c r="M1054" s="4">
        <f t="shared" si="113"/>
        <v>1</v>
      </c>
      <c r="N1054" s="10">
        <f t="shared" si="114"/>
        <v>355.31</v>
      </c>
      <c r="O1054" s="10">
        <f t="shared" si="115"/>
        <v>259.37630000000001</v>
      </c>
      <c r="P1054" s="10">
        <f t="shared" si="116"/>
        <v>355.31</v>
      </c>
      <c r="Q1054" s="3">
        <f t="shared" si="117"/>
        <v>0.26999999999999996</v>
      </c>
      <c r="R1054" s="4" t="str">
        <f>IF(Sales_Fact!$O1054&gt;1000,"High","Low")</f>
        <v>Low</v>
      </c>
      <c r="S1054" s="4" t="str">
        <f>VLOOKUP(C1054,Customer_Dim!$A:$N,9,FALSE())</f>
        <v>Hayley Pope</v>
      </c>
      <c r="T1054" s="4" t="str">
        <f>VLOOKUP(D1054,Product_Dim!$A:$M,3,FALSE())</f>
        <v>Beauty</v>
      </c>
      <c r="U1054" s="11" t="str">
        <f>VLOOKUP(D1054,Product_Dim!$A:$M,2,FALSE())</f>
        <v>Vitamin E Body Lotion</v>
      </c>
      <c r="V1054" s="11" t="str">
        <f>VLOOKUP(E1054,Store_Dim!$A:$E,3,FALSE())</f>
        <v>North</v>
      </c>
      <c r="W1054" s="11" t="str">
        <f>VLOOKUP(C1054,Customer_Dim!$A:$N,13,FALSE())</f>
        <v>Bronze</v>
      </c>
      <c r="X1054" s="11" t="str">
        <f t="shared" si="118"/>
        <v>Low</v>
      </c>
    </row>
    <row r="1055" spans="1:24" ht="15.75" customHeight="1">
      <c r="A1055" s="4" t="s">
        <v>3051</v>
      </c>
      <c r="B1055" s="9">
        <v>45607</v>
      </c>
      <c r="C1055" s="4" t="s">
        <v>1204</v>
      </c>
      <c r="D1055" s="4" t="s">
        <v>1617</v>
      </c>
      <c r="E1055" s="4" t="s">
        <v>1955</v>
      </c>
      <c r="F1055" s="4">
        <v>4</v>
      </c>
      <c r="G1055" s="4">
        <v>243.13</v>
      </c>
      <c r="H1055" s="4">
        <v>0.25</v>
      </c>
      <c r="I1055" s="4" t="s">
        <v>2004</v>
      </c>
      <c r="J1055" s="10">
        <v>729.39</v>
      </c>
      <c r="K1055" s="4" t="str">
        <f t="shared" si="112"/>
        <v>11-11-2024</v>
      </c>
      <c r="L1055" s="4" t="str">
        <f>TEXT(Sales_Fact!$B1055,"mmm")</f>
        <v>Nov</v>
      </c>
      <c r="M1055" s="4">
        <f t="shared" si="113"/>
        <v>4</v>
      </c>
      <c r="N1055" s="10">
        <f t="shared" si="114"/>
        <v>243.13</v>
      </c>
      <c r="O1055" s="10">
        <f t="shared" si="115"/>
        <v>729.39</v>
      </c>
      <c r="P1055" s="10">
        <f t="shared" si="116"/>
        <v>972.52</v>
      </c>
      <c r="Q1055" s="3">
        <f t="shared" si="117"/>
        <v>0.25</v>
      </c>
      <c r="R1055" s="4" t="str">
        <f>IF(Sales_Fact!$O1055&gt;1000,"High","Low")</f>
        <v>Low</v>
      </c>
      <c r="S1055" s="4" t="str">
        <f>VLOOKUP(C1055,Customer_Dim!$A:$N,9,FALSE())</f>
        <v>Michele Burke</v>
      </c>
      <c r="T1055" s="4" t="str">
        <f>VLOOKUP(D1055,Product_Dim!$A:$M,3,FALSE())</f>
        <v>Sports</v>
      </c>
      <c r="U1055" s="11" t="str">
        <f>VLOOKUP(D1055,Product_Dim!$A:$M,2,FALSE())</f>
        <v>Adjustable Dumbbell Set</v>
      </c>
      <c r="V1055" s="11" t="str">
        <f>VLOOKUP(E1055,Store_Dim!$A:$E,3,FALSE())</f>
        <v>East</v>
      </c>
      <c r="W1055" s="11" t="str">
        <f>VLOOKUP(C1055,Customer_Dim!$A:$N,13,FALSE())</f>
        <v>Bronze</v>
      </c>
      <c r="X1055" s="11" t="str">
        <f t="shared" si="118"/>
        <v>High</v>
      </c>
    </row>
    <row r="1056" spans="1:24" ht="15.75" customHeight="1">
      <c r="A1056" s="4" t="s">
        <v>3052</v>
      </c>
      <c r="B1056" s="9">
        <v>45614</v>
      </c>
      <c r="C1056" s="4" t="s">
        <v>765</v>
      </c>
      <c r="D1056" s="4" t="s">
        <v>1782</v>
      </c>
      <c r="E1056" s="4" t="s">
        <v>1950</v>
      </c>
      <c r="F1056" s="4">
        <v>2</v>
      </c>
      <c r="G1056" s="4">
        <v>410.63</v>
      </c>
      <c r="H1056" s="4">
        <v>0.28000000000000003</v>
      </c>
      <c r="I1056" s="4" t="s">
        <v>2004</v>
      </c>
      <c r="J1056" s="10">
        <v>591.30719999999997</v>
      </c>
      <c r="K1056" s="4" t="str">
        <f t="shared" si="112"/>
        <v>18-11-2024</v>
      </c>
      <c r="L1056" s="4" t="str">
        <f>TEXT(Sales_Fact!$B1056,"mmm")</f>
        <v>Nov</v>
      </c>
      <c r="M1056" s="4">
        <f t="shared" si="113"/>
        <v>2</v>
      </c>
      <c r="N1056" s="10">
        <f t="shared" si="114"/>
        <v>410.63</v>
      </c>
      <c r="O1056" s="10">
        <f t="shared" si="115"/>
        <v>591.30719999999997</v>
      </c>
      <c r="P1056" s="10">
        <f t="shared" si="116"/>
        <v>821.26</v>
      </c>
      <c r="Q1056" s="3">
        <f t="shared" si="117"/>
        <v>0.28000000000000003</v>
      </c>
      <c r="R1056" s="4" t="str">
        <f>IF(Sales_Fact!$O1056&gt;1000,"High","Low")</f>
        <v>Low</v>
      </c>
      <c r="S1056" s="4" t="str">
        <f>VLOOKUP(C1056,Customer_Dim!$A:$N,9,FALSE())</f>
        <v>Tanner Thompson</v>
      </c>
      <c r="T1056" s="4" t="str">
        <f>VLOOKUP(D1056,Product_Dim!$A:$M,3,FALSE())</f>
        <v>Beauty</v>
      </c>
      <c r="U1056" s="11" t="str">
        <f>VLOOKUP(D1056,Product_Dim!$A:$M,2,FALSE())</f>
        <v>Men's Hair Styling Gel</v>
      </c>
      <c r="V1056" s="11" t="str">
        <f>VLOOKUP(E1056,Store_Dim!$A:$E,3,FALSE())</f>
        <v>South</v>
      </c>
      <c r="W1056" s="11" t="str">
        <f>VLOOKUP(C1056,Customer_Dim!$A:$N,13,FALSE())</f>
        <v>Bronze</v>
      </c>
      <c r="X1056" s="11" t="str">
        <f t="shared" si="118"/>
        <v>Low</v>
      </c>
    </row>
    <row r="1057" spans="1:24" ht="15.75" customHeight="1">
      <c r="A1057" s="4" t="s">
        <v>3053</v>
      </c>
      <c r="B1057" s="9">
        <v>45293</v>
      </c>
      <c r="C1057" s="4" t="s">
        <v>1348</v>
      </c>
      <c r="D1057" s="4" t="s">
        <v>1888</v>
      </c>
      <c r="E1057" s="4" t="s">
        <v>1947</v>
      </c>
      <c r="F1057" s="4">
        <v>4</v>
      </c>
      <c r="G1057" s="4">
        <v>101.25</v>
      </c>
      <c r="H1057" s="4">
        <v>0.16</v>
      </c>
      <c r="I1057" s="4" t="s">
        <v>1998</v>
      </c>
      <c r="J1057" s="10">
        <v>340.2</v>
      </c>
      <c r="K1057" s="4" t="str">
        <f t="shared" si="112"/>
        <v>02-01-2024</v>
      </c>
      <c r="L1057" s="4" t="str">
        <f>TEXT(Sales_Fact!$B1057,"mmm")</f>
        <v>Jan</v>
      </c>
      <c r="M1057" s="4">
        <f t="shared" si="113"/>
        <v>4</v>
      </c>
      <c r="N1057" s="10">
        <f t="shared" si="114"/>
        <v>101.25</v>
      </c>
      <c r="O1057" s="10">
        <f t="shared" si="115"/>
        <v>340.2</v>
      </c>
      <c r="P1057" s="10">
        <f t="shared" si="116"/>
        <v>405</v>
      </c>
      <c r="Q1057" s="3">
        <f t="shared" si="117"/>
        <v>0.16000000000000003</v>
      </c>
      <c r="R1057" s="4" t="str">
        <f>IF(Sales_Fact!$O1057&gt;1000,"High","Low")</f>
        <v>Low</v>
      </c>
      <c r="S1057" s="4" t="str">
        <f>VLOOKUP(C1057,Customer_Dim!$A:$N,9,FALSE())</f>
        <v>Bryce Hawkins</v>
      </c>
      <c r="T1057" s="4" t="str">
        <f>VLOOKUP(D1057,Product_Dim!$A:$M,3,FALSE())</f>
        <v>Beauty</v>
      </c>
      <c r="U1057" s="11" t="str">
        <f>VLOOKUP(D1057,Product_Dim!$A:$M,2,FALSE())</f>
        <v>Vitamin E Body Lotion</v>
      </c>
      <c r="V1057" s="11" t="str">
        <f>VLOOKUP(E1057,Store_Dim!$A:$E,3,FALSE())</f>
        <v>East</v>
      </c>
      <c r="W1057" s="11" t="str">
        <f>VLOOKUP(C1057,Customer_Dim!$A:$N,13,FALSE())</f>
        <v>Bronze</v>
      </c>
      <c r="X1057" s="11" t="str">
        <f t="shared" si="118"/>
        <v>High</v>
      </c>
    </row>
    <row r="1058" spans="1:24" ht="15.75" customHeight="1">
      <c r="A1058" s="4" t="s">
        <v>3054</v>
      </c>
      <c r="B1058" s="9">
        <v>45301</v>
      </c>
      <c r="C1058" s="4" t="s">
        <v>758</v>
      </c>
      <c r="D1058" s="4" t="s">
        <v>1608</v>
      </c>
      <c r="E1058" s="4" t="s">
        <v>1965</v>
      </c>
      <c r="F1058" s="4">
        <v>4</v>
      </c>
      <c r="G1058" s="4">
        <v>716.39</v>
      </c>
      <c r="H1058" s="4">
        <v>0.03</v>
      </c>
      <c r="I1058" s="4" t="s">
        <v>1998</v>
      </c>
      <c r="J1058" s="10">
        <v>2779.5931999999998</v>
      </c>
      <c r="K1058" s="4" t="str">
        <f t="shared" si="112"/>
        <v>10-01-2024</v>
      </c>
      <c r="L1058" s="4" t="str">
        <f>TEXT(Sales_Fact!$B1058,"mmm")</f>
        <v>Jan</v>
      </c>
      <c r="M1058" s="4">
        <f t="shared" si="113"/>
        <v>4</v>
      </c>
      <c r="N1058" s="10">
        <f t="shared" si="114"/>
        <v>716.39</v>
      </c>
      <c r="O1058" s="10">
        <f t="shared" si="115"/>
        <v>2779.5931999999998</v>
      </c>
      <c r="P1058" s="10">
        <f t="shared" si="116"/>
        <v>2865.56</v>
      </c>
      <c r="Q1058" s="3">
        <f t="shared" si="117"/>
        <v>3.0000000000000051E-2</v>
      </c>
      <c r="R1058" s="4" t="str">
        <f>IF(Sales_Fact!$O1058&gt;1000,"High","Low")</f>
        <v>High</v>
      </c>
      <c r="S1058" s="4" t="str">
        <f>VLOOKUP(C1058,Customer_Dim!$A:$N,9,FALSE())</f>
        <v>Alexis Castaneda</v>
      </c>
      <c r="T1058" s="4" t="str">
        <f>VLOOKUP(D1058,Product_Dim!$A:$M,3,FALSE())</f>
        <v>Home</v>
      </c>
      <c r="U1058" s="11" t="str">
        <f>VLOOKUP(D1058,Product_Dim!$A:$M,2,FALSE())</f>
        <v>LED Table Lamp</v>
      </c>
      <c r="V1058" s="11" t="str">
        <f>VLOOKUP(E1058,Store_Dim!$A:$E,3,FALSE())</f>
        <v>North</v>
      </c>
      <c r="W1058" s="11" t="str">
        <f>VLOOKUP(C1058,Customer_Dim!$A:$N,13,FALSE())</f>
        <v>Gold</v>
      </c>
      <c r="X1058" s="11" t="str">
        <f t="shared" si="118"/>
        <v>High</v>
      </c>
    </row>
    <row r="1059" spans="1:24" ht="15.75" customHeight="1">
      <c r="A1059" s="4" t="s">
        <v>3055</v>
      </c>
      <c r="B1059" s="9">
        <v>45290</v>
      </c>
      <c r="C1059" s="4" t="s">
        <v>1354</v>
      </c>
      <c r="D1059" s="4" t="s">
        <v>1785</v>
      </c>
      <c r="E1059" s="4" t="s">
        <v>1965</v>
      </c>
      <c r="F1059" s="4">
        <v>1</v>
      </c>
      <c r="G1059" s="4">
        <v>889.19</v>
      </c>
      <c r="H1059" s="4">
        <v>0.03</v>
      </c>
      <c r="I1059" s="4" t="s">
        <v>1996</v>
      </c>
      <c r="J1059" s="10">
        <v>862.51430000000005</v>
      </c>
      <c r="K1059" s="4" t="str">
        <f t="shared" si="112"/>
        <v>30-12-2023</v>
      </c>
      <c r="L1059" s="4" t="str">
        <f>TEXT(Sales_Fact!$B1059,"mmm")</f>
        <v>Dec</v>
      </c>
      <c r="M1059" s="4">
        <f t="shared" si="113"/>
        <v>1</v>
      </c>
      <c r="N1059" s="10">
        <f t="shared" si="114"/>
        <v>889.19</v>
      </c>
      <c r="O1059" s="10">
        <f t="shared" si="115"/>
        <v>862.51430000000005</v>
      </c>
      <c r="P1059" s="10">
        <f t="shared" si="116"/>
        <v>889.19</v>
      </c>
      <c r="Q1059" s="3">
        <f t="shared" si="117"/>
        <v>3.0000000000000006E-2</v>
      </c>
      <c r="R1059" s="4" t="str">
        <f>IF(Sales_Fact!$O1059&gt;1000,"High","Low")</f>
        <v>Low</v>
      </c>
      <c r="S1059" s="4" t="str">
        <f>VLOOKUP(C1059,Customer_Dim!$A:$N,9,FALSE())</f>
        <v>Jose Stewart</v>
      </c>
      <c r="T1059" s="4" t="str">
        <f>VLOOKUP(D1059,Product_Dim!$A:$M,3,FALSE())</f>
        <v>Beauty</v>
      </c>
      <c r="U1059" s="11" t="str">
        <f>VLOOKUP(D1059,Product_Dim!$A:$M,2,FALSE())</f>
        <v>Luxury Perfume Spray</v>
      </c>
      <c r="V1059" s="11" t="str">
        <f>VLOOKUP(E1059,Store_Dim!$A:$E,3,FALSE())</f>
        <v>North</v>
      </c>
      <c r="W1059" s="11" t="str">
        <f>VLOOKUP(C1059,Customer_Dim!$A:$N,13,FALSE())</f>
        <v>Gold</v>
      </c>
      <c r="X1059" s="11" t="str">
        <f t="shared" si="118"/>
        <v>Low</v>
      </c>
    </row>
    <row r="1060" spans="1:24" ht="15.75" customHeight="1">
      <c r="A1060" s="4" t="s">
        <v>3056</v>
      </c>
      <c r="B1060" s="9">
        <v>45311</v>
      </c>
      <c r="C1060" s="4" t="s">
        <v>359</v>
      </c>
      <c r="D1060" s="4" t="s">
        <v>1825</v>
      </c>
      <c r="E1060" s="4" t="s">
        <v>1915</v>
      </c>
      <c r="F1060" s="4">
        <v>1</v>
      </c>
      <c r="G1060" s="4">
        <v>721.74</v>
      </c>
      <c r="H1060" s="4">
        <v>0.24</v>
      </c>
      <c r="I1060" s="4" t="s">
        <v>1998</v>
      </c>
      <c r="J1060" s="10">
        <v>548.52239999999995</v>
      </c>
      <c r="K1060" s="4" t="str">
        <f t="shared" si="112"/>
        <v>20-01-2024</v>
      </c>
      <c r="L1060" s="4" t="str">
        <f>TEXT(Sales_Fact!$B1060,"mmm")</f>
        <v>Jan</v>
      </c>
      <c r="M1060" s="4">
        <f t="shared" si="113"/>
        <v>1</v>
      </c>
      <c r="N1060" s="10">
        <f t="shared" si="114"/>
        <v>721.74</v>
      </c>
      <c r="O1060" s="10">
        <f t="shared" si="115"/>
        <v>548.52240000000006</v>
      </c>
      <c r="P1060" s="10">
        <f t="shared" si="116"/>
        <v>721.74</v>
      </c>
      <c r="Q1060" s="3">
        <f t="shared" si="117"/>
        <v>0.23999999999999994</v>
      </c>
      <c r="R1060" s="4" t="str">
        <f>IF(Sales_Fact!$O1060&gt;1000,"High","Low")</f>
        <v>Low</v>
      </c>
      <c r="S1060" s="4" t="str">
        <f>VLOOKUP(C1060,Customer_Dim!$A:$N,9,FALSE())</f>
        <v>David Patterson</v>
      </c>
      <c r="T1060" s="4" t="str">
        <f>VLOOKUP(D1060,Product_Dim!$A:$M,3,FALSE())</f>
        <v>Sports</v>
      </c>
      <c r="U1060" s="11" t="str">
        <f>VLOOKUP(D1060,Product_Dim!$A:$M,2,FALSE())</f>
        <v>Shin Guards – Adult</v>
      </c>
      <c r="V1060" s="11" t="str">
        <f>VLOOKUP(E1060,Store_Dim!$A:$E,3,FALSE())</f>
        <v>North</v>
      </c>
      <c r="W1060" s="11" t="str">
        <f>VLOOKUP(C1060,Customer_Dim!$A:$N,13,FALSE())</f>
        <v>Gold</v>
      </c>
      <c r="X1060" s="11" t="str">
        <f t="shared" si="118"/>
        <v>Low</v>
      </c>
    </row>
    <row r="1061" spans="1:24" ht="15.75" customHeight="1">
      <c r="A1061" s="4" t="s">
        <v>3057</v>
      </c>
      <c r="B1061" s="9">
        <v>45702</v>
      </c>
      <c r="C1061" s="4" t="s">
        <v>226</v>
      </c>
      <c r="D1061" s="4" t="s">
        <v>1791</v>
      </c>
      <c r="E1061" s="4" t="s">
        <v>1950</v>
      </c>
      <c r="F1061" s="4">
        <v>2</v>
      </c>
      <c r="G1061" s="4">
        <v>527.91</v>
      </c>
      <c r="H1061" s="4">
        <v>0.02</v>
      </c>
      <c r="I1061" s="4" t="s">
        <v>1996</v>
      </c>
      <c r="J1061" s="10">
        <v>1034.7036000000001</v>
      </c>
      <c r="K1061" s="4" t="str">
        <f t="shared" si="112"/>
        <v>14-02-2025</v>
      </c>
      <c r="L1061" s="4" t="str">
        <f>TEXT(Sales_Fact!$B1061,"mmm")</f>
        <v>Feb</v>
      </c>
      <c r="M1061" s="4">
        <f t="shared" si="113"/>
        <v>2</v>
      </c>
      <c r="N1061" s="10">
        <f t="shared" si="114"/>
        <v>527.91</v>
      </c>
      <c r="O1061" s="10">
        <f t="shared" si="115"/>
        <v>1034.7035999999998</v>
      </c>
      <c r="P1061" s="10">
        <f t="shared" si="116"/>
        <v>1055.82</v>
      </c>
      <c r="Q1061" s="3">
        <f t="shared" si="117"/>
        <v>2.0000000000000108E-2</v>
      </c>
      <c r="R1061" s="4" t="str">
        <f>IF(Sales_Fact!$O1061&gt;1000,"High","Low")</f>
        <v>High</v>
      </c>
      <c r="S1061" s="4" t="str">
        <f>VLOOKUP(C1061,Customer_Dim!$A:$N,9,FALSE())</f>
        <v>Katherine Dorsey</v>
      </c>
      <c r="T1061" s="4" t="str">
        <f>VLOOKUP(D1061,Product_Dim!$A:$M,3,FALSE())</f>
        <v>Electronics</v>
      </c>
      <c r="U1061" s="11" t="str">
        <f>VLOOKUP(D1061,Product_Dim!$A:$M,2,FALSE())</f>
        <v>Laptop Cooling Pad</v>
      </c>
      <c r="V1061" s="11" t="str">
        <f>VLOOKUP(E1061,Store_Dim!$A:$E,3,FALSE())</f>
        <v>South</v>
      </c>
      <c r="W1061" s="11" t="str">
        <f>VLOOKUP(C1061,Customer_Dim!$A:$N,13,FALSE())</f>
        <v>Platinum</v>
      </c>
      <c r="X1061" s="11" t="str">
        <f t="shared" si="118"/>
        <v>Low</v>
      </c>
    </row>
    <row r="1062" spans="1:24" ht="15.75" customHeight="1">
      <c r="A1062" s="4" t="s">
        <v>3058</v>
      </c>
      <c r="B1062" s="9">
        <v>45525</v>
      </c>
      <c r="C1062" s="4" t="s">
        <v>1033</v>
      </c>
      <c r="D1062" s="4" t="s">
        <v>1761</v>
      </c>
      <c r="E1062" s="4" t="s">
        <v>1955</v>
      </c>
      <c r="F1062" s="4">
        <v>2</v>
      </c>
      <c r="G1062" s="4">
        <v>945.92</v>
      </c>
      <c r="H1062" s="4">
        <v>0.19</v>
      </c>
      <c r="I1062" s="4" t="s">
        <v>2004</v>
      </c>
      <c r="J1062" s="10">
        <v>1532.3904</v>
      </c>
      <c r="K1062" s="4" t="str">
        <f t="shared" si="112"/>
        <v>21-08-2024</v>
      </c>
      <c r="L1062" s="4" t="str">
        <f>TEXT(Sales_Fact!$B1062,"mmm")</f>
        <v>Aug</v>
      </c>
      <c r="M1062" s="4">
        <f t="shared" si="113"/>
        <v>2</v>
      </c>
      <c r="N1062" s="10">
        <f t="shared" si="114"/>
        <v>945.92</v>
      </c>
      <c r="O1062" s="10">
        <f t="shared" si="115"/>
        <v>1532.3904</v>
      </c>
      <c r="P1062" s="10">
        <f t="shared" si="116"/>
        <v>1891.84</v>
      </c>
      <c r="Q1062" s="3">
        <f t="shared" si="117"/>
        <v>0.18999999999999997</v>
      </c>
      <c r="R1062" s="4" t="str">
        <f>IF(Sales_Fact!$O1062&gt;1000,"High","Low")</f>
        <v>High</v>
      </c>
      <c r="S1062" s="4" t="str">
        <f>VLOOKUP(C1062,Customer_Dim!$A:$N,9,FALSE())</f>
        <v>Casey Simpson</v>
      </c>
      <c r="T1062" s="4" t="str">
        <f>VLOOKUP(D1062,Product_Dim!$A:$M,3,FALSE())</f>
        <v>Sports</v>
      </c>
      <c r="U1062" s="11" t="str">
        <f>VLOOKUP(D1062,Product_Dim!$A:$M,2,FALSE())</f>
        <v>Rugby Ball</v>
      </c>
      <c r="V1062" s="11" t="str">
        <f>VLOOKUP(E1062,Store_Dim!$A:$E,3,FALSE())</f>
        <v>East</v>
      </c>
      <c r="W1062" s="11" t="str">
        <f>VLOOKUP(C1062,Customer_Dim!$A:$N,13,FALSE())</f>
        <v>Platinum</v>
      </c>
      <c r="X1062" s="11" t="str">
        <f t="shared" si="118"/>
        <v>Low</v>
      </c>
    </row>
    <row r="1063" spans="1:24" ht="15.75" customHeight="1">
      <c r="A1063" s="4" t="s">
        <v>3059</v>
      </c>
      <c r="B1063" s="9">
        <v>45780</v>
      </c>
      <c r="C1063" s="4" t="s">
        <v>316</v>
      </c>
      <c r="D1063" s="4" t="s">
        <v>1773</v>
      </c>
      <c r="E1063" s="4" t="s">
        <v>1965</v>
      </c>
      <c r="F1063" s="4">
        <v>2</v>
      </c>
      <c r="G1063" s="4">
        <v>981.35</v>
      </c>
      <c r="H1063" s="4">
        <v>0.16</v>
      </c>
      <c r="I1063" s="4" t="s">
        <v>1998</v>
      </c>
      <c r="J1063" s="10">
        <v>1648.6679999999999</v>
      </c>
      <c r="K1063" s="4" t="str">
        <f t="shared" si="112"/>
        <v>03-05-2025</v>
      </c>
      <c r="L1063" s="4" t="str">
        <f>TEXT(Sales_Fact!$B1063,"mmm")</f>
        <v>May</v>
      </c>
      <c r="M1063" s="4">
        <f t="shared" si="113"/>
        <v>2</v>
      </c>
      <c r="N1063" s="10">
        <f t="shared" si="114"/>
        <v>981.35</v>
      </c>
      <c r="O1063" s="10">
        <f t="shared" si="115"/>
        <v>1648.6679999999999</v>
      </c>
      <c r="P1063" s="10">
        <f t="shared" si="116"/>
        <v>1962.7</v>
      </c>
      <c r="Q1063" s="3">
        <f t="shared" si="117"/>
        <v>0.16000000000000009</v>
      </c>
      <c r="R1063" s="4" t="str">
        <f>IF(Sales_Fact!$O1063&gt;1000,"High","Low")</f>
        <v>High</v>
      </c>
      <c r="S1063" s="4" t="str">
        <f>VLOOKUP(C1063,Customer_Dim!$A:$N,9,FALSE())</f>
        <v>Krystal Ford</v>
      </c>
      <c r="T1063" s="4" t="str">
        <f>VLOOKUP(D1063,Product_Dim!$A:$M,3,FALSE())</f>
        <v>Home</v>
      </c>
      <c r="U1063" s="11" t="str">
        <f>VLOOKUP(D1063,Product_Dim!$A:$M,2,FALSE())</f>
        <v>Premium Blanket Throw</v>
      </c>
      <c r="V1063" s="11" t="str">
        <f>VLOOKUP(E1063,Store_Dim!$A:$E,3,FALSE())</f>
        <v>North</v>
      </c>
      <c r="W1063" s="11" t="str">
        <f>VLOOKUP(C1063,Customer_Dim!$A:$N,13,FALSE())</f>
        <v>Platinum</v>
      </c>
      <c r="X1063" s="11" t="str">
        <f t="shared" si="118"/>
        <v>Low</v>
      </c>
    </row>
    <row r="1064" spans="1:24" ht="15.75" customHeight="1">
      <c r="A1064" s="4" t="s">
        <v>3060</v>
      </c>
      <c r="B1064" s="9">
        <v>45819</v>
      </c>
      <c r="C1064" s="4" t="s">
        <v>749</v>
      </c>
      <c r="D1064" s="4" t="s">
        <v>1782</v>
      </c>
      <c r="E1064" s="4" t="s">
        <v>1924</v>
      </c>
      <c r="F1064" s="4">
        <v>1</v>
      </c>
      <c r="G1064" s="4">
        <v>913.99</v>
      </c>
      <c r="H1064" s="4">
        <v>0.14000000000000001</v>
      </c>
      <c r="I1064" s="4" t="s">
        <v>1996</v>
      </c>
      <c r="J1064" s="10">
        <v>786.03139999999996</v>
      </c>
      <c r="K1064" s="4" t="str">
        <f t="shared" si="112"/>
        <v>11-06-2025</v>
      </c>
      <c r="L1064" s="4" t="str">
        <f>TEXT(Sales_Fact!$B1064,"mmm")</f>
        <v>Jun</v>
      </c>
      <c r="M1064" s="4">
        <f t="shared" si="113"/>
        <v>1</v>
      </c>
      <c r="N1064" s="10">
        <f t="shared" si="114"/>
        <v>913.99</v>
      </c>
      <c r="O1064" s="10">
        <f t="shared" si="115"/>
        <v>786.03139999999996</v>
      </c>
      <c r="P1064" s="10">
        <f t="shared" si="116"/>
        <v>913.99</v>
      </c>
      <c r="Q1064" s="3">
        <f t="shared" si="117"/>
        <v>0.14000000000000004</v>
      </c>
      <c r="R1064" s="4" t="str">
        <f>IF(Sales_Fact!$O1064&gt;1000,"High","Low")</f>
        <v>Low</v>
      </c>
      <c r="S1064" s="4" t="str">
        <f>VLOOKUP(C1064,Customer_Dim!$A:$N,9,FALSE())</f>
        <v>Robert Harris</v>
      </c>
      <c r="T1064" s="4" t="str">
        <f>VLOOKUP(D1064,Product_Dim!$A:$M,3,FALSE())</f>
        <v>Beauty</v>
      </c>
      <c r="U1064" s="11" t="str">
        <f>VLOOKUP(D1064,Product_Dim!$A:$M,2,FALSE())</f>
        <v>Men's Hair Styling Gel</v>
      </c>
      <c r="V1064" s="11" t="str">
        <f>VLOOKUP(E1064,Store_Dim!$A:$E,3,FALSE())</f>
        <v>North</v>
      </c>
      <c r="W1064" s="11" t="str">
        <f>VLOOKUP(C1064,Customer_Dim!$A:$N,13,FALSE())</f>
        <v>Platinum</v>
      </c>
      <c r="X1064" s="11" t="str">
        <f t="shared" si="118"/>
        <v>Low</v>
      </c>
    </row>
    <row r="1065" spans="1:24" ht="15.75" customHeight="1">
      <c r="A1065" s="4" t="s">
        <v>3061</v>
      </c>
      <c r="B1065" s="9">
        <v>45863</v>
      </c>
      <c r="C1065" s="4" t="s">
        <v>75</v>
      </c>
      <c r="D1065" s="4" t="s">
        <v>1803</v>
      </c>
      <c r="E1065" s="4" t="s">
        <v>1940</v>
      </c>
      <c r="F1065" s="4">
        <v>4</v>
      </c>
      <c r="G1065" s="4">
        <v>270.69</v>
      </c>
      <c r="H1065" s="4">
        <v>0.18</v>
      </c>
      <c r="I1065" s="4" t="s">
        <v>1998</v>
      </c>
      <c r="J1065" s="10">
        <v>887.86320000000001</v>
      </c>
      <c r="K1065" s="4" t="str">
        <f t="shared" si="112"/>
        <v>25-07-2025</v>
      </c>
      <c r="L1065" s="4" t="str">
        <f>TEXT(Sales_Fact!$B1065,"mmm")</f>
        <v>Jul</v>
      </c>
      <c r="M1065" s="4">
        <f t="shared" si="113"/>
        <v>4</v>
      </c>
      <c r="N1065" s="10">
        <f t="shared" si="114"/>
        <v>270.69</v>
      </c>
      <c r="O1065" s="10">
        <f t="shared" si="115"/>
        <v>887.86320000000001</v>
      </c>
      <c r="P1065" s="10">
        <f t="shared" si="116"/>
        <v>1082.76</v>
      </c>
      <c r="Q1065" s="3">
        <f t="shared" si="117"/>
        <v>0.18</v>
      </c>
      <c r="R1065" s="4" t="str">
        <f>IF(Sales_Fact!$O1065&gt;1000,"High","Low")</f>
        <v>Low</v>
      </c>
      <c r="S1065" s="4" t="str">
        <f>VLOOKUP(C1065,Customer_Dim!$A:$N,9,FALSE())</f>
        <v>Brian Lopez</v>
      </c>
      <c r="T1065" s="4" t="str">
        <f>VLOOKUP(D1065,Product_Dim!$A:$M,3,FALSE())</f>
        <v>Beauty</v>
      </c>
      <c r="U1065" s="11" t="str">
        <f>VLOOKUP(D1065,Product_Dim!$A:$M,2,FALSE())</f>
        <v>Women's Hair Dryer Brush</v>
      </c>
      <c r="V1065" s="11" t="str">
        <f>VLOOKUP(E1065,Store_Dim!$A:$E,3,FALSE())</f>
        <v>West</v>
      </c>
      <c r="W1065" s="11" t="str">
        <f>VLOOKUP(C1065,Customer_Dim!$A:$N,13,FALSE())</f>
        <v>Gold</v>
      </c>
      <c r="X1065" s="11" t="str">
        <f t="shared" si="118"/>
        <v>High</v>
      </c>
    </row>
    <row r="1066" spans="1:24" ht="15.75" customHeight="1">
      <c r="A1066" s="4" t="s">
        <v>3062</v>
      </c>
      <c r="B1066" s="9">
        <v>45687</v>
      </c>
      <c r="C1066" s="4" t="s">
        <v>562</v>
      </c>
      <c r="D1066" s="4" t="s">
        <v>1837</v>
      </c>
      <c r="E1066" s="4" t="s">
        <v>1934</v>
      </c>
      <c r="F1066" s="4">
        <v>3</v>
      </c>
      <c r="G1066" s="4">
        <v>998.58</v>
      </c>
      <c r="H1066" s="4">
        <v>0.02</v>
      </c>
      <c r="I1066" s="4" t="s">
        <v>1996</v>
      </c>
      <c r="J1066" s="10">
        <v>2935.8252000000002</v>
      </c>
      <c r="K1066" s="4" t="str">
        <f t="shared" si="112"/>
        <v>30-01-2025</v>
      </c>
      <c r="L1066" s="4" t="str">
        <f>TEXT(Sales_Fact!$B1066,"mmm")</f>
        <v>Jan</v>
      </c>
      <c r="M1066" s="4">
        <f t="shared" si="113"/>
        <v>3</v>
      </c>
      <c r="N1066" s="10">
        <f t="shared" si="114"/>
        <v>998.58</v>
      </c>
      <c r="O1066" s="10">
        <f t="shared" si="115"/>
        <v>2935.8252000000002</v>
      </c>
      <c r="P1066" s="10">
        <f t="shared" si="116"/>
        <v>2995.7400000000002</v>
      </c>
      <c r="Q1066" s="3">
        <f t="shared" si="117"/>
        <v>2.0000000000000004E-2</v>
      </c>
      <c r="R1066" s="4" t="str">
        <f>IF(Sales_Fact!$O1066&gt;1000,"High","Low")</f>
        <v>High</v>
      </c>
      <c r="S1066" s="4" t="str">
        <f>VLOOKUP(C1066,Customer_Dim!$A:$N,9,FALSE())</f>
        <v>Cynthia Morris</v>
      </c>
      <c r="T1066" s="4" t="str">
        <f>VLOOKUP(D1066,Product_Dim!$A:$M,3,FALSE())</f>
        <v>Electronics</v>
      </c>
      <c r="U1066" s="11" t="str">
        <f>VLOOKUP(D1066,Product_Dim!$A:$M,2,FALSE())</f>
        <v>WiFi Mesh Router</v>
      </c>
      <c r="V1066" s="11" t="str">
        <f>VLOOKUP(E1066,Store_Dim!$A:$E,3,FALSE())</f>
        <v>East</v>
      </c>
      <c r="W1066" s="11" t="str">
        <f>VLOOKUP(C1066,Customer_Dim!$A:$N,13,FALSE())</f>
        <v>Silver</v>
      </c>
      <c r="X1066" s="11" t="str">
        <f t="shared" si="118"/>
        <v>Low</v>
      </c>
    </row>
    <row r="1067" spans="1:24" ht="15.75" customHeight="1">
      <c r="A1067" s="4" t="s">
        <v>3063</v>
      </c>
      <c r="B1067" s="9">
        <v>45806</v>
      </c>
      <c r="C1067" s="4" t="s">
        <v>1437</v>
      </c>
      <c r="D1067" s="4" t="s">
        <v>1712</v>
      </c>
      <c r="E1067" s="4" t="s">
        <v>1944</v>
      </c>
      <c r="F1067" s="4">
        <v>3</v>
      </c>
      <c r="G1067" s="4">
        <v>765.12</v>
      </c>
      <c r="H1067" s="4">
        <v>0.18</v>
      </c>
      <c r="I1067" s="4" t="s">
        <v>1996</v>
      </c>
      <c r="J1067" s="10">
        <v>1882.1952000000001</v>
      </c>
      <c r="K1067" s="4" t="str">
        <f t="shared" si="112"/>
        <v>29-05-2025</v>
      </c>
      <c r="L1067" s="4" t="str">
        <f>TEXT(Sales_Fact!$B1067,"mmm")</f>
        <v>May</v>
      </c>
      <c r="M1067" s="4">
        <f t="shared" si="113"/>
        <v>3</v>
      </c>
      <c r="N1067" s="10">
        <f t="shared" si="114"/>
        <v>765.12</v>
      </c>
      <c r="O1067" s="10">
        <f t="shared" si="115"/>
        <v>1882.1952000000003</v>
      </c>
      <c r="P1067" s="10">
        <f t="shared" si="116"/>
        <v>2295.36</v>
      </c>
      <c r="Q1067" s="3">
        <f t="shared" si="117"/>
        <v>0.17999999999999991</v>
      </c>
      <c r="R1067" s="4" t="str">
        <f>IF(Sales_Fact!$O1067&gt;1000,"High","Low")</f>
        <v>High</v>
      </c>
      <c r="S1067" s="4" t="str">
        <f>VLOOKUP(C1067,Customer_Dim!$A:$N,9,FALSE())</f>
        <v>Julie Powell</v>
      </c>
      <c r="T1067" s="4" t="str">
        <f>VLOOKUP(D1067,Product_Dim!$A:$M,3,FALSE())</f>
        <v>Clothing</v>
      </c>
      <c r="U1067" s="11" t="str">
        <f>VLOOKUP(D1067,Product_Dim!$A:$M,2,FALSE())</f>
        <v>Men's Casual Sneakers</v>
      </c>
      <c r="V1067" s="11" t="str">
        <f>VLOOKUP(E1067,Store_Dim!$A:$E,3,FALSE())</f>
        <v>South</v>
      </c>
      <c r="W1067" s="11" t="str">
        <f>VLOOKUP(C1067,Customer_Dim!$A:$N,13,FALSE())</f>
        <v>Gold</v>
      </c>
      <c r="X1067" s="11" t="str">
        <f t="shared" si="118"/>
        <v>Low</v>
      </c>
    </row>
    <row r="1068" spans="1:24" ht="15.75" customHeight="1">
      <c r="A1068" s="4" t="s">
        <v>3064</v>
      </c>
      <c r="B1068" s="9">
        <v>45216</v>
      </c>
      <c r="C1068" s="4" t="s">
        <v>285</v>
      </c>
      <c r="D1068" s="4" t="s">
        <v>1797</v>
      </c>
      <c r="E1068" s="4" t="s">
        <v>1971</v>
      </c>
      <c r="F1068" s="4">
        <v>3</v>
      </c>
      <c r="G1068" s="4">
        <v>449.99</v>
      </c>
      <c r="H1068" s="4">
        <v>0.17</v>
      </c>
      <c r="I1068" s="4" t="s">
        <v>2004</v>
      </c>
      <c r="J1068" s="10">
        <v>1120.4751000000001</v>
      </c>
      <c r="K1068" s="4" t="str">
        <f t="shared" si="112"/>
        <v>17-10-2023</v>
      </c>
      <c r="L1068" s="4" t="str">
        <f>TEXT(Sales_Fact!$B1068,"mmm")</f>
        <v>Oct</v>
      </c>
      <c r="M1068" s="4">
        <f t="shared" si="113"/>
        <v>3</v>
      </c>
      <c r="N1068" s="10">
        <f t="shared" si="114"/>
        <v>449.99</v>
      </c>
      <c r="O1068" s="10">
        <f t="shared" si="115"/>
        <v>1120.4750999999999</v>
      </c>
      <c r="P1068" s="10">
        <f t="shared" si="116"/>
        <v>1349.97</v>
      </c>
      <c r="Q1068" s="3">
        <f t="shared" si="117"/>
        <v>0.1700000000000001</v>
      </c>
      <c r="R1068" s="4" t="str">
        <f>IF(Sales_Fact!$O1068&gt;1000,"High","Low")</f>
        <v>High</v>
      </c>
      <c r="S1068" s="4" t="str">
        <f>VLOOKUP(C1068,Customer_Dim!$A:$N,9,FALSE())</f>
        <v>Tonya Burch</v>
      </c>
      <c r="T1068" s="4" t="str">
        <f>VLOOKUP(D1068,Product_Dim!$A:$M,3,FALSE())</f>
        <v>Beauty</v>
      </c>
      <c r="U1068" s="11" t="str">
        <f>VLOOKUP(D1068,Product_Dim!$A:$M,2,FALSE())</f>
        <v>Matte Lipstick Set</v>
      </c>
      <c r="V1068" s="11" t="str">
        <f>VLOOKUP(E1068,Store_Dim!$A:$E,3,FALSE())</f>
        <v>East</v>
      </c>
      <c r="W1068" s="11" t="str">
        <f>VLOOKUP(C1068,Customer_Dim!$A:$N,13,FALSE())</f>
        <v>Gold</v>
      </c>
      <c r="X1068" s="11" t="str">
        <f t="shared" si="118"/>
        <v>Low</v>
      </c>
    </row>
    <row r="1069" spans="1:24" ht="15.75" customHeight="1">
      <c r="A1069" s="4" t="s">
        <v>3065</v>
      </c>
      <c r="B1069" s="9">
        <v>45639</v>
      </c>
      <c r="C1069" s="4" t="s">
        <v>834</v>
      </c>
      <c r="D1069" s="4" t="s">
        <v>1732</v>
      </c>
      <c r="E1069" s="4" t="s">
        <v>1950</v>
      </c>
      <c r="F1069" s="4">
        <v>2</v>
      </c>
      <c r="G1069" s="4">
        <v>249.02</v>
      </c>
      <c r="H1069" s="4">
        <v>0.01</v>
      </c>
      <c r="I1069" s="4" t="s">
        <v>2004</v>
      </c>
      <c r="J1069" s="10">
        <v>493.05959999999999</v>
      </c>
      <c r="K1069" s="4" t="str">
        <f t="shared" si="112"/>
        <v>13-12-2024</v>
      </c>
      <c r="L1069" s="4" t="str">
        <f>TEXT(Sales_Fact!$B1069,"mmm")</f>
        <v>Dec</v>
      </c>
      <c r="M1069" s="4">
        <f t="shared" si="113"/>
        <v>2</v>
      </c>
      <c r="N1069" s="10">
        <f t="shared" si="114"/>
        <v>249.02</v>
      </c>
      <c r="O1069" s="10">
        <f t="shared" si="115"/>
        <v>493.05959999999999</v>
      </c>
      <c r="P1069" s="10">
        <f t="shared" si="116"/>
        <v>498.04</v>
      </c>
      <c r="Q1069" s="3">
        <f t="shared" si="117"/>
        <v>1.0000000000000063E-2</v>
      </c>
      <c r="R1069" s="4" t="str">
        <f>IF(Sales_Fact!$O1069&gt;1000,"High","Low")</f>
        <v>Low</v>
      </c>
      <c r="S1069" s="4" t="str">
        <f>VLOOKUP(C1069,Customer_Dim!$A:$N,9,FALSE())</f>
        <v>John Mccoy</v>
      </c>
      <c r="T1069" s="4" t="str">
        <f>VLOOKUP(D1069,Product_Dim!$A:$M,3,FALSE())</f>
        <v>Electronics</v>
      </c>
      <c r="U1069" s="11" t="str">
        <f>VLOOKUP(D1069,Product_Dim!$A:$M,2,FALSE())</f>
        <v>USB External Hard Drive</v>
      </c>
      <c r="V1069" s="11" t="str">
        <f>VLOOKUP(E1069,Store_Dim!$A:$E,3,FALSE())</f>
        <v>South</v>
      </c>
      <c r="W1069" s="11" t="str">
        <f>VLOOKUP(C1069,Customer_Dim!$A:$N,13,FALSE())</f>
        <v>Silver</v>
      </c>
      <c r="X1069" s="11" t="str">
        <f t="shared" si="118"/>
        <v>Low</v>
      </c>
    </row>
    <row r="1070" spans="1:24" ht="15.75" customHeight="1">
      <c r="A1070" s="4" t="s">
        <v>3066</v>
      </c>
      <c r="B1070" s="9">
        <v>45904</v>
      </c>
      <c r="C1070" s="4" t="s">
        <v>1460</v>
      </c>
      <c r="D1070" s="4" t="s">
        <v>1776</v>
      </c>
      <c r="E1070" s="4" t="s">
        <v>1962</v>
      </c>
      <c r="F1070" s="4">
        <v>4</v>
      </c>
      <c r="G1070" s="4">
        <v>689.67</v>
      </c>
      <c r="H1070" s="4">
        <v>0.05</v>
      </c>
      <c r="I1070" s="4" t="s">
        <v>2004</v>
      </c>
      <c r="J1070" s="10">
        <v>2620.7460000000001</v>
      </c>
      <c r="K1070" s="4" t="str">
        <f t="shared" si="112"/>
        <v>04-09-2025</v>
      </c>
      <c r="L1070" s="4" t="str">
        <f>TEXT(Sales_Fact!$B1070,"mmm")</f>
        <v>Sep</v>
      </c>
      <c r="M1070" s="4">
        <f t="shared" si="113"/>
        <v>4</v>
      </c>
      <c r="N1070" s="10">
        <f t="shared" si="114"/>
        <v>689.67</v>
      </c>
      <c r="O1070" s="10">
        <f t="shared" si="115"/>
        <v>2620.7459999999996</v>
      </c>
      <c r="P1070" s="10">
        <f t="shared" si="116"/>
        <v>2758.68</v>
      </c>
      <c r="Q1070" s="3">
        <f t="shared" si="117"/>
        <v>5.0000000000000072E-2</v>
      </c>
      <c r="R1070" s="4" t="str">
        <f>IF(Sales_Fact!$O1070&gt;1000,"High","Low")</f>
        <v>High</v>
      </c>
      <c r="S1070" s="4" t="str">
        <f>VLOOKUP(C1070,Customer_Dim!$A:$N,9,FALSE())</f>
        <v>David Pierce</v>
      </c>
      <c r="T1070" s="4" t="str">
        <f>VLOOKUP(D1070,Product_Dim!$A:$M,3,FALSE())</f>
        <v>Sports</v>
      </c>
      <c r="U1070" s="11" t="str">
        <f>VLOOKUP(D1070,Product_Dim!$A:$M,2,FALSE())</f>
        <v>Foam Roller</v>
      </c>
      <c r="V1070" s="11" t="str">
        <f>VLOOKUP(E1070,Store_Dim!$A:$E,3,FALSE())</f>
        <v>West</v>
      </c>
      <c r="W1070" s="11" t="str">
        <f>VLOOKUP(C1070,Customer_Dim!$A:$N,13,FALSE())</f>
        <v>Platinum</v>
      </c>
      <c r="X1070" s="11" t="str">
        <f t="shared" si="118"/>
        <v>High</v>
      </c>
    </row>
    <row r="1071" spans="1:24" ht="15.75" customHeight="1">
      <c r="A1071" s="4" t="s">
        <v>3067</v>
      </c>
      <c r="B1071" s="9">
        <v>45454</v>
      </c>
      <c r="C1071" s="4" t="s">
        <v>491</v>
      </c>
      <c r="D1071" s="4" t="s">
        <v>1776</v>
      </c>
      <c r="E1071" s="4" t="s">
        <v>1971</v>
      </c>
      <c r="F1071" s="4">
        <v>3</v>
      </c>
      <c r="G1071" s="4">
        <v>223.64</v>
      </c>
      <c r="H1071" s="4">
        <v>0.05</v>
      </c>
      <c r="I1071" s="4" t="s">
        <v>1996</v>
      </c>
      <c r="J1071" s="10">
        <v>637.37400000000002</v>
      </c>
      <c r="K1071" s="4" t="str">
        <f t="shared" si="112"/>
        <v>11-06-2024</v>
      </c>
      <c r="L1071" s="4" t="str">
        <f>TEXT(Sales_Fact!$B1071,"mmm")</f>
        <v>Jun</v>
      </c>
      <c r="M1071" s="4">
        <f t="shared" si="113"/>
        <v>3</v>
      </c>
      <c r="N1071" s="10">
        <f t="shared" si="114"/>
        <v>223.64</v>
      </c>
      <c r="O1071" s="10">
        <f t="shared" si="115"/>
        <v>637.37399999999991</v>
      </c>
      <c r="P1071" s="10">
        <f t="shared" si="116"/>
        <v>670.92</v>
      </c>
      <c r="Q1071" s="3">
        <f t="shared" si="117"/>
        <v>5.0000000000000079E-2</v>
      </c>
      <c r="R1071" s="4" t="str">
        <f>IF(Sales_Fact!$O1071&gt;1000,"High","Low")</f>
        <v>Low</v>
      </c>
      <c r="S1071" s="4" t="str">
        <f>VLOOKUP(C1071,Customer_Dim!$A:$N,9,FALSE())</f>
        <v>Rick Dominguez</v>
      </c>
      <c r="T1071" s="4" t="str">
        <f>VLOOKUP(D1071,Product_Dim!$A:$M,3,FALSE())</f>
        <v>Sports</v>
      </c>
      <c r="U1071" s="11" t="str">
        <f>VLOOKUP(D1071,Product_Dim!$A:$M,2,FALSE())</f>
        <v>Foam Roller</v>
      </c>
      <c r="V1071" s="11" t="str">
        <f>VLOOKUP(E1071,Store_Dim!$A:$E,3,FALSE())</f>
        <v>East</v>
      </c>
      <c r="W1071" s="11" t="str">
        <f>VLOOKUP(C1071,Customer_Dim!$A:$N,13,FALSE())</f>
        <v>Platinum</v>
      </c>
      <c r="X1071" s="11" t="str">
        <f t="shared" si="118"/>
        <v>Low</v>
      </c>
    </row>
    <row r="1072" spans="1:24" ht="15.75" customHeight="1">
      <c r="A1072" s="4" t="s">
        <v>3068</v>
      </c>
      <c r="B1072" s="9">
        <v>45934</v>
      </c>
      <c r="C1072" s="4" t="s">
        <v>396</v>
      </c>
      <c r="D1072" s="4" t="s">
        <v>1671</v>
      </c>
      <c r="E1072" s="4" t="s">
        <v>1927</v>
      </c>
      <c r="F1072" s="4">
        <v>2</v>
      </c>
      <c r="G1072" s="4">
        <v>92.94</v>
      </c>
      <c r="H1072" s="4">
        <v>0.12</v>
      </c>
      <c r="I1072" s="4" t="s">
        <v>1996</v>
      </c>
      <c r="J1072" s="10">
        <v>163.5744</v>
      </c>
      <c r="K1072" s="4" t="str">
        <f t="shared" si="112"/>
        <v>04-10-2025</v>
      </c>
      <c r="L1072" s="4" t="str">
        <f>TEXT(Sales_Fact!$B1072,"mmm")</f>
        <v>Oct</v>
      </c>
      <c r="M1072" s="4">
        <f t="shared" si="113"/>
        <v>2</v>
      </c>
      <c r="N1072" s="10">
        <f t="shared" si="114"/>
        <v>92.94</v>
      </c>
      <c r="O1072" s="10">
        <f t="shared" si="115"/>
        <v>163.5744</v>
      </c>
      <c r="P1072" s="10">
        <f t="shared" si="116"/>
        <v>185.88</v>
      </c>
      <c r="Q1072" s="3">
        <f t="shared" si="117"/>
        <v>0.12</v>
      </c>
      <c r="R1072" s="4" t="str">
        <f>IF(Sales_Fact!$O1072&gt;1000,"High","Low")</f>
        <v>Low</v>
      </c>
      <c r="S1072" s="4" t="str">
        <f>VLOOKUP(C1072,Customer_Dim!$A:$N,9,FALSE())</f>
        <v>Howard Summers</v>
      </c>
      <c r="T1072" s="4" t="str">
        <f>VLOOKUP(D1072,Product_Dim!$A:$M,3,FALSE())</f>
        <v>Sports</v>
      </c>
      <c r="U1072" s="11" t="str">
        <f>VLOOKUP(D1072,Product_Dim!$A:$M,2,FALSE())</f>
        <v>Foldable Camping Chair</v>
      </c>
      <c r="V1072" s="11" t="str">
        <f>VLOOKUP(E1072,Store_Dim!$A:$E,3,FALSE())</f>
        <v>South</v>
      </c>
      <c r="W1072" s="11" t="str">
        <f>VLOOKUP(C1072,Customer_Dim!$A:$N,13,FALSE())</f>
        <v>Bronze</v>
      </c>
      <c r="X1072" s="11" t="str">
        <f t="shared" si="118"/>
        <v>Low</v>
      </c>
    </row>
    <row r="1073" spans="1:24" ht="15.75" customHeight="1">
      <c r="A1073" s="4" t="s">
        <v>3069</v>
      </c>
      <c r="B1073" s="9">
        <v>45401</v>
      </c>
      <c r="C1073" s="4" t="s">
        <v>1159</v>
      </c>
      <c r="D1073" s="4" t="s">
        <v>1644</v>
      </c>
      <c r="E1073" s="4" t="s">
        <v>1919</v>
      </c>
      <c r="F1073" s="4">
        <v>4</v>
      </c>
      <c r="G1073" s="4">
        <v>268.3</v>
      </c>
      <c r="H1073" s="4">
        <v>0.02</v>
      </c>
      <c r="I1073" s="4" t="s">
        <v>2004</v>
      </c>
      <c r="J1073" s="10">
        <v>1051.7360000000001</v>
      </c>
      <c r="K1073" s="4" t="str">
        <f t="shared" si="112"/>
        <v>19-04-2024</v>
      </c>
      <c r="L1073" s="4" t="str">
        <f>TEXT(Sales_Fact!$B1073,"mmm")</f>
        <v>Apr</v>
      </c>
      <c r="M1073" s="4">
        <f t="shared" si="113"/>
        <v>4</v>
      </c>
      <c r="N1073" s="10">
        <f t="shared" si="114"/>
        <v>268.3</v>
      </c>
      <c r="O1073" s="10">
        <f t="shared" si="115"/>
        <v>1051.7360000000001</v>
      </c>
      <c r="P1073" s="10">
        <f t="shared" si="116"/>
        <v>1073.2</v>
      </c>
      <c r="Q1073" s="3">
        <f t="shared" si="117"/>
        <v>1.9999999999999945E-2</v>
      </c>
      <c r="R1073" s="4" t="str">
        <f>IF(Sales_Fact!$O1073&gt;1000,"High","Low")</f>
        <v>High</v>
      </c>
      <c r="S1073" s="4" t="str">
        <f>VLOOKUP(C1073,Customer_Dim!$A:$N,9,FALSE())</f>
        <v>Natalie Johnson</v>
      </c>
      <c r="T1073" s="4" t="str">
        <f>VLOOKUP(D1073,Product_Dim!$A:$M,3,FALSE())</f>
        <v>Beauty</v>
      </c>
      <c r="U1073" s="11" t="str">
        <f>VLOOKUP(D1073,Product_Dim!$A:$M,2,FALSE())</f>
        <v>Beard Grooming Kit</v>
      </c>
      <c r="V1073" s="11" t="str">
        <f>VLOOKUP(E1073,Store_Dim!$A:$E,3,FALSE())</f>
        <v>South</v>
      </c>
      <c r="W1073" s="11" t="str">
        <f>VLOOKUP(C1073,Customer_Dim!$A:$N,13,FALSE())</f>
        <v>Platinum</v>
      </c>
      <c r="X1073" s="11" t="str">
        <f t="shared" si="118"/>
        <v>High</v>
      </c>
    </row>
    <row r="1074" spans="1:24" ht="15.75" customHeight="1">
      <c r="A1074" s="4" t="s">
        <v>3070</v>
      </c>
      <c r="B1074" s="9">
        <v>45770</v>
      </c>
      <c r="C1074" s="4" t="s">
        <v>1397</v>
      </c>
      <c r="D1074" s="4" t="s">
        <v>1782</v>
      </c>
      <c r="E1074" s="4" t="s">
        <v>1971</v>
      </c>
      <c r="F1074" s="4">
        <v>4</v>
      </c>
      <c r="G1074" s="4">
        <v>835.61</v>
      </c>
      <c r="H1074" s="4">
        <v>0.03</v>
      </c>
      <c r="I1074" s="4" t="s">
        <v>1996</v>
      </c>
      <c r="J1074" s="10">
        <v>3242.1668</v>
      </c>
      <c r="K1074" s="4" t="str">
        <f t="shared" si="112"/>
        <v>23-04-2025</v>
      </c>
      <c r="L1074" s="4" t="str">
        <f>TEXT(Sales_Fact!$B1074,"mmm")</f>
        <v>Apr</v>
      </c>
      <c r="M1074" s="4">
        <f t="shared" si="113"/>
        <v>4</v>
      </c>
      <c r="N1074" s="10">
        <f t="shared" si="114"/>
        <v>835.61</v>
      </c>
      <c r="O1074" s="10">
        <f t="shared" si="115"/>
        <v>3242.1668</v>
      </c>
      <c r="P1074" s="10">
        <f t="shared" si="116"/>
        <v>3342.44</v>
      </c>
      <c r="Q1074" s="3">
        <f t="shared" si="117"/>
        <v>3.0000000000000027E-2</v>
      </c>
      <c r="R1074" s="4" t="str">
        <f>IF(Sales_Fact!$O1074&gt;1000,"High","Low")</f>
        <v>High</v>
      </c>
      <c r="S1074" s="4" t="str">
        <f>VLOOKUP(C1074,Customer_Dim!$A:$N,9,FALSE())</f>
        <v>Kelli Smith</v>
      </c>
      <c r="T1074" s="4" t="str">
        <f>VLOOKUP(D1074,Product_Dim!$A:$M,3,FALSE())</f>
        <v>Beauty</v>
      </c>
      <c r="U1074" s="11" t="str">
        <f>VLOOKUP(D1074,Product_Dim!$A:$M,2,FALSE())</f>
        <v>Men's Hair Styling Gel</v>
      </c>
      <c r="V1074" s="11" t="str">
        <f>VLOOKUP(E1074,Store_Dim!$A:$E,3,FALSE())</f>
        <v>East</v>
      </c>
      <c r="W1074" s="11" t="str">
        <f>VLOOKUP(C1074,Customer_Dim!$A:$N,13,FALSE())</f>
        <v>Bronze</v>
      </c>
      <c r="X1074" s="11" t="str">
        <f t="shared" si="118"/>
        <v>High</v>
      </c>
    </row>
    <row r="1075" spans="1:24" ht="15.75" customHeight="1">
      <c r="A1075" s="4" t="s">
        <v>3071</v>
      </c>
      <c r="B1075" s="9">
        <v>45405</v>
      </c>
      <c r="C1075" s="4" t="s">
        <v>1222</v>
      </c>
      <c r="D1075" s="4" t="s">
        <v>1809</v>
      </c>
      <c r="E1075" s="4" t="s">
        <v>1931</v>
      </c>
      <c r="F1075" s="4">
        <v>3</v>
      </c>
      <c r="G1075" s="4">
        <v>120.97</v>
      </c>
      <c r="H1075" s="4">
        <v>0.11</v>
      </c>
      <c r="I1075" s="4" t="s">
        <v>1996</v>
      </c>
      <c r="J1075" s="10">
        <v>322.98989999999998</v>
      </c>
      <c r="K1075" s="4" t="str">
        <f t="shared" si="112"/>
        <v>23-04-2024</v>
      </c>
      <c r="L1075" s="4" t="str">
        <f>TEXT(Sales_Fact!$B1075,"mmm")</f>
        <v>Apr</v>
      </c>
      <c r="M1075" s="4">
        <f t="shared" si="113"/>
        <v>3</v>
      </c>
      <c r="N1075" s="10">
        <f t="shared" si="114"/>
        <v>120.97</v>
      </c>
      <c r="O1075" s="10">
        <f t="shared" si="115"/>
        <v>322.98989999999998</v>
      </c>
      <c r="P1075" s="10">
        <f t="shared" si="116"/>
        <v>362.90999999999997</v>
      </c>
      <c r="Q1075" s="3">
        <f t="shared" si="117"/>
        <v>0.10999999999999999</v>
      </c>
      <c r="R1075" s="4" t="str">
        <f>IF(Sales_Fact!$O1075&gt;1000,"High","Low")</f>
        <v>Low</v>
      </c>
      <c r="S1075" s="4" t="str">
        <f>VLOOKUP(C1075,Customer_Dim!$A:$N,9,FALSE())</f>
        <v>Martha Brown</v>
      </c>
      <c r="T1075" s="4" t="str">
        <f>VLOOKUP(D1075,Product_Dim!$A:$M,3,FALSE())</f>
        <v>Home</v>
      </c>
      <c r="U1075" s="11" t="str">
        <f>VLOOKUP(D1075,Product_Dim!$A:$M,2,FALSE())</f>
        <v>Wooden Nightstand</v>
      </c>
      <c r="V1075" s="11" t="str">
        <f>VLOOKUP(E1075,Store_Dim!$A:$E,3,FALSE())</f>
        <v>North</v>
      </c>
      <c r="W1075" s="11" t="str">
        <f>VLOOKUP(C1075,Customer_Dim!$A:$N,13,FALSE())</f>
        <v>Gold</v>
      </c>
      <c r="X1075" s="11" t="str">
        <f t="shared" si="118"/>
        <v>Low</v>
      </c>
    </row>
    <row r="1076" spans="1:24" ht="15.75" customHeight="1">
      <c r="A1076" s="4" t="s">
        <v>3072</v>
      </c>
      <c r="B1076" s="9">
        <v>45424</v>
      </c>
      <c r="C1076" s="4" t="s">
        <v>145</v>
      </c>
      <c r="D1076" s="4" t="s">
        <v>1723</v>
      </c>
      <c r="E1076" s="4" t="s">
        <v>1944</v>
      </c>
      <c r="F1076" s="4">
        <v>2</v>
      </c>
      <c r="G1076" s="4">
        <v>26.36</v>
      </c>
      <c r="H1076" s="4">
        <v>0.03</v>
      </c>
      <c r="I1076" s="4" t="s">
        <v>2004</v>
      </c>
      <c r="J1076" s="10">
        <v>51.138399999999997</v>
      </c>
      <c r="K1076" s="4" t="str">
        <f t="shared" si="112"/>
        <v>12-05-2024</v>
      </c>
      <c r="L1076" s="4" t="str">
        <f>TEXT(Sales_Fact!$B1076,"mmm")</f>
        <v>May</v>
      </c>
      <c r="M1076" s="4">
        <f t="shared" si="113"/>
        <v>2</v>
      </c>
      <c r="N1076" s="10">
        <f t="shared" si="114"/>
        <v>26.36</v>
      </c>
      <c r="O1076" s="10">
        <f t="shared" si="115"/>
        <v>51.138399999999997</v>
      </c>
      <c r="P1076" s="10">
        <f t="shared" si="116"/>
        <v>52.72</v>
      </c>
      <c r="Q1076" s="3">
        <f t="shared" si="117"/>
        <v>3.0000000000000034E-2</v>
      </c>
      <c r="R1076" s="4" t="str">
        <f>IF(Sales_Fact!$O1076&gt;1000,"High","Low")</f>
        <v>Low</v>
      </c>
      <c r="S1076" s="4" t="str">
        <f>VLOOKUP(C1076,Customer_Dim!$A:$N,9,FALSE())</f>
        <v>Jessica Acevedo</v>
      </c>
      <c r="T1076" s="4" t="str">
        <f>VLOOKUP(D1076,Product_Dim!$A:$M,3,FALSE())</f>
        <v>Electronics</v>
      </c>
      <c r="U1076" s="11" t="str">
        <f>VLOOKUP(D1076,Product_Dim!$A:$M,2,FALSE())</f>
        <v>Noise-Canceling Headphones</v>
      </c>
      <c r="V1076" s="11" t="str">
        <f>VLOOKUP(E1076,Store_Dim!$A:$E,3,FALSE())</f>
        <v>South</v>
      </c>
      <c r="W1076" s="11" t="str">
        <f>VLOOKUP(C1076,Customer_Dim!$A:$N,13,FALSE())</f>
        <v>Bronze</v>
      </c>
      <c r="X1076" s="11" t="str">
        <f t="shared" si="118"/>
        <v>Low</v>
      </c>
    </row>
    <row r="1077" spans="1:24" ht="15.75" customHeight="1">
      <c r="A1077" s="4" t="s">
        <v>3073</v>
      </c>
      <c r="B1077" s="9">
        <v>45881</v>
      </c>
      <c r="C1077" s="4" t="s">
        <v>155</v>
      </c>
      <c r="D1077" s="4" t="s">
        <v>1837</v>
      </c>
      <c r="E1077" s="4" t="s">
        <v>1934</v>
      </c>
      <c r="F1077" s="4">
        <v>1</v>
      </c>
      <c r="G1077" s="4">
        <v>918.87</v>
      </c>
      <c r="H1077" s="4">
        <v>0.11</v>
      </c>
      <c r="I1077" s="4" t="s">
        <v>1998</v>
      </c>
      <c r="J1077" s="10">
        <v>817.79430000000002</v>
      </c>
      <c r="K1077" s="4" t="str">
        <f t="shared" si="112"/>
        <v>12-08-2025</v>
      </c>
      <c r="L1077" s="4" t="str">
        <f>TEXT(Sales_Fact!$B1077,"mmm")</f>
        <v>Aug</v>
      </c>
      <c r="M1077" s="4">
        <f t="shared" si="113"/>
        <v>1</v>
      </c>
      <c r="N1077" s="10">
        <f t="shared" si="114"/>
        <v>918.87</v>
      </c>
      <c r="O1077" s="10">
        <f t="shared" si="115"/>
        <v>817.79430000000002</v>
      </c>
      <c r="P1077" s="10">
        <f t="shared" si="116"/>
        <v>918.87</v>
      </c>
      <c r="Q1077" s="3">
        <f t="shared" si="117"/>
        <v>0.10999999999999999</v>
      </c>
      <c r="R1077" s="4" t="str">
        <f>IF(Sales_Fact!$O1077&gt;1000,"High","Low")</f>
        <v>Low</v>
      </c>
      <c r="S1077" s="4" t="str">
        <f>VLOOKUP(C1077,Customer_Dim!$A:$N,9,FALSE())</f>
        <v>Robert Jones Dds</v>
      </c>
      <c r="T1077" s="4" t="str">
        <f>VLOOKUP(D1077,Product_Dim!$A:$M,3,FALSE())</f>
        <v>Electronics</v>
      </c>
      <c r="U1077" s="11" t="str">
        <f>VLOOKUP(D1077,Product_Dim!$A:$M,2,FALSE())</f>
        <v>WiFi Mesh Router</v>
      </c>
      <c r="V1077" s="11" t="str">
        <f>VLOOKUP(E1077,Store_Dim!$A:$E,3,FALSE())</f>
        <v>East</v>
      </c>
      <c r="W1077" s="11" t="str">
        <f>VLOOKUP(C1077,Customer_Dim!$A:$N,13,FALSE())</f>
        <v>Platinum</v>
      </c>
      <c r="X1077" s="11" t="str">
        <f t="shared" si="118"/>
        <v>Low</v>
      </c>
    </row>
    <row r="1078" spans="1:24" ht="15.75" customHeight="1">
      <c r="A1078" s="4" t="s">
        <v>3074</v>
      </c>
      <c r="B1078" s="9">
        <v>45794</v>
      </c>
      <c r="C1078" s="4" t="s">
        <v>148</v>
      </c>
      <c r="D1078" s="4" t="s">
        <v>1806</v>
      </c>
      <c r="E1078" s="4" t="s">
        <v>1950</v>
      </c>
      <c r="F1078" s="4">
        <v>2</v>
      </c>
      <c r="G1078" s="4">
        <v>924.73</v>
      </c>
      <c r="H1078" s="4">
        <v>0.28999999999999998</v>
      </c>
      <c r="I1078" s="4" t="s">
        <v>1998</v>
      </c>
      <c r="J1078" s="10">
        <v>1313.1166000000001</v>
      </c>
      <c r="K1078" s="4" t="str">
        <f t="shared" si="112"/>
        <v>17-05-2025</v>
      </c>
      <c r="L1078" s="4" t="str">
        <f>TEXT(Sales_Fact!$B1078,"mmm")</f>
        <v>May</v>
      </c>
      <c r="M1078" s="4">
        <f t="shared" si="113"/>
        <v>2</v>
      </c>
      <c r="N1078" s="10">
        <f t="shared" si="114"/>
        <v>924.73</v>
      </c>
      <c r="O1078" s="10">
        <f t="shared" si="115"/>
        <v>1313.1166000000001</v>
      </c>
      <c r="P1078" s="10">
        <f t="shared" si="116"/>
        <v>1849.46</v>
      </c>
      <c r="Q1078" s="3">
        <f t="shared" si="117"/>
        <v>0.28999999999999998</v>
      </c>
      <c r="R1078" s="4" t="str">
        <f>IF(Sales_Fact!$O1078&gt;1000,"High","Low")</f>
        <v>High</v>
      </c>
      <c r="S1078" s="4" t="str">
        <f>VLOOKUP(C1078,Customer_Dim!$A:$N,9,FALSE())</f>
        <v>Sarah Vance</v>
      </c>
      <c r="T1078" s="4" t="str">
        <f>VLOOKUP(D1078,Product_Dim!$A:$M,3,FALSE())</f>
        <v>Electronics</v>
      </c>
      <c r="U1078" s="11" t="str">
        <f>VLOOKUP(D1078,Product_Dim!$A:$M,2,FALSE())</f>
        <v>Smart LED Light Strip</v>
      </c>
      <c r="V1078" s="11" t="str">
        <f>VLOOKUP(E1078,Store_Dim!$A:$E,3,FALSE())</f>
        <v>South</v>
      </c>
      <c r="W1078" s="11" t="str">
        <f>VLOOKUP(C1078,Customer_Dim!$A:$N,13,FALSE())</f>
        <v>Silver</v>
      </c>
      <c r="X1078" s="11" t="str">
        <f t="shared" si="118"/>
        <v>Low</v>
      </c>
    </row>
    <row r="1079" spans="1:24" ht="15.75" customHeight="1">
      <c r="A1079" s="4" t="s">
        <v>3075</v>
      </c>
      <c r="B1079" s="9">
        <v>45665</v>
      </c>
      <c r="C1079" s="4" t="s">
        <v>113</v>
      </c>
      <c r="D1079" s="4" t="s">
        <v>1629</v>
      </c>
      <c r="E1079" s="4" t="s">
        <v>1947</v>
      </c>
      <c r="F1079" s="4">
        <v>3</v>
      </c>
      <c r="G1079" s="4">
        <v>195.31</v>
      </c>
      <c r="H1079" s="4">
        <v>0.13</v>
      </c>
      <c r="I1079" s="4" t="s">
        <v>2004</v>
      </c>
      <c r="J1079" s="10">
        <v>509.75909999999999</v>
      </c>
      <c r="K1079" s="4" t="str">
        <f t="shared" si="112"/>
        <v>08-01-2025</v>
      </c>
      <c r="L1079" s="4" t="str">
        <f>TEXT(Sales_Fact!$B1079,"mmm")</f>
        <v>Jan</v>
      </c>
      <c r="M1079" s="4">
        <f t="shared" si="113"/>
        <v>3</v>
      </c>
      <c r="N1079" s="10">
        <f t="shared" si="114"/>
        <v>195.31</v>
      </c>
      <c r="O1079" s="10">
        <f t="shared" si="115"/>
        <v>509.75910000000005</v>
      </c>
      <c r="P1079" s="10">
        <f t="shared" si="116"/>
        <v>585.93000000000006</v>
      </c>
      <c r="Q1079" s="3">
        <f t="shared" si="117"/>
        <v>0.13</v>
      </c>
      <c r="R1079" s="4" t="str">
        <f>IF(Sales_Fact!$O1079&gt;1000,"High","Low")</f>
        <v>Low</v>
      </c>
      <c r="S1079" s="4" t="str">
        <f>VLOOKUP(C1079,Customer_Dim!$A:$N,9,FALSE())</f>
        <v>Jeff Martinez</v>
      </c>
      <c r="T1079" s="4" t="str">
        <f>VLOOKUP(D1079,Product_Dim!$A:$M,3,FALSE())</f>
        <v>Beauty</v>
      </c>
      <c r="U1079" s="11" t="str">
        <f>VLOOKUP(D1079,Product_Dim!$A:$M,2,FALSE())</f>
        <v>Hair Strengthening Shampoo</v>
      </c>
      <c r="V1079" s="11" t="str">
        <f>VLOOKUP(E1079,Store_Dim!$A:$E,3,FALSE())</f>
        <v>East</v>
      </c>
      <c r="W1079" s="11" t="str">
        <f>VLOOKUP(C1079,Customer_Dim!$A:$N,13,FALSE())</f>
        <v>Gold</v>
      </c>
      <c r="X1079" s="11" t="str">
        <f t="shared" si="118"/>
        <v>Low</v>
      </c>
    </row>
    <row r="1080" spans="1:24" ht="15.75" customHeight="1">
      <c r="A1080" s="4" t="s">
        <v>3076</v>
      </c>
      <c r="B1080" s="9">
        <v>45793</v>
      </c>
      <c r="C1080" s="4" t="s">
        <v>505</v>
      </c>
      <c r="D1080" s="4" t="s">
        <v>1716</v>
      </c>
      <c r="E1080" s="4" t="s">
        <v>1940</v>
      </c>
      <c r="F1080" s="4">
        <v>1</v>
      </c>
      <c r="G1080" s="4">
        <v>91.38</v>
      </c>
      <c r="H1080" s="4">
        <v>0.14000000000000001</v>
      </c>
      <c r="I1080" s="4" t="s">
        <v>1996</v>
      </c>
      <c r="J1080" s="10">
        <v>78.586799999999997</v>
      </c>
      <c r="K1080" s="4" t="str">
        <f t="shared" si="112"/>
        <v>16-05-2025</v>
      </c>
      <c r="L1080" s="4" t="str">
        <f>TEXT(Sales_Fact!$B1080,"mmm")</f>
        <v>May</v>
      </c>
      <c r="M1080" s="4">
        <f t="shared" si="113"/>
        <v>1</v>
      </c>
      <c r="N1080" s="10">
        <f t="shared" si="114"/>
        <v>91.38</v>
      </c>
      <c r="O1080" s="10">
        <f t="shared" si="115"/>
        <v>78.586799999999997</v>
      </c>
      <c r="P1080" s="10">
        <f t="shared" si="116"/>
        <v>91.38</v>
      </c>
      <c r="Q1080" s="3">
        <f t="shared" si="117"/>
        <v>0.13999999999999999</v>
      </c>
      <c r="R1080" s="4" t="str">
        <f>IF(Sales_Fact!$O1080&gt;1000,"High","Low")</f>
        <v>Low</v>
      </c>
      <c r="S1080" s="4" t="str">
        <f>VLOOKUP(C1080,Customer_Dim!$A:$N,9,FALSE())</f>
        <v>Maria Ramirez</v>
      </c>
      <c r="T1080" s="4" t="str">
        <f>VLOOKUP(D1080,Product_Dim!$A:$M,3,FALSE())</f>
        <v>Sports</v>
      </c>
      <c r="U1080" s="11" t="str">
        <f>VLOOKUP(D1080,Product_Dim!$A:$M,2,FALSE())</f>
        <v>Sports Water Hydration Pack</v>
      </c>
      <c r="V1080" s="11" t="str">
        <f>VLOOKUP(E1080,Store_Dim!$A:$E,3,FALSE())</f>
        <v>West</v>
      </c>
      <c r="W1080" s="11" t="str">
        <f>VLOOKUP(C1080,Customer_Dim!$A:$N,13,FALSE())</f>
        <v>Bronze</v>
      </c>
      <c r="X1080" s="11" t="str">
        <f t="shared" si="118"/>
        <v>Low</v>
      </c>
    </row>
    <row r="1081" spans="1:24" ht="15.75" customHeight="1">
      <c r="A1081" s="4" t="s">
        <v>3077</v>
      </c>
      <c r="B1081" s="9">
        <v>45227</v>
      </c>
      <c r="C1081" s="4" t="s">
        <v>485</v>
      </c>
      <c r="D1081" s="4" t="s">
        <v>1735</v>
      </c>
      <c r="E1081" s="4" t="s">
        <v>1950</v>
      </c>
      <c r="F1081" s="4">
        <v>1</v>
      </c>
      <c r="G1081" s="4">
        <v>541.24</v>
      </c>
      <c r="H1081" s="4">
        <v>0.03</v>
      </c>
      <c r="I1081" s="4" t="s">
        <v>1998</v>
      </c>
      <c r="J1081" s="10">
        <v>525.00279999999998</v>
      </c>
      <c r="K1081" s="4" t="str">
        <f t="shared" si="112"/>
        <v>28-10-2023</v>
      </c>
      <c r="L1081" s="4" t="str">
        <f>TEXT(Sales_Fact!$B1081,"mmm")</f>
        <v>Oct</v>
      </c>
      <c r="M1081" s="4">
        <f t="shared" si="113"/>
        <v>1</v>
      </c>
      <c r="N1081" s="10">
        <f t="shared" si="114"/>
        <v>541.24</v>
      </c>
      <c r="O1081" s="10">
        <f t="shared" si="115"/>
        <v>525.00279999999998</v>
      </c>
      <c r="P1081" s="10">
        <f t="shared" si="116"/>
        <v>541.24</v>
      </c>
      <c r="Q1081" s="3">
        <f t="shared" si="117"/>
        <v>3.0000000000000054E-2</v>
      </c>
      <c r="R1081" s="4" t="str">
        <f>IF(Sales_Fact!$O1081&gt;1000,"High","Low")</f>
        <v>Low</v>
      </c>
      <c r="S1081" s="4" t="str">
        <f>VLOOKUP(C1081,Customer_Dim!$A:$N,9,FALSE())</f>
        <v>Matthew Hanna</v>
      </c>
      <c r="T1081" s="4" t="str">
        <f>VLOOKUP(D1081,Product_Dim!$A:$M,3,FALSE())</f>
        <v>Sports</v>
      </c>
      <c r="U1081" s="11" t="str">
        <f>VLOOKUP(D1081,Product_Dim!$A:$M,2,FALSE())</f>
        <v>Adjustable Jump Rope</v>
      </c>
      <c r="V1081" s="11" t="str">
        <f>VLOOKUP(E1081,Store_Dim!$A:$E,3,FALSE())</f>
        <v>South</v>
      </c>
      <c r="W1081" s="11" t="str">
        <f>VLOOKUP(C1081,Customer_Dim!$A:$N,13,FALSE())</f>
        <v>Platinum</v>
      </c>
      <c r="X1081" s="11" t="str">
        <f t="shared" si="118"/>
        <v>Low</v>
      </c>
    </row>
    <row r="1082" spans="1:24" ht="15.75" customHeight="1">
      <c r="A1082" s="4" t="s">
        <v>3078</v>
      </c>
      <c r="B1082" s="9">
        <v>45563</v>
      </c>
      <c r="C1082" s="4" t="s">
        <v>1516</v>
      </c>
      <c r="D1082" s="4" t="s">
        <v>1864</v>
      </c>
      <c r="E1082" s="4" t="s">
        <v>1950</v>
      </c>
      <c r="F1082" s="4">
        <v>2</v>
      </c>
      <c r="G1082" s="4">
        <v>494.35</v>
      </c>
      <c r="H1082" s="4">
        <v>0.1</v>
      </c>
      <c r="I1082" s="4" t="s">
        <v>1996</v>
      </c>
      <c r="J1082" s="10">
        <v>889.83</v>
      </c>
      <c r="K1082" s="4" t="str">
        <f t="shared" si="112"/>
        <v>28-09-2024</v>
      </c>
      <c r="L1082" s="4" t="str">
        <f>TEXT(Sales_Fact!$B1082,"mmm")</f>
        <v>Sep</v>
      </c>
      <c r="M1082" s="4">
        <f t="shared" si="113"/>
        <v>2</v>
      </c>
      <c r="N1082" s="10">
        <f t="shared" si="114"/>
        <v>494.35</v>
      </c>
      <c r="O1082" s="10">
        <f t="shared" si="115"/>
        <v>889.83</v>
      </c>
      <c r="P1082" s="10">
        <f t="shared" si="116"/>
        <v>988.7</v>
      </c>
      <c r="Q1082" s="3">
        <f t="shared" si="117"/>
        <v>0.1</v>
      </c>
      <c r="R1082" s="4" t="str">
        <f>IF(Sales_Fact!$O1082&gt;1000,"High","Low")</f>
        <v>Low</v>
      </c>
      <c r="S1082" s="4" t="str">
        <f>VLOOKUP(C1082,Customer_Dim!$A:$N,9,FALSE())</f>
        <v>Sarah Smith</v>
      </c>
      <c r="T1082" s="4" t="str">
        <f>VLOOKUP(D1082,Product_Dim!$A:$M,3,FALSE())</f>
        <v>Home</v>
      </c>
      <c r="U1082" s="11" t="str">
        <f>VLOOKUP(D1082,Product_Dim!$A:$M,2,FALSE())</f>
        <v>Kitchen Cutting Board</v>
      </c>
      <c r="V1082" s="11" t="str">
        <f>VLOOKUP(E1082,Store_Dim!$A:$E,3,FALSE())</f>
        <v>South</v>
      </c>
      <c r="W1082" s="11" t="str">
        <f>VLOOKUP(C1082,Customer_Dim!$A:$N,13,FALSE())</f>
        <v>Gold</v>
      </c>
      <c r="X1082" s="11" t="str">
        <f t="shared" si="118"/>
        <v>Low</v>
      </c>
    </row>
    <row r="1083" spans="1:24" ht="15.75" customHeight="1">
      <c r="A1083" s="4" t="s">
        <v>3079</v>
      </c>
      <c r="B1083" s="9">
        <v>45577</v>
      </c>
      <c r="C1083" s="4" t="s">
        <v>843</v>
      </c>
      <c r="D1083" s="4" t="s">
        <v>1671</v>
      </c>
      <c r="E1083" s="4" t="s">
        <v>1947</v>
      </c>
      <c r="F1083" s="4">
        <v>1</v>
      </c>
      <c r="G1083" s="4">
        <v>412.2</v>
      </c>
      <c r="H1083" s="4">
        <v>0.11</v>
      </c>
      <c r="I1083" s="4" t="s">
        <v>1996</v>
      </c>
      <c r="J1083" s="10">
        <v>366.858</v>
      </c>
      <c r="K1083" s="4" t="str">
        <f t="shared" si="112"/>
        <v>12-10-2024</v>
      </c>
      <c r="L1083" s="4" t="str">
        <f>TEXT(Sales_Fact!$B1083,"mmm")</f>
        <v>Oct</v>
      </c>
      <c r="M1083" s="4">
        <f t="shared" si="113"/>
        <v>1</v>
      </c>
      <c r="N1083" s="10">
        <f t="shared" si="114"/>
        <v>412.2</v>
      </c>
      <c r="O1083" s="10">
        <f t="shared" si="115"/>
        <v>366.858</v>
      </c>
      <c r="P1083" s="10">
        <f t="shared" si="116"/>
        <v>412.2</v>
      </c>
      <c r="Q1083" s="3">
        <f t="shared" si="117"/>
        <v>0.10999999999999996</v>
      </c>
      <c r="R1083" s="4" t="str">
        <f>IF(Sales_Fact!$O1083&gt;1000,"High","Low")</f>
        <v>Low</v>
      </c>
      <c r="S1083" s="4" t="str">
        <f>VLOOKUP(C1083,Customer_Dim!$A:$N,9,FALSE())</f>
        <v>Damon Perez</v>
      </c>
      <c r="T1083" s="4" t="str">
        <f>VLOOKUP(D1083,Product_Dim!$A:$M,3,FALSE())</f>
        <v>Sports</v>
      </c>
      <c r="U1083" s="11" t="str">
        <f>VLOOKUP(D1083,Product_Dim!$A:$M,2,FALSE())</f>
        <v>Foldable Camping Chair</v>
      </c>
      <c r="V1083" s="11" t="str">
        <f>VLOOKUP(E1083,Store_Dim!$A:$E,3,FALSE())</f>
        <v>East</v>
      </c>
      <c r="W1083" s="11" t="str">
        <f>VLOOKUP(C1083,Customer_Dim!$A:$N,13,FALSE())</f>
        <v>Gold</v>
      </c>
      <c r="X1083" s="11" t="str">
        <f t="shared" si="118"/>
        <v>Low</v>
      </c>
    </row>
    <row r="1084" spans="1:24" ht="15.75" customHeight="1">
      <c r="A1084" s="4" t="s">
        <v>3080</v>
      </c>
      <c r="B1084" s="9">
        <v>45466</v>
      </c>
      <c r="C1084" s="4" t="s">
        <v>1258</v>
      </c>
      <c r="D1084" s="4" t="s">
        <v>1843</v>
      </c>
      <c r="E1084" s="4" t="s">
        <v>1962</v>
      </c>
      <c r="F1084" s="4">
        <v>1</v>
      </c>
      <c r="G1084" s="4">
        <v>650.47</v>
      </c>
      <c r="H1084" s="4">
        <v>0.13</v>
      </c>
      <c r="I1084" s="4" t="s">
        <v>1998</v>
      </c>
      <c r="J1084" s="10">
        <v>565.90890000000002</v>
      </c>
      <c r="K1084" s="4" t="str">
        <f t="shared" si="112"/>
        <v>23-06-2024</v>
      </c>
      <c r="L1084" s="4" t="str">
        <f>TEXT(Sales_Fact!$B1084,"mmm")</f>
        <v>Jun</v>
      </c>
      <c r="M1084" s="4">
        <f t="shared" si="113"/>
        <v>1</v>
      </c>
      <c r="N1084" s="10">
        <f t="shared" si="114"/>
        <v>650.47</v>
      </c>
      <c r="O1084" s="10">
        <f t="shared" si="115"/>
        <v>565.90890000000002</v>
      </c>
      <c r="P1084" s="10">
        <f t="shared" si="116"/>
        <v>650.47</v>
      </c>
      <c r="Q1084" s="3">
        <f t="shared" si="117"/>
        <v>0.13</v>
      </c>
      <c r="R1084" s="4" t="str">
        <f>IF(Sales_Fact!$O1084&gt;1000,"High","Low")</f>
        <v>Low</v>
      </c>
      <c r="S1084" s="4" t="str">
        <f>VLOOKUP(C1084,Customer_Dim!$A:$N,9,FALSE())</f>
        <v>Alejandro Evans</v>
      </c>
      <c r="T1084" s="4" t="str">
        <f>VLOOKUP(D1084,Product_Dim!$A:$M,3,FALSE())</f>
        <v>Home</v>
      </c>
      <c r="U1084" s="11" t="str">
        <f>VLOOKUP(D1084,Product_Dim!$A:$M,2,FALSE())</f>
        <v>Decorative Lamp Shade</v>
      </c>
      <c r="V1084" s="11" t="str">
        <f>VLOOKUP(E1084,Store_Dim!$A:$E,3,FALSE())</f>
        <v>West</v>
      </c>
      <c r="W1084" s="11" t="str">
        <f>VLOOKUP(C1084,Customer_Dim!$A:$N,13,FALSE())</f>
        <v>Bronze</v>
      </c>
      <c r="X1084" s="11" t="str">
        <f t="shared" si="118"/>
        <v>Low</v>
      </c>
    </row>
    <row r="1085" spans="1:24" ht="15.75" customHeight="1">
      <c r="A1085" s="4" t="s">
        <v>3081</v>
      </c>
      <c r="B1085" s="9">
        <v>45256</v>
      </c>
      <c r="C1085" s="4" t="s">
        <v>544</v>
      </c>
      <c r="D1085" s="4" t="s">
        <v>1636</v>
      </c>
      <c r="E1085" s="4" t="s">
        <v>1952</v>
      </c>
      <c r="F1085" s="4">
        <v>1</v>
      </c>
      <c r="G1085" s="4">
        <v>68.209999999999994</v>
      </c>
      <c r="H1085" s="4">
        <v>0.05</v>
      </c>
      <c r="I1085" s="4" t="s">
        <v>1998</v>
      </c>
      <c r="J1085" s="10">
        <v>64.799499999999995</v>
      </c>
      <c r="K1085" s="4" t="str">
        <f t="shared" si="112"/>
        <v>26-11-2023</v>
      </c>
      <c r="L1085" s="4" t="str">
        <f>TEXT(Sales_Fact!$B1085,"mmm")</f>
        <v>Nov</v>
      </c>
      <c r="M1085" s="4">
        <f t="shared" si="113"/>
        <v>1</v>
      </c>
      <c r="N1085" s="10">
        <f t="shared" si="114"/>
        <v>68.209999999999994</v>
      </c>
      <c r="O1085" s="10">
        <f t="shared" si="115"/>
        <v>64.799499999999995</v>
      </c>
      <c r="P1085" s="10">
        <f t="shared" si="116"/>
        <v>68.209999999999994</v>
      </c>
      <c r="Q1085" s="3">
        <f t="shared" si="117"/>
        <v>4.9999999999999989E-2</v>
      </c>
      <c r="R1085" s="4" t="str">
        <f>IF(Sales_Fact!$O1085&gt;1000,"High","Low")</f>
        <v>Low</v>
      </c>
      <c r="S1085" s="4" t="str">
        <f>VLOOKUP(C1085,Customer_Dim!$A:$N,9,FALSE())</f>
        <v>Curtis Haynes</v>
      </c>
      <c r="T1085" s="4" t="str">
        <f>VLOOKUP(D1085,Product_Dim!$A:$M,3,FALSE())</f>
        <v>Home</v>
      </c>
      <c r="U1085" s="11" t="str">
        <f>VLOOKUP(D1085,Product_Dim!$A:$M,2,FALSE())</f>
        <v>Decorative Wall Mirror</v>
      </c>
      <c r="V1085" s="11" t="str">
        <f>VLOOKUP(E1085,Store_Dim!$A:$E,3,FALSE())</f>
        <v>North</v>
      </c>
      <c r="W1085" s="11" t="str">
        <f>VLOOKUP(C1085,Customer_Dim!$A:$N,13,FALSE())</f>
        <v>Gold</v>
      </c>
      <c r="X1085" s="11" t="str">
        <f t="shared" si="118"/>
        <v>Low</v>
      </c>
    </row>
    <row r="1086" spans="1:24" ht="15.75" customHeight="1">
      <c r="A1086" s="4" t="s">
        <v>3082</v>
      </c>
      <c r="B1086" s="9">
        <v>45886</v>
      </c>
      <c r="C1086" s="4" t="s">
        <v>485</v>
      </c>
      <c r="D1086" s="4" t="s">
        <v>1764</v>
      </c>
      <c r="E1086" s="4" t="s">
        <v>1937</v>
      </c>
      <c r="F1086" s="4">
        <v>2</v>
      </c>
      <c r="G1086" s="4">
        <v>842.89</v>
      </c>
      <c r="H1086" s="4">
        <v>0.25</v>
      </c>
      <c r="I1086" s="4" t="s">
        <v>2004</v>
      </c>
      <c r="J1086" s="10">
        <v>1264.335</v>
      </c>
      <c r="K1086" s="4" t="str">
        <f t="shared" si="112"/>
        <v>17-08-2025</v>
      </c>
      <c r="L1086" s="4" t="str">
        <f>TEXT(Sales_Fact!$B1086,"mmm")</f>
        <v>Aug</v>
      </c>
      <c r="M1086" s="4">
        <f t="shared" si="113"/>
        <v>2</v>
      </c>
      <c r="N1086" s="10">
        <f t="shared" si="114"/>
        <v>842.89</v>
      </c>
      <c r="O1086" s="10">
        <f t="shared" si="115"/>
        <v>1264.335</v>
      </c>
      <c r="P1086" s="10">
        <f t="shared" si="116"/>
        <v>1685.78</v>
      </c>
      <c r="Q1086" s="3">
        <f t="shared" si="117"/>
        <v>0.24999999999999997</v>
      </c>
      <c r="R1086" s="4" t="str">
        <f>IF(Sales_Fact!$O1086&gt;1000,"High","Low")</f>
        <v>High</v>
      </c>
      <c r="S1086" s="4" t="str">
        <f>VLOOKUP(C1086,Customer_Dim!$A:$N,9,FALSE())</f>
        <v>Matthew Hanna</v>
      </c>
      <c r="T1086" s="4" t="str">
        <f>VLOOKUP(D1086,Product_Dim!$A:$M,3,FALSE())</f>
        <v>Clothing</v>
      </c>
      <c r="U1086" s="11" t="str">
        <f>VLOOKUP(D1086,Product_Dim!$A:$M,2,FALSE())</f>
        <v>Men's Track Pants</v>
      </c>
      <c r="V1086" s="11" t="str">
        <f>VLOOKUP(E1086,Store_Dim!$A:$E,3,FALSE())</f>
        <v>South</v>
      </c>
      <c r="W1086" s="11" t="str">
        <f>VLOOKUP(C1086,Customer_Dim!$A:$N,13,FALSE())</f>
        <v>Platinum</v>
      </c>
      <c r="X1086" s="11" t="str">
        <f t="shared" si="118"/>
        <v>Low</v>
      </c>
    </row>
    <row r="1087" spans="1:24" ht="15.75" customHeight="1">
      <c r="A1087" s="4" t="s">
        <v>3083</v>
      </c>
      <c r="B1087" s="9">
        <v>45390</v>
      </c>
      <c r="C1087" s="4" t="s">
        <v>976</v>
      </c>
      <c r="D1087" s="4" t="s">
        <v>1599</v>
      </c>
      <c r="E1087" s="4" t="s">
        <v>1927</v>
      </c>
      <c r="F1087" s="4">
        <v>2</v>
      </c>
      <c r="G1087" s="4">
        <v>227.95</v>
      </c>
      <c r="H1087" s="4">
        <v>0.24</v>
      </c>
      <c r="I1087" s="4" t="s">
        <v>2004</v>
      </c>
      <c r="J1087" s="10">
        <v>346.48399999999998</v>
      </c>
      <c r="K1087" s="4" t="str">
        <f t="shared" si="112"/>
        <v>08-04-2024</v>
      </c>
      <c r="L1087" s="4" t="str">
        <f>TEXT(Sales_Fact!$B1087,"mmm")</f>
        <v>Apr</v>
      </c>
      <c r="M1087" s="4">
        <f t="shared" si="113"/>
        <v>2</v>
      </c>
      <c r="N1087" s="10">
        <f t="shared" si="114"/>
        <v>227.95</v>
      </c>
      <c r="O1087" s="10">
        <f t="shared" si="115"/>
        <v>346.48399999999998</v>
      </c>
      <c r="P1087" s="10">
        <f t="shared" si="116"/>
        <v>455.9</v>
      </c>
      <c r="Q1087" s="3">
        <f t="shared" si="117"/>
        <v>0.24</v>
      </c>
      <c r="R1087" s="4" t="str">
        <f>IF(Sales_Fact!$O1087&gt;1000,"High","Low")</f>
        <v>Low</v>
      </c>
      <c r="S1087" s="4" t="str">
        <f>VLOOKUP(C1087,Customer_Dim!$A:$N,9,FALSE())</f>
        <v>Matthew Avery</v>
      </c>
      <c r="T1087" s="4" t="str">
        <f>VLOOKUP(D1087,Product_Dim!$A:$M,3,FALSE())</f>
        <v>Clothing</v>
      </c>
      <c r="U1087" s="11" t="str">
        <f>VLOOKUP(D1087,Product_Dim!$A:$M,2,FALSE())</f>
        <v>Men's Leather Belt</v>
      </c>
      <c r="V1087" s="11" t="str">
        <f>VLOOKUP(E1087,Store_Dim!$A:$E,3,FALSE())</f>
        <v>South</v>
      </c>
      <c r="W1087" s="11" t="str">
        <f>VLOOKUP(C1087,Customer_Dim!$A:$N,13,FALSE())</f>
        <v>Silver</v>
      </c>
      <c r="X1087" s="11" t="str">
        <f t="shared" si="118"/>
        <v>Low</v>
      </c>
    </row>
    <row r="1088" spans="1:24" ht="15.75" customHeight="1">
      <c r="A1088" s="4" t="s">
        <v>3084</v>
      </c>
      <c r="B1088" s="9">
        <v>45388</v>
      </c>
      <c r="C1088" s="4" t="s">
        <v>656</v>
      </c>
      <c r="D1088" s="4" t="s">
        <v>1803</v>
      </c>
      <c r="E1088" s="4" t="s">
        <v>1952</v>
      </c>
      <c r="F1088" s="4">
        <v>3</v>
      </c>
      <c r="G1088" s="4">
        <v>685.97</v>
      </c>
      <c r="H1088" s="4">
        <v>0.24</v>
      </c>
      <c r="I1088" s="4" t="s">
        <v>1998</v>
      </c>
      <c r="J1088" s="10">
        <v>1564.0116</v>
      </c>
      <c r="K1088" s="4" t="str">
        <f t="shared" si="112"/>
        <v>06-04-2024</v>
      </c>
      <c r="L1088" s="4" t="str">
        <f>TEXT(Sales_Fact!$B1088,"mmm")</f>
        <v>Apr</v>
      </c>
      <c r="M1088" s="4">
        <f t="shared" si="113"/>
        <v>3</v>
      </c>
      <c r="N1088" s="10">
        <f t="shared" si="114"/>
        <v>685.97</v>
      </c>
      <c r="O1088" s="10">
        <f t="shared" si="115"/>
        <v>1564.0115999999998</v>
      </c>
      <c r="P1088" s="10">
        <f t="shared" si="116"/>
        <v>2057.91</v>
      </c>
      <c r="Q1088" s="3">
        <f t="shared" si="117"/>
        <v>0.24000000000000005</v>
      </c>
      <c r="R1088" s="4" t="str">
        <f>IF(Sales_Fact!$O1088&gt;1000,"High","Low")</f>
        <v>High</v>
      </c>
      <c r="S1088" s="4" t="str">
        <f>VLOOKUP(C1088,Customer_Dim!$A:$N,9,FALSE())</f>
        <v>Jacob Wood</v>
      </c>
      <c r="T1088" s="4" t="str">
        <f>VLOOKUP(D1088,Product_Dim!$A:$M,3,FALSE())</f>
        <v>Beauty</v>
      </c>
      <c r="U1088" s="11" t="str">
        <f>VLOOKUP(D1088,Product_Dim!$A:$M,2,FALSE())</f>
        <v>Women's Hair Dryer Brush</v>
      </c>
      <c r="V1088" s="11" t="str">
        <f>VLOOKUP(E1088,Store_Dim!$A:$E,3,FALSE())</f>
        <v>North</v>
      </c>
      <c r="W1088" s="11" t="str">
        <f>VLOOKUP(C1088,Customer_Dim!$A:$N,13,FALSE())</f>
        <v>Gold</v>
      </c>
      <c r="X1088" s="11" t="str">
        <f t="shared" si="118"/>
        <v>Low</v>
      </c>
    </row>
    <row r="1089" spans="1:24" ht="15.75" customHeight="1">
      <c r="A1089" s="4" t="s">
        <v>3085</v>
      </c>
      <c r="B1089" s="9">
        <v>45793</v>
      </c>
      <c r="C1089" s="4" t="s">
        <v>1171</v>
      </c>
      <c r="D1089" s="4" t="s">
        <v>1687</v>
      </c>
      <c r="E1089" s="4" t="s">
        <v>1919</v>
      </c>
      <c r="F1089" s="4">
        <v>1</v>
      </c>
      <c r="G1089" s="4">
        <v>722.57</v>
      </c>
      <c r="H1089" s="4">
        <v>0.18</v>
      </c>
      <c r="I1089" s="4" t="s">
        <v>1996</v>
      </c>
      <c r="J1089" s="10">
        <v>592.50739999999996</v>
      </c>
      <c r="K1089" s="4" t="str">
        <f t="shared" si="112"/>
        <v>16-05-2025</v>
      </c>
      <c r="L1089" s="4" t="str">
        <f>TEXT(Sales_Fact!$B1089,"mmm")</f>
        <v>May</v>
      </c>
      <c r="M1089" s="4">
        <f t="shared" si="113"/>
        <v>1</v>
      </c>
      <c r="N1089" s="10">
        <f t="shared" si="114"/>
        <v>722.57</v>
      </c>
      <c r="O1089" s="10">
        <f t="shared" si="115"/>
        <v>592.50740000000008</v>
      </c>
      <c r="P1089" s="10">
        <f t="shared" si="116"/>
        <v>722.57</v>
      </c>
      <c r="Q1089" s="3">
        <f t="shared" si="117"/>
        <v>0.17999999999999997</v>
      </c>
      <c r="R1089" s="4" t="str">
        <f>IF(Sales_Fact!$O1089&gt;1000,"High","Low")</f>
        <v>Low</v>
      </c>
      <c r="S1089" s="4" t="str">
        <f>VLOOKUP(C1089,Customer_Dim!$A:$N,9,FALSE())</f>
        <v>Brandon Mcbride</v>
      </c>
      <c r="T1089" s="4" t="str">
        <f>VLOOKUP(D1089,Product_Dim!$A:$M,3,FALSE())</f>
        <v>Home</v>
      </c>
      <c r="U1089" s="11" t="str">
        <f>VLOOKUP(D1089,Product_Dim!$A:$M,2,FALSE())</f>
        <v>Fabric Sofa Throw Blanket</v>
      </c>
      <c r="V1089" s="11" t="str">
        <f>VLOOKUP(E1089,Store_Dim!$A:$E,3,FALSE())</f>
        <v>South</v>
      </c>
      <c r="W1089" s="11" t="str">
        <f>VLOOKUP(C1089,Customer_Dim!$A:$N,13,FALSE())</f>
        <v>Platinum</v>
      </c>
      <c r="X1089" s="11" t="str">
        <f t="shared" si="118"/>
        <v>Low</v>
      </c>
    </row>
    <row r="1090" spans="1:24" ht="15.75" customHeight="1">
      <c r="A1090" s="4" t="s">
        <v>3086</v>
      </c>
      <c r="B1090" s="9">
        <v>45615</v>
      </c>
      <c r="C1090" s="4" t="s">
        <v>499</v>
      </c>
      <c r="D1090" s="4" t="s">
        <v>1706</v>
      </c>
      <c r="E1090" s="4" t="s">
        <v>1931</v>
      </c>
      <c r="F1090" s="4">
        <v>3</v>
      </c>
      <c r="G1090" s="4">
        <v>585.54999999999995</v>
      </c>
      <c r="H1090" s="4">
        <v>0.14000000000000001</v>
      </c>
      <c r="I1090" s="4" t="s">
        <v>2004</v>
      </c>
      <c r="J1090" s="10">
        <v>1510.7190000000001</v>
      </c>
      <c r="K1090" s="4" t="str">
        <f t="shared" ref="K1090:K1153" si="119">TEXT(B1090,"dd-mm-yyyy")</f>
        <v>19-11-2024</v>
      </c>
      <c r="L1090" s="4" t="str">
        <f>TEXT(Sales_Fact!$B1090,"mmm")</f>
        <v>Nov</v>
      </c>
      <c r="M1090" s="4">
        <f t="shared" ref="M1090:M1153" si="120">IF(ISBLANK(F1090),1,F1090)</f>
        <v>3</v>
      </c>
      <c r="N1090" s="10">
        <f t="shared" ref="N1090:N1153" si="121">ROUNDUP(IF(ISBLANK(G1090),AVERAGE(C:C,G1090,G:G),G1090),2)</f>
        <v>585.54999999999995</v>
      </c>
      <c r="O1090" s="10">
        <f t="shared" ref="O1090:O1153" si="122">M1090*N1090*(1-H1090)</f>
        <v>1510.7189999999998</v>
      </c>
      <c r="P1090" s="10">
        <f t="shared" ref="P1090:P1153" si="123">M1090*N1090</f>
        <v>1756.6499999999999</v>
      </c>
      <c r="Q1090" s="3">
        <f t="shared" ref="Q1090:Q1153" si="124">(P1090-O1090)/P1090</f>
        <v>0.14000000000000004</v>
      </c>
      <c r="R1090" s="4" t="str">
        <f>IF(Sales_Fact!$O1090&gt;1000,"High","Low")</f>
        <v>High</v>
      </c>
      <c r="S1090" s="4" t="str">
        <f>VLOOKUP(C1090,Customer_Dim!$A:$N,9,FALSE())</f>
        <v>Patty Francis</v>
      </c>
      <c r="T1090" s="4" t="str">
        <f>VLOOKUP(D1090,Product_Dim!$A:$M,3,FALSE())</f>
        <v>Home</v>
      </c>
      <c r="U1090" s="11" t="str">
        <f>VLOOKUP(D1090,Product_Dim!$A:$M,2,FALSE())</f>
        <v>Bedroom Table Lamp</v>
      </c>
      <c r="V1090" s="11" t="str">
        <f>VLOOKUP(E1090,Store_Dim!$A:$E,3,FALSE())</f>
        <v>North</v>
      </c>
      <c r="W1090" s="11" t="str">
        <f>VLOOKUP(C1090,Customer_Dim!$A:$N,13,FALSE())</f>
        <v>Gold</v>
      </c>
      <c r="X1090" s="11" t="str">
        <f t="shared" ref="X1090:X1153" si="125">IF(F1090&gt;3,"High","Low")</f>
        <v>Low</v>
      </c>
    </row>
    <row r="1091" spans="1:24" ht="15.75" customHeight="1">
      <c r="A1091" s="4" t="s">
        <v>3087</v>
      </c>
      <c r="B1091" s="9">
        <v>45666</v>
      </c>
      <c r="C1091" s="4" t="s">
        <v>1003</v>
      </c>
      <c r="D1091" s="4" t="s">
        <v>1741</v>
      </c>
      <c r="E1091" s="4" t="s">
        <v>1955</v>
      </c>
      <c r="F1091" s="4">
        <v>2</v>
      </c>
      <c r="G1091" s="4">
        <v>635.80999999999995</v>
      </c>
      <c r="H1091" s="4">
        <v>0.13</v>
      </c>
      <c r="I1091" s="4" t="s">
        <v>1998</v>
      </c>
      <c r="J1091" s="10">
        <v>1106.3094000000001</v>
      </c>
      <c r="K1091" s="4" t="str">
        <f t="shared" si="119"/>
        <v>09-01-2025</v>
      </c>
      <c r="L1091" s="4" t="str">
        <f>TEXT(Sales_Fact!$B1091,"mmm")</f>
        <v>Jan</v>
      </c>
      <c r="M1091" s="4">
        <f t="shared" si="120"/>
        <v>2</v>
      </c>
      <c r="N1091" s="10">
        <f t="shared" si="121"/>
        <v>635.80999999999995</v>
      </c>
      <c r="O1091" s="10">
        <f t="shared" si="122"/>
        <v>1106.3093999999999</v>
      </c>
      <c r="P1091" s="10">
        <f t="shared" si="123"/>
        <v>1271.6199999999999</v>
      </c>
      <c r="Q1091" s="3">
        <f t="shared" si="124"/>
        <v>0.13000000000000003</v>
      </c>
      <c r="R1091" s="4" t="str">
        <f>IF(Sales_Fact!$O1091&gt;1000,"High","Low")</f>
        <v>High</v>
      </c>
      <c r="S1091" s="4" t="str">
        <f>VLOOKUP(C1091,Customer_Dim!$A:$N,9,FALSE())</f>
        <v>Stacy Collins</v>
      </c>
      <c r="T1091" s="4" t="str">
        <f>VLOOKUP(D1091,Product_Dim!$A:$M,3,FALSE())</f>
        <v>Clothing</v>
      </c>
      <c r="U1091" s="11" t="str">
        <f>VLOOKUP(D1091,Product_Dim!$A:$M,2,FALSE())</f>
        <v>Men's Winter Jacket</v>
      </c>
      <c r="V1091" s="11" t="str">
        <f>VLOOKUP(E1091,Store_Dim!$A:$E,3,FALSE())</f>
        <v>East</v>
      </c>
      <c r="W1091" s="11" t="str">
        <f>VLOOKUP(C1091,Customer_Dim!$A:$N,13,FALSE())</f>
        <v>Bronze</v>
      </c>
      <c r="X1091" s="11" t="str">
        <f t="shared" si="125"/>
        <v>Low</v>
      </c>
    </row>
    <row r="1092" spans="1:24" ht="15.75" customHeight="1">
      <c r="A1092" s="4" t="s">
        <v>3088</v>
      </c>
      <c r="B1092" s="9">
        <v>45600</v>
      </c>
      <c r="C1092" s="4" t="s">
        <v>1415</v>
      </c>
      <c r="D1092" s="4" t="s">
        <v>1849</v>
      </c>
      <c r="E1092" s="4" t="s">
        <v>1934</v>
      </c>
      <c r="F1092" s="4">
        <v>1</v>
      </c>
      <c r="G1092" s="4">
        <v>454.71</v>
      </c>
      <c r="H1092" s="4">
        <v>0.16</v>
      </c>
      <c r="I1092" s="4" t="s">
        <v>1998</v>
      </c>
      <c r="J1092" s="10">
        <v>381.95639999999997</v>
      </c>
      <c r="K1092" s="4" t="str">
        <f t="shared" si="119"/>
        <v>04-11-2024</v>
      </c>
      <c r="L1092" s="4" t="str">
        <f>TEXT(Sales_Fact!$B1092,"mmm")</f>
        <v>Nov</v>
      </c>
      <c r="M1092" s="4">
        <f t="shared" si="120"/>
        <v>1</v>
      </c>
      <c r="N1092" s="10">
        <f t="shared" si="121"/>
        <v>454.71</v>
      </c>
      <c r="O1092" s="10">
        <f t="shared" si="122"/>
        <v>381.95639999999997</v>
      </c>
      <c r="P1092" s="10">
        <f t="shared" si="123"/>
        <v>454.71</v>
      </c>
      <c r="Q1092" s="3">
        <f t="shared" si="124"/>
        <v>0.16000000000000003</v>
      </c>
      <c r="R1092" s="4" t="str">
        <f>IF(Sales_Fact!$O1092&gt;1000,"High","Low")</f>
        <v>Low</v>
      </c>
      <c r="S1092" s="4" t="str">
        <f>VLOOKUP(C1092,Customer_Dim!$A:$N,9,FALSE())</f>
        <v>Eric Holmes</v>
      </c>
      <c r="T1092" s="4" t="str">
        <f>VLOOKUP(D1092,Product_Dim!$A:$M,3,FALSE())</f>
        <v>Sports</v>
      </c>
      <c r="U1092" s="11" t="str">
        <f>VLOOKUP(D1092,Product_Dim!$A:$M,2,FALSE())</f>
        <v>Badminton Racket Set</v>
      </c>
      <c r="V1092" s="11" t="str">
        <f>VLOOKUP(E1092,Store_Dim!$A:$E,3,FALSE())</f>
        <v>East</v>
      </c>
      <c r="W1092" s="11" t="str">
        <f>VLOOKUP(C1092,Customer_Dim!$A:$N,13,FALSE())</f>
        <v>Bronze</v>
      </c>
      <c r="X1092" s="11" t="str">
        <f t="shared" si="125"/>
        <v>Low</v>
      </c>
    </row>
    <row r="1093" spans="1:24" ht="15.75" customHeight="1">
      <c r="A1093" s="4" t="s">
        <v>3089</v>
      </c>
      <c r="B1093" s="9">
        <v>45644</v>
      </c>
      <c r="C1093" s="4" t="s">
        <v>909</v>
      </c>
      <c r="D1093" s="4" t="s">
        <v>1636</v>
      </c>
      <c r="E1093" s="4" t="s">
        <v>1927</v>
      </c>
      <c r="F1093" s="4">
        <v>2</v>
      </c>
      <c r="G1093" s="4">
        <v>353.74</v>
      </c>
      <c r="H1093" s="4">
        <v>0.01</v>
      </c>
      <c r="I1093" s="4" t="s">
        <v>1996</v>
      </c>
      <c r="J1093" s="10">
        <v>700.40520000000004</v>
      </c>
      <c r="K1093" s="4" t="str">
        <f t="shared" si="119"/>
        <v>18-12-2024</v>
      </c>
      <c r="L1093" s="4" t="str">
        <f>TEXT(Sales_Fact!$B1093,"mmm")</f>
        <v>Dec</v>
      </c>
      <c r="M1093" s="4">
        <f t="shared" si="120"/>
        <v>2</v>
      </c>
      <c r="N1093" s="10">
        <f t="shared" si="121"/>
        <v>353.74</v>
      </c>
      <c r="O1093" s="10">
        <f t="shared" si="122"/>
        <v>700.40520000000004</v>
      </c>
      <c r="P1093" s="10">
        <f t="shared" si="123"/>
        <v>707.48</v>
      </c>
      <c r="Q1093" s="3">
        <f t="shared" si="124"/>
        <v>9.9999999999999742E-3</v>
      </c>
      <c r="R1093" s="4" t="str">
        <f>IF(Sales_Fact!$O1093&gt;1000,"High","Low")</f>
        <v>Low</v>
      </c>
      <c r="S1093" s="4" t="str">
        <f>VLOOKUP(C1093,Customer_Dim!$A:$N,9,FALSE())</f>
        <v>Jeffrey Gomez</v>
      </c>
      <c r="T1093" s="4" t="str">
        <f>VLOOKUP(D1093,Product_Dim!$A:$M,3,FALSE())</f>
        <v>Home</v>
      </c>
      <c r="U1093" s="11" t="str">
        <f>VLOOKUP(D1093,Product_Dim!$A:$M,2,FALSE())</f>
        <v>Decorative Wall Mirror</v>
      </c>
      <c r="V1093" s="11" t="str">
        <f>VLOOKUP(E1093,Store_Dim!$A:$E,3,FALSE())</f>
        <v>South</v>
      </c>
      <c r="W1093" s="11" t="str">
        <f>VLOOKUP(C1093,Customer_Dim!$A:$N,13,FALSE())</f>
        <v>Platinum</v>
      </c>
      <c r="X1093" s="11" t="str">
        <f t="shared" si="125"/>
        <v>Low</v>
      </c>
    </row>
    <row r="1094" spans="1:24" ht="15.75" customHeight="1">
      <c r="A1094" s="4" t="s">
        <v>3090</v>
      </c>
      <c r="B1094" s="9">
        <v>45648</v>
      </c>
      <c r="C1094" s="4" t="s">
        <v>870</v>
      </c>
      <c r="D1094" s="4" t="s">
        <v>1709</v>
      </c>
      <c r="E1094" s="4" t="s">
        <v>1937</v>
      </c>
      <c r="F1094" s="4">
        <v>1</v>
      </c>
      <c r="G1094" s="4">
        <v>377.52</v>
      </c>
      <c r="H1094" s="4">
        <v>0.15</v>
      </c>
      <c r="I1094" s="4" t="s">
        <v>1996</v>
      </c>
      <c r="J1094" s="10">
        <v>320.892</v>
      </c>
      <c r="K1094" s="4" t="str">
        <f t="shared" si="119"/>
        <v>22-12-2024</v>
      </c>
      <c r="L1094" s="4" t="str">
        <f>TEXT(Sales_Fact!$B1094,"mmm")</f>
        <v>Dec</v>
      </c>
      <c r="M1094" s="4">
        <f t="shared" si="120"/>
        <v>1</v>
      </c>
      <c r="N1094" s="10">
        <f t="shared" si="121"/>
        <v>377.52</v>
      </c>
      <c r="O1094" s="10">
        <f t="shared" si="122"/>
        <v>320.892</v>
      </c>
      <c r="P1094" s="10">
        <f t="shared" si="123"/>
        <v>377.52</v>
      </c>
      <c r="Q1094" s="3">
        <f t="shared" si="124"/>
        <v>0.14999999999999997</v>
      </c>
      <c r="R1094" s="4" t="str">
        <f>IF(Sales_Fact!$O1094&gt;1000,"High","Low")</f>
        <v>Low</v>
      </c>
      <c r="S1094" s="4" t="str">
        <f>VLOOKUP(C1094,Customer_Dim!$A:$N,9,FALSE())</f>
        <v>Matthew Payne</v>
      </c>
      <c r="T1094" s="4" t="str">
        <f>VLOOKUP(D1094,Product_Dim!$A:$M,3,FALSE())</f>
        <v>Clothing</v>
      </c>
      <c r="U1094" s="11" t="str">
        <f>VLOOKUP(D1094,Product_Dim!$A:$M,2,FALSE())</f>
        <v>Women's Summer Dress</v>
      </c>
      <c r="V1094" s="11" t="str">
        <f>VLOOKUP(E1094,Store_Dim!$A:$E,3,FALSE())</f>
        <v>South</v>
      </c>
      <c r="W1094" s="11" t="str">
        <f>VLOOKUP(C1094,Customer_Dim!$A:$N,13,FALSE())</f>
        <v>Gold</v>
      </c>
      <c r="X1094" s="11" t="str">
        <f t="shared" si="125"/>
        <v>Low</v>
      </c>
    </row>
    <row r="1095" spans="1:24" ht="15.75" customHeight="1">
      <c r="A1095" s="4" t="s">
        <v>3091</v>
      </c>
      <c r="B1095" s="9">
        <v>45500</v>
      </c>
      <c r="C1095" s="4" t="s">
        <v>694</v>
      </c>
      <c r="D1095" s="4" t="s">
        <v>1809</v>
      </c>
      <c r="E1095" s="4" t="s">
        <v>1919</v>
      </c>
      <c r="F1095" s="4">
        <v>3</v>
      </c>
      <c r="G1095" s="4">
        <v>901.49</v>
      </c>
      <c r="H1095" s="4">
        <v>0</v>
      </c>
      <c r="I1095" s="4" t="s">
        <v>1996</v>
      </c>
      <c r="J1095" s="10">
        <v>2704.47</v>
      </c>
      <c r="K1095" s="4" t="str">
        <f t="shared" si="119"/>
        <v>27-07-2024</v>
      </c>
      <c r="L1095" s="4" t="str">
        <f>TEXT(Sales_Fact!$B1095,"mmm")</f>
        <v>Jul</v>
      </c>
      <c r="M1095" s="4">
        <f t="shared" si="120"/>
        <v>3</v>
      </c>
      <c r="N1095" s="10">
        <f t="shared" si="121"/>
        <v>901.49</v>
      </c>
      <c r="O1095" s="10">
        <f t="shared" si="122"/>
        <v>2704.4700000000003</v>
      </c>
      <c r="P1095" s="10">
        <f t="shared" si="123"/>
        <v>2704.4700000000003</v>
      </c>
      <c r="Q1095" s="3">
        <f t="shared" si="124"/>
        <v>0</v>
      </c>
      <c r="R1095" s="4" t="str">
        <f>IF(Sales_Fact!$O1095&gt;1000,"High","Low")</f>
        <v>High</v>
      </c>
      <c r="S1095" s="4" t="str">
        <f>VLOOKUP(C1095,Customer_Dim!$A:$N,9,FALSE())</f>
        <v>Michelle Carpenter</v>
      </c>
      <c r="T1095" s="4" t="str">
        <f>VLOOKUP(D1095,Product_Dim!$A:$M,3,FALSE())</f>
        <v>Home</v>
      </c>
      <c r="U1095" s="11" t="str">
        <f>VLOOKUP(D1095,Product_Dim!$A:$M,2,FALSE())</f>
        <v>Wooden Nightstand</v>
      </c>
      <c r="V1095" s="11" t="str">
        <f>VLOOKUP(E1095,Store_Dim!$A:$E,3,FALSE())</f>
        <v>South</v>
      </c>
      <c r="W1095" s="11" t="str">
        <f>VLOOKUP(C1095,Customer_Dim!$A:$N,13,FALSE())</f>
        <v>Gold</v>
      </c>
      <c r="X1095" s="11" t="str">
        <f t="shared" si="125"/>
        <v>Low</v>
      </c>
    </row>
    <row r="1096" spans="1:24" ht="15.75" customHeight="1">
      <c r="A1096" s="4" t="s">
        <v>3092</v>
      </c>
      <c r="B1096" s="9">
        <v>45806</v>
      </c>
      <c r="C1096" s="4" t="s">
        <v>679</v>
      </c>
      <c r="D1096" s="4" t="s">
        <v>1690</v>
      </c>
      <c r="E1096" s="4" t="s">
        <v>1931</v>
      </c>
      <c r="F1096" s="4">
        <v>1</v>
      </c>
      <c r="G1096" s="4">
        <v>563.01</v>
      </c>
      <c r="H1096" s="4">
        <v>0.1</v>
      </c>
      <c r="I1096" s="4" t="s">
        <v>1996</v>
      </c>
      <c r="J1096" s="10">
        <v>506.709</v>
      </c>
      <c r="K1096" s="4" t="str">
        <f t="shared" si="119"/>
        <v>29-05-2025</v>
      </c>
      <c r="L1096" s="4" t="str">
        <f>TEXT(Sales_Fact!$B1096,"mmm")</f>
        <v>May</v>
      </c>
      <c r="M1096" s="4">
        <f t="shared" si="120"/>
        <v>1</v>
      </c>
      <c r="N1096" s="10">
        <f t="shared" si="121"/>
        <v>563.01</v>
      </c>
      <c r="O1096" s="10">
        <f t="shared" si="122"/>
        <v>506.709</v>
      </c>
      <c r="P1096" s="10">
        <f t="shared" si="123"/>
        <v>563.01</v>
      </c>
      <c r="Q1096" s="3">
        <f t="shared" si="124"/>
        <v>9.9999999999999978E-2</v>
      </c>
      <c r="R1096" s="4" t="str">
        <f>IF(Sales_Fact!$O1096&gt;1000,"High","Low")</f>
        <v>Low</v>
      </c>
      <c r="S1096" s="4" t="str">
        <f>VLOOKUP(C1096,Customer_Dim!$A:$N,9,FALSE())</f>
        <v>Anna Perez</v>
      </c>
      <c r="T1096" s="4" t="str">
        <f>VLOOKUP(D1096,Product_Dim!$A:$M,3,FALSE())</f>
        <v>Home</v>
      </c>
      <c r="U1096" s="11" t="str">
        <f>VLOOKUP(D1096,Product_Dim!$A:$M,2,FALSE())</f>
        <v>Stainless Steel Cutlery Set</v>
      </c>
      <c r="V1096" s="11" t="str">
        <f>VLOOKUP(E1096,Store_Dim!$A:$E,3,FALSE())</f>
        <v>North</v>
      </c>
      <c r="W1096" s="11" t="str">
        <f>VLOOKUP(C1096,Customer_Dim!$A:$N,13,FALSE())</f>
        <v>Platinum</v>
      </c>
      <c r="X1096" s="11" t="str">
        <f t="shared" si="125"/>
        <v>Low</v>
      </c>
    </row>
    <row r="1097" spans="1:24" ht="15.75" customHeight="1">
      <c r="A1097" s="4" t="s">
        <v>3093</v>
      </c>
      <c r="B1097" s="9">
        <v>45365</v>
      </c>
      <c r="C1097" s="4" t="s">
        <v>219</v>
      </c>
      <c r="D1097" s="4" t="s">
        <v>1816</v>
      </c>
      <c r="E1097" s="4" t="s">
        <v>1934</v>
      </c>
      <c r="F1097" s="4">
        <v>4</v>
      </c>
      <c r="G1097" s="4">
        <v>167.25</v>
      </c>
      <c r="H1097" s="4">
        <v>0.11</v>
      </c>
      <c r="I1097" s="4" t="s">
        <v>1996</v>
      </c>
      <c r="J1097" s="10">
        <v>595.41</v>
      </c>
      <c r="K1097" s="4" t="str">
        <f t="shared" si="119"/>
        <v>14-03-2024</v>
      </c>
      <c r="L1097" s="4" t="str">
        <f>TEXT(Sales_Fact!$B1097,"mmm")</f>
        <v>Mar</v>
      </c>
      <c r="M1097" s="4">
        <f t="shared" si="120"/>
        <v>4</v>
      </c>
      <c r="N1097" s="10">
        <f t="shared" si="121"/>
        <v>167.25</v>
      </c>
      <c r="O1097" s="10">
        <f t="shared" si="122"/>
        <v>595.41</v>
      </c>
      <c r="P1097" s="10">
        <f t="shared" si="123"/>
        <v>669</v>
      </c>
      <c r="Q1097" s="3">
        <f t="shared" si="124"/>
        <v>0.11000000000000004</v>
      </c>
      <c r="R1097" s="4" t="str">
        <f>IF(Sales_Fact!$O1097&gt;1000,"High","Low")</f>
        <v>Low</v>
      </c>
      <c r="S1097" s="4" t="str">
        <f>VLOOKUP(C1097,Customer_Dim!$A:$N,9,FALSE())</f>
        <v>Debra Liu</v>
      </c>
      <c r="T1097" s="4" t="str">
        <f>VLOOKUP(D1097,Product_Dim!$A:$M,3,FALSE())</f>
        <v>Home</v>
      </c>
      <c r="U1097" s="11" t="str">
        <f>VLOOKUP(D1097,Product_Dim!$A:$M,2,FALSE())</f>
        <v>Kitchen Storage Rack</v>
      </c>
      <c r="V1097" s="11" t="str">
        <f>VLOOKUP(E1097,Store_Dim!$A:$E,3,FALSE())</f>
        <v>East</v>
      </c>
      <c r="W1097" s="11" t="str">
        <f>VLOOKUP(C1097,Customer_Dim!$A:$N,13,FALSE())</f>
        <v>Bronze</v>
      </c>
      <c r="X1097" s="11" t="str">
        <f t="shared" si="125"/>
        <v>High</v>
      </c>
    </row>
    <row r="1098" spans="1:24" ht="15.75" customHeight="1">
      <c r="A1098" s="4" t="s">
        <v>3094</v>
      </c>
      <c r="B1098" s="9">
        <v>45229</v>
      </c>
      <c r="C1098" s="4" t="s">
        <v>1432</v>
      </c>
      <c r="D1098" s="4" t="s">
        <v>1785</v>
      </c>
      <c r="E1098" s="4" t="s">
        <v>1968</v>
      </c>
      <c r="F1098" s="4">
        <v>3</v>
      </c>
      <c r="G1098" s="4">
        <v>345.43</v>
      </c>
      <c r="H1098" s="4">
        <v>0.08</v>
      </c>
      <c r="I1098" s="4" t="s">
        <v>2004</v>
      </c>
      <c r="J1098" s="10">
        <v>953.38679999999999</v>
      </c>
      <c r="K1098" s="4" t="str">
        <f t="shared" si="119"/>
        <v>30-10-2023</v>
      </c>
      <c r="L1098" s="4" t="str">
        <f>TEXT(Sales_Fact!$B1098,"mmm")</f>
        <v>Oct</v>
      </c>
      <c r="M1098" s="4">
        <f t="shared" si="120"/>
        <v>3</v>
      </c>
      <c r="N1098" s="10">
        <f t="shared" si="121"/>
        <v>345.43</v>
      </c>
      <c r="O1098" s="10">
        <f t="shared" si="122"/>
        <v>953.38679999999999</v>
      </c>
      <c r="P1098" s="10">
        <f t="shared" si="123"/>
        <v>1036.29</v>
      </c>
      <c r="Q1098" s="3">
        <f t="shared" si="124"/>
        <v>7.9999999999999974E-2</v>
      </c>
      <c r="R1098" s="4" t="str">
        <f>IF(Sales_Fact!$O1098&gt;1000,"High","Low")</f>
        <v>Low</v>
      </c>
      <c r="S1098" s="4" t="str">
        <f>VLOOKUP(C1098,Customer_Dim!$A:$N,9,FALSE())</f>
        <v>John Berg</v>
      </c>
      <c r="T1098" s="4" t="str">
        <f>VLOOKUP(D1098,Product_Dim!$A:$M,3,FALSE())</f>
        <v>Beauty</v>
      </c>
      <c r="U1098" s="11" t="str">
        <f>VLOOKUP(D1098,Product_Dim!$A:$M,2,FALSE())</f>
        <v>Luxury Perfume Spray</v>
      </c>
      <c r="V1098" s="11" t="str">
        <f>VLOOKUP(E1098,Store_Dim!$A:$E,3,FALSE())</f>
        <v>East</v>
      </c>
      <c r="W1098" s="11" t="str">
        <f>VLOOKUP(C1098,Customer_Dim!$A:$N,13,FALSE())</f>
        <v>Gold</v>
      </c>
      <c r="X1098" s="11" t="str">
        <f t="shared" si="125"/>
        <v>Low</v>
      </c>
    </row>
    <row r="1099" spans="1:24" ht="15.75" customHeight="1">
      <c r="A1099" s="4" t="s">
        <v>3095</v>
      </c>
      <c r="B1099" s="9">
        <v>45349</v>
      </c>
      <c r="C1099" s="4" t="s">
        <v>1000</v>
      </c>
      <c r="D1099" s="4" t="s">
        <v>1852</v>
      </c>
      <c r="E1099" s="4" t="s">
        <v>1944</v>
      </c>
      <c r="F1099" s="4">
        <v>4</v>
      </c>
      <c r="G1099" s="4">
        <v>752.48</v>
      </c>
      <c r="H1099" s="4">
        <v>0.23</v>
      </c>
      <c r="I1099" s="4" t="s">
        <v>1996</v>
      </c>
      <c r="J1099" s="10">
        <v>2317.6383999999998</v>
      </c>
      <c r="K1099" s="4" t="str">
        <f t="shared" si="119"/>
        <v>27-02-2024</v>
      </c>
      <c r="L1099" s="4" t="str">
        <f>TEXT(Sales_Fact!$B1099,"mmm")</f>
        <v>Feb</v>
      </c>
      <c r="M1099" s="4">
        <f t="shared" si="120"/>
        <v>4</v>
      </c>
      <c r="N1099" s="10">
        <f t="shared" si="121"/>
        <v>752.48</v>
      </c>
      <c r="O1099" s="10">
        <f t="shared" si="122"/>
        <v>2317.6384000000003</v>
      </c>
      <c r="P1099" s="10">
        <f t="shared" si="123"/>
        <v>3009.92</v>
      </c>
      <c r="Q1099" s="3">
        <f t="shared" si="124"/>
        <v>0.22999999999999993</v>
      </c>
      <c r="R1099" s="4" t="str">
        <f>IF(Sales_Fact!$O1099&gt;1000,"High","Low")</f>
        <v>High</v>
      </c>
      <c r="S1099" s="4" t="str">
        <f>VLOOKUP(C1099,Customer_Dim!$A:$N,9,FALSE())</f>
        <v>Jennifer Zamora</v>
      </c>
      <c r="T1099" s="4" t="str">
        <f>VLOOKUP(D1099,Product_Dim!$A:$M,3,FALSE())</f>
        <v>Sports</v>
      </c>
      <c r="U1099" s="11" t="str">
        <f>VLOOKUP(D1099,Product_Dim!$A:$M,2,FALSE())</f>
        <v>Fitness Resistance Bands</v>
      </c>
      <c r="V1099" s="11" t="str">
        <f>VLOOKUP(E1099,Store_Dim!$A:$E,3,FALSE())</f>
        <v>South</v>
      </c>
      <c r="W1099" s="11" t="str">
        <f>VLOOKUP(C1099,Customer_Dim!$A:$N,13,FALSE())</f>
        <v>Gold</v>
      </c>
      <c r="X1099" s="11" t="str">
        <f t="shared" si="125"/>
        <v>High</v>
      </c>
    </row>
    <row r="1100" spans="1:24" ht="15.75" customHeight="1">
      <c r="A1100" s="4" t="s">
        <v>3096</v>
      </c>
      <c r="B1100" s="9">
        <v>45886</v>
      </c>
      <c r="C1100" s="4" t="s">
        <v>1418</v>
      </c>
      <c r="D1100" s="4" t="s">
        <v>1776</v>
      </c>
      <c r="E1100" s="4" t="s">
        <v>1971</v>
      </c>
      <c r="F1100" s="4">
        <v>1</v>
      </c>
      <c r="G1100" s="4">
        <v>120.02</v>
      </c>
      <c r="H1100" s="4">
        <v>0.26</v>
      </c>
      <c r="I1100" s="4" t="s">
        <v>1996</v>
      </c>
      <c r="J1100" s="10">
        <v>88.814800000000005</v>
      </c>
      <c r="K1100" s="4" t="str">
        <f t="shared" si="119"/>
        <v>17-08-2025</v>
      </c>
      <c r="L1100" s="4" t="str">
        <f>TEXT(Sales_Fact!$B1100,"mmm")</f>
        <v>Aug</v>
      </c>
      <c r="M1100" s="4">
        <f t="shared" si="120"/>
        <v>1</v>
      </c>
      <c r="N1100" s="10">
        <f t="shared" si="121"/>
        <v>120.02</v>
      </c>
      <c r="O1100" s="10">
        <f t="shared" si="122"/>
        <v>88.814799999999991</v>
      </c>
      <c r="P1100" s="10">
        <f t="shared" si="123"/>
        <v>120.02</v>
      </c>
      <c r="Q1100" s="3">
        <f t="shared" si="124"/>
        <v>0.26000000000000006</v>
      </c>
      <c r="R1100" s="4" t="str">
        <f>IF(Sales_Fact!$O1100&gt;1000,"High","Low")</f>
        <v>Low</v>
      </c>
      <c r="S1100" s="4" t="str">
        <f>VLOOKUP(C1100,Customer_Dim!$A:$N,9,FALSE())</f>
        <v>William Cortez</v>
      </c>
      <c r="T1100" s="4" t="str">
        <f>VLOOKUP(D1100,Product_Dim!$A:$M,3,FALSE())</f>
        <v>Sports</v>
      </c>
      <c r="U1100" s="11" t="str">
        <f>VLOOKUP(D1100,Product_Dim!$A:$M,2,FALSE())</f>
        <v>Foam Roller</v>
      </c>
      <c r="V1100" s="11" t="str">
        <f>VLOOKUP(E1100,Store_Dim!$A:$E,3,FALSE())</f>
        <v>East</v>
      </c>
      <c r="W1100" s="11" t="str">
        <f>VLOOKUP(C1100,Customer_Dim!$A:$N,13,FALSE())</f>
        <v>Bronze</v>
      </c>
      <c r="X1100" s="11" t="str">
        <f t="shared" si="125"/>
        <v>Low</v>
      </c>
    </row>
    <row r="1101" spans="1:24" ht="15.75" customHeight="1">
      <c r="A1101" s="4" t="s">
        <v>3097</v>
      </c>
      <c r="B1101" s="9">
        <v>45359</v>
      </c>
      <c r="C1101" s="4" t="s">
        <v>1045</v>
      </c>
      <c r="D1101" s="4" t="s">
        <v>1726</v>
      </c>
      <c r="E1101" s="4" t="s">
        <v>1940</v>
      </c>
      <c r="F1101" s="4">
        <v>3</v>
      </c>
      <c r="G1101" s="4">
        <v>146.71</v>
      </c>
      <c r="H1101" s="4">
        <v>0.28000000000000003</v>
      </c>
      <c r="I1101" s="4" t="s">
        <v>1996</v>
      </c>
      <c r="J1101" s="10">
        <v>316.89359999999999</v>
      </c>
      <c r="K1101" s="4" t="str">
        <f t="shared" si="119"/>
        <v>08-03-2024</v>
      </c>
      <c r="L1101" s="4" t="str">
        <f>TEXT(Sales_Fact!$B1101,"mmm")</f>
        <v>Mar</v>
      </c>
      <c r="M1101" s="4">
        <f t="shared" si="120"/>
        <v>3</v>
      </c>
      <c r="N1101" s="10">
        <f t="shared" si="121"/>
        <v>146.71</v>
      </c>
      <c r="O1101" s="10">
        <f t="shared" si="122"/>
        <v>316.89359999999999</v>
      </c>
      <c r="P1101" s="10">
        <f t="shared" si="123"/>
        <v>440.13</v>
      </c>
      <c r="Q1101" s="3">
        <f t="shared" si="124"/>
        <v>0.28000000000000003</v>
      </c>
      <c r="R1101" s="4" t="str">
        <f>IF(Sales_Fact!$O1101&gt;1000,"High","Low")</f>
        <v>Low</v>
      </c>
      <c r="S1101" s="4" t="str">
        <f>VLOOKUP(C1101,Customer_Dim!$A:$N,9,FALSE())</f>
        <v>Kristy Dunlap</v>
      </c>
      <c r="T1101" s="4" t="str">
        <f>VLOOKUP(D1101,Product_Dim!$A:$M,3,FALSE())</f>
        <v>Sports</v>
      </c>
      <c r="U1101" s="11" t="str">
        <f>VLOOKUP(D1101,Product_Dim!$A:$M,2,FALSE())</f>
        <v>Yoga Exercise Mat</v>
      </c>
      <c r="V1101" s="11" t="str">
        <f>VLOOKUP(E1101,Store_Dim!$A:$E,3,FALSE())</f>
        <v>West</v>
      </c>
      <c r="W1101" s="11" t="str">
        <f>VLOOKUP(C1101,Customer_Dim!$A:$N,13,FALSE())</f>
        <v>Platinum</v>
      </c>
      <c r="X1101" s="11" t="str">
        <f t="shared" si="125"/>
        <v>Low</v>
      </c>
    </row>
    <row r="1102" spans="1:24" ht="15.75" customHeight="1">
      <c r="A1102" s="4" t="s">
        <v>3098</v>
      </c>
      <c r="B1102" s="9">
        <v>45730</v>
      </c>
      <c r="C1102" s="4" t="s">
        <v>319</v>
      </c>
      <c r="D1102" s="4" t="s">
        <v>1797</v>
      </c>
      <c r="E1102" s="4" t="s">
        <v>1910</v>
      </c>
      <c r="F1102" s="4">
        <v>2</v>
      </c>
      <c r="G1102" s="4">
        <v>358.87</v>
      </c>
      <c r="H1102" s="4">
        <v>0.24</v>
      </c>
      <c r="I1102" s="4" t="s">
        <v>1996</v>
      </c>
      <c r="J1102" s="10">
        <v>545.48239999999998</v>
      </c>
      <c r="K1102" s="4" t="str">
        <f t="shared" si="119"/>
        <v>14-03-2025</v>
      </c>
      <c r="L1102" s="4" t="str">
        <f>TEXT(Sales_Fact!$B1102,"mmm")</f>
        <v>Mar</v>
      </c>
      <c r="M1102" s="4">
        <f t="shared" si="120"/>
        <v>2</v>
      </c>
      <c r="N1102" s="10">
        <f t="shared" si="121"/>
        <v>358.87</v>
      </c>
      <c r="O1102" s="10">
        <f t="shared" si="122"/>
        <v>545.48239999999998</v>
      </c>
      <c r="P1102" s="10">
        <f t="shared" si="123"/>
        <v>717.74</v>
      </c>
      <c r="Q1102" s="3">
        <f t="shared" si="124"/>
        <v>0.24000000000000002</v>
      </c>
      <c r="R1102" s="4" t="str">
        <f>IF(Sales_Fact!$O1102&gt;1000,"High","Low")</f>
        <v>Low</v>
      </c>
      <c r="S1102" s="4" t="str">
        <f>VLOOKUP(C1102,Customer_Dim!$A:$N,9,FALSE())</f>
        <v>George Rosario</v>
      </c>
      <c r="T1102" s="4" t="str">
        <f>VLOOKUP(D1102,Product_Dim!$A:$M,3,FALSE())</f>
        <v>Beauty</v>
      </c>
      <c r="U1102" s="11" t="str">
        <f>VLOOKUP(D1102,Product_Dim!$A:$M,2,FALSE())</f>
        <v>Matte Lipstick Set</v>
      </c>
      <c r="V1102" s="11" t="str">
        <f>VLOOKUP(E1102,Store_Dim!$A:$E,3,FALSE())</f>
        <v>East</v>
      </c>
      <c r="W1102" s="11" t="str">
        <f>VLOOKUP(C1102,Customer_Dim!$A:$N,13,FALSE())</f>
        <v>Bronze</v>
      </c>
      <c r="X1102" s="11" t="str">
        <f t="shared" si="125"/>
        <v>Low</v>
      </c>
    </row>
    <row r="1103" spans="1:24" ht="15.75" customHeight="1">
      <c r="A1103" s="4" t="s">
        <v>3099</v>
      </c>
      <c r="B1103" s="9">
        <v>45646</v>
      </c>
      <c r="C1103" s="4" t="s">
        <v>171</v>
      </c>
      <c r="D1103" s="4" t="s">
        <v>1803</v>
      </c>
      <c r="E1103" s="4" t="s">
        <v>1931</v>
      </c>
      <c r="F1103" s="4">
        <v>2</v>
      </c>
      <c r="G1103" s="4">
        <v>397.63</v>
      </c>
      <c r="H1103" s="4">
        <v>0.26</v>
      </c>
      <c r="I1103" s="4" t="s">
        <v>1996</v>
      </c>
      <c r="J1103" s="10">
        <v>588.49239999999998</v>
      </c>
      <c r="K1103" s="4" t="str">
        <f t="shared" si="119"/>
        <v>20-12-2024</v>
      </c>
      <c r="L1103" s="4" t="str">
        <f>TEXT(Sales_Fact!$B1103,"mmm")</f>
        <v>Dec</v>
      </c>
      <c r="M1103" s="4">
        <f t="shared" si="120"/>
        <v>2</v>
      </c>
      <c r="N1103" s="10">
        <f t="shared" si="121"/>
        <v>397.63</v>
      </c>
      <c r="O1103" s="10">
        <f t="shared" si="122"/>
        <v>588.49239999999998</v>
      </c>
      <c r="P1103" s="10">
        <f t="shared" si="123"/>
        <v>795.26</v>
      </c>
      <c r="Q1103" s="3">
        <f t="shared" si="124"/>
        <v>0.26</v>
      </c>
      <c r="R1103" s="4" t="str">
        <f>IF(Sales_Fact!$O1103&gt;1000,"High","Low")</f>
        <v>Low</v>
      </c>
      <c r="S1103" s="4" t="str">
        <f>VLOOKUP(C1103,Customer_Dim!$A:$N,9,FALSE())</f>
        <v>Deanna Simpson</v>
      </c>
      <c r="T1103" s="4" t="str">
        <f>VLOOKUP(D1103,Product_Dim!$A:$M,3,FALSE())</f>
        <v>Beauty</v>
      </c>
      <c r="U1103" s="11" t="str">
        <f>VLOOKUP(D1103,Product_Dim!$A:$M,2,FALSE())</f>
        <v>Women's Hair Dryer Brush</v>
      </c>
      <c r="V1103" s="11" t="str">
        <f>VLOOKUP(E1103,Store_Dim!$A:$E,3,FALSE())</f>
        <v>North</v>
      </c>
      <c r="W1103" s="11" t="str">
        <f>VLOOKUP(C1103,Customer_Dim!$A:$N,13,FALSE())</f>
        <v>Bronze</v>
      </c>
      <c r="X1103" s="11" t="str">
        <f t="shared" si="125"/>
        <v>Low</v>
      </c>
    </row>
    <row r="1104" spans="1:24" ht="15.75" customHeight="1">
      <c r="A1104" s="4" t="s">
        <v>3100</v>
      </c>
      <c r="B1104" s="9">
        <v>45456</v>
      </c>
      <c r="C1104" s="4" t="s">
        <v>801</v>
      </c>
      <c r="D1104" s="4" t="s">
        <v>1761</v>
      </c>
      <c r="E1104" s="4" t="s">
        <v>1924</v>
      </c>
      <c r="F1104" s="4">
        <v>4</v>
      </c>
      <c r="G1104" s="4">
        <v>212.75</v>
      </c>
      <c r="H1104" s="4">
        <v>0.11</v>
      </c>
      <c r="I1104" s="4" t="s">
        <v>2004</v>
      </c>
      <c r="J1104" s="10">
        <v>757.39</v>
      </c>
      <c r="K1104" s="4" t="str">
        <f t="shared" si="119"/>
        <v>13-06-2024</v>
      </c>
      <c r="L1104" s="4" t="str">
        <f>TEXT(Sales_Fact!$B1104,"mmm")</f>
        <v>Jun</v>
      </c>
      <c r="M1104" s="4">
        <f t="shared" si="120"/>
        <v>4</v>
      </c>
      <c r="N1104" s="10">
        <f t="shared" si="121"/>
        <v>212.75</v>
      </c>
      <c r="O1104" s="10">
        <f t="shared" si="122"/>
        <v>757.39</v>
      </c>
      <c r="P1104" s="10">
        <f t="shared" si="123"/>
        <v>851</v>
      </c>
      <c r="Q1104" s="3">
        <f t="shared" si="124"/>
        <v>0.11000000000000001</v>
      </c>
      <c r="R1104" s="4" t="str">
        <f>IF(Sales_Fact!$O1104&gt;1000,"High","Low")</f>
        <v>Low</v>
      </c>
      <c r="S1104" s="4" t="str">
        <f>VLOOKUP(C1104,Customer_Dim!$A:$N,9,FALSE())</f>
        <v>Mr. William Horton</v>
      </c>
      <c r="T1104" s="4" t="str">
        <f>VLOOKUP(D1104,Product_Dim!$A:$M,3,FALSE())</f>
        <v>Sports</v>
      </c>
      <c r="U1104" s="11" t="str">
        <f>VLOOKUP(D1104,Product_Dim!$A:$M,2,FALSE())</f>
        <v>Rugby Ball</v>
      </c>
      <c r="V1104" s="11" t="str">
        <f>VLOOKUP(E1104,Store_Dim!$A:$E,3,FALSE())</f>
        <v>North</v>
      </c>
      <c r="W1104" s="11" t="str">
        <f>VLOOKUP(C1104,Customer_Dim!$A:$N,13,FALSE())</f>
        <v>Platinum</v>
      </c>
      <c r="X1104" s="11" t="str">
        <f t="shared" si="125"/>
        <v>High</v>
      </c>
    </row>
    <row r="1105" spans="1:24" ht="15.75" customHeight="1">
      <c r="A1105" s="4" t="s">
        <v>3101</v>
      </c>
      <c r="B1105" s="9">
        <v>45450</v>
      </c>
      <c r="C1105" s="4" t="s">
        <v>1057</v>
      </c>
      <c r="D1105" s="4" t="s">
        <v>1738</v>
      </c>
      <c r="E1105" s="4" t="s">
        <v>1950</v>
      </c>
      <c r="F1105" s="4">
        <v>1</v>
      </c>
      <c r="G1105" s="4">
        <v>183.47</v>
      </c>
      <c r="H1105" s="4">
        <v>0.17</v>
      </c>
      <c r="I1105" s="4" t="s">
        <v>1998</v>
      </c>
      <c r="J1105" s="10">
        <v>152.2801</v>
      </c>
      <c r="K1105" s="4" t="str">
        <f t="shared" si="119"/>
        <v>07-06-2024</v>
      </c>
      <c r="L1105" s="4" t="str">
        <f>TEXT(Sales_Fact!$B1105,"mmm")</f>
        <v>Jun</v>
      </c>
      <c r="M1105" s="4">
        <f t="shared" si="120"/>
        <v>1</v>
      </c>
      <c r="N1105" s="10">
        <f t="shared" si="121"/>
        <v>183.47</v>
      </c>
      <c r="O1105" s="10">
        <f t="shared" si="122"/>
        <v>152.2801</v>
      </c>
      <c r="P1105" s="10">
        <f t="shared" si="123"/>
        <v>183.47</v>
      </c>
      <c r="Q1105" s="3">
        <f t="shared" si="124"/>
        <v>0.16999999999999996</v>
      </c>
      <c r="R1105" s="4" t="str">
        <f>IF(Sales_Fact!$O1105&gt;1000,"High","Low")</f>
        <v>Low</v>
      </c>
      <c r="S1105" s="4" t="str">
        <f>VLOOKUP(C1105,Customer_Dim!$A:$N,9,FALSE())</f>
        <v>Reginald Willis</v>
      </c>
      <c r="T1105" s="4" t="str">
        <f>VLOOKUP(D1105,Product_Dim!$A:$M,3,FALSE())</f>
        <v>Sports</v>
      </c>
      <c r="U1105" s="11" t="str">
        <f>VLOOKUP(D1105,Product_Dim!$A:$M,2,FALSE())</f>
        <v>High-Grip Football</v>
      </c>
      <c r="V1105" s="11" t="str">
        <f>VLOOKUP(E1105,Store_Dim!$A:$E,3,FALSE())</f>
        <v>South</v>
      </c>
      <c r="W1105" s="11" t="str">
        <f>VLOOKUP(C1105,Customer_Dim!$A:$N,13,FALSE())</f>
        <v>Bronze</v>
      </c>
      <c r="X1105" s="11" t="str">
        <f t="shared" si="125"/>
        <v>Low</v>
      </c>
    </row>
    <row r="1106" spans="1:24" ht="15.75" customHeight="1">
      <c r="A1106" s="4" t="s">
        <v>3102</v>
      </c>
      <c r="B1106" s="9">
        <v>45493</v>
      </c>
      <c r="C1106" s="4" t="s">
        <v>272</v>
      </c>
      <c r="D1106" s="4" t="s">
        <v>1873</v>
      </c>
      <c r="E1106" s="4" t="s">
        <v>1959</v>
      </c>
      <c r="F1106" s="4">
        <v>4</v>
      </c>
      <c r="G1106" s="4">
        <v>569.98</v>
      </c>
      <c r="H1106" s="4">
        <v>0.23</v>
      </c>
      <c r="I1106" s="4" t="s">
        <v>1996</v>
      </c>
      <c r="J1106" s="10">
        <v>1755.5383999999999</v>
      </c>
      <c r="K1106" s="4" t="str">
        <f t="shared" si="119"/>
        <v>20-07-2024</v>
      </c>
      <c r="L1106" s="4" t="str">
        <f>TEXT(Sales_Fact!$B1106,"mmm")</f>
        <v>Jul</v>
      </c>
      <c r="M1106" s="4">
        <f t="shared" si="120"/>
        <v>4</v>
      </c>
      <c r="N1106" s="10">
        <f t="shared" si="121"/>
        <v>569.98</v>
      </c>
      <c r="O1106" s="10">
        <f t="shared" si="122"/>
        <v>1755.5384000000001</v>
      </c>
      <c r="P1106" s="10">
        <f t="shared" si="123"/>
        <v>2279.92</v>
      </c>
      <c r="Q1106" s="3">
        <f t="shared" si="124"/>
        <v>0.22999999999999995</v>
      </c>
      <c r="R1106" s="4" t="str">
        <f>IF(Sales_Fact!$O1106&gt;1000,"High","Low")</f>
        <v>High</v>
      </c>
      <c r="S1106" s="4" t="str">
        <f>VLOOKUP(C1106,Customer_Dim!$A:$N,9,FALSE())</f>
        <v>Mr. Mark Beasley</v>
      </c>
      <c r="T1106" s="4" t="str">
        <f>VLOOKUP(D1106,Product_Dim!$A:$M,3,FALSE())</f>
        <v>Beauty</v>
      </c>
      <c r="U1106" s="11" t="str">
        <f>VLOOKUP(D1106,Product_Dim!$A:$M,2,FALSE())</f>
        <v>Face Foundation Kit</v>
      </c>
      <c r="V1106" s="11" t="str">
        <f>VLOOKUP(E1106,Store_Dim!$A:$E,3,FALSE())</f>
        <v>North</v>
      </c>
      <c r="W1106" s="11" t="str">
        <f>VLOOKUP(C1106,Customer_Dim!$A:$N,13,FALSE())</f>
        <v>Silver</v>
      </c>
      <c r="X1106" s="11" t="str">
        <f t="shared" si="125"/>
        <v>High</v>
      </c>
    </row>
    <row r="1107" spans="1:24" ht="15.75" customHeight="1">
      <c r="A1107" s="4" t="s">
        <v>3103</v>
      </c>
      <c r="B1107" s="9">
        <v>45274</v>
      </c>
      <c r="C1107" s="4" t="s">
        <v>1484</v>
      </c>
      <c r="D1107" s="4" t="s">
        <v>1661</v>
      </c>
      <c r="E1107" s="4" t="s">
        <v>1952</v>
      </c>
      <c r="F1107" s="4">
        <v>3</v>
      </c>
      <c r="G1107" s="4">
        <v>984.12</v>
      </c>
      <c r="H1107" s="4">
        <v>0.27</v>
      </c>
      <c r="I1107" s="4" t="s">
        <v>1996</v>
      </c>
      <c r="J1107" s="10">
        <v>2155.2228</v>
      </c>
      <c r="K1107" s="4" t="str">
        <f t="shared" si="119"/>
        <v>14-12-2023</v>
      </c>
      <c r="L1107" s="4" t="str">
        <f>TEXT(Sales_Fact!$B1107,"mmm")</f>
        <v>Dec</v>
      </c>
      <c r="M1107" s="4">
        <f t="shared" si="120"/>
        <v>3</v>
      </c>
      <c r="N1107" s="10">
        <f t="shared" si="121"/>
        <v>984.12</v>
      </c>
      <c r="O1107" s="10">
        <f t="shared" si="122"/>
        <v>2155.2228</v>
      </c>
      <c r="P1107" s="10">
        <f t="shared" si="123"/>
        <v>2952.36</v>
      </c>
      <c r="Q1107" s="3">
        <f t="shared" si="124"/>
        <v>0.27</v>
      </c>
      <c r="R1107" s="4" t="str">
        <f>IF(Sales_Fact!$O1107&gt;1000,"High","Low")</f>
        <v>High</v>
      </c>
      <c r="S1107" s="4" t="str">
        <f>VLOOKUP(C1107,Customer_Dim!$A:$N,9,FALSE())</f>
        <v>Philip Mendoza</v>
      </c>
      <c r="T1107" s="4" t="str">
        <f>VLOOKUP(D1107,Product_Dim!$A:$M,3,FALSE())</f>
        <v>Home</v>
      </c>
      <c r="U1107" s="11" t="str">
        <f>VLOOKUP(D1107,Product_Dim!$A:$M,2,FALSE())</f>
        <v>Multi-Purpose Storage Box</v>
      </c>
      <c r="V1107" s="11" t="str">
        <f>VLOOKUP(E1107,Store_Dim!$A:$E,3,FALSE())</f>
        <v>North</v>
      </c>
      <c r="W1107" s="11" t="str">
        <f>VLOOKUP(C1107,Customer_Dim!$A:$N,13,FALSE())</f>
        <v>Silver</v>
      </c>
      <c r="X1107" s="11" t="str">
        <f t="shared" si="125"/>
        <v>Low</v>
      </c>
    </row>
    <row r="1108" spans="1:24" ht="15.75" customHeight="1">
      <c r="A1108" s="4" t="s">
        <v>3104</v>
      </c>
      <c r="B1108" s="9">
        <v>45844</v>
      </c>
      <c r="C1108" s="4" t="s">
        <v>1487</v>
      </c>
      <c r="D1108" s="4" t="s">
        <v>1858</v>
      </c>
      <c r="E1108" s="4" t="s">
        <v>1940</v>
      </c>
      <c r="F1108" s="4">
        <v>1</v>
      </c>
      <c r="G1108" s="4">
        <v>905.23</v>
      </c>
      <c r="H1108" s="4">
        <v>0</v>
      </c>
      <c r="I1108" s="4" t="s">
        <v>1996</v>
      </c>
      <c r="J1108" s="10">
        <v>905.23</v>
      </c>
      <c r="K1108" s="4" t="str">
        <f t="shared" si="119"/>
        <v>06-07-2025</v>
      </c>
      <c r="L1108" s="4" t="str">
        <f>TEXT(Sales_Fact!$B1108,"mmm")</f>
        <v>Jul</v>
      </c>
      <c r="M1108" s="4">
        <f t="shared" si="120"/>
        <v>1</v>
      </c>
      <c r="N1108" s="10">
        <f t="shared" si="121"/>
        <v>905.23</v>
      </c>
      <c r="O1108" s="10">
        <f t="shared" si="122"/>
        <v>905.23</v>
      </c>
      <c r="P1108" s="10">
        <f t="shared" si="123"/>
        <v>905.23</v>
      </c>
      <c r="Q1108" s="3">
        <f t="shared" si="124"/>
        <v>0</v>
      </c>
      <c r="R1108" s="4" t="str">
        <f>IF(Sales_Fact!$O1108&gt;1000,"High","Low")</f>
        <v>Low</v>
      </c>
      <c r="S1108" s="4" t="str">
        <f>VLOOKUP(C1108,Customer_Dim!$A:$N,9,FALSE())</f>
        <v>Laura Mathews</v>
      </c>
      <c r="T1108" s="4" t="str">
        <f>VLOOKUP(D1108,Product_Dim!$A:$M,3,FALSE())</f>
        <v>Home</v>
      </c>
      <c r="U1108" s="11" t="str">
        <f>VLOOKUP(D1108,Product_Dim!$A:$M,2,FALSE())</f>
        <v>Wooden Bookshelf</v>
      </c>
      <c r="V1108" s="11" t="str">
        <f>VLOOKUP(E1108,Store_Dim!$A:$E,3,FALSE())</f>
        <v>West</v>
      </c>
      <c r="W1108" s="11" t="str">
        <f>VLOOKUP(C1108,Customer_Dim!$A:$N,13,FALSE())</f>
        <v>Bronze</v>
      </c>
      <c r="X1108" s="11" t="str">
        <f t="shared" si="125"/>
        <v>Low</v>
      </c>
    </row>
    <row r="1109" spans="1:24" ht="15.75" customHeight="1">
      <c r="A1109" s="4" t="s">
        <v>3105</v>
      </c>
      <c r="B1109" s="9">
        <v>45264</v>
      </c>
      <c r="C1109" s="4" t="s">
        <v>638</v>
      </c>
      <c r="D1109" s="4" t="s">
        <v>1903</v>
      </c>
      <c r="E1109" s="4" t="s">
        <v>1971</v>
      </c>
      <c r="F1109" s="4">
        <v>3</v>
      </c>
      <c r="G1109" s="4">
        <v>112.77</v>
      </c>
      <c r="H1109" s="4">
        <v>0.19</v>
      </c>
      <c r="I1109" s="4" t="s">
        <v>1996</v>
      </c>
      <c r="J1109" s="10">
        <v>274.03109999999998</v>
      </c>
      <c r="K1109" s="4" t="str">
        <f t="shared" si="119"/>
        <v>04-12-2023</v>
      </c>
      <c r="L1109" s="4" t="str">
        <f>TEXT(Sales_Fact!$B1109,"mmm")</f>
        <v>Dec</v>
      </c>
      <c r="M1109" s="4">
        <f t="shared" si="120"/>
        <v>3</v>
      </c>
      <c r="N1109" s="10">
        <f t="shared" si="121"/>
        <v>112.77</v>
      </c>
      <c r="O1109" s="10">
        <f t="shared" si="122"/>
        <v>274.03110000000004</v>
      </c>
      <c r="P1109" s="10">
        <f t="shared" si="123"/>
        <v>338.31</v>
      </c>
      <c r="Q1109" s="3">
        <f t="shared" si="124"/>
        <v>0.18999999999999989</v>
      </c>
      <c r="R1109" s="4" t="str">
        <f>IF(Sales_Fact!$O1109&gt;1000,"High","Low")</f>
        <v>Low</v>
      </c>
      <c r="S1109" s="4" t="str">
        <f>VLOOKUP(C1109,Customer_Dim!$A:$N,9,FALSE())</f>
        <v>Jennifer Pruitt</v>
      </c>
      <c r="T1109" s="4" t="str">
        <f>VLOOKUP(D1109,Product_Dim!$A:$M,3,FALSE())</f>
        <v>Home</v>
      </c>
      <c r="U1109" s="11" t="str">
        <f>VLOOKUP(D1109,Product_Dim!$A:$M,2,FALSE())</f>
        <v>Stainless Steel Cookware Set</v>
      </c>
      <c r="V1109" s="11" t="str">
        <f>VLOOKUP(E1109,Store_Dim!$A:$E,3,FALSE())</f>
        <v>East</v>
      </c>
      <c r="W1109" s="11" t="str">
        <f>VLOOKUP(C1109,Customer_Dim!$A:$N,13,FALSE())</f>
        <v>Silver</v>
      </c>
      <c r="X1109" s="11" t="str">
        <f t="shared" si="125"/>
        <v>Low</v>
      </c>
    </row>
    <row r="1110" spans="1:24" ht="15.75" customHeight="1">
      <c r="A1110" s="4" t="s">
        <v>3106</v>
      </c>
      <c r="B1110" s="9">
        <v>45773</v>
      </c>
      <c r="C1110" s="4" t="s">
        <v>562</v>
      </c>
      <c r="D1110" s="4" t="s">
        <v>1706</v>
      </c>
      <c r="E1110" s="4" t="s">
        <v>1940</v>
      </c>
      <c r="F1110" s="4">
        <v>3</v>
      </c>
      <c r="G1110" s="4">
        <v>875.99</v>
      </c>
      <c r="H1110" s="4">
        <v>0.09</v>
      </c>
      <c r="I1110" s="4" t="s">
        <v>1998</v>
      </c>
      <c r="J1110" s="10">
        <v>2391.4526999999998</v>
      </c>
      <c r="K1110" s="4" t="str">
        <f t="shared" si="119"/>
        <v>26-04-2025</v>
      </c>
      <c r="L1110" s="4" t="str">
        <f>TEXT(Sales_Fact!$B1110,"mmm")</f>
        <v>Apr</v>
      </c>
      <c r="M1110" s="4">
        <f t="shared" si="120"/>
        <v>3</v>
      </c>
      <c r="N1110" s="10">
        <f t="shared" si="121"/>
        <v>875.99</v>
      </c>
      <c r="O1110" s="10">
        <f t="shared" si="122"/>
        <v>2391.4527000000003</v>
      </c>
      <c r="P1110" s="10">
        <f t="shared" si="123"/>
        <v>2627.9700000000003</v>
      </c>
      <c r="Q1110" s="3">
        <f t="shared" si="124"/>
        <v>8.9999999999999983E-2</v>
      </c>
      <c r="R1110" s="4" t="str">
        <f>IF(Sales_Fact!$O1110&gt;1000,"High","Low")</f>
        <v>High</v>
      </c>
      <c r="S1110" s="4" t="str">
        <f>VLOOKUP(C1110,Customer_Dim!$A:$N,9,FALSE())</f>
        <v>Cynthia Morris</v>
      </c>
      <c r="T1110" s="4" t="str">
        <f>VLOOKUP(D1110,Product_Dim!$A:$M,3,FALSE())</f>
        <v>Home</v>
      </c>
      <c r="U1110" s="11" t="str">
        <f>VLOOKUP(D1110,Product_Dim!$A:$M,2,FALSE())</f>
        <v>Bedroom Table Lamp</v>
      </c>
      <c r="V1110" s="11" t="str">
        <f>VLOOKUP(E1110,Store_Dim!$A:$E,3,FALSE())</f>
        <v>West</v>
      </c>
      <c r="W1110" s="11" t="str">
        <f>VLOOKUP(C1110,Customer_Dim!$A:$N,13,FALSE())</f>
        <v>Silver</v>
      </c>
      <c r="X1110" s="11" t="str">
        <f t="shared" si="125"/>
        <v>Low</v>
      </c>
    </row>
    <row r="1111" spans="1:24" ht="15.75" customHeight="1">
      <c r="A1111" s="4" t="s">
        <v>3107</v>
      </c>
      <c r="B1111" s="9">
        <v>45460</v>
      </c>
      <c r="C1111" s="4" t="s">
        <v>463</v>
      </c>
      <c r="D1111" s="4" t="s">
        <v>1873</v>
      </c>
      <c r="E1111" s="4" t="s">
        <v>1947</v>
      </c>
      <c r="F1111" s="4">
        <v>2</v>
      </c>
      <c r="G1111" s="4">
        <v>685.31</v>
      </c>
      <c r="H1111" s="4">
        <v>0.26</v>
      </c>
      <c r="I1111" s="4" t="s">
        <v>1998</v>
      </c>
      <c r="J1111" s="10">
        <v>1014.2588</v>
      </c>
      <c r="K1111" s="4" t="str">
        <f t="shared" si="119"/>
        <v>17-06-2024</v>
      </c>
      <c r="L1111" s="4" t="str">
        <f>TEXT(Sales_Fact!$B1111,"mmm")</f>
        <v>Jun</v>
      </c>
      <c r="M1111" s="4">
        <f t="shared" si="120"/>
        <v>2</v>
      </c>
      <c r="N1111" s="10">
        <f t="shared" si="121"/>
        <v>685.31</v>
      </c>
      <c r="O1111" s="10">
        <f t="shared" si="122"/>
        <v>1014.2588</v>
      </c>
      <c r="P1111" s="10">
        <f t="shared" si="123"/>
        <v>1370.62</v>
      </c>
      <c r="Q1111" s="3">
        <f t="shared" si="124"/>
        <v>0.25999999999999995</v>
      </c>
      <c r="R1111" s="4" t="str">
        <f>IF(Sales_Fact!$O1111&gt;1000,"High","Low")</f>
        <v>High</v>
      </c>
      <c r="S1111" s="4" t="str">
        <f>VLOOKUP(C1111,Customer_Dim!$A:$N,9,FALSE())</f>
        <v>Susan Mcdonald</v>
      </c>
      <c r="T1111" s="4" t="str">
        <f>VLOOKUP(D1111,Product_Dim!$A:$M,3,FALSE())</f>
        <v>Beauty</v>
      </c>
      <c r="U1111" s="11" t="str">
        <f>VLOOKUP(D1111,Product_Dim!$A:$M,2,FALSE())</f>
        <v>Face Foundation Kit</v>
      </c>
      <c r="V1111" s="11" t="str">
        <f>VLOOKUP(E1111,Store_Dim!$A:$E,3,FALSE())</f>
        <v>East</v>
      </c>
      <c r="W1111" s="11" t="str">
        <f>VLOOKUP(C1111,Customer_Dim!$A:$N,13,FALSE())</f>
        <v>Silver</v>
      </c>
      <c r="X1111" s="11" t="str">
        <f t="shared" si="125"/>
        <v>Low</v>
      </c>
    </row>
    <row r="1112" spans="1:24" ht="15.75" customHeight="1">
      <c r="A1112" s="4" t="s">
        <v>3108</v>
      </c>
      <c r="B1112" s="9">
        <v>45607</v>
      </c>
      <c r="C1112" s="4" t="s">
        <v>219</v>
      </c>
      <c r="D1112" s="4" t="s">
        <v>1788</v>
      </c>
      <c r="E1112" s="4" t="s">
        <v>1950</v>
      </c>
      <c r="F1112" s="4">
        <v>3</v>
      </c>
      <c r="G1112" s="4">
        <v>945.37</v>
      </c>
      <c r="H1112" s="4">
        <v>0.05</v>
      </c>
      <c r="I1112" s="4" t="s">
        <v>1996</v>
      </c>
      <c r="J1112" s="10">
        <v>2694.3045000000002</v>
      </c>
      <c r="K1112" s="4" t="str">
        <f t="shared" si="119"/>
        <v>11-11-2024</v>
      </c>
      <c r="L1112" s="4" t="str">
        <f>TEXT(Sales_Fact!$B1112,"mmm")</f>
        <v>Nov</v>
      </c>
      <c r="M1112" s="4">
        <f t="shared" si="120"/>
        <v>3</v>
      </c>
      <c r="N1112" s="10">
        <f t="shared" si="121"/>
        <v>945.37</v>
      </c>
      <c r="O1112" s="10">
        <f t="shared" si="122"/>
        <v>2694.3045000000002</v>
      </c>
      <c r="P1112" s="10">
        <f t="shared" si="123"/>
        <v>2836.11</v>
      </c>
      <c r="Q1112" s="3">
        <f t="shared" si="124"/>
        <v>4.9999999999999975E-2</v>
      </c>
      <c r="R1112" s="4" t="str">
        <f>IF(Sales_Fact!$O1112&gt;1000,"High","Low")</f>
        <v>High</v>
      </c>
      <c r="S1112" s="4" t="str">
        <f>VLOOKUP(C1112,Customer_Dim!$A:$N,9,FALSE())</f>
        <v>Debra Liu</v>
      </c>
      <c r="T1112" s="4" t="str">
        <f>VLOOKUP(D1112,Product_Dim!$A:$M,3,FALSE())</f>
        <v>Sports</v>
      </c>
      <c r="U1112" s="11" t="str">
        <f>VLOOKUP(D1112,Product_Dim!$A:$M,2,FALSE())</f>
        <v>Tennis Ball 3-Pack</v>
      </c>
      <c r="V1112" s="11" t="str">
        <f>VLOOKUP(E1112,Store_Dim!$A:$E,3,FALSE())</f>
        <v>South</v>
      </c>
      <c r="W1112" s="11" t="str">
        <f>VLOOKUP(C1112,Customer_Dim!$A:$N,13,FALSE())</f>
        <v>Bronze</v>
      </c>
      <c r="X1112" s="11" t="str">
        <f t="shared" si="125"/>
        <v>Low</v>
      </c>
    </row>
    <row r="1113" spans="1:24" ht="15.75" customHeight="1">
      <c r="A1113" s="4" t="s">
        <v>3109</v>
      </c>
      <c r="B1113" s="9">
        <v>45267</v>
      </c>
      <c r="C1113" s="4" t="s">
        <v>121</v>
      </c>
      <c r="D1113" s="4" t="s">
        <v>1834</v>
      </c>
      <c r="E1113" s="4" t="s">
        <v>1971</v>
      </c>
      <c r="F1113" s="4">
        <v>3</v>
      </c>
      <c r="G1113" s="4">
        <v>68.45</v>
      </c>
      <c r="H1113" s="4">
        <v>0.17</v>
      </c>
      <c r="I1113" s="4" t="s">
        <v>1998</v>
      </c>
      <c r="J1113" s="10">
        <v>170.44049999999999</v>
      </c>
      <c r="K1113" s="4" t="str">
        <f t="shared" si="119"/>
        <v>07-12-2023</v>
      </c>
      <c r="L1113" s="4" t="str">
        <f>TEXT(Sales_Fact!$B1113,"mmm")</f>
        <v>Dec</v>
      </c>
      <c r="M1113" s="4">
        <f t="shared" si="120"/>
        <v>3</v>
      </c>
      <c r="N1113" s="10">
        <f t="shared" si="121"/>
        <v>68.45</v>
      </c>
      <c r="O1113" s="10">
        <f t="shared" si="122"/>
        <v>170.44050000000001</v>
      </c>
      <c r="P1113" s="10">
        <f t="shared" si="123"/>
        <v>205.35000000000002</v>
      </c>
      <c r="Q1113" s="3">
        <f t="shared" si="124"/>
        <v>0.17</v>
      </c>
      <c r="R1113" s="4" t="str">
        <f>IF(Sales_Fact!$O1113&gt;1000,"High","Low")</f>
        <v>Low</v>
      </c>
      <c r="S1113" s="4" t="str">
        <f>VLOOKUP(C1113,Customer_Dim!$A:$N,9,FALSE())</f>
        <v>Jonathan Steele</v>
      </c>
      <c r="T1113" s="4" t="str">
        <f>VLOOKUP(D1113,Product_Dim!$A:$M,3,FALSE())</f>
        <v>Electronics</v>
      </c>
      <c r="U1113" s="11" t="str">
        <f>VLOOKUP(D1113,Product_Dim!$A:$M,2,FALSE())</f>
        <v>Wireless Mouse</v>
      </c>
      <c r="V1113" s="11" t="str">
        <f>VLOOKUP(E1113,Store_Dim!$A:$E,3,FALSE())</f>
        <v>East</v>
      </c>
      <c r="W1113" s="11" t="str">
        <f>VLOOKUP(C1113,Customer_Dim!$A:$N,13,FALSE())</f>
        <v>Silver</v>
      </c>
      <c r="X1113" s="11" t="str">
        <f t="shared" si="125"/>
        <v>Low</v>
      </c>
    </row>
    <row r="1114" spans="1:24" ht="15.75" customHeight="1">
      <c r="A1114" s="4" t="s">
        <v>3110</v>
      </c>
      <c r="B1114" s="9">
        <v>45446</v>
      </c>
      <c r="C1114" s="4" t="s">
        <v>232</v>
      </c>
      <c r="D1114" s="4" t="s">
        <v>1751</v>
      </c>
      <c r="E1114" s="4" t="s">
        <v>1940</v>
      </c>
      <c r="F1114" s="4">
        <v>4</v>
      </c>
      <c r="G1114" s="4">
        <v>914.05</v>
      </c>
      <c r="H1114" s="4">
        <v>0.25</v>
      </c>
      <c r="I1114" s="4" t="s">
        <v>1996</v>
      </c>
      <c r="J1114" s="10">
        <v>2742.15</v>
      </c>
      <c r="K1114" s="4" t="str">
        <f t="shared" si="119"/>
        <v>03-06-2024</v>
      </c>
      <c r="L1114" s="4" t="str">
        <f>TEXT(Sales_Fact!$B1114,"mmm")</f>
        <v>Jun</v>
      </c>
      <c r="M1114" s="4">
        <f t="shared" si="120"/>
        <v>4</v>
      </c>
      <c r="N1114" s="10">
        <f t="shared" si="121"/>
        <v>914.05</v>
      </c>
      <c r="O1114" s="10">
        <f t="shared" si="122"/>
        <v>2742.1499999999996</v>
      </c>
      <c r="P1114" s="10">
        <f t="shared" si="123"/>
        <v>3656.2</v>
      </c>
      <c r="Q1114" s="3">
        <f t="shared" si="124"/>
        <v>0.25000000000000006</v>
      </c>
      <c r="R1114" s="4" t="str">
        <f>IF(Sales_Fact!$O1114&gt;1000,"High","Low")</f>
        <v>High</v>
      </c>
      <c r="S1114" s="4" t="str">
        <f>VLOOKUP(C1114,Customer_Dim!$A:$N,9,FALSE())</f>
        <v>Christopher Sutton</v>
      </c>
      <c r="T1114" s="4" t="str">
        <f>VLOOKUP(D1114,Product_Dim!$A:$M,3,FALSE())</f>
        <v>Beauty</v>
      </c>
      <c r="U1114" s="11" t="str">
        <f>VLOOKUP(D1114,Product_Dim!$A:$M,2,FALSE())</f>
        <v>Men's Roll-On Perfume</v>
      </c>
      <c r="V1114" s="11" t="str">
        <f>VLOOKUP(E1114,Store_Dim!$A:$E,3,FALSE())</f>
        <v>West</v>
      </c>
      <c r="W1114" s="11" t="str">
        <f>VLOOKUP(C1114,Customer_Dim!$A:$N,13,FALSE())</f>
        <v>Gold</v>
      </c>
      <c r="X1114" s="11" t="str">
        <f t="shared" si="125"/>
        <v>High</v>
      </c>
    </row>
    <row r="1115" spans="1:24" ht="15.75" customHeight="1">
      <c r="A1115" s="4" t="s">
        <v>3111</v>
      </c>
      <c r="B1115" s="9">
        <v>45843</v>
      </c>
      <c r="C1115" s="4" t="s">
        <v>511</v>
      </c>
      <c r="D1115" s="4" t="s">
        <v>1822</v>
      </c>
      <c r="E1115" s="4" t="s">
        <v>1965</v>
      </c>
      <c r="F1115" s="4">
        <v>3</v>
      </c>
      <c r="G1115" s="4">
        <v>986.04</v>
      </c>
      <c r="H1115" s="4">
        <v>0.27</v>
      </c>
      <c r="I1115" s="4" t="s">
        <v>2004</v>
      </c>
      <c r="J1115" s="10">
        <v>2159.4276</v>
      </c>
      <c r="K1115" s="4" t="str">
        <f t="shared" si="119"/>
        <v>05-07-2025</v>
      </c>
      <c r="L1115" s="4" t="str">
        <f>TEXT(Sales_Fact!$B1115,"mmm")</f>
        <v>Jul</v>
      </c>
      <c r="M1115" s="4">
        <f t="shared" si="120"/>
        <v>3</v>
      </c>
      <c r="N1115" s="10">
        <f t="shared" si="121"/>
        <v>986.04</v>
      </c>
      <c r="O1115" s="10">
        <f t="shared" si="122"/>
        <v>2159.4276</v>
      </c>
      <c r="P1115" s="10">
        <f t="shared" si="123"/>
        <v>2958.12</v>
      </c>
      <c r="Q1115" s="3">
        <f t="shared" si="124"/>
        <v>0.26999999999999996</v>
      </c>
      <c r="R1115" s="4" t="str">
        <f>IF(Sales_Fact!$O1115&gt;1000,"High","Low")</f>
        <v>High</v>
      </c>
      <c r="S1115" s="4" t="str">
        <f>VLOOKUP(C1115,Customer_Dim!$A:$N,9,FALSE())</f>
        <v>Justin Cross</v>
      </c>
      <c r="T1115" s="4" t="str">
        <f>VLOOKUP(D1115,Product_Dim!$A:$M,3,FALSE())</f>
        <v>Sports</v>
      </c>
      <c r="U1115" s="11" t="str">
        <f>VLOOKUP(D1115,Product_Dim!$A:$M,2,FALSE())</f>
        <v>Professional Jump Rope</v>
      </c>
      <c r="V1115" s="11" t="str">
        <f>VLOOKUP(E1115,Store_Dim!$A:$E,3,FALSE())</f>
        <v>North</v>
      </c>
      <c r="W1115" s="11" t="str">
        <f>VLOOKUP(C1115,Customer_Dim!$A:$N,13,FALSE())</f>
        <v>Bronze</v>
      </c>
      <c r="X1115" s="11" t="str">
        <f t="shared" si="125"/>
        <v>Low</v>
      </c>
    </row>
    <row r="1116" spans="1:24" ht="15.75" customHeight="1">
      <c r="A1116" s="4" t="s">
        <v>3112</v>
      </c>
      <c r="B1116" s="9">
        <v>45725</v>
      </c>
      <c r="C1116" s="4" t="s">
        <v>589</v>
      </c>
      <c r="D1116" s="4" t="s">
        <v>1855</v>
      </c>
      <c r="E1116" s="4" t="s">
        <v>1934</v>
      </c>
      <c r="F1116" s="4">
        <v>3</v>
      </c>
      <c r="G1116" s="4">
        <v>748.56</v>
      </c>
      <c r="H1116" s="4">
        <v>0.26</v>
      </c>
      <c r="I1116" s="4" t="s">
        <v>1998</v>
      </c>
      <c r="J1116" s="10">
        <v>1661.8032000000001</v>
      </c>
      <c r="K1116" s="4" t="str">
        <f t="shared" si="119"/>
        <v>09-03-2025</v>
      </c>
      <c r="L1116" s="4" t="str">
        <f>TEXT(Sales_Fact!$B1116,"mmm")</f>
        <v>Mar</v>
      </c>
      <c r="M1116" s="4">
        <f t="shared" si="120"/>
        <v>3</v>
      </c>
      <c r="N1116" s="10">
        <f t="shared" si="121"/>
        <v>748.56</v>
      </c>
      <c r="O1116" s="10">
        <f t="shared" si="122"/>
        <v>1661.8031999999998</v>
      </c>
      <c r="P1116" s="10">
        <f t="shared" si="123"/>
        <v>2245.6799999999998</v>
      </c>
      <c r="Q1116" s="3">
        <f t="shared" si="124"/>
        <v>0.26</v>
      </c>
      <c r="R1116" s="4" t="str">
        <f>IF(Sales_Fact!$O1116&gt;1000,"High","Low")</f>
        <v>High</v>
      </c>
      <c r="S1116" s="4" t="str">
        <f>VLOOKUP(C1116,Customer_Dim!$A:$N,9,FALSE())</f>
        <v>Christopher Garcia Dds</v>
      </c>
      <c r="T1116" s="4" t="str">
        <f>VLOOKUP(D1116,Product_Dim!$A:$M,3,FALSE())</f>
        <v>Beauty</v>
      </c>
      <c r="U1116" s="11" t="str">
        <f>VLOOKUP(D1116,Product_Dim!$A:$M,2,FALSE())</f>
        <v>Hydrating Face Cleanser</v>
      </c>
      <c r="V1116" s="11" t="str">
        <f>VLOOKUP(E1116,Store_Dim!$A:$E,3,FALSE())</f>
        <v>East</v>
      </c>
      <c r="W1116" s="11" t="str">
        <f>VLOOKUP(C1116,Customer_Dim!$A:$N,13,FALSE())</f>
        <v>Gold</v>
      </c>
      <c r="X1116" s="11" t="str">
        <f t="shared" si="125"/>
        <v>Low</v>
      </c>
    </row>
    <row r="1117" spans="1:24" ht="15.75" customHeight="1">
      <c r="A1117" s="4" t="s">
        <v>3113</v>
      </c>
      <c r="B1117" s="9">
        <v>45742</v>
      </c>
      <c r="C1117" s="4" t="s">
        <v>511</v>
      </c>
      <c r="D1117" s="4" t="s">
        <v>1700</v>
      </c>
      <c r="E1117" s="4" t="s">
        <v>1927</v>
      </c>
      <c r="F1117" s="4">
        <v>1</v>
      </c>
      <c r="G1117" s="4">
        <v>885.72</v>
      </c>
      <c r="H1117" s="4">
        <v>0.15</v>
      </c>
      <c r="I1117" s="4" t="s">
        <v>1996</v>
      </c>
      <c r="J1117" s="10">
        <v>752.86199999999997</v>
      </c>
      <c r="K1117" s="4" t="str">
        <f t="shared" si="119"/>
        <v>26-03-2025</v>
      </c>
      <c r="L1117" s="4" t="str">
        <f>TEXT(Sales_Fact!$B1117,"mmm")</f>
        <v>Mar</v>
      </c>
      <c r="M1117" s="4">
        <f t="shared" si="120"/>
        <v>1</v>
      </c>
      <c r="N1117" s="10">
        <f t="shared" si="121"/>
        <v>885.72</v>
      </c>
      <c r="O1117" s="10">
        <f t="shared" si="122"/>
        <v>752.86199999999997</v>
      </c>
      <c r="P1117" s="10">
        <f t="shared" si="123"/>
        <v>885.72</v>
      </c>
      <c r="Q1117" s="3">
        <f t="shared" si="124"/>
        <v>0.15000000000000008</v>
      </c>
      <c r="R1117" s="4" t="str">
        <f>IF(Sales_Fact!$O1117&gt;1000,"High","Low")</f>
        <v>Low</v>
      </c>
      <c r="S1117" s="4" t="str">
        <f>VLOOKUP(C1117,Customer_Dim!$A:$N,9,FALSE())</f>
        <v>Justin Cross</v>
      </c>
      <c r="T1117" s="4" t="str">
        <f>VLOOKUP(D1117,Product_Dim!$A:$M,3,FALSE())</f>
        <v>Home</v>
      </c>
      <c r="U1117" s="11" t="str">
        <f>VLOOKUP(D1117,Product_Dim!$A:$M,2,FALSE())</f>
        <v>Modern Wall Clock</v>
      </c>
      <c r="V1117" s="11" t="str">
        <f>VLOOKUP(E1117,Store_Dim!$A:$E,3,FALSE())</f>
        <v>South</v>
      </c>
      <c r="W1117" s="11" t="str">
        <f>VLOOKUP(C1117,Customer_Dim!$A:$N,13,FALSE())</f>
        <v>Bronze</v>
      </c>
      <c r="X1117" s="11" t="str">
        <f t="shared" si="125"/>
        <v>Low</v>
      </c>
    </row>
    <row r="1118" spans="1:24" ht="15.75" customHeight="1">
      <c r="A1118" s="4" t="s">
        <v>3114</v>
      </c>
      <c r="B1118" s="9">
        <v>45750</v>
      </c>
      <c r="C1118" s="4" t="s">
        <v>402</v>
      </c>
      <c r="D1118" s="4" t="s">
        <v>1791</v>
      </c>
      <c r="E1118" s="4" t="s">
        <v>1915</v>
      </c>
      <c r="F1118" s="4">
        <v>4</v>
      </c>
      <c r="G1118" s="4">
        <v>408.07</v>
      </c>
      <c r="H1118" s="4">
        <v>0.28000000000000003</v>
      </c>
      <c r="I1118" s="4" t="s">
        <v>2004</v>
      </c>
      <c r="J1118" s="10">
        <v>1175.2416000000001</v>
      </c>
      <c r="K1118" s="4" t="str">
        <f t="shared" si="119"/>
        <v>03-04-2025</v>
      </c>
      <c r="L1118" s="4" t="str">
        <f>TEXT(Sales_Fact!$B1118,"mmm")</f>
        <v>Apr</v>
      </c>
      <c r="M1118" s="4">
        <f t="shared" si="120"/>
        <v>4</v>
      </c>
      <c r="N1118" s="10">
        <f t="shared" si="121"/>
        <v>408.07</v>
      </c>
      <c r="O1118" s="10">
        <f t="shared" si="122"/>
        <v>1175.2415999999998</v>
      </c>
      <c r="P1118" s="10">
        <f t="shared" si="123"/>
        <v>1632.28</v>
      </c>
      <c r="Q1118" s="3">
        <f t="shared" si="124"/>
        <v>0.28000000000000008</v>
      </c>
      <c r="R1118" s="4" t="str">
        <f>IF(Sales_Fact!$O1118&gt;1000,"High","Low")</f>
        <v>High</v>
      </c>
      <c r="S1118" s="4" t="str">
        <f>VLOOKUP(C1118,Customer_Dim!$A:$N,9,FALSE())</f>
        <v>Travis Holland</v>
      </c>
      <c r="T1118" s="4" t="str">
        <f>VLOOKUP(D1118,Product_Dim!$A:$M,3,FALSE())</f>
        <v>Electronics</v>
      </c>
      <c r="U1118" s="11" t="str">
        <f>VLOOKUP(D1118,Product_Dim!$A:$M,2,FALSE())</f>
        <v>Laptop Cooling Pad</v>
      </c>
      <c r="V1118" s="11" t="str">
        <f>VLOOKUP(E1118,Store_Dim!$A:$E,3,FALSE())</f>
        <v>North</v>
      </c>
      <c r="W1118" s="11" t="str">
        <f>VLOOKUP(C1118,Customer_Dim!$A:$N,13,FALSE())</f>
        <v>Bronze</v>
      </c>
      <c r="X1118" s="11" t="str">
        <f t="shared" si="125"/>
        <v>High</v>
      </c>
    </row>
    <row r="1119" spans="1:24" ht="15.75" customHeight="1">
      <c r="A1119" s="4" t="s">
        <v>3115</v>
      </c>
      <c r="B1119" s="9">
        <v>45327</v>
      </c>
      <c r="C1119" s="4" t="s">
        <v>1484</v>
      </c>
      <c r="D1119" s="4" t="s">
        <v>1703</v>
      </c>
      <c r="E1119" s="4" t="s">
        <v>1944</v>
      </c>
      <c r="F1119" s="4">
        <v>2</v>
      </c>
      <c r="G1119" s="4">
        <v>597.07000000000005</v>
      </c>
      <c r="H1119" s="4">
        <v>0.28000000000000003</v>
      </c>
      <c r="I1119" s="4" t="s">
        <v>1998</v>
      </c>
      <c r="J1119" s="10">
        <v>859.7808</v>
      </c>
      <c r="K1119" s="4" t="str">
        <f t="shared" si="119"/>
        <v>05-02-2024</v>
      </c>
      <c r="L1119" s="4" t="str">
        <f>TEXT(Sales_Fact!$B1119,"mmm")</f>
        <v>Feb</v>
      </c>
      <c r="M1119" s="4">
        <f t="shared" si="120"/>
        <v>2</v>
      </c>
      <c r="N1119" s="10">
        <f t="shared" si="121"/>
        <v>597.07000000000005</v>
      </c>
      <c r="O1119" s="10">
        <f t="shared" si="122"/>
        <v>859.7808</v>
      </c>
      <c r="P1119" s="10">
        <f t="shared" si="123"/>
        <v>1194.1400000000001</v>
      </c>
      <c r="Q1119" s="3">
        <f t="shared" si="124"/>
        <v>0.28000000000000008</v>
      </c>
      <c r="R1119" s="4" t="str">
        <f>IF(Sales_Fact!$O1119&gt;1000,"High","Low")</f>
        <v>Low</v>
      </c>
      <c r="S1119" s="4" t="str">
        <f>VLOOKUP(C1119,Customer_Dim!$A:$N,9,FALSE())</f>
        <v>Philip Mendoza</v>
      </c>
      <c r="T1119" s="4" t="str">
        <f>VLOOKUP(D1119,Product_Dim!$A:$M,3,FALSE())</f>
        <v>Electronics</v>
      </c>
      <c r="U1119" s="11" t="str">
        <f>VLOOKUP(D1119,Product_Dim!$A:$M,2,FALSE())</f>
        <v>Gaming Mechanical Keyboard</v>
      </c>
      <c r="V1119" s="11" t="str">
        <f>VLOOKUP(E1119,Store_Dim!$A:$E,3,FALSE())</f>
        <v>South</v>
      </c>
      <c r="W1119" s="11" t="str">
        <f>VLOOKUP(C1119,Customer_Dim!$A:$N,13,FALSE())</f>
        <v>Silver</v>
      </c>
      <c r="X1119" s="11" t="str">
        <f t="shared" si="125"/>
        <v>Low</v>
      </c>
    </row>
    <row r="1120" spans="1:24" ht="15.75" customHeight="1">
      <c r="A1120" s="4" t="s">
        <v>3116</v>
      </c>
      <c r="B1120" s="9">
        <v>45465</v>
      </c>
      <c r="C1120" s="4" t="s">
        <v>117</v>
      </c>
      <c r="D1120" s="4" t="s">
        <v>1806</v>
      </c>
      <c r="E1120" s="4" t="s">
        <v>1944</v>
      </c>
      <c r="F1120" s="4">
        <v>3</v>
      </c>
      <c r="G1120" s="4">
        <v>723.47</v>
      </c>
      <c r="H1120" s="4">
        <v>0.12</v>
      </c>
      <c r="I1120" s="4" t="s">
        <v>2004</v>
      </c>
      <c r="J1120" s="10">
        <v>1909.9608000000001</v>
      </c>
      <c r="K1120" s="4" t="str">
        <f t="shared" si="119"/>
        <v>22-06-2024</v>
      </c>
      <c r="L1120" s="4" t="str">
        <f>TEXT(Sales_Fact!$B1120,"mmm")</f>
        <v>Jun</v>
      </c>
      <c r="M1120" s="4">
        <f t="shared" si="120"/>
        <v>3</v>
      </c>
      <c r="N1120" s="10">
        <f t="shared" si="121"/>
        <v>723.47</v>
      </c>
      <c r="O1120" s="10">
        <f t="shared" si="122"/>
        <v>1909.9607999999998</v>
      </c>
      <c r="P1120" s="10">
        <f t="shared" si="123"/>
        <v>2170.41</v>
      </c>
      <c r="Q1120" s="3">
        <f t="shared" si="124"/>
        <v>0.12000000000000002</v>
      </c>
      <c r="R1120" s="4" t="str">
        <f>IF(Sales_Fact!$O1120&gt;1000,"High","Low")</f>
        <v>High</v>
      </c>
      <c r="S1120" s="4" t="str">
        <f>VLOOKUP(C1120,Customer_Dim!$A:$N,9,FALSE())</f>
        <v>Paul Fox</v>
      </c>
      <c r="T1120" s="4" t="str">
        <f>VLOOKUP(D1120,Product_Dim!$A:$M,3,FALSE())</f>
        <v>Electronics</v>
      </c>
      <c r="U1120" s="11" t="str">
        <f>VLOOKUP(D1120,Product_Dim!$A:$M,2,FALSE())</f>
        <v>Smart LED Light Strip</v>
      </c>
      <c r="V1120" s="11" t="str">
        <f>VLOOKUP(E1120,Store_Dim!$A:$E,3,FALSE())</f>
        <v>South</v>
      </c>
      <c r="W1120" s="11" t="str">
        <f>VLOOKUP(C1120,Customer_Dim!$A:$N,13,FALSE())</f>
        <v>Silver</v>
      </c>
      <c r="X1120" s="11" t="str">
        <f t="shared" si="125"/>
        <v>Low</v>
      </c>
    </row>
    <row r="1121" spans="1:24" ht="15.75" customHeight="1">
      <c r="A1121" s="4" t="s">
        <v>3117</v>
      </c>
      <c r="B1121" s="9">
        <v>45883</v>
      </c>
      <c r="C1121" s="4" t="s">
        <v>1384</v>
      </c>
      <c r="D1121" s="4" t="s">
        <v>1870</v>
      </c>
      <c r="E1121" s="4" t="s">
        <v>1931</v>
      </c>
      <c r="F1121" s="4">
        <v>1</v>
      </c>
      <c r="G1121" s="4">
        <v>479.93</v>
      </c>
      <c r="H1121" s="4">
        <v>0.22</v>
      </c>
      <c r="I1121" s="4" t="s">
        <v>1996</v>
      </c>
      <c r="J1121" s="10">
        <v>374.34539999999998</v>
      </c>
      <c r="K1121" s="4" t="str">
        <f t="shared" si="119"/>
        <v>14-08-2025</v>
      </c>
      <c r="L1121" s="4" t="str">
        <f>TEXT(Sales_Fact!$B1121,"mmm")</f>
        <v>Aug</v>
      </c>
      <c r="M1121" s="4">
        <f t="shared" si="120"/>
        <v>1</v>
      </c>
      <c r="N1121" s="10">
        <f t="shared" si="121"/>
        <v>479.93</v>
      </c>
      <c r="O1121" s="10">
        <f t="shared" si="122"/>
        <v>374.34540000000004</v>
      </c>
      <c r="P1121" s="10">
        <f t="shared" si="123"/>
        <v>479.93</v>
      </c>
      <c r="Q1121" s="3">
        <f t="shared" si="124"/>
        <v>0.21999999999999992</v>
      </c>
      <c r="R1121" s="4" t="str">
        <f>IF(Sales_Fact!$O1121&gt;1000,"High","Low")</f>
        <v>Low</v>
      </c>
      <c r="S1121" s="4" t="str">
        <f>VLOOKUP(C1121,Customer_Dim!$A:$N,9,FALSE())</f>
        <v>Melinda Rivera</v>
      </c>
      <c r="T1121" s="4" t="str">
        <f>VLOOKUP(D1121,Product_Dim!$A:$M,3,FALSE())</f>
        <v>Sports</v>
      </c>
      <c r="U1121" s="11" t="str">
        <f>VLOOKUP(D1121,Product_Dim!$A:$M,2,FALSE())</f>
        <v>Sports Wrist Sweatbands</v>
      </c>
      <c r="V1121" s="11" t="str">
        <f>VLOOKUP(E1121,Store_Dim!$A:$E,3,FALSE())</f>
        <v>North</v>
      </c>
      <c r="W1121" s="11" t="str">
        <f>VLOOKUP(C1121,Customer_Dim!$A:$N,13,FALSE())</f>
        <v>Platinum</v>
      </c>
      <c r="X1121" s="11" t="str">
        <f t="shared" si="125"/>
        <v>Low</v>
      </c>
    </row>
    <row r="1122" spans="1:24" ht="15.75" customHeight="1">
      <c r="A1122" s="4" t="s">
        <v>3118</v>
      </c>
      <c r="B1122" s="9">
        <v>45445</v>
      </c>
      <c r="C1122" s="4" t="s">
        <v>807</v>
      </c>
      <c r="D1122" s="4" t="s">
        <v>1703</v>
      </c>
      <c r="E1122" s="4" t="s">
        <v>1962</v>
      </c>
      <c r="F1122" s="4">
        <v>4</v>
      </c>
      <c r="G1122" s="4">
        <v>362.81</v>
      </c>
      <c r="H1122" s="4">
        <v>0.21</v>
      </c>
      <c r="I1122" s="4" t="s">
        <v>2004</v>
      </c>
      <c r="J1122" s="10">
        <v>1146.4795999999999</v>
      </c>
      <c r="K1122" s="4" t="str">
        <f t="shared" si="119"/>
        <v>02-06-2024</v>
      </c>
      <c r="L1122" s="4" t="str">
        <f>TEXT(Sales_Fact!$B1122,"mmm")</f>
        <v>Jun</v>
      </c>
      <c r="M1122" s="4">
        <f t="shared" si="120"/>
        <v>4</v>
      </c>
      <c r="N1122" s="10">
        <f t="shared" si="121"/>
        <v>362.81</v>
      </c>
      <c r="O1122" s="10">
        <f t="shared" si="122"/>
        <v>1146.4796000000001</v>
      </c>
      <c r="P1122" s="10">
        <f t="shared" si="123"/>
        <v>1451.24</v>
      </c>
      <c r="Q1122" s="3">
        <f t="shared" si="124"/>
        <v>0.20999999999999994</v>
      </c>
      <c r="R1122" s="4" t="str">
        <f>IF(Sales_Fact!$O1122&gt;1000,"High","Low")</f>
        <v>High</v>
      </c>
      <c r="S1122" s="4" t="str">
        <f>VLOOKUP(C1122,Customer_Dim!$A:$N,9,FALSE())</f>
        <v>Brian Hammond</v>
      </c>
      <c r="T1122" s="4" t="str">
        <f>VLOOKUP(D1122,Product_Dim!$A:$M,3,FALSE())</f>
        <v>Electronics</v>
      </c>
      <c r="U1122" s="11" t="str">
        <f>VLOOKUP(D1122,Product_Dim!$A:$M,2,FALSE())</f>
        <v>Gaming Mechanical Keyboard</v>
      </c>
      <c r="V1122" s="11" t="str">
        <f>VLOOKUP(E1122,Store_Dim!$A:$E,3,FALSE())</f>
        <v>West</v>
      </c>
      <c r="W1122" s="11" t="str">
        <f>VLOOKUP(C1122,Customer_Dim!$A:$N,13,FALSE())</f>
        <v>Gold</v>
      </c>
      <c r="X1122" s="11" t="str">
        <f t="shared" si="125"/>
        <v>High</v>
      </c>
    </row>
    <row r="1123" spans="1:24" ht="15.75" customHeight="1">
      <c r="A1123" s="4" t="s">
        <v>3119</v>
      </c>
      <c r="B1123" s="9">
        <v>45640</v>
      </c>
      <c r="C1123" s="4" t="s">
        <v>635</v>
      </c>
      <c r="D1123" s="4" t="s">
        <v>1843</v>
      </c>
      <c r="E1123" s="4" t="s">
        <v>1924</v>
      </c>
      <c r="F1123" s="4">
        <v>1</v>
      </c>
      <c r="G1123" s="4">
        <v>127.11</v>
      </c>
      <c r="H1123" s="4">
        <v>0.01</v>
      </c>
      <c r="I1123" s="4" t="s">
        <v>1998</v>
      </c>
      <c r="J1123" s="10">
        <v>125.8389</v>
      </c>
      <c r="K1123" s="4" t="str">
        <f t="shared" si="119"/>
        <v>14-12-2024</v>
      </c>
      <c r="L1123" s="4" t="str">
        <f>TEXT(Sales_Fact!$B1123,"mmm")</f>
        <v>Dec</v>
      </c>
      <c r="M1123" s="4">
        <f t="shared" si="120"/>
        <v>1</v>
      </c>
      <c r="N1123" s="10">
        <f t="shared" si="121"/>
        <v>127.11</v>
      </c>
      <c r="O1123" s="10">
        <f t="shared" si="122"/>
        <v>125.8389</v>
      </c>
      <c r="P1123" s="10">
        <f t="shared" si="123"/>
        <v>127.11</v>
      </c>
      <c r="Q1123" s="3">
        <f t="shared" si="124"/>
        <v>1.0000000000000033E-2</v>
      </c>
      <c r="R1123" s="4" t="str">
        <f>IF(Sales_Fact!$O1123&gt;1000,"High","Low")</f>
        <v>Low</v>
      </c>
      <c r="S1123" s="4" t="str">
        <f>VLOOKUP(C1123,Customer_Dim!$A:$N,9,FALSE())</f>
        <v>Brent Rivas</v>
      </c>
      <c r="T1123" s="4" t="str">
        <f>VLOOKUP(D1123,Product_Dim!$A:$M,3,FALSE())</f>
        <v>Home</v>
      </c>
      <c r="U1123" s="11" t="str">
        <f>VLOOKUP(D1123,Product_Dim!$A:$M,2,FALSE())</f>
        <v>Decorative Lamp Shade</v>
      </c>
      <c r="V1123" s="11" t="str">
        <f>VLOOKUP(E1123,Store_Dim!$A:$E,3,FALSE())</f>
        <v>North</v>
      </c>
      <c r="W1123" s="11" t="str">
        <f>VLOOKUP(C1123,Customer_Dim!$A:$N,13,FALSE())</f>
        <v>Platinum</v>
      </c>
      <c r="X1123" s="11" t="str">
        <f t="shared" si="125"/>
        <v>Low</v>
      </c>
    </row>
    <row r="1124" spans="1:24" ht="15.75" customHeight="1">
      <c r="A1124" s="4" t="s">
        <v>3120</v>
      </c>
      <c r="B1124" s="9">
        <v>45411</v>
      </c>
      <c r="C1124" s="4" t="s">
        <v>632</v>
      </c>
      <c r="D1124" s="4" t="s">
        <v>1703</v>
      </c>
      <c r="E1124" s="4" t="s">
        <v>1965</v>
      </c>
      <c r="F1124" s="4">
        <v>4</v>
      </c>
      <c r="G1124" s="4">
        <v>931.26</v>
      </c>
      <c r="H1124" s="4">
        <v>0.04</v>
      </c>
      <c r="I1124" s="4" t="s">
        <v>1996</v>
      </c>
      <c r="J1124" s="10">
        <v>3576.0383999999999</v>
      </c>
      <c r="K1124" s="4" t="str">
        <f t="shared" si="119"/>
        <v>29-04-2024</v>
      </c>
      <c r="L1124" s="4" t="str">
        <f>TEXT(Sales_Fact!$B1124,"mmm")</f>
        <v>Apr</v>
      </c>
      <c r="M1124" s="4">
        <f t="shared" si="120"/>
        <v>4</v>
      </c>
      <c r="N1124" s="10">
        <f t="shared" si="121"/>
        <v>931.26</v>
      </c>
      <c r="O1124" s="10">
        <f t="shared" si="122"/>
        <v>3576.0383999999999</v>
      </c>
      <c r="P1124" s="10">
        <f t="shared" si="123"/>
        <v>3725.04</v>
      </c>
      <c r="Q1124" s="3">
        <f t="shared" si="124"/>
        <v>4.0000000000000015E-2</v>
      </c>
      <c r="R1124" s="4" t="str">
        <f>IF(Sales_Fact!$O1124&gt;1000,"High","Low")</f>
        <v>High</v>
      </c>
      <c r="S1124" s="4" t="str">
        <f>VLOOKUP(C1124,Customer_Dim!$A:$N,9,FALSE())</f>
        <v>Leonard Cochran</v>
      </c>
      <c r="T1124" s="4" t="str">
        <f>VLOOKUP(D1124,Product_Dim!$A:$M,3,FALSE())</f>
        <v>Electronics</v>
      </c>
      <c r="U1124" s="11" t="str">
        <f>VLOOKUP(D1124,Product_Dim!$A:$M,2,FALSE())</f>
        <v>Gaming Mechanical Keyboard</v>
      </c>
      <c r="V1124" s="11" t="str">
        <f>VLOOKUP(E1124,Store_Dim!$A:$E,3,FALSE())</f>
        <v>North</v>
      </c>
      <c r="W1124" s="11" t="str">
        <f>VLOOKUP(C1124,Customer_Dim!$A:$N,13,FALSE())</f>
        <v>Silver</v>
      </c>
      <c r="X1124" s="11" t="str">
        <f t="shared" si="125"/>
        <v>High</v>
      </c>
    </row>
    <row r="1125" spans="1:24" ht="15.75" customHeight="1">
      <c r="A1125" s="4" t="s">
        <v>3121</v>
      </c>
      <c r="B1125" s="9">
        <v>45224</v>
      </c>
      <c r="C1125" s="4" t="s">
        <v>1189</v>
      </c>
      <c r="D1125" s="4" t="s">
        <v>1806</v>
      </c>
      <c r="E1125" s="4" t="s">
        <v>1940</v>
      </c>
      <c r="F1125" s="4">
        <v>1</v>
      </c>
      <c r="G1125" s="4">
        <v>620.80999999999995</v>
      </c>
      <c r="H1125" s="4">
        <v>0.04</v>
      </c>
      <c r="I1125" s="4" t="s">
        <v>1998</v>
      </c>
      <c r="J1125" s="10">
        <v>595.97760000000005</v>
      </c>
      <c r="K1125" s="4" t="str">
        <f t="shared" si="119"/>
        <v>25-10-2023</v>
      </c>
      <c r="L1125" s="4" t="str">
        <f>TEXT(Sales_Fact!$B1125,"mmm")</f>
        <v>Oct</v>
      </c>
      <c r="M1125" s="4">
        <f t="shared" si="120"/>
        <v>1</v>
      </c>
      <c r="N1125" s="10">
        <f t="shared" si="121"/>
        <v>620.80999999999995</v>
      </c>
      <c r="O1125" s="10">
        <f t="shared" si="122"/>
        <v>595.97759999999994</v>
      </c>
      <c r="P1125" s="10">
        <f t="shared" si="123"/>
        <v>620.80999999999995</v>
      </c>
      <c r="Q1125" s="3">
        <f t="shared" si="124"/>
        <v>4.0000000000000015E-2</v>
      </c>
      <c r="R1125" s="4" t="str">
        <f>IF(Sales_Fact!$O1125&gt;1000,"High","Low")</f>
        <v>Low</v>
      </c>
      <c r="S1125" s="4" t="str">
        <f>VLOOKUP(C1125,Customer_Dim!$A:$N,9,FALSE())</f>
        <v>Michael Garner</v>
      </c>
      <c r="T1125" s="4" t="str">
        <f>VLOOKUP(D1125,Product_Dim!$A:$M,3,FALSE())</f>
        <v>Electronics</v>
      </c>
      <c r="U1125" s="11" t="str">
        <f>VLOOKUP(D1125,Product_Dim!$A:$M,2,FALSE())</f>
        <v>Smart LED Light Strip</v>
      </c>
      <c r="V1125" s="11" t="str">
        <f>VLOOKUP(E1125,Store_Dim!$A:$E,3,FALSE())</f>
        <v>West</v>
      </c>
      <c r="W1125" s="11" t="str">
        <f>VLOOKUP(C1125,Customer_Dim!$A:$N,13,FALSE())</f>
        <v>Platinum</v>
      </c>
      <c r="X1125" s="11" t="str">
        <f t="shared" si="125"/>
        <v>Low</v>
      </c>
    </row>
    <row r="1126" spans="1:24" ht="15.75" customHeight="1">
      <c r="A1126" s="4" t="s">
        <v>3122</v>
      </c>
      <c r="B1126" s="9">
        <v>45447</v>
      </c>
      <c r="C1126" s="4" t="s">
        <v>1264</v>
      </c>
      <c r="D1126" s="4" t="s">
        <v>1732</v>
      </c>
      <c r="E1126" s="4" t="s">
        <v>1968</v>
      </c>
      <c r="F1126" s="4">
        <v>1</v>
      </c>
      <c r="G1126" s="4">
        <v>589.55999999999995</v>
      </c>
      <c r="H1126" s="4">
        <v>0.22</v>
      </c>
      <c r="I1126" s="4" t="s">
        <v>1996</v>
      </c>
      <c r="J1126" s="10">
        <v>459.85680000000002</v>
      </c>
      <c r="K1126" s="4" t="str">
        <f t="shared" si="119"/>
        <v>04-06-2024</v>
      </c>
      <c r="L1126" s="4" t="str">
        <f>TEXT(Sales_Fact!$B1126,"mmm")</f>
        <v>Jun</v>
      </c>
      <c r="M1126" s="4">
        <f t="shared" si="120"/>
        <v>1</v>
      </c>
      <c r="N1126" s="10">
        <f t="shared" si="121"/>
        <v>589.55999999999995</v>
      </c>
      <c r="O1126" s="10">
        <f t="shared" si="122"/>
        <v>459.85679999999996</v>
      </c>
      <c r="P1126" s="10">
        <f t="shared" si="123"/>
        <v>589.55999999999995</v>
      </c>
      <c r="Q1126" s="3">
        <f t="shared" si="124"/>
        <v>0.22</v>
      </c>
      <c r="R1126" s="4" t="str">
        <f>IF(Sales_Fact!$O1126&gt;1000,"High","Low")</f>
        <v>Low</v>
      </c>
      <c r="S1126" s="4" t="str">
        <f>VLOOKUP(C1126,Customer_Dim!$A:$N,9,FALSE())</f>
        <v>Alexander Byrd</v>
      </c>
      <c r="T1126" s="4" t="str">
        <f>VLOOKUP(D1126,Product_Dim!$A:$M,3,FALSE())</f>
        <v>Electronics</v>
      </c>
      <c r="U1126" s="11" t="str">
        <f>VLOOKUP(D1126,Product_Dim!$A:$M,2,FALSE())</f>
        <v>USB External Hard Drive</v>
      </c>
      <c r="V1126" s="11" t="str">
        <f>VLOOKUP(E1126,Store_Dim!$A:$E,3,FALSE())</f>
        <v>East</v>
      </c>
      <c r="W1126" s="11" t="str">
        <f>VLOOKUP(C1126,Customer_Dim!$A:$N,13,FALSE())</f>
        <v>Silver</v>
      </c>
      <c r="X1126" s="11" t="str">
        <f t="shared" si="125"/>
        <v>Low</v>
      </c>
    </row>
    <row r="1127" spans="1:24" ht="15.75" customHeight="1">
      <c r="A1127" s="4" t="s">
        <v>3123</v>
      </c>
      <c r="B1127" s="9">
        <v>45497</v>
      </c>
      <c r="C1127" s="4" t="s">
        <v>359</v>
      </c>
      <c r="D1127" s="4" t="s">
        <v>1755</v>
      </c>
      <c r="E1127" s="4" t="s">
        <v>1919</v>
      </c>
      <c r="F1127" s="4">
        <v>1</v>
      </c>
      <c r="G1127" s="4">
        <v>823.26</v>
      </c>
      <c r="H1127" s="4">
        <v>0.27</v>
      </c>
      <c r="I1127" s="4" t="s">
        <v>2004</v>
      </c>
      <c r="J1127" s="10">
        <v>600.97979999999995</v>
      </c>
      <c r="K1127" s="4" t="str">
        <f t="shared" si="119"/>
        <v>24-07-2024</v>
      </c>
      <c r="L1127" s="4" t="str">
        <f>TEXT(Sales_Fact!$B1127,"mmm")</f>
        <v>Jul</v>
      </c>
      <c r="M1127" s="4">
        <f t="shared" si="120"/>
        <v>1</v>
      </c>
      <c r="N1127" s="10">
        <f t="shared" si="121"/>
        <v>823.26</v>
      </c>
      <c r="O1127" s="10">
        <f t="shared" si="122"/>
        <v>600.97979999999995</v>
      </c>
      <c r="P1127" s="10">
        <f t="shared" si="123"/>
        <v>823.26</v>
      </c>
      <c r="Q1127" s="3">
        <f t="shared" si="124"/>
        <v>0.27000000000000007</v>
      </c>
      <c r="R1127" s="4" t="str">
        <f>IF(Sales_Fact!$O1127&gt;1000,"High","Low")</f>
        <v>Low</v>
      </c>
      <c r="S1127" s="4" t="str">
        <f>VLOOKUP(C1127,Customer_Dim!$A:$N,9,FALSE())</f>
        <v>David Patterson</v>
      </c>
      <c r="T1127" s="4" t="str">
        <f>VLOOKUP(D1127,Product_Dim!$A:$M,3,FALSE())</f>
        <v>Sports</v>
      </c>
      <c r="U1127" s="11" t="str">
        <f>VLOOKUP(D1127,Product_Dim!$A:$M,2,FALSE())</f>
        <v>Boxing Hand Wraps</v>
      </c>
      <c r="V1127" s="11" t="str">
        <f>VLOOKUP(E1127,Store_Dim!$A:$E,3,FALSE())</f>
        <v>South</v>
      </c>
      <c r="W1127" s="11" t="str">
        <f>VLOOKUP(C1127,Customer_Dim!$A:$N,13,FALSE())</f>
        <v>Gold</v>
      </c>
      <c r="X1127" s="11" t="str">
        <f t="shared" si="125"/>
        <v>Low</v>
      </c>
    </row>
    <row r="1128" spans="1:24" ht="15.75" customHeight="1">
      <c r="A1128" s="4" t="s">
        <v>3124</v>
      </c>
      <c r="B1128" s="9">
        <v>45807</v>
      </c>
      <c r="C1128" s="4" t="s">
        <v>79</v>
      </c>
      <c r="D1128" s="4" t="s">
        <v>1681</v>
      </c>
      <c r="E1128" s="4" t="s">
        <v>1940</v>
      </c>
      <c r="F1128" s="4">
        <v>3</v>
      </c>
      <c r="G1128" s="4">
        <v>681.01</v>
      </c>
      <c r="H1128" s="4">
        <v>0.27</v>
      </c>
      <c r="I1128" s="4" t="s">
        <v>2004</v>
      </c>
      <c r="J1128" s="10">
        <v>1491.4119000000001</v>
      </c>
      <c r="K1128" s="4" t="str">
        <f t="shared" si="119"/>
        <v>30-05-2025</v>
      </c>
      <c r="L1128" s="4" t="str">
        <f>TEXT(Sales_Fact!$B1128,"mmm")</f>
        <v>May</v>
      </c>
      <c r="M1128" s="4">
        <f t="shared" si="120"/>
        <v>3</v>
      </c>
      <c r="N1128" s="10">
        <f t="shared" si="121"/>
        <v>681.01</v>
      </c>
      <c r="O1128" s="10">
        <f t="shared" si="122"/>
        <v>1491.4118999999998</v>
      </c>
      <c r="P1128" s="10">
        <f t="shared" si="123"/>
        <v>2043.03</v>
      </c>
      <c r="Q1128" s="3">
        <f t="shared" si="124"/>
        <v>0.27000000000000007</v>
      </c>
      <c r="R1128" s="4" t="str">
        <f>IF(Sales_Fact!$O1128&gt;1000,"High","Low")</f>
        <v>High</v>
      </c>
      <c r="S1128" s="4" t="str">
        <f>VLOOKUP(C1128,Customer_Dim!$A:$N,9,FALSE())</f>
        <v>Kenneth Lambert</v>
      </c>
      <c r="T1128" s="4" t="str">
        <f>VLOOKUP(D1128,Product_Dim!$A:$M,3,FALSE())</f>
        <v>Home</v>
      </c>
      <c r="U1128" s="11" t="str">
        <f>VLOOKUP(D1128,Product_Dim!$A:$M,2,FALSE())</f>
        <v>Decorative Floor Vase</v>
      </c>
      <c r="V1128" s="11" t="str">
        <f>VLOOKUP(E1128,Store_Dim!$A:$E,3,FALSE())</f>
        <v>West</v>
      </c>
      <c r="W1128" s="11" t="str">
        <f>VLOOKUP(C1128,Customer_Dim!$A:$N,13,FALSE())</f>
        <v>Platinum</v>
      </c>
      <c r="X1128" s="11" t="str">
        <f t="shared" si="125"/>
        <v>Low</v>
      </c>
    </row>
    <row r="1129" spans="1:24" ht="15.75" customHeight="1">
      <c r="A1129" s="4" t="s">
        <v>3125</v>
      </c>
      <c r="B1129" s="9">
        <v>45942</v>
      </c>
      <c r="C1129" s="4" t="s">
        <v>1397</v>
      </c>
      <c r="D1129" s="4" t="s">
        <v>1773</v>
      </c>
      <c r="E1129" s="4" t="s">
        <v>1971</v>
      </c>
      <c r="F1129" s="4">
        <v>4</v>
      </c>
      <c r="G1129" s="4">
        <v>119.83</v>
      </c>
      <c r="H1129" s="4">
        <v>0.13</v>
      </c>
      <c r="I1129" s="4" t="s">
        <v>1996</v>
      </c>
      <c r="J1129" s="10">
        <v>417.00839999999999</v>
      </c>
      <c r="K1129" s="4" t="str">
        <f t="shared" si="119"/>
        <v>12-10-2025</v>
      </c>
      <c r="L1129" s="4" t="str">
        <f>TEXT(Sales_Fact!$B1129,"mmm")</f>
        <v>Oct</v>
      </c>
      <c r="M1129" s="4">
        <f t="shared" si="120"/>
        <v>4</v>
      </c>
      <c r="N1129" s="10">
        <f t="shared" si="121"/>
        <v>119.83</v>
      </c>
      <c r="O1129" s="10">
        <f t="shared" si="122"/>
        <v>417.00839999999999</v>
      </c>
      <c r="P1129" s="10">
        <f t="shared" si="123"/>
        <v>479.32</v>
      </c>
      <c r="Q1129" s="3">
        <f t="shared" si="124"/>
        <v>0.13</v>
      </c>
      <c r="R1129" s="4" t="str">
        <f>IF(Sales_Fact!$O1129&gt;1000,"High","Low")</f>
        <v>Low</v>
      </c>
      <c r="S1129" s="4" t="str">
        <f>VLOOKUP(C1129,Customer_Dim!$A:$N,9,FALSE())</f>
        <v>Kelli Smith</v>
      </c>
      <c r="T1129" s="4" t="str">
        <f>VLOOKUP(D1129,Product_Dim!$A:$M,3,FALSE())</f>
        <v>Home</v>
      </c>
      <c r="U1129" s="11" t="str">
        <f>VLOOKUP(D1129,Product_Dim!$A:$M,2,FALSE())</f>
        <v>Premium Blanket Throw</v>
      </c>
      <c r="V1129" s="11" t="str">
        <f>VLOOKUP(E1129,Store_Dim!$A:$E,3,FALSE())</f>
        <v>East</v>
      </c>
      <c r="W1129" s="11" t="str">
        <f>VLOOKUP(C1129,Customer_Dim!$A:$N,13,FALSE())</f>
        <v>Bronze</v>
      </c>
      <c r="X1129" s="11" t="str">
        <f t="shared" si="125"/>
        <v>High</v>
      </c>
    </row>
    <row r="1130" spans="1:24" ht="15.75" customHeight="1">
      <c r="A1130" s="4" t="s">
        <v>3126</v>
      </c>
      <c r="B1130" s="9">
        <v>45314</v>
      </c>
      <c r="C1130" s="4" t="s">
        <v>997</v>
      </c>
      <c r="D1130" s="4" t="s">
        <v>1840</v>
      </c>
      <c r="E1130" s="4" t="s">
        <v>1919</v>
      </c>
      <c r="F1130" s="4">
        <v>1</v>
      </c>
      <c r="G1130" s="4">
        <v>575.66</v>
      </c>
      <c r="H1130" s="4">
        <v>0.03</v>
      </c>
      <c r="I1130" s="4" t="s">
        <v>1998</v>
      </c>
      <c r="J1130" s="10">
        <v>558.39020000000005</v>
      </c>
      <c r="K1130" s="4" t="str">
        <f t="shared" si="119"/>
        <v>23-01-2024</v>
      </c>
      <c r="L1130" s="4" t="str">
        <f>TEXT(Sales_Fact!$B1130,"mmm")</f>
        <v>Jan</v>
      </c>
      <c r="M1130" s="4">
        <f t="shared" si="120"/>
        <v>1</v>
      </c>
      <c r="N1130" s="10">
        <f t="shared" si="121"/>
        <v>575.66</v>
      </c>
      <c r="O1130" s="10">
        <f t="shared" si="122"/>
        <v>558.39019999999994</v>
      </c>
      <c r="P1130" s="10">
        <f t="shared" si="123"/>
        <v>575.66</v>
      </c>
      <c r="Q1130" s="3">
        <f t="shared" si="124"/>
        <v>3.0000000000000058E-2</v>
      </c>
      <c r="R1130" s="4" t="str">
        <f>IF(Sales_Fact!$O1130&gt;1000,"High","Low")</f>
        <v>Low</v>
      </c>
      <c r="S1130" s="4" t="str">
        <f>VLOOKUP(C1130,Customer_Dim!$A:$N,9,FALSE())</f>
        <v>Brandy Thompson</v>
      </c>
      <c r="T1130" s="4" t="str">
        <f>VLOOKUP(D1130,Product_Dim!$A:$M,3,FALSE())</f>
        <v>Home</v>
      </c>
      <c r="U1130" s="11" t="str">
        <f>VLOOKUP(D1130,Product_Dim!$A:$M,2,FALSE())</f>
        <v>Essential Oil Diffuser</v>
      </c>
      <c r="V1130" s="11" t="str">
        <f>VLOOKUP(E1130,Store_Dim!$A:$E,3,FALSE())</f>
        <v>South</v>
      </c>
      <c r="W1130" s="11" t="str">
        <f>VLOOKUP(C1130,Customer_Dim!$A:$N,13,FALSE())</f>
        <v>Bronze</v>
      </c>
      <c r="X1130" s="11" t="str">
        <f t="shared" si="125"/>
        <v>Low</v>
      </c>
    </row>
    <row r="1131" spans="1:24" ht="15.75" customHeight="1">
      <c r="A1131" s="4" t="s">
        <v>3127</v>
      </c>
      <c r="B1131" s="9">
        <v>45943</v>
      </c>
      <c r="C1131" s="4" t="s">
        <v>676</v>
      </c>
      <c r="D1131" s="4" t="s">
        <v>1748</v>
      </c>
      <c r="E1131" s="4" t="s">
        <v>1962</v>
      </c>
      <c r="F1131" s="4">
        <v>1</v>
      </c>
      <c r="G1131" s="4">
        <v>775.84</v>
      </c>
      <c r="H1131" s="4">
        <v>0.26</v>
      </c>
      <c r="I1131" s="4" t="s">
        <v>1996</v>
      </c>
      <c r="J1131" s="10">
        <v>574.12159999999994</v>
      </c>
      <c r="K1131" s="4" t="str">
        <f t="shared" si="119"/>
        <v>13-10-2025</v>
      </c>
      <c r="L1131" s="4" t="str">
        <f>TEXT(Sales_Fact!$B1131,"mmm")</f>
        <v>Oct</v>
      </c>
      <c r="M1131" s="4">
        <f t="shared" si="120"/>
        <v>1</v>
      </c>
      <c r="N1131" s="10">
        <f t="shared" si="121"/>
        <v>775.84</v>
      </c>
      <c r="O1131" s="10">
        <f t="shared" si="122"/>
        <v>574.12160000000006</v>
      </c>
      <c r="P1131" s="10">
        <f t="shared" si="123"/>
        <v>775.84</v>
      </c>
      <c r="Q1131" s="3">
        <f t="shared" si="124"/>
        <v>0.25999999999999995</v>
      </c>
      <c r="R1131" s="4" t="str">
        <f>IF(Sales_Fact!$O1131&gt;1000,"High","Low")</f>
        <v>Low</v>
      </c>
      <c r="S1131" s="4" t="str">
        <f>VLOOKUP(C1131,Customer_Dim!$A:$N,9,FALSE())</f>
        <v>Carmen Price</v>
      </c>
      <c r="T1131" s="4" t="str">
        <f>VLOOKUP(D1131,Product_Dim!$A:$M,3,FALSE())</f>
        <v>Electronics</v>
      </c>
      <c r="U1131" s="11" t="str">
        <f>VLOOKUP(D1131,Product_Dim!$A:$M,2,FALSE())</f>
        <v>Car Dashboard Phone Holder</v>
      </c>
      <c r="V1131" s="11" t="str">
        <f>VLOOKUP(E1131,Store_Dim!$A:$E,3,FALSE())</f>
        <v>West</v>
      </c>
      <c r="W1131" s="11" t="str">
        <f>VLOOKUP(C1131,Customer_Dim!$A:$N,13,FALSE())</f>
        <v>Bronze</v>
      </c>
      <c r="X1131" s="11" t="str">
        <f t="shared" si="125"/>
        <v>Low</v>
      </c>
    </row>
    <row r="1132" spans="1:24" ht="15.75" customHeight="1">
      <c r="A1132" s="4" t="s">
        <v>3128</v>
      </c>
      <c r="B1132" s="9">
        <v>45356</v>
      </c>
      <c r="C1132" s="4" t="s">
        <v>1400</v>
      </c>
      <c r="D1132" s="4" t="s">
        <v>1636</v>
      </c>
      <c r="E1132" s="4" t="s">
        <v>1944</v>
      </c>
      <c r="F1132" s="4">
        <v>3</v>
      </c>
      <c r="G1132" s="4">
        <v>318.43</v>
      </c>
      <c r="H1132" s="4">
        <v>0.05</v>
      </c>
      <c r="I1132" s="4" t="s">
        <v>1996</v>
      </c>
      <c r="J1132" s="10">
        <v>907.52549999999997</v>
      </c>
      <c r="K1132" s="4" t="str">
        <f t="shared" si="119"/>
        <v>05-03-2024</v>
      </c>
      <c r="L1132" s="4" t="str">
        <f>TEXT(Sales_Fact!$B1132,"mmm")</f>
        <v>Mar</v>
      </c>
      <c r="M1132" s="4">
        <f t="shared" si="120"/>
        <v>3</v>
      </c>
      <c r="N1132" s="10">
        <f t="shared" si="121"/>
        <v>318.43</v>
      </c>
      <c r="O1132" s="10">
        <f t="shared" si="122"/>
        <v>907.52549999999997</v>
      </c>
      <c r="P1132" s="10">
        <f t="shared" si="123"/>
        <v>955.29</v>
      </c>
      <c r="Q1132" s="3">
        <f t="shared" si="124"/>
        <v>0.05</v>
      </c>
      <c r="R1132" s="4" t="str">
        <f>IF(Sales_Fact!$O1132&gt;1000,"High","Low")</f>
        <v>Low</v>
      </c>
      <c r="S1132" s="4" t="str">
        <f>VLOOKUP(C1132,Customer_Dim!$A:$N,9,FALSE())</f>
        <v>Adam Castro</v>
      </c>
      <c r="T1132" s="4" t="str">
        <f>VLOOKUP(D1132,Product_Dim!$A:$M,3,FALSE())</f>
        <v>Home</v>
      </c>
      <c r="U1132" s="11" t="str">
        <f>VLOOKUP(D1132,Product_Dim!$A:$M,2,FALSE())</f>
        <v>Decorative Wall Mirror</v>
      </c>
      <c r="V1132" s="11" t="str">
        <f>VLOOKUP(E1132,Store_Dim!$A:$E,3,FALSE())</f>
        <v>South</v>
      </c>
      <c r="W1132" s="11" t="str">
        <f>VLOOKUP(C1132,Customer_Dim!$A:$N,13,FALSE())</f>
        <v>Silver</v>
      </c>
      <c r="X1132" s="11" t="str">
        <f t="shared" si="125"/>
        <v>Low</v>
      </c>
    </row>
    <row r="1133" spans="1:24" ht="15.75" customHeight="1">
      <c r="A1133" s="4" t="s">
        <v>3129</v>
      </c>
      <c r="B1133" s="9">
        <v>45854</v>
      </c>
      <c r="C1133" s="4" t="s">
        <v>538</v>
      </c>
      <c r="D1133" s="4" t="s">
        <v>1822</v>
      </c>
      <c r="E1133" s="4" t="s">
        <v>1940</v>
      </c>
      <c r="F1133" s="4">
        <v>3</v>
      </c>
      <c r="G1133" s="4">
        <v>141.6</v>
      </c>
      <c r="H1133" s="4">
        <v>0.08</v>
      </c>
      <c r="I1133" s="4" t="s">
        <v>2004</v>
      </c>
      <c r="J1133" s="10">
        <v>390.81599999999997</v>
      </c>
      <c r="K1133" s="4" t="str">
        <f t="shared" si="119"/>
        <v>16-07-2025</v>
      </c>
      <c r="L1133" s="4" t="str">
        <f>TEXT(Sales_Fact!$B1133,"mmm")</f>
        <v>Jul</v>
      </c>
      <c r="M1133" s="4">
        <f t="shared" si="120"/>
        <v>3</v>
      </c>
      <c r="N1133" s="10">
        <f t="shared" si="121"/>
        <v>141.6</v>
      </c>
      <c r="O1133" s="10">
        <f t="shared" si="122"/>
        <v>390.81599999999997</v>
      </c>
      <c r="P1133" s="10">
        <f t="shared" si="123"/>
        <v>424.79999999999995</v>
      </c>
      <c r="Q1133" s="3">
        <f t="shared" si="124"/>
        <v>7.999999999999996E-2</v>
      </c>
      <c r="R1133" s="4" t="str">
        <f>IF(Sales_Fact!$O1133&gt;1000,"High","Low")</f>
        <v>Low</v>
      </c>
      <c r="S1133" s="4" t="str">
        <f>VLOOKUP(C1133,Customer_Dim!$A:$N,9,FALSE())</f>
        <v>Joseph Faulkner</v>
      </c>
      <c r="T1133" s="4" t="str">
        <f>VLOOKUP(D1133,Product_Dim!$A:$M,3,FALSE())</f>
        <v>Sports</v>
      </c>
      <c r="U1133" s="11" t="str">
        <f>VLOOKUP(D1133,Product_Dim!$A:$M,2,FALSE())</f>
        <v>Professional Jump Rope</v>
      </c>
      <c r="V1133" s="11" t="str">
        <f>VLOOKUP(E1133,Store_Dim!$A:$E,3,FALSE())</f>
        <v>West</v>
      </c>
      <c r="W1133" s="11" t="str">
        <f>VLOOKUP(C1133,Customer_Dim!$A:$N,13,FALSE())</f>
        <v>Bronze</v>
      </c>
      <c r="X1133" s="11" t="str">
        <f t="shared" si="125"/>
        <v>Low</v>
      </c>
    </row>
    <row r="1134" spans="1:24" ht="15.75" customHeight="1">
      <c r="A1134" s="4" t="s">
        <v>3130</v>
      </c>
      <c r="B1134" s="9">
        <v>45219</v>
      </c>
      <c r="C1134" s="4" t="s">
        <v>877</v>
      </c>
      <c r="D1134" s="4" t="s">
        <v>1640</v>
      </c>
      <c r="E1134" s="4" t="s">
        <v>1971</v>
      </c>
      <c r="F1134" s="4">
        <v>1</v>
      </c>
      <c r="G1134" s="4">
        <v>332.82</v>
      </c>
      <c r="H1134" s="4">
        <v>0.14000000000000001</v>
      </c>
      <c r="I1134" s="4" t="s">
        <v>1998</v>
      </c>
      <c r="J1134" s="10">
        <v>286.22519999999997</v>
      </c>
      <c r="K1134" s="4" t="str">
        <f t="shared" si="119"/>
        <v>20-10-2023</v>
      </c>
      <c r="L1134" s="4" t="str">
        <f>TEXT(Sales_Fact!$B1134,"mmm")</f>
        <v>Oct</v>
      </c>
      <c r="M1134" s="4">
        <f t="shared" si="120"/>
        <v>1</v>
      </c>
      <c r="N1134" s="10">
        <f t="shared" si="121"/>
        <v>332.82</v>
      </c>
      <c r="O1134" s="10">
        <f t="shared" si="122"/>
        <v>286.22519999999997</v>
      </c>
      <c r="P1134" s="10">
        <f t="shared" si="123"/>
        <v>332.82</v>
      </c>
      <c r="Q1134" s="3">
        <f t="shared" si="124"/>
        <v>0.14000000000000007</v>
      </c>
      <c r="R1134" s="4" t="str">
        <f>IF(Sales_Fact!$O1134&gt;1000,"High","Low")</f>
        <v>Low</v>
      </c>
      <c r="S1134" s="4" t="str">
        <f>VLOOKUP(C1134,Customer_Dim!$A:$N,9,FALSE())</f>
        <v>Cynthia Payne</v>
      </c>
      <c r="T1134" s="4" t="str">
        <f>VLOOKUP(D1134,Product_Dim!$A:$M,3,FALSE())</f>
        <v>Electronics</v>
      </c>
      <c r="U1134" s="11" t="str">
        <f>VLOOKUP(D1134,Product_Dim!$A:$M,2,FALSE())</f>
        <v>4K Home Projector</v>
      </c>
      <c r="V1134" s="11" t="str">
        <f>VLOOKUP(E1134,Store_Dim!$A:$E,3,FALSE())</f>
        <v>East</v>
      </c>
      <c r="W1134" s="11" t="str">
        <f>VLOOKUP(C1134,Customer_Dim!$A:$N,13,FALSE())</f>
        <v>Bronze</v>
      </c>
      <c r="X1134" s="11" t="str">
        <f t="shared" si="125"/>
        <v>Low</v>
      </c>
    </row>
    <row r="1135" spans="1:24" ht="15.75" customHeight="1">
      <c r="A1135" s="4" t="s">
        <v>3131</v>
      </c>
      <c r="B1135" s="9">
        <v>45447</v>
      </c>
      <c r="C1135" s="4" t="s">
        <v>816</v>
      </c>
      <c r="D1135" s="4" t="s">
        <v>1822</v>
      </c>
      <c r="E1135" s="4" t="s">
        <v>1915</v>
      </c>
      <c r="F1135" s="4">
        <v>4</v>
      </c>
      <c r="G1135" s="4">
        <v>640.97</v>
      </c>
      <c r="H1135" s="4">
        <v>0.11</v>
      </c>
      <c r="I1135" s="4" t="s">
        <v>2004</v>
      </c>
      <c r="J1135" s="10">
        <v>2281.8532</v>
      </c>
      <c r="K1135" s="4" t="str">
        <f t="shared" si="119"/>
        <v>04-06-2024</v>
      </c>
      <c r="L1135" s="4" t="str">
        <f>TEXT(Sales_Fact!$B1135,"mmm")</f>
        <v>Jun</v>
      </c>
      <c r="M1135" s="4">
        <f t="shared" si="120"/>
        <v>4</v>
      </c>
      <c r="N1135" s="10">
        <f t="shared" si="121"/>
        <v>640.97</v>
      </c>
      <c r="O1135" s="10">
        <f t="shared" si="122"/>
        <v>2281.8532</v>
      </c>
      <c r="P1135" s="10">
        <f t="shared" si="123"/>
        <v>2563.88</v>
      </c>
      <c r="Q1135" s="3">
        <f t="shared" si="124"/>
        <v>0.11000000000000003</v>
      </c>
      <c r="R1135" s="4" t="str">
        <f>IF(Sales_Fact!$O1135&gt;1000,"High","Low")</f>
        <v>High</v>
      </c>
      <c r="S1135" s="4" t="str">
        <f>VLOOKUP(C1135,Customer_Dim!$A:$N,9,FALSE())</f>
        <v>Mary Russell</v>
      </c>
      <c r="T1135" s="4" t="str">
        <f>VLOOKUP(D1135,Product_Dim!$A:$M,3,FALSE())</f>
        <v>Sports</v>
      </c>
      <c r="U1135" s="11" t="str">
        <f>VLOOKUP(D1135,Product_Dim!$A:$M,2,FALSE())</f>
        <v>Professional Jump Rope</v>
      </c>
      <c r="V1135" s="11" t="str">
        <f>VLOOKUP(E1135,Store_Dim!$A:$E,3,FALSE())</f>
        <v>North</v>
      </c>
      <c r="W1135" s="11" t="str">
        <f>VLOOKUP(C1135,Customer_Dim!$A:$N,13,FALSE())</f>
        <v>Bronze</v>
      </c>
      <c r="X1135" s="11" t="str">
        <f t="shared" si="125"/>
        <v>High</v>
      </c>
    </row>
    <row r="1136" spans="1:24" ht="15.75" customHeight="1">
      <c r="A1136" s="4" t="s">
        <v>3132</v>
      </c>
      <c r="B1136" s="9">
        <v>45225</v>
      </c>
      <c r="C1136" s="4" t="s">
        <v>688</v>
      </c>
      <c r="D1136" s="4" t="s">
        <v>1876</v>
      </c>
      <c r="E1136" s="4" t="s">
        <v>1959</v>
      </c>
      <c r="F1136" s="4">
        <v>4</v>
      </c>
      <c r="G1136" s="4">
        <v>75.37</v>
      </c>
      <c r="H1136" s="4">
        <v>0.02</v>
      </c>
      <c r="I1136" s="4" t="s">
        <v>2004</v>
      </c>
      <c r="J1136" s="10">
        <v>295.4504</v>
      </c>
      <c r="K1136" s="4" t="str">
        <f t="shared" si="119"/>
        <v>26-10-2023</v>
      </c>
      <c r="L1136" s="4" t="str">
        <f>TEXT(Sales_Fact!$B1136,"mmm")</f>
        <v>Oct</v>
      </c>
      <c r="M1136" s="4">
        <f t="shared" si="120"/>
        <v>4</v>
      </c>
      <c r="N1136" s="10">
        <f t="shared" si="121"/>
        <v>75.37</v>
      </c>
      <c r="O1136" s="10">
        <f t="shared" si="122"/>
        <v>295.4504</v>
      </c>
      <c r="P1136" s="10">
        <f t="shared" si="123"/>
        <v>301.48</v>
      </c>
      <c r="Q1136" s="3">
        <f t="shared" si="124"/>
        <v>2.0000000000000052E-2</v>
      </c>
      <c r="R1136" s="4" t="str">
        <f>IF(Sales_Fact!$O1136&gt;1000,"High","Low")</f>
        <v>Low</v>
      </c>
      <c r="S1136" s="4" t="str">
        <f>VLOOKUP(C1136,Customer_Dim!$A:$N,9,FALSE())</f>
        <v>Sarah Brady</v>
      </c>
      <c r="T1136" s="4" t="str">
        <f>VLOOKUP(D1136,Product_Dim!$A:$M,3,FALSE())</f>
        <v>Electronics</v>
      </c>
      <c r="U1136" s="11" t="str">
        <f>VLOOKUP(D1136,Product_Dim!$A:$M,2,FALSE())</f>
        <v>Gaming Mouse Pad XL</v>
      </c>
      <c r="V1136" s="11" t="str">
        <f>VLOOKUP(E1136,Store_Dim!$A:$E,3,FALSE())</f>
        <v>North</v>
      </c>
      <c r="W1136" s="11" t="str">
        <f>VLOOKUP(C1136,Customer_Dim!$A:$N,13,FALSE())</f>
        <v>Platinum</v>
      </c>
      <c r="X1136" s="11" t="str">
        <f t="shared" si="125"/>
        <v>High</v>
      </c>
    </row>
    <row r="1137" spans="1:24" ht="15.75" customHeight="1">
      <c r="A1137" s="4" t="s">
        <v>3133</v>
      </c>
      <c r="B1137" s="9">
        <v>45394</v>
      </c>
      <c r="C1137" s="4" t="s">
        <v>1495</v>
      </c>
      <c r="D1137" s="4" t="s">
        <v>1813</v>
      </c>
      <c r="E1137" s="4" t="s">
        <v>1947</v>
      </c>
      <c r="F1137" s="4">
        <v>3</v>
      </c>
      <c r="G1137" s="4">
        <v>979.42</v>
      </c>
      <c r="H1137" s="4">
        <v>0.03</v>
      </c>
      <c r="I1137" s="4" t="s">
        <v>1998</v>
      </c>
      <c r="J1137" s="10">
        <v>2850.1122</v>
      </c>
      <c r="K1137" s="4" t="str">
        <f t="shared" si="119"/>
        <v>12-04-2024</v>
      </c>
      <c r="L1137" s="4" t="str">
        <f>TEXT(Sales_Fact!$B1137,"mmm")</f>
        <v>Apr</v>
      </c>
      <c r="M1137" s="4">
        <f t="shared" si="120"/>
        <v>3</v>
      </c>
      <c r="N1137" s="10">
        <f t="shared" si="121"/>
        <v>979.42</v>
      </c>
      <c r="O1137" s="10">
        <f t="shared" si="122"/>
        <v>2850.1121999999996</v>
      </c>
      <c r="P1137" s="10">
        <f t="shared" si="123"/>
        <v>2938.2599999999998</v>
      </c>
      <c r="Q1137" s="3">
        <f t="shared" si="124"/>
        <v>3.0000000000000068E-2</v>
      </c>
      <c r="R1137" s="4" t="str">
        <f>IF(Sales_Fact!$O1137&gt;1000,"High","Low")</f>
        <v>High</v>
      </c>
      <c r="S1137" s="4" t="str">
        <f>VLOOKUP(C1137,Customer_Dim!$A:$N,9,FALSE())</f>
        <v>Elizabeth Foster</v>
      </c>
      <c r="T1137" s="4" t="str">
        <f>VLOOKUP(D1137,Product_Dim!$A:$M,3,FALSE())</f>
        <v>Clothing</v>
      </c>
      <c r="U1137" s="11" t="str">
        <f>VLOOKUP(D1137,Product_Dim!$A:$M,2,FALSE())</f>
        <v>Men's Sports Shorts</v>
      </c>
      <c r="V1137" s="11" t="str">
        <f>VLOOKUP(E1137,Store_Dim!$A:$E,3,FALSE())</f>
        <v>East</v>
      </c>
      <c r="W1137" s="11" t="str">
        <f>VLOOKUP(C1137,Customer_Dim!$A:$N,13,FALSE())</f>
        <v>Gold</v>
      </c>
      <c r="X1137" s="11" t="str">
        <f t="shared" si="125"/>
        <v>Low</v>
      </c>
    </row>
    <row r="1138" spans="1:24" ht="15.75" customHeight="1">
      <c r="A1138" s="4" t="s">
        <v>3134</v>
      </c>
      <c r="B1138" s="9">
        <v>45754</v>
      </c>
      <c r="C1138" s="4" t="s">
        <v>296</v>
      </c>
      <c r="D1138" s="4" t="s">
        <v>1644</v>
      </c>
      <c r="E1138" s="4" t="s">
        <v>1968</v>
      </c>
      <c r="F1138" s="4">
        <v>3</v>
      </c>
      <c r="G1138" s="4">
        <v>434.55</v>
      </c>
      <c r="H1138" s="4">
        <v>0.08</v>
      </c>
      <c r="I1138" s="4" t="s">
        <v>2004</v>
      </c>
      <c r="J1138" s="10">
        <v>1199.3579999999999</v>
      </c>
      <c r="K1138" s="4" t="str">
        <f t="shared" si="119"/>
        <v>07-04-2025</v>
      </c>
      <c r="L1138" s="4" t="str">
        <f>TEXT(Sales_Fact!$B1138,"mmm")</f>
        <v>Apr</v>
      </c>
      <c r="M1138" s="4">
        <f t="shared" si="120"/>
        <v>3</v>
      </c>
      <c r="N1138" s="10">
        <f t="shared" si="121"/>
        <v>434.55</v>
      </c>
      <c r="O1138" s="10">
        <f t="shared" si="122"/>
        <v>1199.3580000000002</v>
      </c>
      <c r="P1138" s="10">
        <f t="shared" si="123"/>
        <v>1303.6500000000001</v>
      </c>
      <c r="Q1138" s="3">
        <f t="shared" si="124"/>
        <v>7.9999999999999932E-2</v>
      </c>
      <c r="R1138" s="4" t="str">
        <f>IF(Sales_Fact!$O1138&gt;1000,"High","Low")</f>
        <v>High</v>
      </c>
      <c r="S1138" s="4" t="str">
        <f>VLOOKUP(C1138,Customer_Dim!$A:$N,9,FALSE())</f>
        <v>Rhonda Morales</v>
      </c>
      <c r="T1138" s="4" t="str">
        <f>VLOOKUP(D1138,Product_Dim!$A:$M,3,FALSE())</f>
        <v>Beauty</v>
      </c>
      <c r="U1138" s="11" t="str">
        <f>VLOOKUP(D1138,Product_Dim!$A:$M,2,FALSE())</f>
        <v>Beard Grooming Kit</v>
      </c>
      <c r="V1138" s="11" t="str">
        <f>VLOOKUP(E1138,Store_Dim!$A:$E,3,FALSE())</f>
        <v>East</v>
      </c>
      <c r="W1138" s="11" t="str">
        <f>VLOOKUP(C1138,Customer_Dim!$A:$N,13,FALSE())</f>
        <v>Gold</v>
      </c>
      <c r="X1138" s="11" t="str">
        <f t="shared" si="125"/>
        <v>Low</v>
      </c>
    </row>
    <row r="1139" spans="1:24" ht="15.75" customHeight="1">
      <c r="A1139" s="4" t="s">
        <v>3135</v>
      </c>
      <c r="B1139" s="9">
        <v>45729</v>
      </c>
      <c r="C1139" s="4" t="s">
        <v>374</v>
      </c>
      <c r="D1139" s="4" t="s">
        <v>1678</v>
      </c>
      <c r="E1139" s="4" t="s">
        <v>1957</v>
      </c>
      <c r="F1139" s="4">
        <v>4</v>
      </c>
      <c r="G1139" s="4">
        <v>652.28</v>
      </c>
      <c r="H1139" s="4">
        <v>0.15</v>
      </c>
      <c r="I1139" s="4" t="s">
        <v>1996</v>
      </c>
      <c r="J1139" s="10">
        <v>2217.752</v>
      </c>
      <c r="K1139" s="4" t="str">
        <f t="shared" si="119"/>
        <v>13-03-2025</v>
      </c>
      <c r="L1139" s="4" t="str">
        <f>TEXT(Sales_Fact!$B1139,"mmm")</f>
        <v>Mar</v>
      </c>
      <c r="M1139" s="4">
        <f t="shared" si="120"/>
        <v>4</v>
      </c>
      <c r="N1139" s="10">
        <f t="shared" si="121"/>
        <v>652.28</v>
      </c>
      <c r="O1139" s="10">
        <f t="shared" si="122"/>
        <v>2217.752</v>
      </c>
      <c r="P1139" s="10">
        <f t="shared" si="123"/>
        <v>2609.12</v>
      </c>
      <c r="Q1139" s="3">
        <f t="shared" si="124"/>
        <v>0.15</v>
      </c>
      <c r="R1139" s="4" t="str">
        <f>IF(Sales_Fact!$O1139&gt;1000,"High","Low")</f>
        <v>High</v>
      </c>
      <c r="S1139" s="4" t="str">
        <f>VLOOKUP(C1139,Customer_Dim!$A:$N,9,FALSE())</f>
        <v>Sheila Wilson</v>
      </c>
      <c r="T1139" s="4" t="str">
        <f>VLOOKUP(D1139,Product_Dim!$A:$M,3,FALSE())</f>
        <v>Electronics</v>
      </c>
      <c r="U1139" s="11" t="str">
        <f>VLOOKUP(D1139,Product_Dim!$A:$M,2,FALSE())</f>
        <v>Wireless Bluetooth Speaker</v>
      </c>
      <c r="V1139" s="11" t="str">
        <f>VLOOKUP(E1139,Store_Dim!$A:$E,3,FALSE())</f>
        <v>South</v>
      </c>
      <c r="W1139" s="11" t="str">
        <f>VLOOKUP(C1139,Customer_Dim!$A:$N,13,FALSE())</f>
        <v>Silver</v>
      </c>
      <c r="X1139" s="11" t="str">
        <f t="shared" si="125"/>
        <v>High</v>
      </c>
    </row>
    <row r="1140" spans="1:24" ht="15.75" customHeight="1">
      <c r="A1140" s="4" t="s">
        <v>3136</v>
      </c>
      <c r="B1140" s="9">
        <v>45480</v>
      </c>
      <c r="C1140" s="4" t="s">
        <v>885</v>
      </c>
      <c r="D1140" s="4" t="s">
        <v>1834</v>
      </c>
      <c r="E1140" s="4" t="s">
        <v>1965</v>
      </c>
      <c r="F1140" s="4">
        <v>3</v>
      </c>
      <c r="G1140" s="4">
        <v>207.8</v>
      </c>
      <c r="H1140" s="4">
        <v>0.15</v>
      </c>
      <c r="I1140" s="4" t="s">
        <v>1996</v>
      </c>
      <c r="J1140" s="10">
        <v>529.89</v>
      </c>
      <c r="K1140" s="4" t="str">
        <f t="shared" si="119"/>
        <v>07-07-2024</v>
      </c>
      <c r="L1140" s="4" t="str">
        <f>TEXT(Sales_Fact!$B1140,"mmm")</f>
        <v>Jul</v>
      </c>
      <c r="M1140" s="4">
        <f t="shared" si="120"/>
        <v>3</v>
      </c>
      <c r="N1140" s="10">
        <f t="shared" si="121"/>
        <v>207.8</v>
      </c>
      <c r="O1140" s="10">
        <f t="shared" si="122"/>
        <v>529.8900000000001</v>
      </c>
      <c r="P1140" s="10">
        <f t="shared" si="123"/>
        <v>623.40000000000009</v>
      </c>
      <c r="Q1140" s="3">
        <f t="shared" si="124"/>
        <v>0.14999999999999997</v>
      </c>
      <c r="R1140" s="4" t="str">
        <f>IF(Sales_Fact!$O1140&gt;1000,"High","Low")</f>
        <v>Low</v>
      </c>
      <c r="S1140" s="4" t="str">
        <f>VLOOKUP(C1140,Customer_Dim!$A:$N,9,FALSE())</f>
        <v>Tyrone Olson</v>
      </c>
      <c r="T1140" s="4" t="str">
        <f>VLOOKUP(D1140,Product_Dim!$A:$M,3,FALSE())</f>
        <v>Electronics</v>
      </c>
      <c r="U1140" s="11" t="str">
        <f>VLOOKUP(D1140,Product_Dim!$A:$M,2,FALSE())</f>
        <v>Wireless Mouse</v>
      </c>
      <c r="V1140" s="11" t="str">
        <f>VLOOKUP(E1140,Store_Dim!$A:$E,3,FALSE())</f>
        <v>North</v>
      </c>
      <c r="W1140" s="11" t="str">
        <f>VLOOKUP(C1140,Customer_Dim!$A:$N,13,FALSE())</f>
        <v>Silver</v>
      </c>
      <c r="X1140" s="11" t="str">
        <f t="shared" si="125"/>
        <v>Low</v>
      </c>
    </row>
    <row r="1141" spans="1:24" ht="15.75" customHeight="1">
      <c r="A1141" s="4" t="s">
        <v>3137</v>
      </c>
      <c r="B1141" s="9">
        <v>45361</v>
      </c>
      <c r="C1141" s="4" t="s">
        <v>1550</v>
      </c>
      <c r="D1141" s="4" t="s">
        <v>1788</v>
      </c>
      <c r="E1141" s="4" t="s">
        <v>1959</v>
      </c>
      <c r="F1141" s="4">
        <v>4</v>
      </c>
      <c r="G1141" s="4">
        <v>385.5</v>
      </c>
      <c r="H1141" s="4">
        <v>0.03</v>
      </c>
      <c r="I1141" s="4" t="s">
        <v>1998</v>
      </c>
      <c r="J1141" s="10">
        <v>1495.74</v>
      </c>
      <c r="K1141" s="4" t="str">
        <f t="shared" si="119"/>
        <v>10-03-2024</v>
      </c>
      <c r="L1141" s="4" t="str">
        <f>TEXT(Sales_Fact!$B1141,"mmm")</f>
        <v>Mar</v>
      </c>
      <c r="M1141" s="4">
        <f t="shared" si="120"/>
        <v>4</v>
      </c>
      <c r="N1141" s="10">
        <f t="shared" si="121"/>
        <v>385.5</v>
      </c>
      <c r="O1141" s="10">
        <f t="shared" si="122"/>
        <v>1495.74</v>
      </c>
      <c r="P1141" s="10">
        <f t="shared" si="123"/>
        <v>1542</v>
      </c>
      <c r="Q1141" s="3">
        <f t="shared" si="124"/>
        <v>2.9999999999999995E-2</v>
      </c>
      <c r="R1141" s="4" t="str">
        <f>IF(Sales_Fact!$O1141&gt;1000,"High","Low")</f>
        <v>High</v>
      </c>
      <c r="S1141" s="4" t="str">
        <f>VLOOKUP(C1141,Customer_Dim!$A:$N,9,FALSE())</f>
        <v>James Berger</v>
      </c>
      <c r="T1141" s="4" t="str">
        <f>VLOOKUP(D1141,Product_Dim!$A:$M,3,FALSE())</f>
        <v>Sports</v>
      </c>
      <c r="U1141" s="11" t="str">
        <f>VLOOKUP(D1141,Product_Dim!$A:$M,2,FALSE())</f>
        <v>Tennis Ball 3-Pack</v>
      </c>
      <c r="V1141" s="11" t="str">
        <f>VLOOKUP(E1141,Store_Dim!$A:$E,3,FALSE())</f>
        <v>North</v>
      </c>
      <c r="W1141" s="11" t="str">
        <f>VLOOKUP(C1141,Customer_Dim!$A:$N,13,FALSE())</f>
        <v>Bronze</v>
      </c>
      <c r="X1141" s="11" t="str">
        <f t="shared" si="125"/>
        <v>High</v>
      </c>
    </row>
    <row r="1142" spans="1:24" ht="15.75" customHeight="1">
      <c r="A1142" s="4" t="s">
        <v>3138</v>
      </c>
      <c r="B1142" s="9">
        <v>45915</v>
      </c>
      <c r="C1142" s="4" t="s">
        <v>365</v>
      </c>
      <c r="D1142" s="4" t="s">
        <v>1800</v>
      </c>
      <c r="E1142" s="4" t="s">
        <v>1934</v>
      </c>
      <c r="F1142" s="4">
        <v>3</v>
      </c>
      <c r="G1142" s="4">
        <v>548.19000000000005</v>
      </c>
      <c r="H1142" s="4">
        <v>0.12</v>
      </c>
      <c r="I1142" s="4" t="s">
        <v>1996</v>
      </c>
      <c r="J1142" s="10">
        <v>1447.2216000000001</v>
      </c>
      <c r="K1142" s="4" t="str">
        <f t="shared" si="119"/>
        <v>15-09-2025</v>
      </c>
      <c r="L1142" s="4" t="str">
        <f>TEXT(Sales_Fact!$B1142,"mmm")</f>
        <v>Sep</v>
      </c>
      <c r="M1142" s="4">
        <f t="shared" si="120"/>
        <v>3</v>
      </c>
      <c r="N1142" s="10">
        <f t="shared" si="121"/>
        <v>548.19000000000005</v>
      </c>
      <c r="O1142" s="10">
        <f t="shared" si="122"/>
        <v>1447.2216000000001</v>
      </c>
      <c r="P1142" s="10">
        <f t="shared" si="123"/>
        <v>1644.5700000000002</v>
      </c>
      <c r="Q1142" s="3">
        <f t="shared" si="124"/>
        <v>0.12000000000000004</v>
      </c>
      <c r="R1142" s="4" t="str">
        <f>IF(Sales_Fact!$O1142&gt;1000,"High","Low")</f>
        <v>High</v>
      </c>
      <c r="S1142" s="4" t="str">
        <f>VLOOKUP(C1142,Customer_Dim!$A:$N,9,FALSE())</f>
        <v>Samantha Walker</v>
      </c>
      <c r="T1142" s="4" t="str">
        <f>VLOOKUP(D1142,Product_Dim!$A:$M,3,FALSE())</f>
        <v>Sports</v>
      </c>
      <c r="U1142" s="11" t="str">
        <f>VLOOKUP(D1142,Product_Dim!$A:$M,2,FALSE())</f>
        <v>Adjustable Dumbbells 20kg</v>
      </c>
      <c r="V1142" s="11" t="str">
        <f>VLOOKUP(E1142,Store_Dim!$A:$E,3,FALSE())</f>
        <v>East</v>
      </c>
      <c r="W1142" s="11" t="str">
        <f>VLOOKUP(C1142,Customer_Dim!$A:$N,13,FALSE())</f>
        <v>Platinum</v>
      </c>
      <c r="X1142" s="11" t="str">
        <f t="shared" si="125"/>
        <v>Low</v>
      </c>
    </row>
    <row r="1143" spans="1:24" ht="15.75" customHeight="1">
      <c r="A1143" s="4" t="s">
        <v>3139</v>
      </c>
      <c r="B1143" s="9">
        <v>45607</v>
      </c>
      <c r="C1143" s="4" t="s">
        <v>276</v>
      </c>
      <c r="D1143" s="4" t="s">
        <v>1825</v>
      </c>
      <c r="E1143" s="4" t="s">
        <v>1944</v>
      </c>
      <c r="F1143" s="4">
        <v>3</v>
      </c>
      <c r="G1143" s="4">
        <v>927.6</v>
      </c>
      <c r="H1143" s="4">
        <v>0.09</v>
      </c>
      <c r="I1143" s="4" t="s">
        <v>1996</v>
      </c>
      <c r="J1143" s="10">
        <v>2532.348</v>
      </c>
      <c r="K1143" s="4" t="str">
        <f t="shared" si="119"/>
        <v>11-11-2024</v>
      </c>
      <c r="L1143" s="4" t="str">
        <f>TEXT(Sales_Fact!$B1143,"mmm")</f>
        <v>Nov</v>
      </c>
      <c r="M1143" s="4">
        <f t="shared" si="120"/>
        <v>3</v>
      </c>
      <c r="N1143" s="10">
        <f t="shared" si="121"/>
        <v>927.6</v>
      </c>
      <c r="O1143" s="10">
        <f t="shared" si="122"/>
        <v>2532.3480000000004</v>
      </c>
      <c r="P1143" s="10">
        <f t="shared" si="123"/>
        <v>2782.8</v>
      </c>
      <c r="Q1143" s="3">
        <f t="shared" si="124"/>
        <v>8.9999999999999913E-2</v>
      </c>
      <c r="R1143" s="4" t="str">
        <f>IF(Sales_Fact!$O1143&gt;1000,"High","Low")</f>
        <v>High</v>
      </c>
      <c r="S1143" s="4" t="str">
        <f>VLOOKUP(C1143,Customer_Dim!$A:$N,9,FALSE())</f>
        <v>Roy Cole</v>
      </c>
      <c r="T1143" s="4" t="str">
        <f>VLOOKUP(D1143,Product_Dim!$A:$M,3,FALSE())</f>
        <v>Sports</v>
      </c>
      <c r="U1143" s="11" t="str">
        <f>VLOOKUP(D1143,Product_Dim!$A:$M,2,FALSE())</f>
        <v>Shin Guards – Adult</v>
      </c>
      <c r="V1143" s="11" t="str">
        <f>VLOOKUP(E1143,Store_Dim!$A:$E,3,FALSE())</f>
        <v>South</v>
      </c>
      <c r="W1143" s="11" t="str">
        <f>VLOOKUP(C1143,Customer_Dim!$A:$N,13,FALSE())</f>
        <v>Platinum</v>
      </c>
      <c r="X1143" s="11" t="str">
        <f t="shared" si="125"/>
        <v>Low</v>
      </c>
    </row>
    <row r="1144" spans="1:24" ht="15.75" customHeight="1">
      <c r="A1144" s="4" t="s">
        <v>3140</v>
      </c>
      <c r="B1144" s="9">
        <v>45666</v>
      </c>
      <c r="C1144" s="4" t="s">
        <v>877</v>
      </c>
      <c r="D1144" s="4" t="s">
        <v>1788</v>
      </c>
      <c r="E1144" s="4" t="s">
        <v>1924</v>
      </c>
      <c r="F1144" s="4">
        <v>4</v>
      </c>
      <c r="G1144" s="4">
        <v>585.04</v>
      </c>
      <c r="H1144" s="4">
        <v>0.22</v>
      </c>
      <c r="I1144" s="4" t="s">
        <v>1998</v>
      </c>
      <c r="J1144" s="10">
        <v>1825.3248000000001</v>
      </c>
      <c r="K1144" s="4" t="str">
        <f t="shared" si="119"/>
        <v>09-01-2025</v>
      </c>
      <c r="L1144" s="4" t="str">
        <f>TEXT(Sales_Fact!$B1144,"mmm")</f>
        <v>Jan</v>
      </c>
      <c r="M1144" s="4">
        <f t="shared" si="120"/>
        <v>4</v>
      </c>
      <c r="N1144" s="10">
        <f t="shared" si="121"/>
        <v>585.04</v>
      </c>
      <c r="O1144" s="10">
        <f t="shared" si="122"/>
        <v>1825.3247999999999</v>
      </c>
      <c r="P1144" s="10">
        <f t="shared" si="123"/>
        <v>2340.16</v>
      </c>
      <c r="Q1144" s="3">
        <f t="shared" si="124"/>
        <v>0.22</v>
      </c>
      <c r="R1144" s="4" t="str">
        <f>IF(Sales_Fact!$O1144&gt;1000,"High","Low")</f>
        <v>High</v>
      </c>
      <c r="S1144" s="4" t="str">
        <f>VLOOKUP(C1144,Customer_Dim!$A:$N,9,FALSE())</f>
        <v>Cynthia Payne</v>
      </c>
      <c r="T1144" s="4" t="str">
        <f>VLOOKUP(D1144,Product_Dim!$A:$M,3,FALSE())</f>
        <v>Sports</v>
      </c>
      <c r="U1144" s="11" t="str">
        <f>VLOOKUP(D1144,Product_Dim!$A:$M,2,FALSE())</f>
        <v>Tennis Ball 3-Pack</v>
      </c>
      <c r="V1144" s="11" t="str">
        <f>VLOOKUP(E1144,Store_Dim!$A:$E,3,FALSE())</f>
        <v>North</v>
      </c>
      <c r="W1144" s="11" t="str">
        <f>VLOOKUP(C1144,Customer_Dim!$A:$N,13,FALSE())</f>
        <v>Bronze</v>
      </c>
      <c r="X1144" s="11" t="str">
        <f t="shared" si="125"/>
        <v>High</v>
      </c>
    </row>
    <row r="1145" spans="1:24" ht="15.75" customHeight="1">
      <c r="A1145" s="4" t="s">
        <v>3141</v>
      </c>
      <c r="B1145" s="9">
        <v>45406</v>
      </c>
      <c r="C1145" s="4" t="s">
        <v>1562</v>
      </c>
      <c r="D1145" s="4" t="s">
        <v>1719</v>
      </c>
      <c r="E1145" s="4" t="s">
        <v>1919</v>
      </c>
      <c r="F1145" s="4">
        <v>2</v>
      </c>
      <c r="G1145" s="4">
        <v>999.89</v>
      </c>
      <c r="H1145" s="4">
        <v>0.09</v>
      </c>
      <c r="I1145" s="4" t="s">
        <v>1996</v>
      </c>
      <c r="J1145" s="10">
        <v>1819.7998</v>
      </c>
      <c r="K1145" s="4" t="str">
        <f t="shared" si="119"/>
        <v>24-04-2024</v>
      </c>
      <c r="L1145" s="4" t="str">
        <f>TEXT(Sales_Fact!$B1145,"mmm")</f>
        <v>Apr</v>
      </c>
      <c r="M1145" s="4">
        <f t="shared" si="120"/>
        <v>2</v>
      </c>
      <c r="N1145" s="10">
        <f t="shared" si="121"/>
        <v>999.89</v>
      </c>
      <c r="O1145" s="10">
        <f t="shared" si="122"/>
        <v>1819.7998</v>
      </c>
      <c r="P1145" s="10">
        <f t="shared" si="123"/>
        <v>1999.78</v>
      </c>
      <c r="Q1145" s="3">
        <f t="shared" si="124"/>
        <v>8.9999999999999983E-2</v>
      </c>
      <c r="R1145" s="4" t="str">
        <f>IF(Sales_Fact!$O1145&gt;1000,"High","Low")</f>
        <v>High</v>
      </c>
      <c r="S1145" s="4" t="str">
        <f>VLOOKUP(C1145,Customer_Dim!$A:$N,9,FALSE())</f>
        <v>Philip Pennington</v>
      </c>
      <c r="T1145" s="4" t="str">
        <f>VLOOKUP(D1145,Product_Dim!$A:$M,3,FALSE())</f>
        <v>Electronics</v>
      </c>
      <c r="U1145" s="11" t="str">
        <f>VLOOKUP(D1145,Product_Dim!$A:$M,2,FALSE())</f>
        <v>Portable Power Bank</v>
      </c>
      <c r="V1145" s="11" t="str">
        <f>VLOOKUP(E1145,Store_Dim!$A:$E,3,FALSE())</f>
        <v>South</v>
      </c>
      <c r="W1145" s="11" t="str">
        <f>VLOOKUP(C1145,Customer_Dim!$A:$N,13,FALSE())</f>
        <v>Platinum</v>
      </c>
      <c r="X1145" s="11" t="str">
        <f t="shared" si="125"/>
        <v>Low</v>
      </c>
    </row>
    <row r="1146" spans="1:24" ht="15.75" customHeight="1">
      <c r="A1146" s="4" t="s">
        <v>3142</v>
      </c>
      <c r="B1146" s="9">
        <v>45284</v>
      </c>
      <c r="C1146" s="4" t="s">
        <v>399</v>
      </c>
      <c r="D1146" s="4" t="s">
        <v>1831</v>
      </c>
      <c r="E1146" s="4" t="s">
        <v>1924</v>
      </c>
      <c r="F1146" s="4">
        <v>2</v>
      </c>
      <c r="G1146" s="4">
        <v>848.98</v>
      </c>
      <c r="H1146" s="4">
        <v>0.04</v>
      </c>
      <c r="I1146" s="4" t="s">
        <v>1998</v>
      </c>
      <c r="J1146" s="10">
        <v>1630.0416</v>
      </c>
      <c r="K1146" s="4" t="str">
        <f t="shared" si="119"/>
        <v>24-12-2023</v>
      </c>
      <c r="L1146" s="4" t="str">
        <f>TEXT(Sales_Fact!$B1146,"mmm")</f>
        <v>Dec</v>
      </c>
      <c r="M1146" s="4">
        <f t="shared" si="120"/>
        <v>2</v>
      </c>
      <c r="N1146" s="10">
        <f t="shared" si="121"/>
        <v>848.98</v>
      </c>
      <c r="O1146" s="10">
        <f t="shared" si="122"/>
        <v>1630.0416</v>
      </c>
      <c r="P1146" s="10">
        <f t="shared" si="123"/>
        <v>1697.96</v>
      </c>
      <c r="Q1146" s="3">
        <f t="shared" si="124"/>
        <v>4.0000000000000008E-2</v>
      </c>
      <c r="R1146" s="4" t="str">
        <f>IF(Sales_Fact!$O1146&gt;1000,"High","Low")</f>
        <v>High</v>
      </c>
      <c r="S1146" s="4" t="str">
        <f>VLOOKUP(C1146,Customer_Dim!$A:$N,9,FALSE())</f>
        <v>Erica Carney</v>
      </c>
      <c r="T1146" s="4" t="str">
        <f>VLOOKUP(D1146,Product_Dim!$A:$M,3,FALSE())</f>
        <v>Clothing</v>
      </c>
      <c r="U1146" s="11" t="str">
        <f>VLOOKUP(D1146,Product_Dim!$A:$M,2,FALSE())</f>
        <v>Women's Ankle Boots</v>
      </c>
      <c r="V1146" s="11" t="str">
        <f>VLOOKUP(E1146,Store_Dim!$A:$E,3,FALSE())</f>
        <v>North</v>
      </c>
      <c r="W1146" s="11" t="str">
        <f>VLOOKUP(C1146,Customer_Dim!$A:$N,13,FALSE())</f>
        <v>Platinum</v>
      </c>
      <c r="X1146" s="11" t="str">
        <f t="shared" si="125"/>
        <v>Low</v>
      </c>
    </row>
    <row r="1147" spans="1:24" ht="15.75" customHeight="1">
      <c r="A1147" s="4" t="s">
        <v>3143</v>
      </c>
      <c r="B1147" s="9">
        <v>45348</v>
      </c>
      <c r="C1147" s="4" t="s">
        <v>505</v>
      </c>
      <c r="D1147" s="4" t="s">
        <v>1785</v>
      </c>
      <c r="E1147" s="4" t="s">
        <v>1957</v>
      </c>
      <c r="F1147" s="4">
        <v>3</v>
      </c>
      <c r="G1147" s="4">
        <v>769.56</v>
      </c>
      <c r="H1147" s="4">
        <v>0.08</v>
      </c>
      <c r="I1147" s="4" t="s">
        <v>1996</v>
      </c>
      <c r="J1147" s="10">
        <v>2123.9856</v>
      </c>
      <c r="K1147" s="4" t="str">
        <f t="shared" si="119"/>
        <v>26-02-2024</v>
      </c>
      <c r="L1147" s="4" t="str">
        <f>TEXT(Sales_Fact!$B1147,"mmm")</f>
        <v>Feb</v>
      </c>
      <c r="M1147" s="4">
        <f t="shared" si="120"/>
        <v>3</v>
      </c>
      <c r="N1147" s="10">
        <f t="shared" si="121"/>
        <v>769.56</v>
      </c>
      <c r="O1147" s="10">
        <f t="shared" si="122"/>
        <v>2123.9856</v>
      </c>
      <c r="P1147" s="10">
        <f t="shared" si="123"/>
        <v>2308.6799999999998</v>
      </c>
      <c r="Q1147" s="3">
        <f t="shared" si="124"/>
        <v>7.9999999999999946E-2</v>
      </c>
      <c r="R1147" s="4" t="str">
        <f>IF(Sales_Fact!$O1147&gt;1000,"High","Low")</f>
        <v>High</v>
      </c>
      <c r="S1147" s="4" t="str">
        <f>VLOOKUP(C1147,Customer_Dim!$A:$N,9,FALSE())</f>
        <v>Maria Ramirez</v>
      </c>
      <c r="T1147" s="4" t="str">
        <f>VLOOKUP(D1147,Product_Dim!$A:$M,3,FALSE())</f>
        <v>Beauty</v>
      </c>
      <c r="U1147" s="11" t="str">
        <f>VLOOKUP(D1147,Product_Dim!$A:$M,2,FALSE())</f>
        <v>Luxury Perfume Spray</v>
      </c>
      <c r="V1147" s="11" t="str">
        <f>VLOOKUP(E1147,Store_Dim!$A:$E,3,FALSE())</f>
        <v>South</v>
      </c>
      <c r="W1147" s="11" t="str">
        <f>VLOOKUP(C1147,Customer_Dim!$A:$N,13,FALSE())</f>
        <v>Bronze</v>
      </c>
      <c r="X1147" s="11" t="str">
        <f t="shared" si="125"/>
        <v>Low</v>
      </c>
    </row>
    <row r="1148" spans="1:24" ht="15.75" customHeight="1">
      <c r="A1148" s="4" t="s">
        <v>3144</v>
      </c>
      <c r="B1148" s="9">
        <v>45466</v>
      </c>
      <c r="C1148" s="4" t="s">
        <v>1180</v>
      </c>
      <c r="D1148" s="4" t="s">
        <v>1629</v>
      </c>
      <c r="E1148" s="4" t="s">
        <v>1940</v>
      </c>
      <c r="F1148" s="4">
        <v>1</v>
      </c>
      <c r="G1148" s="4">
        <v>719.28</v>
      </c>
      <c r="H1148" s="4">
        <v>0.08</v>
      </c>
      <c r="I1148" s="4" t="s">
        <v>1996</v>
      </c>
      <c r="J1148" s="10">
        <v>661.73760000000004</v>
      </c>
      <c r="K1148" s="4" t="str">
        <f t="shared" si="119"/>
        <v>23-06-2024</v>
      </c>
      <c r="L1148" s="4" t="str">
        <f>TEXT(Sales_Fact!$B1148,"mmm")</f>
        <v>Jun</v>
      </c>
      <c r="M1148" s="4">
        <f t="shared" si="120"/>
        <v>1</v>
      </c>
      <c r="N1148" s="10">
        <f t="shared" si="121"/>
        <v>719.28</v>
      </c>
      <c r="O1148" s="10">
        <f t="shared" si="122"/>
        <v>661.73760000000004</v>
      </c>
      <c r="P1148" s="10">
        <f t="shared" si="123"/>
        <v>719.28</v>
      </c>
      <c r="Q1148" s="3">
        <f t="shared" si="124"/>
        <v>7.9999999999999905E-2</v>
      </c>
      <c r="R1148" s="4" t="str">
        <f>IF(Sales_Fact!$O1148&gt;1000,"High","Low")</f>
        <v>Low</v>
      </c>
      <c r="S1148" s="4" t="str">
        <f>VLOOKUP(C1148,Customer_Dim!$A:$N,9,FALSE())</f>
        <v>Miranda King</v>
      </c>
      <c r="T1148" s="4" t="str">
        <f>VLOOKUP(D1148,Product_Dim!$A:$M,3,FALSE())</f>
        <v>Beauty</v>
      </c>
      <c r="U1148" s="11" t="str">
        <f>VLOOKUP(D1148,Product_Dim!$A:$M,2,FALSE())</f>
        <v>Hair Strengthening Shampoo</v>
      </c>
      <c r="V1148" s="11" t="str">
        <f>VLOOKUP(E1148,Store_Dim!$A:$E,3,FALSE())</f>
        <v>West</v>
      </c>
      <c r="W1148" s="11" t="str">
        <f>VLOOKUP(C1148,Customer_Dim!$A:$N,13,FALSE())</f>
        <v>Platinum</v>
      </c>
      <c r="X1148" s="11" t="str">
        <f t="shared" si="125"/>
        <v>Low</v>
      </c>
    </row>
    <row r="1149" spans="1:24" ht="15.75" customHeight="1">
      <c r="A1149" s="4" t="s">
        <v>3145</v>
      </c>
      <c r="B1149" s="9">
        <v>45676</v>
      </c>
      <c r="C1149" s="4" t="s">
        <v>209</v>
      </c>
      <c r="D1149" s="4" t="s">
        <v>1748</v>
      </c>
      <c r="E1149" s="4" t="s">
        <v>1955</v>
      </c>
      <c r="F1149" s="4">
        <v>3</v>
      </c>
      <c r="G1149" s="4">
        <v>449.88</v>
      </c>
      <c r="H1149" s="4">
        <v>0.1</v>
      </c>
      <c r="I1149" s="4" t="s">
        <v>1998</v>
      </c>
      <c r="J1149" s="10">
        <v>1214.6759999999999</v>
      </c>
      <c r="K1149" s="4" t="str">
        <f t="shared" si="119"/>
        <v>19-01-2025</v>
      </c>
      <c r="L1149" s="4" t="str">
        <f>TEXT(Sales_Fact!$B1149,"mmm")</f>
        <v>Jan</v>
      </c>
      <c r="M1149" s="4">
        <f t="shared" si="120"/>
        <v>3</v>
      </c>
      <c r="N1149" s="10">
        <f t="shared" si="121"/>
        <v>449.88</v>
      </c>
      <c r="O1149" s="10">
        <f t="shared" si="122"/>
        <v>1214.6759999999999</v>
      </c>
      <c r="P1149" s="10">
        <f t="shared" si="123"/>
        <v>1349.6399999999999</v>
      </c>
      <c r="Q1149" s="3">
        <f t="shared" si="124"/>
        <v>9.9999999999999964E-2</v>
      </c>
      <c r="R1149" s="4" t="str">
        <f>IF(Sales_Fact!$O1149&gt;1000,"High","Low")</f>
        <v>High</v>
      </c>
      <c r="S1149" s="4" t="str">
        <f>VLOOKUP(C1149,Customer_Dim!$A:$N,9,FALSE())</f>
        <v>Timothy Weaver</v>
      </c>
      <c r="T1149" s="4" t="str">
        <f>VLOOKUP(D1149,Product_Dim!$A:$M,3,FALSE())</f>
        <v>Electronics</v>
      </c>
      <c r="U1149" s="11" t="str">
        <f>VLOOKUP(D1149,Product_Dim!$A:$M,2,FALSE())</f>
        <v>Car Dashboard Phone Holder</v>
      </c>
      <c r="V1149" s="11" t="str">
        <f>VLOOKUP(E1149,Store_Dim!$A:$E,3,FALSE())</f>
        <v>East</v>
      </c>
      <c r="W1149" s="11" t="str">
        <f>VLOOKUP(C1149,Customer_Dim!$A:$N,13,FALSE())</f>
        <v>Gold</v>
      </c>
      <c r="X1149" s="11" t="str">
        <f t="shared" si="125"/>
        <v>Low</v>
      </c>
    </row>
    <row r="1150" spans="1:24" ht="15.75" customHeight="1">
      <c r="A1150" s="4" t="s">
        <v>3146</v>
      </c>
      <c r="B1150" s="9">
        <v>45863</v>
      </c>
      <c r="C1150" s="4" t="s">
        <v>903</v>
      </c>
      <c r="D1150" s="4" t="s">
        <v>1813</v>
      </c>
      <c r="E1150" s="4" t="s">
        <v>1952</v>
      </c>
      <c r="F1150" s="4">
        <v>4</v>
      </c>
      <c r="G1150" s="4">
        <v>383.74</v>
      </c>
      <c r="H1150" s="4">
        <v>0.01</v>
      </c>
      <c r="I1150" s="4" t="s">
        <v>1996</v>
      </c>
      <c r="J1150" s="10">
        <v>1519.6104</v>
      </c>
      <c r="K1150" s="4" t="str">
        <f t="shared" si="119"/>
        <v>25-07-2025</v>
      </c>
      <c r="L1150" s="4" t="str">
        <f>TEXT(Sales_Fact!$B1150,"mmm")</f>
        <v>Jul</v>
      </c>
      <c r="M1150" s="4">
        <f t="shared" si="120"/>
        <v>4</v>
      </c>
      <c r="N1150" s="10">
        <f t="shared" si="121"/>
        <v>383.74</v>
      </c>
      <c r="O1150" s="10">
        <f t="shared" si="122"/>
        <v>1519.6104</v>
      </c>
      <c r="P1150" s="10">
        <f t="shared" si="123"/>
        <v>1534.96</v>
      </c>
      <c r="Q1150" s="3">
        <f t="shared" si="124"/>
        <v>1.0000000000000005E-2</v>
      </c>
      <c r="R1150" s="4" t="str">
        <f>IF(Sales_Fact!$O1150&gt;1000,"High","Low")</f>
        <v>High</v>
      </c>
      <c r="S1150" s="4" t="str">
        <f>VLOOKUP(C1150,Customer_Dim!$A:$N,9,FALSE())</f>
        <v>Shannon Miller</v>
      </c>
      <c r="T1150" s="4" t="str">
        <f>VLOOKUP(D1150,Product_Dim!$A:$M,3,FALSE())</f>
        <v>Clothing</v>
      </c>
      <c r="U1150" s="11" t="str">
        <f>VLOOKUP(D1150,Product_Dim!$A:$M,2,FALSE())</f>
        <v>Men's Sports Shorts</v>
      </c>
      <c r="V1150" s="11" t="str">
        <f>VLOOKUP(E1150,Store_Dim!$A:$E,3,FALSE())</f>
        <v>North</v>
      </c>
      <c r="W1150" s="11" t="str">
        <f>VLOOKUP(C1150,Customer_Dim!$A:$N,13,FALSE())</f>
        <v>Gold</v>
      </c>
      <c r="X1150" s="11" t="str">
        <f t="shared" si="125"/>
        <v>High</v>
      </c>
    </row>
    <row r="1151" spans="1:24" ht="15.75" customHeight="1">
      <c r="A1151" s="4" t="s">
        <v>3147</v>
      </c>
      <c r="B1151" s="9">
        <v>45409</v>
      </c>
      <c r="C1151" s="4" t="s">
        <v>523</v>
      </c>
      <c r="D1151" s="4" t="s">
        <v>1779</v>
      </c>
      <c r="E1151" s="4" t="s">
        <v>1947</v>
      </c>
      <c r="F1151" s="4">
        <v>4</v>
      </c>
      <c r="G1151" s="4">
        <v>794.97</v>
      </c>
      <c r="H1151" s="4">
        <v>0.24</v>
      </c>
      <c r="I1151" s="4" t="s">
        <v>1998</v>
      </c>
      <c r="J1151" s="10">
        <v>2416.7087999999999</v>
      </c>
      <c r="K1151" s="4" t="str">
        <f t="shared" si="119"/>
        <v>27-04-2024</v>
      </c>
      <c r="L1151" s="4" t="str">
        <f>TEXT(Sales_Fact!$B1151,"mmm")</f>
        <v>Apr</v>
      </c>
      <c r="M1151" s="4">
        <f t="shared" si="120"/>
        <v>4</v>
      </c>
      <c r="N1151" s="10">
        <f t="shared" si="121"/>
        <v>794.97</v>
      </c>
      <c r="O1151" s="10">
        <f t="shared" si="122"/>
        <v>2416.7088000000003</v>
      </c>
      <c r="P1151" s="10">
        <f t="shared" si="123"/>
        <v>3179.88</v>
      </c>
      <c r="Q1151" s="3">
        <f t="shared" si="124"/>
        <v>0.23999999999999991</v>
      </c>
      <c r="R1151" s="4" t="str">
        <f>IF(Sales_Fact!$O1151&gt;1000,"High","Low")</f>
        <v>High</v>
      </c>
      <c r="S1151" s="4" t="str">
        <f>VLOOKUP(C1151,Customer_Dim!$A:$N,9,FALSE())</f>
        <v>Theresa Campbell</v>
      </c>
      <c r="T1151" s="4" t="str">
        <f>VLOOKUP(D1151,Product_Dim!$A:$M,3,FALSE())</f>
        <v>Clothing</v>
      </c>
      <c r="U1151" s="11" t="str">
        <f>VLOOKUP(D1151,Product_Dim!$A:$M,2,FALSE())</f>
        <v>Womens Cotton Scarf</v>
      </c>
      <c r="V1151" s="11" t="str">
        <f>VLOOKUP(E1151,Store_Dim!$A:$E,3,FALSE())</f>
        <v>East</v>
      </c>
      <c r="W1151" s="11" t="str">
        <f>VLOOKUP(C1151,Customer_Dim!$A:$N,13,FALSE())</f>
        <v>Bronze</v>
      </c>
      <c r="X1151" s="11" t="str">
        <f t="shared" si="125"/>
        <v>High</v>
      </c>
    </row>
    <row r="1152" spans="1:24" ht="15.75" customHeight="1">
      <c r="A1152" s="4" t="s">
        <v>3148</v>
      </c>
      <c r="B1152" s="9">
        <v>45880</v>
      </c>
      <c r="C1152" s="4" t="s">
        <v>72</v>
      </c>
      <c r="D1152" s="4" t="s">
        <v>1843</v>
      </c>
      <c r="E1152" s="4" t="s">
        <v>1931</v>
      </c>
      <c r="F1152" s="4">
        <v>1</v>
      </c>
      <c r="G1152" s="4">
        <v>989.63</v>
      </c>
      <c r="H1152" s="4">
        <v>0.05</v>
      </c>
      <c r="I1152" s="4" t="s">
        <v>1998</v>
      </c>
      <c r="J1152" s="10">
        <v>940.14850000000001</v>
      </c>
      <c r="K1152" s="4" t="str">
        <f t="shared" si="119"/>
        <v>11-08-2025</v>
      </c>
      <c r="L1152" s="4" t="str">
        <f>TEXT(Sales_Fact!$B1152,"mmm")</f>
        <v>Aug</v>
      </c>
      <c r="M1152" s="4">
        <f t="shared" si="120"/>
        <v>1</v>
      </c>
      <c r="N1152" s="10">
        <f t="shared" si="121"/>
        <v>989.63</v>
      </c>
      <c r="O1152" s="10">
        <f t="shared" si="122"/>
        <v>940.1484999999999</v>
      </c>
      <c r="P1152" s="10">
        <f t="shared" si="123"/>
        <v>989.63</v>
      </c>
      <c r="Q1152" s="3">
        <f t="shared" si="124"/>
        <v>5.00000000000001E-2</v>
      </c>
      <c r="R1152" s="4" t="str">
        <f>IF(Sales_Fact!$O1152&gt;1000,"High","Low")</f>
        <v>Low</v>
      </c>
      <c r="S1152" s="4" t="str">
        <f>VLOOKUP(C1152,Customer_Dim!$A:$N,9,FALSE())</f>
        <v>Dominic Page</v>
      </c>
      <c r="T1152" s="4" t="str">
        <f>VLOOKUP(D1152,Product_Dim!$A:$M,3,FALSE())</f>
        <v>Home</v>
      </c>
      <c r="U1152" s="11" t="str">
        <f>VLOOKUP(D1152,Product_Dim!$A:$M,2,FALSE())</f>
        <v>Decorative Lamp Shade</v>
      </c>
      <c r="V1152" s="11" t="str">
        <f>VLOOKUP(E1152,Store_Dim!$A:$E,3,FALSE())</f>
        <v>North</v>
      </c>
      <c r="W1152" s="11" t="str">
        <f>VLOOKUP(C1152,Customer_Dim!$A:$N,13,FALSE())</f>
        <v>Bronze</v>
      </c>
      <c r="X1152" s="11" t="str">
        <f t="shared" si="125"/>
        <v>Low</v>
      </c>
    </row>
    <row r="1153" spans="1:24" ht="15.75" customHeight="1">
      <c r="A1153" s="4" t="s">
        <v>3149</v>
      </c>
      <c r="B1153" s="9">
        <v>45731</v>
      </c>
      <c r="C1153" s="4" t="s">
        <v>1081</v>
      </c>
      <c r="D1153" s="4" t="s">
        <v>1767</v>
      </c>
      <c r="E1153" s="4" t="s">
        <v>1910</v>
      </c>
      <c r="F1153" s="4">
        <v>1</v>
      </c>
      <c r="G1153" s="4">
        <v>447.16</v>
      </c>
      <c r="H1153" s="4">
        <v>0.22</v>
      </c>
      <c r="I1153" s="4" t="s">
        <v>2004</v>
      </c>
      <c r="J1153" s="10">
        <v>348.78480000000002</v>
      </c>
      <c r="K1153" s="4" t="str">
        <f t="shared" si="119"/>
        <v>15-03-2025</v>
      </c>
      <c r="L1153" s="4" t="str">
        <f>TEXT(Sales_Fact!$B1153,"mmm")</f>
        <v>Mar</v>
      </c>
      <c r="M1153" s="4">
        <f t="shared" si="120"/>
        <v>1</v>
      </c>
      <c r="N1153" s="10">
        <f t="shared" si="121"/>
        <v>447.16</v>
      </c>
      <c r="O1153" s="10">
        <f t="shared" si="122"/>
        <v>348.78480000000002</v>
      </c>
      <c r="P1153" s="10">
        <f t="shared" si="123"/>
        <v>447.16</v>
      </c>
      <c r="Q1153" s="3">
        <f t="shared" si="124"/>
        <v>0.22</v>
      </c>
      <c r="R1153" s="4" t="str">
        <f>IF(Sales_Fact!$O1153&gt;1000,"High","Low")</f>
        <v>Low</v>
      </c>
      <c r="S1153" s="4" t="str">
        <f>VLOOKUP(C1153,Customer_Dim!$A:$N,9,FALSE())</f>
        <v>Jennifer Woods</v>
      </c>
      <c r="T1153" s="4" t="str">
        <f>VLOOKUP(D1153,Product_Dim!$A:$M,3,FALSE())</f>
        <v>Sports</v>
      </c>
      <c r="U1153" s="11" t="str">
        <f>VLOOKUP(D1153,Product_Dim!$A:$M,2,FALSE())</f>
        <v>Sports Stopwatch Pro</v>
      </c>
      <c r="V1153" s="11" t="str">
        <f>VLOOKUP(E1153,Store_Dim!$A:$E,3,FALSE())</f>
        <v>East</v>
      </c>
      <c r="W1153" s="11" t="str">
        <f>VLOOKUP(C1153,Customer_Dim!$A:$N,13,FALSE())</f>
        <v>Platinum</v>
      </c>
      <c r="X1153" s="11" t="str">
        <f t="shared" si="125"/>
        <v>Low</v>
      </c>
    </row>
    <row r="1154" spans="1:24" ht="15.75" customHeight="1">
      <c r="A1154" s="4" t="s">
        <v>3150</v>
      </c>
      <c r="B1154" s="9">
        <v>45671</v>
      </c>
      <c r="C1154" s="4" t="s">
        <v>63</v>
      </c>
      <c r="D1154" s="4" t="s">
        <v>1888</v>
      </c>
      <c r="E1154" s="4" t="s">
        <v>1934</v>
      </c>
      <c r="F1154" s="4">
        <v>1</v>
      </c>
      <c r="G1154" s="4">
        <v>946.9</v>
      </c>
      <c r="H1154" s="4">
        <v>0.28999999999999998</v>
      </c>
      <c r="I1154" s="4" t="s">
        <v>2004</v>
      </c>
      <c r="J1154" s="10">
        <v>672.29899999999998</v>
      </c>
      <c r="K1154" s="4" t="str">
        <f t="shared" ref="K1154:K1217" si="126">TEXT(B1154,"dd-mm-yyyy")</f>
        <v>14-01-2025</v>
      </c>
      <c r="L1154" s="4" t="str">
        <f>TEXT(Sales_Fact!$B1154,"mmm")</f>
        <v>Jan</v>
      </c>
      <c r="M1154" s="4">
        <f t="shared" ref="M1154:M1217" si="127">IF(ISBLANK(F1154),1,F1154)</f>
        <v>1</v>
      </c>
      <c r="N1154" s="10">
        <f t="shared" ref="N1154:N1217" si="128">ROUNDUP(IF(ISBLANK(G1154),AVERAGE(C:C,G1154,G:G),G1154),2)</f>
        <v>946.9</v>
      </c>
      <c r="O1154" s="10">
        <f t="shared" ref="O1154:O1217" si="129">M1154*N1154*(1-H1154)</f>
        <v>672.29899999999998</v>
      </c>
      <c r="P1154" s="10">
        <f t="shared" ref="P1154:P1217" si="130">M1154*N1154</f>
        <v>946.9</v>
      </c>
      <c r="Q1154" s="3">
        <f t="shared" ref="Q1154:Q1217" si="131">(P1154-O1154)/P1154</f>
        <v>0.28999999999999998</v>
      </c>
      <c r="R1154" s="4" t="str">
        <f>IF(Sales_Fact!$O1154&gt;1000,"High","Low")</f>
        <v>Low</v>
      </c>
      <c r="S1154" s="4" t="str">
        <f>VLOOKUP(C1154,Customer_Dim!$A:$N,9,FALSE())</f>
        <v>Melissa Howard</v>
      </c>
      <c r="T1154" s="4" t="str">
        <f>VLOOKUP(D1154,Product_Dim!$A:$M,3,FALSE())</f>
        <v>Beauty</v>
      </c>
      <c r="U1154" s="11" t="str">
        <f>VLOOKUP(D1154,Product_Dim!$A:$M,2,FALSE())</f>
        <v>Vitamin E Body Lotion</v>
      </c>
      <c r="V1154" s="11" t="str">
        <f>VLOOKUP(E1154,Store_Dim!$A:$E,3,FALSE())</f>
        <v>East</v>
      </c>
      <c r="W1154" s="11" t="str">
        <f>VLOOKUP(C1154,Customer_Dim!$A:$N,13,FALSE())</f>
        <v>Gold</v>
      </c>
      <c r="X1154" s="11" t="str">
        <f t="shared" ref="X1154:X1217" si="132">IF(F1154&gt;3,"High","Low")</f>
        <v>Low</v>
      </c>
    </row>
    <row r="1155" spans="1:24" ht="15.75" customHeight="1">
      <c r="A1155" s="4" t="s">
        <v>3151</v>
      </c>
      <c r="B1155" s="9">
        <v>45809</v>
      </c>
      <c r="C1155" s="4" t="s">
        <v>586</v>
      </c>
      <c r="D1155" s="4" t="s">
        <v>1648</v>
      </c>
      <c r="E1155" s="4" t="s">
        <v>1910</v>
      </c>
      <c r="F1155" s="4">
        <v>4</v>
      </c>
      <c r="G1155" s="4">
        <v>469.68</v>
      </c>
      <c r="H1155" s="4">
        <v>0.19</v>
      </c>
      <c r="I1155" s="4" t="s">
        <v>1996</v>
      </c>
      <c r="J1155" s="10">
        <v>1521.7632000000001</v>
      </c>
      <c r="K1155" s="4" t="str">
        <f t="shared" si="126"/>
        <v>01-06-2025</v>
      </c>
      <c r="L1155" s="4" t="str">
        <f>TEXT(Sales_Fact!$B1155,"mmm")</f>
        <v>Jun</v>
      </c>
      <c r="M1155" s="4">
        <f t="shared" si="127"/>
        <v>4</v>
      </c>
      <c r="N1155" s="10">
        <f t="shared" si="128"/>
        <v>469.68</v>
      </c>
      <c r="O1155" s="10">
        <f t="shared" si="129"/>
        <v>1521.7632000000001</v>
      </c>
      <c r="P1155" s="10">
        <f t="shared" si="130"/>
        <v>1878.72</v>
      </c>
      <c r="Q1155" s="3">
        <f t="shared" si="131"/>
        <v>0.18999999999999995</v>
      </c>
      <c r="R1155" s="4" t="str">
        <f>IF(Sales_Fact!$O1155&gt;1000,"High","Low")</f>
        <v>High</v>
      </c>
      <c r="S1155" s="4" t="str">
        <f>VLOOKUP(C1155,Customer_Dim!$A:$N,9,FALSE())</f>
        <v>Steve Mclaughlin</v>
      </c>
      <c r="T1155" s="4" t="str">
        <f>VLOOKUP(D1155,Product_Dim!$A:$M,3,FALSE())</f>
        <v>Sports</v>
      </c>
      <c r="U1155" s="11" t="str">
        <f>VLOOKUP(D1155,Product_Dim!$A:$M,2,FALSE())</f>
        <v>Soccer Training Cone Set</v>
      </c>
      <c r="V1155" s="11" t="str">
        <f>VLOOKUP(E1155,Store_Dim!$A:$E,3,FALSE())</f>
        <v>East</v>
      </c>
      <c r="W1155" s="11" t="str">
        <f>VLOOKUP(C1155,Customer_Dim!$A:$N,13,FALSE())</f>
        <v>Bronze</v>
      </c>
      <c r="X1155" s="11" t="str">
        <f t="shared" si="132"/>
        <v>High</v>
      </c>
    </row>
    <row r="1156" spans="1:24" ht="15.75" customHeight="1">
      <c r="A1156" s="4" t="s">
        <v>3152</v>
      </c>
      <c r="B1156" s="9">
        <v>45559</v>
      </c>
      <c r="C1156" s="4" t="s">
        <v>1547</v>
      </c>
      <c r="D1156" s="4" t="s">
        <v>1684</v>
      </c>
      <c r="E1156" s="4" t="s">
        <v>1965</v>
      </c>
      <c r="F1156" s="4">
        <v>4</v>
      </c>
      <c r="G1156" s="4">
        <v>320.64</v>
      </c>
      <c r="H1156" s="4">
        <v>0.2</v>
      </c>
      <c r="I1156" s="4" t="s">
        <v>2004</v>
      </c>
      <c r="J1156" s="10">
        <v>1026.048</v>
      </c>
      <c r="K1156" s="4" t="str">
        <f t="shared" si="126"/>
        <v>24-09-2024</v>
      </c>
      <c r="L1156" s="4" t="str">
        <f>TEXT(Sales_Fact!$B1156,"mmm")</f>
        <v>Sep</v>
      </c>
      <c r="M1156" s="4">
        <f t="shared" si="127"/>
        <v>4</v>
      </c>
      <c r="N1156" s="10">
        <f t="shared" si="128"/>
        <v>320.64</v>
      </c>
      <c r="O1156" s="10">
        <f t="shared" si="129"/>
        <v>1026.048</v>
      </c>
      <c r="P1156" s="10">
        <f t="shared" si="130"/>
        <v>1282.56</v>
      </c>
      <c r="Q1156" s="3">
        <f t="shared" si="131"/>
        <v>0.19999999999999996</v>
      </c>
      <c r="R1156" s="4" t="str">
        <f>IF(Sales_Fact!$O1156&gt;1000,"High","Low")</f>
        <v>High</v>
      </c>
      <c r="S1156" s="4" t="str">
        <f>VLOOKUP(C1156,Customer_Dim!$A:$N,9,FALSE())</f>
        <v>Justin Lopez</v>
      </c>
      <c r="T1156" s="4" t="str">
        <f>VLOOKUP(D1156,Product_Dim!$A:$M,3,FALSE())</f>
        <v>Sports</v>
      </c>
      <c r="U1156" s="11" t="str">
        <f>VLOOKUP(D1156,Product_Dim!$A:$M,2,FALSE())</f>
        <v>Sports Stopwatch Timer</v>
      </c>
      <c r="V1156" s="11" t="str">
        <f>VLOOKUP(E1156,Store_Dim!$A:$E,3,FALSE())</f>
        <v>North</v>
      </c>
      <c r="W1156" s="11" t="str">
        <f>VLOOKUP(C1156,Customer_Dim!$A:$N,13,FALSE())</f>
        <v>Gold</v>
      </c>
      <c r="X1156" s="11" t="str">
        <f t="shared" si="132"/>
        <v>High</v>
      </c>
    </row>
    <row r="1157" spans="1:24" ht="15.75" customHeight="1">
      <c r="A1157" s="4" t="s">
        <v>3153</v>
      </c>
      <c r="B1157" s="9">
        <v>45253</v>
      </c>
      <c r="C1157" s="4" t="s">
        <v>485</v>
      </c>
      <c r="D1157" s="4" t="s">
        <v>1640</v>
      </c>
      <c r="E1157" s="4" t="s">
        <v>1931</v>
      </c>
      <c r="F1157" s="4">
        <v>1</v>
      </c>
      <c r="G1157" s="4">
        <v>594.44000000000005</v>
      </c>
      <c r="H1157" s="4">
        <v>0.21</v>
      </c>
      <c r="I1157" s="4" t="s">
        <v>1996</v>
      </c>
      <c r="J1157" s="10">
        <v>469.60759999999999</v>
      </c>
      <c r="K1157" s="4" t="str">
        <f t="shared" si="126"/>
        <v>23-11-2023</v>
      </c>
      <c r="L1157" s="4" t="str">
        <f>TEXT(Sales_Fact!$B1157,"mmm")</f>
        <v>Nov</v>
      </c>
      <c r="M1157" s="4">
        <f t="shared" si="127"/>
        <v>1</v>
      </c>
      <c r="N1157" s="10">
        <f t="shared" si="128"/>
        <v>594.44000000000005</v>
      </c>
      <c r="O1157" s="10">
        <f t="shared" si="129"/>
        <v>469.60760000000005</v>
      </c>
      <c r="P1157" s="10">
        <f t="shared" si="130"/>
        <v>594.44000000000005</v>
      </c>
      <c r="Q1157" s="3">
        <f t="shared" si="131"/>
        <v>0.21</v>
      </c>
      <c r="R1157" s="4" t="str">
        <f>IF(Sales_Fact!$O1157&gt;1000,"High","Low")</f>
        <v>Low</v>
      </c>
      <c r="S1157" s="4" t="str">
        <f>VLOOKUP(C1157,Customer_Dim!$A:$N,9,FALSE())</f>
        <v>Matthew Hanna</v>
      </c>
      <c r="T1157" s="4" t="str">
        <f>VLOOKUP(D1157,Product_Dim!$A:$M,3,FALSE())</f>
        <v>Electronics</v>
      </c>
      <c r="U1157" s="11" t="str">
        <f>VLOOKUP(D1157,Product_Dim!$A:$M,2,FALSE())</f>
        <v>4K Home Projector</v>
      </c>
      <c r="V1157" s="11" t="str">
        <f>VLOOKUP(E1157,Store_Dim!$A:$E,3,FALSE())</f>
        <v>North</v>
      </c>
      <c r="W1157" s="11" t="str">
        <f>VLOOKUP(C1157,Customer_Dim!$A:$N,13,FALSE())</f>
        <v>Platinum</v>
      </c>
      <c r="X1157" s="11" t="str">
        <f t="shared" si="132"/>
        <v>Low</v>
      </c>
    </row>
    <row r="1158" spans="1:24" ht="15.75" customHeight="1">
      <c r="A1158" s="4" t="s">
        <v>3154</v>
      </c>
      <c r="B1158" s="9">
        <v>45861</v>
      </c>
      <c r="C1158" s="4" t="s">
        <v>727</v>
      </c>
      <c r="D1158" s="4" t="s">
        <v>1864</v>
      </c>
      <c r="E1158" s="4" t="s">
        <v>1940</v>
      </c>
      <c r="F1158" s="4">
        <v>3</v>
      </c>
      <c r="G1158" s="4">
        <v>91.7</v>
      </c>
      <c r="H1158" s="4">
        <v>0.08</v>
      </c>
      <c r="I1158" s="4" t="s">
        <v>2004</v>
      </c>
      <c r="J1158" s="10">
        <v>253.09200000000001</v>
      </c>
      <c r="K1158" s="4" t="str">
        <f t="shared" si="126"/>
        <v>23-07-2025</v>
      </c>
      <c r="L1158" s="4" t="str">
        <f>TEXT(Sales_Fact!$B1158,"mmm")</f>
        <v>Jul</v>
      </c>
      <c r="M1158" s="4">
        <f t="shared" si="127"/>
        <v>3</v>
      </c>
      <c r="N1158" s="10">
        <f t="shared" si="128"/>
        <v>91.7</v>
      </c>
      <c r="O1158" s="10">
        <f t="shared" si="129"/>
        <v>253.09200000000004</v>
      </c>
      <c r="P1158" s="10">
        <f t="shared" si="130"/>
        <v>275.10000000000002</v>
      </c>
      <c r="Q1158" s="3">
        <f t="shared" si="131"/>
        <v>7.9999999999999932E-2</v>
      </c>
      <c r="R1158" s="4" t="str">
        <f>IF(Sales_Fact!$O1158&gt;1000,"High","Low")</f>
        <v>Low</v>
      </c>
      <c r="S1158" s="4" t="str">
        <f>VLOOKUP(C1158,Customer_Dim!$A:$N,9,FALSE())</f>
        <v>Kathryn Garcia</v>
      </c>
      <c r="T1158" s="4" t="str">
        <f>VLOOKUP(D1158,Product_Dim!$A:$M,3,FALSE())</f>
        <v>Home</v>
      </c>
      <c r="U1158" s="11" t="str">
        <f>VLOOKUP(D1158,Product_Dim!$A:$M,2,FALSE())</f>
        <v>Kitchen Cutting Board</v>
      </c>
      <c r="V1158" s="11" t="str">
        <f>VLOOKUP(E1158,Store_Dim!$A:$E,3,FALSE())</f>
        <v>West</v>
      </c>
      <c r="W1158" s="11" t="str">
        <f>VLOOKUP(C1158,Customer_Dim!$A:$N,13,FALSE())</f>
        <v>Platinum</v>
      </c>
      <c r="X1158" s="11" t="str">
        <f t="shared" si="132"/>
        <v>Low</v>
      </c>
    </row>
    <row r="1159" spans="1:24" ht="15.75" customHeight="1">
      <c r="A1159" s="4" t="s">
        <v>3155</v>
      </c>
      <c r="B1159" s="9">
        <v>45908</v>
      </c>
      <c r="C1159" s="4" t="s">
        <v>638</v>
      </c>
      <c r="D1159" s="4" t="s">
        <v>1806</v>
      </c>
      <c r="E1159" s="4" t="s">
        <v>1934</v>
      </c>
      <c r="F1159" s="4">
        <v>3</v>
      </c>
      <c r="G1159" s="4">
        <v>77.599999999999994</v>
      </c>
      <c r="H1159" s="4">
        <v>7.0000000000000007E-2</v>
      </c>
      <c r="I1159" s="4" t="s">
        <v>1996</v>
      </c>
      <c r="J1159" s="10">
        <v>216.50399999999999</v>
      </c>
      <c r="K1159" s="4" t="str">
        <f t="shared" si="126"/>
        <v>08-09-2025</v>
      </c>
      <c r="L1159" s="4" t="str">
        <f>TEXT(Sales_Fact!$B1159,"mmm")</f>
        <v>Sep</v>
      </c>
      <c r="M1159" s="4">
        <f t="shared" si="127"/>
        <v>3</v>
      </c>
      <c r="N1159" s="10">
        <f t="shared" si="128"/>
        <v>77.599999999999994</v>
      </c>
      <c r="O1159" s="10">
        <f t="shared" si="129"/>
        <v>216.50399999999996</v>
      </c>
      <c r="P1159" s="10">
        <f t="shared" si="130"/>
        <v>232.79999999999998</v>
      </c>
      <c r="Q1159" s="3">
        <f t="shared" si="131"/>
        <v>7.000000000000009E-2</v>
      </c>
      <c r="R1159" s="4" t="str">
        <f>IF(Sales_Fact!$O1159&gt;1000,"High","Low")</f>
        <v>Low</v>
      </c>
      <c r="S1159" s="4" t="str">
        <f>VLOOKUP(C1159,Customer_Dim!$A:$N,9,FALSE())</f>
        <v>Jennifer Pruitt</v>
      </c>
      <c r="T1159" s="4" t="str">
        <f>VLOOKUP(D1159,Product_Dim!$A:$M,3,FALSE())</f>
        <v>Electronics</v>
      </c>
      <c r="U1159" s="11" t="str">
        <f>VLOOKUP(D1159,Product_Dim!$A:$M,2,FALSE())</f>
        <v>Smart LED Light Strip</v>
      </c>
      <c r="V1159" s="11" t="str">
        <f>VLOOKUP(E1159,Store_Dim!$A:$E,3,FALSE())</f>
        <v>East</v>
      </c>
      <c r="W1159" s="11" t="str">
        <f>VLOOKUP(C1159,Customer_Dim!$A:$N,13,FALSE())</f>
        <v>Silver</v>
      </c>
      <c r="X1159" s="11" t="str">
        <f t="shared" si="132"/>
        <v>Low</v>
      </c>
    </row>
    <row r="1160" spans="1:24" ht="15.75" customHeight="1">
      <c r="A1160" s="4" t="s">
        <v>3156</v>
      </c>
      <c r="B1160" s="9">
        <v>45917</v>
      </c>
      <c r="C1160" s="4" t="s">
        <v>148</v>
      </c>
      <c r="D1160" s="4" t="s">
        <v>1791</v>
      </c>
      <c r="E1160" s="4" t="s">
        <v>1952</v>
      </c>
      <c r="F1160" s="4">
        <v>3</v>
      </c>
      <c r="G1160" s="4">
        <v>741.33</v>
      </c>
      <c r="H1160" s="4">
        <v>0.03</v>
      </c>
      <c r="I1160" s="4" t="s">
        <v>1996</v>
      </c>
      <c r="J1160" s="10">
        <v>2157.2703000000001</v>
      </c>
      <c r="K1160" s="4" t="str">
        <f t="shared" si="126"/>
        <v>17-09-2025</v>
      </c>
      <c r="L1160" s="4" t="str">
        <f>TEXT(Sales_Fact!$B1160,"mmm")</f>
        <v>Sep</v>
      </c>
      <c r="M1160" s="4">
        <f t="shared" si="127"/>
        <v>3</v>
      </c>
      <c r="N1160" s="10">
        <f t="shared" si="128"/>
        <v>741.33</v>
      </c>
      <c r="O1160" s="10">
        <f t="shared" si="129"/>
        <v>2157.2703000000001</v>
      </c>
      <c r="P1160" s="10">
        <f t="shared" si="130"/>
        <v>2223.9900000000002</v>
      </c>
      <c r="Q1160" s="3">
        <f t="shared" si="131"/>
        <v>3.0000000000000044E-2</v>
      </c>
      <c r="R1160" s="4" t="str">
        <f>IF(Sales_Fact!$O1160&gt;1000,"High","Low")</f>
        <v>High</v>
      </c>
      <c r="S1160" s="4" t="str">
        <f>VLOOKUP(C1160,Customer_Dim!$A:$N,9,FALSE())</f>
        <v>Sarah Vance</v>
      </c>
      <c r="T1160" s="4" t="str">
        <f>VLOOKUP(D1160,Product_Dim!$A:$M,3,FALSE())</f>
        <v>Electronics</v>
      </c>
      <c r="U1160" s="11" t="str">
        <f>VLOOKUP(D1160,Product_Dim!$A:$M,2,FALSE())</f>
        <v>Laptop Cooling Pad</v>
      </c>
      <c r="V1160" s="11" t="str">
        <f>VLOOKUP(E1160,Store_Dim!$A:$E,3,FALSE())</f>
        <v>North</v>
      </c>
      <c r="W1160" s="11" t="str">
        <f>VLOOKUP(C1160,Customer_Dim!$A:$N,13,FALSE())</f>
        <v>Silver</v>
      </c>
      <c r="X1160" s="11" t="str">
        <f t="shared" si="132"/>
        <v>Low</v>
      </c>
    </row>
    <row r="1161" spans="1:24" ht="15.75" customHeight="1">
      <c r="A1161" s="4" t="s">
        <v>3157</v>
      </c>
      <c r="B1161" s="9">
        <v>45754</v>
      </c>
      <c r="C1161" s="4" t="s">
        <v>1495</v>
      </c>
      <c r="D1161" s="4" t="s">
        <v>1644</v>
      </c>
      <c r="E1161" s="4" t="s">
        <v>1971</v>
      </c>
      <c r="F1161" s="4">
        <v>1</v>
      </c>
      <c r="G1161" s="4">
        <v>922.78</v>
      </c>
      <c r="H1161" s="4">
        <v>0.28999999999999998</v>
      </c>
      <c r="I1161" s="4" t="s">
        <v>2004</v>
      </c>
      <c r="J1161" s="10">
        <v>655.17380000000003</v>
      </c>
      <c r="K1161" s="4" t="str">
        <f t="shared" si="126"/>
        <v>07-04-2025</v>
      </c>
      <c r="L1161" s="4" t="str">
        <f>TEXT(Sales_Fact!$B1161,"mmm")</f>
        <v>Apr</v>
      </c>
      <c r="M1161" s="4">
        <f t="shared" si="127"/>
        <v>1</v>
      </c>
      <c r="N1161" s="10">
        <f t="shared" si="128"/>
        <v>922.78</v>
      </c>
      <c r="O1161" s="10">
        <f t="shared" si="129"/>
        <v>655.17379999999991</v>
      </c>
      <c r="P1161" s="10">
        <f t="shared" si="130"/>
        <v>922.78</v>
      </c>
      <c r="Q1161" s="3">
        <f t="shared" si="131"/>
        <v>0.29000000000000009</v>
      </c>
      <c r="R1161" s="4" t="str">
        <f>IF(Sales_Fact!$O1161&gt;1000,"High","Low")</f>
        <v>Low</v>
      </c>
      <c r="S1161" s="4" t="str">
        <f>VLOOKUP(C1161,Customer_Dim!$A:$N,9,FALSE())</f>
        <v>Elizabeth Foster</v>
      </c>
      <c r="T1161" s="4" t="str">
        <f>VLOOKUP(D1161,Product_Dim!$A:$M,3,FALSE())</f>
        <v>Beauty</v>
      </c>
      <c r="U1161" s="11" t="str">
        <f>VLOOKUP(D1161,Product_Dim!$A:$M,2,FALSE())</f>
        <v>Beard Grooming Kit</v>
      </c>
      <c r="V1161" s="11" t="str">
        <f>VLOOKUP(E1161,Store_Dim!$A:$E,3,FALSE())</f>
        <v>East</v>
      </c>
      <c r="W1161" s="11" t="str">
        <f>VLOOKUP(C1161,Customer_Dim!$A:$N,13,FALSE())</f>
        <v>Gold</v>
      </c>
      <c r="X1161" s="11" t="str">
        <f t="shared" si="132"/>
        <v>Low</v>
      </c>
    </row>
    <row r="1162" spans="1:24" ht="15.75" customHeight="1">
      <c r="A1162" s="4" t="s">
        <v>3158</v>
      </c>
      <c r="B1162" s="9">
        <v>45312</v>
      </c>
      <c r="C1162" s="4" t="s">
        <v>1051</v>
      </c>
      <c r="D1162" s="4" t="s">
        <v>1613</v>
      </c>
      <c r="E1162" s="4" t="s">
        <v>1962</v>
      </c>
      <c r="F1162" s="4">
        <v>1</v>
      </c>
      <c r="G1162" s="4">
        <v>394.35</v>
      </c>
      <c r="H1162" s="4">
        <v>0.09</v>
      </c>
      <c r="I1162" s="4" t="s">
        <v>1998</v>
      </c>
      <c r="J1162" s="10">
        <v>358.85849999999999</v>
      </c>
      <c r="K1162" s="4" t="str">
        <f t="shared" si="126"/>
        <v>21-01-2024</v>
      </c>
      <c r="L1162" s="4" t="str">
        <f>TEXT(Sales_Fact!$B1162,"mmm")</f>
        <v>Jan</v>
      </c>
      <c r="M1162" s="4">
        <f t="shared" si="127"/>
        <v>1</v>
      </c>
      <c r="N1162" s="10">
        <f t="shared" si="128"/>
        <v>394.35</v>
      </c>
      <c r="O1162" s="10">
        <f t="shared" si="129"/>
        <v>358.85850000000005</v>
      </c>
      <c r="P1162" s="10">
        <f t="shared" si="130"/>
        <v>394.35</v>
      </c>
      <c r="Q1162" s="3">
        <f t="shared" si="131"/>
        <v>8.9999999999999927E-2</v>
      </c>
      <c r="R1162" s="4" t="str">
        <f>IF(Sales_Fact!$O1162&gt;1000,"High","Low")</f>
        <v>Low</v>
      </c>
      <c r="S1162" s="4" t="str">
        <f>VLOOKUP(C1162,Customer_Dim!$A:$N,9,FALSE())</f>
        <v>Andrew Smith</v>
      </c>
      <c r="T1162" s="4" t="str">
        <f>VLOOKUP(D1162,Product_Dim!$A:$M,3,FALSE())</f>
        <v>Electronics</v>
      </c>
      <c r="U1162" s="11" t="str">
        <f>VLOOKUP(D1162,Product_Dim!$A:$M,2,FALSE())</f>
        <v>Wireless Bluetooth Earbuds</v>
      </c>
      <c r="V1162" s="11" t="str">
        <f>VLOOKUP(E1162,Store_Dim!$A:$E,3,FALSE())</f>
        <v>West</v>
      </c>
      <c r="W1162" s="11" t="str">
        <f>VLOOKUP(C1162,Customer_Dim!$A:$N,13,FALSE())</f>
        <v>Bronze</v>
      </c>
      <c r="X1162" s="11" t="str">
        <f t="shared" si="132"/>
        <v>Low</v>
      </c>
    </row>
    <row r="1163" spans="1:24" ht="15.75" customHeight="1">
      <c r="A1163" s="4" t="s">
        <v>3159</v>
      </c>
      <c r="B1163" s="9">
        <v>45480</v>
      </c>
      <c r="C1163" s="4" t="s">
        <v>1168</v>
      </c>
      <c r="D1163" s="4" t="s">
        <v>1800</v>
      </c>
      <c r="E1163" s="4" t="s">
        <v>1950</v>
      </c>
      <c r="F1163" s="4">
        <v>2</v>
      </c>
      <c r="G1163" s="4">
        <v>703.95</v>
      </c>
      <c r="H1163" s="4">
        <v>0.03</v>
      </c>
      <c r="I1163" s="4" t="s">
        <v>1996</v>
      </c>
      <c r="J1163" s="10">
        <v>1365.663</v>
      </c>
      <c r="K1163" s="4" t="str">
        <f t="shared" si="126"/>
        <v>07-07-2024</v>
      </c>
      <c r="L1163" s="4" t="str">
        <f>TEXT(Sales_Fact!$B1163,"mmm")</f>
        <v>Jul</v>
      </c>
      <c r="M1163" s="4">
        <f t="shared" si="127"/>
        <v>2</v>
      </c>
      <c r="N1163" s="10">
        <f t="shared" si="128"/>
        <v>703.95</v>
      </c>
      <c r="O1163" s="10">
        <f t="shared" si="129"/>
        <v>1365.663</v>
      </c>
      <c r="P1163" s="10">
        <f t="shared" si="130"/>
        <v>1407.9</v>
      </c>
      <c r="Q1163" s="3">
        <f t="shared" si="131"/>
        <v>3.0000000000000054E-2</v>
      </c>
      <c r="R1163" s="4" t="str">
        <f>IF(Sales_Fact!$O1163&gt;1000,"High","Low")</f>
        <v>High</v>
      </c>
      <c r="S1163" s="4" t="str">
        <f>VLOOKUP(C1163,Customer_Dim!$A:$N,9,FALSE())</f>
        <v>Chloe Aguilar</v>
      </c>
      <c r="T1163" s="4" t="str">
        <f>VLOOKUP(D1163,Product_Dim!$A:$M,3,FALSE())</f>
        <v>Sports</v>
      </c>
      <c r="U1163" s="11" t="str">
        <f>VLOOKUP(D1163,Product_Dim!$A:$M,2,FALSE())</f>
        <v>Adjustable Dumbbells 20kg</v>
      </c>
      <c r="V1163" s="11" t="str">
        <f>VLOOKUP(E1163,Store_Dim!$A:$E,3,FALSE())</f>
        <v>South</v>
      </c>
      <c r="W1163" s="11" t="str">
        <f>VLOOKUP(C1163,Customer_Dim!$A:$N,13,FALSE())</f>
        <v>Bronze</v>
      </c>
      <c r="X1163" s="11" t="str">
        <f t="shared" si="132"/>
        <v>Low</v>
      </c>
    </row>
    <row r="1164" spans="1:24" ht="15.75" customHeight="1">
      <c r="A1164" s="4" t="s">
        <v>3160</v>
      </c>
      <c r="B1164" s="9">
        <v>45780</v>
      </c>
      <c r="C1164" s="4" t="s">
        <v>679</v>
      </c>
      <c r="D1164" s="4" t="s">
        <v>1636</v>
      </c>
      <c r="E1164" s="4" t="s">
        <v>1910</v>
      </c>
      <c r="F1164" s="4">
        <v>4</v>
      </c>
      <c r="G1164" s="4">
        <v>452.67</v>
      </c>
      <c r="H1164" s="4">
        <v>0.28000000000000003</v>
      </c>
      <c r="I1164" s="4" t="s">
        <v>1998</v>
      </c>
      <c r="J1164" s="10">
        <v>1303.6895999999999</v>
      </c>
      <c r="K1164" s="4" t="str">
        <f t="shared" si="126"/>
        <v>03-05-2025</v>
      </c>
      <c r="L1164" s="4" t="str">
        <f>TEXT(Sales_Fact!$B1164,"mmm")</f>
        <v>May</v>
      </c>
      <c r="M1164" s="4">
        <f t="shared" si="127"/>
        <v>4</v>
      </c>
      <c r="N1164" s="10">
        <f t="shared" si="128"/>
        <v>452.67</v>
      </c>
      <c r="O1164" s="10">
        <f t="shared" si="129"/>
        <v>1303.6895999999999</v>
      </c>
      <c r="P1164" s="10">
        <f t="shared" si="130"/>
        <v>1810.68</v>
      </c>
      <c r="Q1164" s="3">
        <f t="shared" si="131"/>
        <v>0.28000000000000008</v>
      </c>
      <c r="R1164" s="4" t="str">
        <f>IF(Sales_Fact!$O1164&gt;1000,"High","Low")</f>
        <v>High</v>
      </c>
      <c r="S1164" s="4" t="str">
        <f>VLOOKUP(C1164,Customer_Dim!$A:$N,9,FALSE())</f>
        <v>Anna Perez</v>
      </c>
      <c r="T1164" s="4" t="str">
        <f>VLOOKUP(D1164,Product_Dim!$A:$M,3,FALSE())</f>
        <v>Home</v>
      </c>
      <c r="U1164" s="11" t="str">
        <f>VLOOKUP(D1164,Product_Dim!$A:$M,2,FALSE())</f>
        <v>Decorative Wall Mirror</v>
      </c>
      <c r="V1164" s="11" t="str">
        <f>VLOOKUP(E1164,Store_Dim!$A:$E,3,FALSE())</f>
        <v>East</v>
      </c>
      <c r="W1164" s="11" t="str">
        <f>VLOOKUP(C1164,Customer_Dim!$A:$N,13,FALSE())</f>
        <v>Platinum</v>
      </c>
      <c r="X1164" s="11" t="str">
        <f t="shared" si="132"/>
        <v>High</v>
      </c>
    </row>
    <row r="1165" spans="1:24" ht="15.75" customHeight="1">
      <c r="A1165" s="4" t="s">
        <v>3161</v>
      </c>
      <c r="B1165" s="9">
        <v>45349</v>
      </c>
      <c r="C1165" s="4" t="s">
        <v>1457</v>
      </c>
      <c r="D1165" s="4" t="s">
        <v>1613</v>
      </c>
      <c r="E1165" s="4" t="s">
        <v>1937</v>
      </c>
      <c r="F1165" s="4">
        <v>2</v>
      </c>
      <c r="G1165" s="4">
        <v>377.3</v>
      </c>
      <c r="H1165" s="4">
        <v>0.15</v>
      </c>
      <c r="I1165" s="4" t="s">
        <v>1998</v>
      </c>
      <c r="J1165" s="10">
        <v>641.41</v>
      </c>
      <c r="K1165" s="4" t="str">
        <f t="shared" si="126"/>
        <v>27-02-2024</v>
      </c>
      <c r="L1165" s="4" t="str">
        <f>TEXT(Sales_Fact!$B1165,"mmm")</f>
        <v>Feb</v>
      </c>
      <c r="M1165" s="4">
        <f t="shared" si="127"/>
        <v>2</v>
      </c>
      <c r="N1165" s="10">
        <f t="shared" si="128"/>
        <v>377.3</v>
      </c>
      <c r="O1165" s="10">
        <f t="shared" si="129"/>
        <v>641.41</v>
      </c>
      <c r="P1165" s="10">
        <f t="shared" si="130"/>
        <v>754.6</v>
      </c>
      <c r="Q1165" s="3">
        <f t="shared" si="131"/>
        <v>0.15000000000000008</v>
      </c>
      <c r="R1165" s="4" t="str">
        <f>IF(Sales_Fact!$O1165&gt;1000,"High","Low")</f>
        <v>Low</v>
      </c>
      <c r="S1165" s="4" t="str">
        <f>VLOOKUP(C1165,Customer_Dim!$A:$N,9,FALSE())</f>
        <v>Samantha Lee</v>
      </c>
      <c r="T1165" s="4" t="str">
        <f>VLOOKUP(D1165,Product_Dim!$A:$M,3,FALSE())</f>
        <v>Electronics</v>
      </c>
      <c r="U1165" s="11" t="str">
        <f>VLOOKUP(D1165,Product_Dim!$A:$M,2,FALSE())</f>
        <v>Wireless Bluetooth Earbuds</v>
      </c>
      <c r="V1165" s="11" t="str">
        <f>VLOOKUP(E1165,Store_Dim!$A:$E,3,FALSE())</f>
        <v>South</v>
      </c>
      <c r="W1165" s="11" t="str">
        <f>VLOOKUP(C1165,Customer_Dim!$A:$N,13,FALSE())</f>
        <v>Bronze</v>
      </c>
      <c r="X1165" s="11" t="str">
        <f t="shared" si="132"/>
        <v>Low</v>
      </c>
    </row>
    <row r="1166" spans="1:24" ht="15.75" customHeight="1">
      <c r="A1166" s="4" t="s">
        <v>3162</v>
      </c>
      <c r="B1166" s="9">
        <v>45846</v>
      </c>
      <c r="C1166" s="4" t="s">
        <v>1108</v>
      </c>
      <c r="D1166" s="4" t="s">
        <v>1828</v>
      </c>
      <c r="E1166" s="4" t="s">
        <v>1937</v>
      </c>
      <c r="F1166" s="4">
        <v>2</v>
      </c>
      <c r="G1166" s="4">
        <v>130.47999999999999</v>
      </c>
      <c r="H1166" s="4">
        <v>0.23</v>
      </c>
      <c r="I1166" s="4" t="s">
        <v>1998</v>
      </c>
      <c r="J1166" s="10">
        <v>200.9392</v>
      </c>
      <c r="K1166" s="4" t="str">
        <f t="shared" si="126"/>
        <v>08-07-2025</v>
      </c>
      <c r="L1166" s="4" t="str">
        <f>TEXT(Sales_Fact!$B1166,"mmm")</f>
        <v>Jul</v>
      </c>
      <c r="M1166" s="4">
        <f t="shared" si="127"/>
        <v>2</v>
      </c>
      <c r="N1166" s="10">
        <f t="shared" si="128"/>
        <v>130.47999999999999</v>
      </c>
      <c r="O1166" s="10">
        <f t="shared" si="129"/>
        <v>200.9392</v>
      </c>
      <c r="P1166" s="10">
        <f t="shared" si="130"/>
        <v>260.95999999999998</v>
      </c>
      <c r="Q1166" s="3">
        <f t="shared" si="131"/>
        <v>0.22999999999999995</v>
      </c>
      <c r="R1166" s="4" t="str">
        <f>IF(Sales_Fact!$O1166&gt;1000,"High","Low")</f>
        <v>Low</v>
      </c>
      <c r="S1166" s="4" t="str">
        <f>VLOOKUP(C1166,Customer_Dim!$A:$N,9,FALSE())</f>
        <v>Evelyn Brown</v>
      </c>
      <c r="T1166" s="4" t="str">
        <f>VLOOKUP(D1166,Product_Dim!$A:$M,3,FALSE())</f>
        <v>Electronics</v>
      </c>
      <c r="U1166" s="11" t="str">
        <f>VLOOKUP(D1166,Product_Dim!$A:$M,2,FALSE())</f>
        <v>Bluetooth Car Audio System</v>
      </c>
      <c r="V1166" s="11" t="str">
        <f>VLOOKUP(E1166,Store_Dim!$A:$E,3,FALSE())</f>
        <v>South</v>
      </c>
      <c r="W1166" s="11" t="str">
        <f>VLOOKUP(C1166,Customer_Dim!$A:$N,13,FALSE())</f>
        <v>Gold</v>
      </c>
      <c r="X1166" s="11" t="str">
        <f t="shared" si="132"/>
        <v>Low</v>
      </c>
    </row>
    <row r="1167" spans="1:24" ht="15.75" customHeight="1">
      <c r="A1167" s="4" t="s">
        <v>3163</v>
      </c>
      <c r="B1167" s="9">
        <v>45729</v>
      </c>
      <c r="C1167" s="4" t="s">
        <v>1378</v>
      </c>
      <c r="D1167" s="4" t="s">
        <v>1888</v>
      </c>
      <c r="E1167" s="4" t="s">
        <v>1952</v>
      </c>
      <c r="F1167" s="4">
        <v>1</v>
      </c>
      <c r="G1167" s="4">
        <v>809.45</v>
      </c>
      <c r="H1167" s="4">
        <v>0.09</v>
      </c>
      <c r="I1167" s="4" t="s">
        <v>2004</v>
      </c>
      <c r="J1167" s="10">
        <v>736.59950000000003</v>
      </c>
      <c r="K1167" s="4" t="str">
        <f t="shared" si="126"/>
        <v>13-03-2025</v>
      </c>
      <c r="L1167" s="4" t="str">
        <f>TEXT(Sales_Fact!$B1167,"mmm")</f>
        <v>Mar</v>
      </c>
      <c r="M1167" s="4">
        <f t="shared" si="127"/>
        <v>1</v>
      </c>
      <c r="N1167" s="10">
        <f t="shared" si="128"/>
        <v>809.45</v>
      </c>
      <c r="O1167" s="10">
        <f t="shared" si="129"/>
        <v>736.59950000000003</v>
      </c>
      <c r="P1167" s="10">
        <f t="shared" si="130"/>
        <v>809.45</v>
      </c>
      <c r="Q1167" s="3">
        <f t="shared" si="131"/>
        <v>9.0000000000000011E-2</v>
      </c>
      <c r="R1167" s="4" t="str">
        <f>IF(Sales_Fact!$O1167&gt;1000,"High","Low")</f>
        <v>Low</v>
      </c>
      <c r="S1167" s="4" t="str">
        <f>VLOOKUP(C1167,Customer_Dim!$A:$N,9,FALSE())</f>
        <v>Lindsay Beasley</v>
      </c>
      <c r="T1167" s="4" t="str">
        <f>VLOOKUP(D1167,Product_Dim!$A:$M,3,FALSE())</f>
        <v>Beauty</v>
      </c>
      <c r="U1167" s="11" t="str">
        <f>VLOOKUP(D1167,Product_Dim!$A:$M,2,FALSE())</f>
        <v>Vitamin E Body Lotion</v>
      </c>
      <c r="V1167" s="11" t="str">
        <f>VLOOKUP(E1167,Store_Dim!$A:$E,3,FALSE())</f>
        <v>North</v>
      </c>
      <c r="W1167" s="11" t="str">
        <f>VLOOKUP(C1167,Customer_Dim!$A:$N,13,FALSE())</f>
        <v>Silver</v>
      </c>
      <c r="X1167" s="11" t="str">
        <f t="shared" si="132"/>
        <v>Low</v>
      </c>
    </row>
    <row r="1168" spans="1:24" ht="15.75" customHeight="1">
      <c r="A1168" s="4" t="s">
        <v>3164</v>
      </c>
      <c r="B1168" s="9">
        <v>45768</v>
      </c>
      <c r="C1168" s="4" t="s">
        <v>322</v>
      </c>
      <c r="D1168" s="4" t="s">
        <v>1738</v>
      </c>
      <c r="E1168" s="4" t="s">
        <v>1944</v>
      </c>
      <c r="F1168" s="4">
        <v>3</v>
      </c>
      <c r="G1168" s="4">
        <v>499.12</v>
      </c>
      <c r="H1168" s="4">
        <v>0.05</v>
      </c>
      <c r="I1168" s="4" t="s">
        <v>1998</v>
      </c>
      <c r="J1168" s="10">
        <v>1422.492</v>
      </c>
      <c r="K1168" s="4" t="str">
        <f t="shared" si="126"/>
        <v>21-04-2025</v>
      </c>
      <c r="L1168" s="4" t="str">
        <f>TEXT(Sales_Fact!$B1168,"mmm")</f>
        <v>Apr</v>
      </c>
      <c r="M1168" s="4">
        <f t="shared" si="127"/>
        <v>3</v>
      </c>
      <c r="N1168" s="10">
        <f t="shared" si="128"/>
        <v>499.12</v>
      </c>
      <c r="O1168" s="10">
        <f t="shared" si="129"/>
        <v>1422.492</v>
      </c>
      <c r="P1168" s="10">
        <f t="shared" si="130"/>
        <v>1497.3600000000001</v>
      </c>
      <c r="Q1168" s="3">
        <f t="shared" si="131"/>
        <v>5.0000000000000107E-2</v>
      </c>
      <c r="R1168" s="4" t="str">
        <f>IF(Sales_Fact!$O1168&gt;1000,"High","Low")</f>
        <v>High</v>
      </c>
      <c r="S1168" s="4" t="str">
        <f>VLOOKUP(C1168,Customer_Dim!$A:$N,9,FALSE())</f>
        <v>Thomas Robinson</v>
      </c>
      <c r="T1168" s="4" t="str">
        <f>VLOOKUP(D1168,Product_Dim!$A:$M,3,FALSE())</f>
        <v>Sports</v>
      </c>
      <c r="U1168" s="11" t="str">
        <f>VLOOKUP(D1168,Product_Dim!$A:$M,2,FALSE())</f>
        <v>High-Grip Football</v>
      </c>
      <c r="V1168" s="11" t="str">
        <f>VLOOKUP(E1168,Store_Dim!$A:$E,3,FALSE())</f>
        <v>South</v>
      </c>
      <c r="W1168" s="11" t="str">
        <f>VLOOKUP(C1168,Customer_Dim!$A:$N,13,FALSE())</f>
        <v>Bronze</v>
      </c>
      <c r="X1168" s="11" t="str">
        <f t="shared" si="132"/>
        <v>Low</v>
      </c>
    </row>
    <row r="1169" spans="1:24" ht="15.75" customHeight="1">
      <c r="A1169" s="4" t="s">
        <v>3165</v>
      </c>
      <c r="B1169" s="9">
        <v>45606</v>
      </c>
      <c r="C1169" s="4" t="s">
        <v>121</v>
      </c>
      <c r="D1169" s="4" t="s">
        <v>1809</v>
      </c>
      <c r="E1169" s="4" t="s">
        <v>1924</v>
      </c>
      <c r="F1169" s="4">
        <v>2</v>
      </c>
      <c r="G1169" s="4">
        <v>894.58</v>
      </c>
      <c r="H1169" s="4">
        <v>0.25</v>
      </c>
      <c r="I1169" s="4" t="s">
        <v>1996</v>
      </c>
      <c r="J1169" s="10">
        <v>1341.87</v>
      </c>
      <c r="K1169" s="4" t="str">
        <f t="shared" si="126"/>
        <v>10-11-2024</v>
      </c>
      <c r="L1169" s="4" t="str">
        <f>TEXT(Sales_Fact!$B1169,"mmm")</f>
        <v>Nov</v>
      </c>
      <c r="M1169" s="4">
        <f t="shared" si="127"/>
        <v>2</v>
      </c>
      <c r="N1169" s="10">
        <f t="shared" si="128"/>
        <v>894.58</v>
      </c>
      <c r="O1169" s="10">
        <f t="shared" si="129"/>
        <v>1341.8700000000001</v>
      </c>
      <c r="P1169" s="10">
        <f t="shared" si="130"/>
        <v>1789.16</v>
      </c>
      <c r="Q1169" s="3">
        <f t="shared" si="131"/>
        <v>0.24999999999999997</v>
      </c>
      <c r="R1169" s="4" t="str">
        <f>IF(Sales_Fact!$O1169&gt;1000,"High","Low")</f>
        <v>High</v>
      </c>
      <c r="S1169" s="4" t="str">
        <f>VLOOKUP(C1169,Customer_Dim!$A:$N,9,FALSE())</f>
        <v>Jonathan Steele</v>
      </c>
      <c r="T1169" s="4" t="str">
        <f>VLOOKUP(D1169,Product_Dim!$A:$M,3,FALSE())</f>
        <v>Home</v>
      </c>
      <c r="U1169" s="11" t="str">
        <f>VLOOKUP(D1169,Product_Dim!$A:$M,2,FALSE())</f>
        <v>Wooden Nightstand</v>
      </c>
      <c r="V1169" s="11" t="str">
        <f>VLOOKUP(E1169,Store_Dim!$A:$E,3,FALSE())</f>
        <v>North</v>
      </c>
      <c r="W1169" s="11" t="str">
        <f>VLOOKUP(C1169,Customer_Dim!$A:$N,13,FALSE())</f>
        <v>Silver</v>
      </c>
      <c r="X1169" s="11" t="str">
        <f t="shared" si="132"/>
        <v>Low</v>
      </c>
    </row>
    <row r="1170" spans="1:24" ht="15.75" customHeight="1">
      <c r="A1170" s="4" t="s">
        <v>3166</v>
      </c>
      <c r="B1170" s="9">
        <v>45552</v>
      </c>
      <c r="C1170" s="4" t="s">
        <v>1219</v>
      </c>
      <c r="D1170" s="4" t="s">
        <v>1599</v>
      </c>
      <c r="E1170" s="4" t="s">
        <v>1924</v>
      </c>
      <c r="F1170" s="4">
        <v>4</v>
      </c>
      <c r="G1170" s="4">
        <v>852.71</v>
      </c>
      <c r="H1170" s="4">
        <v>0.14000000000000001</v>
      </c>
      <c r="I1170" s="4" t="s">
        <v>1998</v>
      </c>
      <c r="J1170" s="10">
        <v>2933.3224</v>
      </c>
      <c r="K1170" s="4" t="str">
        <f t="shared" si="126"/>
        <v>17-09-2024</v>
      </c>
      <c r="L1170" s="4" t="str">
        <f>TEXT(Sales_Fact!$B1170,"mmm")</f>
        <v>Sep</v>
      </c>
      <c r="M1170" s="4">
        <f t="shared" si="127"/>
        <v>4</v>
      </c>
      <c r="N1170" s="10">
        <f t="shared" si="128"/>
        <v>852.71</v>
      </c>
      <c r="O1170" s="10">
        <f t="shared" si="129"/>
        <v>2933.3224</v>
      </c>
      <c r="P1170" s="10">
        <f t="shared" si="130"/>
        <v>3410.84</v>
      </c>
      <c r="Q1170" s="3">
        <f t="shared" si="131"/>
        <v>0.14000000000000004</v>
      </c>
      <c r="R1170" s="4" t="str">
        <f>IF(Sales_Fact!$O1170&gt;1000,"High","Low")</f>
        <v>High</v>
      </c>
      <c r="S1170" s="4" t="str">
        <f>VLOOKUP(C1170,Customer_Dim!$A:$N,9,FALSE())</f>
        <v>Erika Padilla</v>
      </c>
      <c r="T1170" s="4" t="str">
        <f>VLOOKUP(D1170,Product_Dim!$A:$M,3,FALSE())</f>
        <v>Clothing</v>
      </c>
      <c r="U1170" s="11" t="str">
        <f>VLOOKUP(D1170,Product_Dim!$A:$M,2,FALSE())</f>
        <v>Men's Leather Belt</v>
      </c>
      <c r="V1170" s="11" t="str">
        <f>VLOOKUP(E1170,Store_Dim!$A:$E,3,FALSE())</f>
        <v>North</v>
      </c>
      <c r="W1170" s="11" t="str">
        <f>VLOOKUP(C1170,Customer_Dim!$A:$N,13,FALSE())</f>
        <v>Silver</v>
      </c>
      <c r="X1170" s="11" t="str">
        <f t="shared" si="132"/>
        <v>High</v>
      </c>
    </row>
    <row r="1171" spans="1:24" ht="15.75" customHeight="1">
      <c r="A1171" s="4" t="s">
        <v>3167</v>
      </c>
      <c r="B1171" s="9">
        <v>45513</v>
      </c>
      <c r="C1171" s="4" t="s">
        <v>473</v>
      </c>
      <c r="D1171" s="4" t="s">
        <v>1831</v>
      </c>
      <c r="E1171" s="4" t="s">
        <v>1944</v>
      </c>
      <c r="F1171" s="4">
        <v>4</v>
      </c>
      <c r="G1171" s="4">
        <v>578.39</v>
      </c>
      <c r="H1171" s="4">
        <v>0.01</v>
      </c>
      <c r="I1171" s="4" t="s">
        <v>1996</v>
      </c>
      <c r="J1171" s="10">
        <v>2290.4243999999999</v>
      </c>
      <c r="K1171" s="4" t="str">
        <f t="shared" si="126"/>
        <v>09-08-2024</v>
      </c>
      <c r="L1171" s="4" t="str">
        <f>TEXT(Sales_Fact!$B1171,"mmm")</f>
        <v>Aug</v>
      </c>
      <c r="M1171" s="4">
        <f t="shared" si="127"/>
        <v>4</v>
      </c>
      <c r="N1171" s="10">
        <f t="shared" si="128"/>
        <v>578.39</v>
      </c>
      <c r="O1171" s="10">
        <f t="shared" si="129"/>
        <v>2290.4243999999999</v>
      </c>
      <c r="P1171" s="10">
        <f t="shared" si="130"/>
        <v>2313.56</v>
      </c>
      <c r="Q1171" s="3">
        <f t="shared" si="131"/>
        <v>1.000000000000003E-2</v>
      </c>
      <c r="R1171" s="4" t="str">
        <f>IF(Sales_Fact!$O1171&gt;1000,"High","Low")</f>
        <v>High</v>
      </c>
      <c r="S1171" s="4" t="str">
        <f>VLOOKUP(C1171,Customer_Dim!$A:$N,9,FALSE())</f>
        <v>Joseph Richards</v>
      </c>
      <c r="T1171" s="4" t="str">
        <f>VLOOKUP(D1171,Product_Dim!$A:$M,3,FALSE())</f>
        <v>Clothing</v>
      </c>
      <c r="U1171" s="11" t="str">
        <f>VLOOKUP(D1171,Product_Dim!$A:$M,2,FALSE())</f>
        <v>Women's Ankle Boots</v>
      </c>
      <c r="V1171" s="11" t="str">
        <f>VLOOKUP(E1171,Store_Dim!$A:$E,3,FALSE())</f>
        <v>South</v>
      </c>
      <c r="W1171" s="11" t="str">
        <f>VLOOKUP(C1171,Customer_Dim!$A:$N,13,FALSE())</f>
        <v>Bronze</v>
      </c>
      <c r="X1171" s="11" t="str">
        <f t="shared" si="132"/>
        <v>High</v>
      </c>
    </row>
    <row r="1172" spans="1:24" ht="15.75" customHeight="1">
      <c r="A1172" s="4" t="s">
        <v>3168</v>
      </c>
      <c r="B1172" s="9">
        <v>45356</v>
      </c>
      <c r="C1172" s="4" t="s">
        <v>1521</v>
      </c>
      <c r="D1172" s="4" t="s">
        <v>1726</v>
      </c>
      <c r="E1172" s="4" t="s">
        <v>1965</v>
      </c>
      <c r="F1172" s="4">
        <v>4</v>
      </c>
      <c r="G1172" s="4">
        <v>982.45</v>
      </c>
      <c r="H1172" s="4">
        <v>0.2</v>
      </c>
      <c r="I1172" s="4" t="s">
        <v>1998</v>
      </c>
      <c r="J1172" s="10">
        <v>3143.84</v>
      </c>
      <c r="K1172" s="4" t="str">
        <f t="shared" si="126"/>
        <v>05-03-2024</v>
      </c>
      <c r="L1172" s="4" t="str">
        <f>TEXT(Sales_Fact!$B1172,"mmm")</f>
        <v>Mar</v>
      </c>
      <c r="M1172" s="4">
        <f t="shared" si="127"/>
        <v>4</v>
      </c>
      <c r="N1172" s="10">
        <f t="shared" si="128"/>
        <v>982.45</v>
      </c>
      <c r="O1172" s="10">
        <f t="shared" si="129"/>
        <v>3143.84</v>
      </c>
      <c r="P1172" s="10">
        <f t="shared" si="130"/>
        <v>3929.8</v>
      </c>
      <c r="Q1172" s="3">
        <f t="shared" si="131"/>
        <v>0.2</v>
      </c>
      <c r="R1172" s="4" t="str">
        <f>IF(Sales_Fact!$O1172&gt;1000,"High","Low")</f>
        <v>High</v>
      </c>
      <c r="S1172" s="4" t="str">
        <f>VLOOKUP(C1172,Customer_Dim!$A:$N,9,FALSE())</f>
        <v>Sara Ingram</v>
      </c>
      <c r="T1172" s="4" t="str">
        <f>VLOOKUP(D1172,Product_Dim!$A:$M,3,FALSE())</f>
        <v>Sports</v>
      </c>
      <c r="U1172" s="11" t="str">
        <f>VLOOKUP(D1172,Product_Dim!$A:$M,2,FALSE())</f>
        <v>Yoga Exercise Mat</v>
      </c>
      <c r="V1172" s="11" t="str">
        <f>VLOOKUP(E1172,Store_Dim!$A:$E,3,FALSE())</f>
        <v>North</v>
      </c>
      <c r="W1172" s="11" t="str">
        <f>VLOOKUP(C1172,Customer_Dim!$A:$N,13,FALSE())</f>
        <v>Bronze</v>
      </c>
      <c r="X1172" s="11" t="str">
        <f t="shared" si="132"/>
        <v>High</v>
      </c>
    </row>
    <row r="1173" spans="1:24" ht="15.75" customHeight="1">
      <c r="A1173" s="4" t="s">
        <v>3169</v>
      </c>
      <c r="B1173" s="9">
        <v>45925</v>
      </c>
      <c r="C1173" s="4" t="s">
        <v>1418</v>
      </c>
      <c r="D1173" s="4" t="s">
        <v>1900</v>
      </c>
      <c r="E1173" s="4" t="s">
        <v>1971</v>
      </c>
      <c r="F1173" s="4">
        <v>1</v>
      </c>
      <c r="G1173" s="4">
        <v>549.52</v>
      </c>
      <c r="H1173" s="4">
        <v>0.1</v>
      </c>
      <c r="I1173" s="4" t="s">
        <v>1998</v>
      </c>
      <c r="J1173" s="10">
        <v>494.56799999999998</v>
      </c>
      <c r="K1173" s="4" t="str">
        <f t="shared" si="126"/>
        <v>25-09-2025</v>
      </c>
      <c r="L1173" s="4" t="str">
        <f>TEXT(Sales_Fact!$B1173,"mmm")</f>
        <v>Sep</v>
      </c>
      <c r="M1173" s="4">
        <f t="shared" si="127"/>
        <v>1</v>
      </c>
      <c r="N1173" s="10">
        <f t="shared" si="128"/>
        <v>549.52</v>
      </c>
      <c r="O1173" s="10">
        <f t="shared" si="129"/>
        <v>494.56799999999998</v>
      </c>
      <c r="P1173" s="10">
        <f t="shared" si="130"/>
        <v>549.52</v>
      </c>
      <c r="Q1173" s="3">
        <f t="shared" si="131"/>
        <v>0.1</v>
      </c>
      <c r="R1173" s="4" t="str">
        <f>IF(Sales_Fact!$O1173&gt;1000,"High","Low")</f>
        <v>Low</v>
      </c>
      <c r="S1173" s="4" t="str">
        <f>VLOOKUP(C1173,Customer_Dim!$A:$N,9,FALSE())</f>
        <v>William Cortez</v>
      </c>
      <c r="T1173" s="4" t="str">
        <f>VLOOKUP(D1173,Product_Dim!$A:$M,3,FALSE())</f>
        <v>Electronics</v>
      </c>
      <c r="U1173" s="11" t="str">
        <f>VLOOKUP(D1173,Product_Dim!$A:$M,2,FALSE())</f>
        <v>Portable Bluetooth Speaker</v>
      </c>
      <c r="V1173" s="11" t="str">
        <f>VLOOKUP(E1173,Store_Dim!$A:$E,3,FALSE())</f>
        <v>East</v>
      </c>
      <c r="W1173" s="11" t="str">
        <f>VLOOKUP(C1173,Customer_Dim!$A:$N,13,FALSE())</f>
        <v>Bronze</v>
      </c>
      <c r="X1173" s="11" t="str">
        <f t="shared" si="132"/>
        <v>Low</v>
      </c>
    </row>
    <row r="1174" spans="1:24" ht="15.75" customHeight="1">
      <c r="A1174" s="4" t="s">
        <v>3170</v>
      </c>
      <c r="B1174" s="9">
        <v>45876</v>
      </c>
      <c r="C1174" s="4" t="s">
        <v>798</v>
      </c>
      <c r="D1174" s="4" t="s">
        <v>1882</v>
      </c>
      <c r="E1174" s="4" t="s">
        <v>1968</v>
      </c>
      <c r="F1174" s="4">
        <v>2</v>
      </c>
      <c r="G1174" s="4">
        <v>239.92</v>
      </c>
      <c r="H1174" s="4">
        <v>0.16</v>
      </c>
      <c r="I1174" s="4" t="s">
        <v>1996</v>
      </c>
      <c r="J1174" s="10">
        <v>403.06560000000002</v>
      </c>
      <c r="K1174" s="4" t="str">
        <f t="shared" si="126"/>
        <v>07-08-2025</v>
      </c>
      <c r="L1174" s="4" t="str">
        <f>TEXT(Sales_Fact!$B1174,"mmm")</f>
        <v>Aug</v>
      </c>
      <c r="M1174" s="4">
        <f t="shared" si="127"/>
        <v>2</v>
      </c>
      <c r="N1174" s="10">
        <f t="shared" si="128"/>
        <v>239.92</v>
      </c>
      <c r="O1174" s="10">
        <f t="shared" si="129"/>
        <v>403.06559999999996</v>
      </c>
      <c r="P1174" s="10">
        <f t="shared" si="130"/>
        <v>479.84</v>
      </c>
      <c r="Q1174" s="3">
        <f t="shared" si="131"/>
        <v>0.16000000000000003</v>
      </c>
      <c r="R1174" s="4" t="str">
        <f>IF(Sales_Fact!$O1174&gt;1000,"High","Low")</f>
        <v>Low</v>
      </c>
      <c r="S1174" s="4" t="str">
        <f>VLOOKUP(C1174,Customer_Dim!$A:$N,9,FALSE())</f>
        <v>William Hull</v>
      </c>
      <c r="T1174" s="4" t="str">
        <f>VLOOKUP(D1174,Product_Dim!$A:$M,3,FALSE())</f>
        <v>Home</v>
      </c>
      <c r="U1174" s="11" t="str">
        <f>VLOOKUP(D1174,Product_Dim!$A:$M,2,FALSE())</f>
        <v>Microwave Oven</v>
      </c>
      <c r="V1174" s="11" t="str">
        <f>VLOOKUP(E1174,Store_Dim!$A:$E,3,FALSE())</f>
        <v>East</v>
      </c>
      <c r="W1174" s="11" t="str">
        <f>VLOOKUP(C1174,Customer_Dim!$A:$N,13,FALSE())</f>
        <v>Platinum</v>
      </c>
      <c r="X1174" s="11" t="str">
        <f t="shared" si="132"/>
        <v>Low</v>
      </c>
    </row>
    <row r="1175" spans="1:24" ht="15.75" customHeight="1">
      <c r="A1175" s="4" t="s">
        <v>3171</v>
      </c>
      <c r="B1175" s="9">
        <v>45338</v>
      </c>
      <c r="C1175" s="4" t="s">
        <v>319</v>
      </c>
      <c r="D1175" s="4" t="s">
        <v>1882</v>
      </c>
      <c r="E1175" s="4" t="s">
        <v>1934</v>
      </c>
      <c r="F1175" s="4">
        <v>2</v>
      </c>
      <c r="G1175" s="4">
        <v>878.05</v>
      </c>
      <c r="H1175" s="4">
        <v>0.11</v>
      </c>
      <c r="I1175" s="4" t="s">
        <v>1998</v>
      </c>
      <c r="J1175" s="10">
        <v>1562.9290000000001</v>
      </c>
      <c r="K1175" s="4" t="str">
        <f t="shared" si="126"/>
        <v>16-02-2024</v>
      </c>
      <c r="L1175" s="4" t="str">
        <f>TEXT(Sales_Fact!$B1175,"mmm")</f>
        <v>Feb</v>
      </c>
      <c r="M1175" s="4">
        <f t="shared" si="127"/>
        <v>2</v>
      </c>
      <c r="N1175" s="10">
        <f t="shared" si="128"/>
        <v>878.05</v>
      </c>
      <c r="O1175" s="10">
        <f t="shared" si="129"/>
        <v>1562.9289999999999</v>
      </c>
      <c r="P1175" s="10">
        <f t="shared" si="130"/>
        <v>1756.1</v>
      </c>
      <c r="Q1175" s="3">
        <f t="shared" si="131"/>
        <v>0.11000000000000003</v>
      </c>
      <c r="R1175" s="4" t="str">
        <f>IF(Sales_Fact!$O1175&gt;1000,"High","Low")</f>
        <v>High</v>
      </c>
      <c r="S1175" s="4" t="str">
        <f>VLOOKUP(C1175,Customer_Dim!$A:$N,9,FALSE())</f>
        <v>George Rosario</v>
      </c>
      <c r="T1175" s="4" t="str">
        <f>VLOOKUP(D1175,Product_Dim!$A:$M,3,FALSE())</f>
        <v>Home</v>
      </c>
      <c r="U1175" s="11" t="str">
        <f>VLOOKUP(D1175,Product_Dim!$A:$M,2,FALSE())</f>
        <v>Microwave Oven</v>
      </c>
      <c r="V1175" s="11" t="str">
        <f>VLOOKUP(E1175,Store_Dim!$A:$E,3,FALSE())</f>
        <v>East</v>
      </c>
      <c r="W1175" s="11" t="str">
        <f>VLOOKUP(C1175,Customer_Dim!$A:$N,13,FALSE())</f>
        <v>Bronze</v>
      </c>
      <c r="X1175" s="11" t="str">
        <f t="shared" si="132"/>
        <v>Low</v>
      </c>
    </row>
    <row r="1176" spans="1:24" ht="15.75" customHeight="1">
      <c r="A1176" s="4" t="s">
        <v>3172</v>
      </c>
      <c r="B1176" s="9">
        <v>45746</v>
      </c>
      <c r="C1176" s="4" t="s">
        <v>193</v>
      </c>
      <c r="D1176" s="4" t="s">
        <v>1583</v>
      </c>
      <c r="E1176" s="4" t="s">
        <v>1944</v>
      </c>
      <c r="F1176" s="4">
        <v>3</v>
      </c>
      <c r="G1176" s="4">
        <v>546.96</v>
      </c>
      <c r="H1176" s="4">
        <v>0.19</v>
      </c>
      <c r="I1176" s="4" t="s">
        <v>1996</v>
      </c>
      <c r="J1176" s="10">
        <v>1329.1128000000001</v>
      </c>
      <c r="K1176" s="4" t="str">
        <f t="shared" si="126"/>
        <v>30-03-2025</v>
      </c>
      <c r="L1176" s="4" t="str">
        <f>TEXT(Sales_Fact!$B1176,"mmm")</f>
        <v>Mar</v>
      </c>
      <c r="M1176" s="4">
        <f t="shared" si="127"/>
        <v>3</v>
      </c>
      <c r="N1176" s="10">
        <f t="shared" si="128"/>
        <v>546.96</v>
      </c>
      <c r="O1176" s="10">
        <f t="shared" si="129"/>
        <v>1329.1128000000001</v>
      </c>
      <c r="P1176" s="10">
        <f t="shared" si="130"/>
        <v>1640.88</v>
      </c>
      <c r="Q1176" s="3">
        <f t="shared" si="131"/>
        <v>0.19</v>
      </c>
      <c r="R1176" s="4" t="str">
        <f>IF(Sales_Fact!$O1176&gt;1000,"High","Low")</f>
        <v>High</v>
      </c>
      <c r="S1176" s="4" t="str">
        <f>VLOOKUP(C1176,Customer_Dim!$A:$N,9,FALSE())</f>
        <v>Denise Williams</v>
      </c>
      <c r="T1176" s="4" t="str">
        <f>VLOOKUP(D1176,Product_Dim!$A:$M,3,FALSE())</f>
        <v>Clothing</v>
      </c>
      <c r="U1176" s="11" t="str">
        <f>VLOOKUP(D1176,Product_Dim!$A:$M,2,FALSE())</f>
        <v>Men's Graphic T-Shirt</v>
      </c>
      <c r="V1176" s="11" t="str">
        <f>VLOOKUP(E1176,Store_Dim!$A:$E,3,FALSE())</f>
        <v>South</v>
      </c>
      <c r="W1176" s="11" t="str">
        <f>VLOOKUP(C1176,Customer_Dim!$A:$N,13,FALSE())</f>
        <v>Bronze</v>
      </c>
      <c r="X1176" s="11" t="str">
        <f t="shared" si="132"/>
        <v>Low</v>
      </c>
    </row>
    <row r="1177" spans="1:24" ht="15.75" customHeight="1">
      <c r="A1177" s="4" t="s">
        <v>3173</v>
      </c>
      <c r="B1177" s="9">
        <v>45706</v>
      </c>
      <c r="C1177" s="4" t="s">
        <v>1481</v>
      </c>
      <c r="D1177" s="4" t="s">
        <v>1648</v>
      </c>
      <c r="E1177" s="4" t="s">
        <v>1947</v>
      </c>
      <c r="F1177" s="4">
        <v>2</v>
      </c>
      <c r="G1177" s="4">
        <v>71.77</v>
      </c>
      <c r="H1177" s="4">
        <v>0.22</v>
      </c>
      <c r="I1177" s="4" t="s">
        <v>1996</v>
      </c>
      <c r="J1177" s="10">
        <v>111.96120000000001</v>
      </c>
      <c r="K1177" s="4" t="str">
        <f t="shared" si="126"/>
        <v>18-02-2025</v>
      </c>
      <c r="L1177" s="4" t="str">
        <f>TEXT(Sales_Fact!$B1177,"mmm")</f>
        <v>Feb</v>
      </c>
      <c r="M1177" s="4">
        <f t="shared" si="127"/>
        <v>2</v>
      </c>
      <c r="N1177" s="10">
        <f t="shared" si="128"/>
        <v>71.77</v>
      </c>
      <c r="O1177" s="10">
        <f t="shared" si="129"/>
        <v>111.96119999999999</v>
      </c>
      <c r="P1177" s="10">
        <f t="shared" si="130"/>
        <v>143.54</v>
      </c>
      <c r="Q1177" s="3">
        <f t="shared" si="131"/>
        <v>0.22000000000000003</v>
      </c>
      <c r="R1177" s="4" t="str">
        <f>IF(Sales_Fact!$O1177&gt;1000,"High","Low")</f>
        <v>Low</v>
      </c>
      <c r="S1177" s="4" t="str">
        <f>VLOOKUP(C1177,Customer_Dim!$A:$N,9,FALSE())</f>
        <v>Debra Mccullough</v>
      </c>
      <c r="T1177" s="4" t="str">
        <f>VLOOKUP(D1177,Product_Dim!$A:$M,3,FALSE())</f>
        <v>Sports</v>
      </c>
      <c r="U1177" s="11" t="str">
        <f>VLOOKUP(D1177,Product_Dim!$A:$M,2,FALSE())</f>
        <v>Soccer Training Cone Set</v>
      </c>
      <c r="V1177" s="11" t="str">
        <f>VLOOKUP(E1177,Store_Dim!$A:$E,3,FALSE())</f>
        <v>East</v>
      </c>
      <c r="W1177" s="11" t="str">
        <f>VLOOKUP(C1177,Customer_Dim!$A:$N,13,FALSE())</f>
        <v>Platinum</v>
      </c>
      <c r="X1177" s="11" t="str">
        <f t="shared" si="132"/>
        <v>Low</v>
      </c>
    </row>
    <row r="1178" spans="1:24" ht="15.75" customHeight="1">
      <c r="A1178" s="4" t="s">
        <v>3174</v>
      </c>
      <c r="B1178" s="9">
        <v>45717</v>
      </c>
      <c r="C1178" s="4" t="s">
        <v>83</v>
      </c>
      <c r="D1178" s="4" t="s">
        <v>1671</v>
      </c>
      <c r="E1178" s="4" t="s">
        <v>1915</v>
      </c>
      <c r="F1178" s="4">
        <v>2</v>
      </c>
      <c r="G1178" s="4">
        <v>679.86</v>
      </c>
      <c r="H1178" s="4">
        <v>0.22</v>
      </c>
      <c r="I1178" s="4" t="s">
        <v>2004</v>
      </c>
      <c r="J1178" s="10">
        <v>1060.5816</v>
      </c>
      <c r="K1178" s="4" t="str">
        <f t="shared" si="126"/>
        <v>01-03-2025</v>
      </c>
      <c r="L1178" s="4" t="str">
        <f>TEXT(Sales_Fact!$B1178,"mmm")</f>
        <v>Mar</v>
      </c>
      <c r="M1178" s="4">
        <f t="shared" si="127"/>
        <v>2</v>
      </c>
      <c r="N1178" s="10">
        <f t="shared" si="128"/>
        <v>679.86</v>
      </c>
      <c r="O1178" s="10">
        <f t="shared" si="129"/>
        <v>1060.5816</v>
      </c>
      <c r="P1178" s="10">
        <f t="shared" si="130"/>
        <v>1359.72</v>
      </c>
      <c r="Q1178" s="3">
        <f t="shared" si="131"/>
        <v>0.22000000000000003</v>
      </c>
      <c r="R1178" s="4" t="str">
        <f>IF(Sales_Fact!$O1178&gt;1000,"High","Low")</f>
        <v>High</v>
      </c>
      <c r="S1178" s="4" t="str">
        <f>VLOOKUP(C1178,Customer_Dim!$A:$N,9,FALSE())</f>
        <v>Nathan Hernandez</v>
      </c>
      <c r="T1178" s="4" t="str">
        <f>VLOOKUP(D1178,Product_Dim!$A:$M,3,FALSE())</f>
        <v>Sports</v>
      </c>
      <c r="U1178" s="11" t="str">
        <f>VLOOKUP(D1178,Product_Dim!$A:$M,2,FALSE())</f>
        <v>Foldable Camping Chair</v>
      </c>
      <c r="V1178" s="11" t="str">
        <f>VLOOKUP(E1178,Store_Dim!$A:$E,3,FALSE())</f>
        <v>North</v>
      </c>
      <c r="W1178" s="11" t="str">
        <f>VLOOKUP(C1178,Customer_Dim!$A:$N,13,FALSE())</f>
        <v>Silver</v>
      </c>
      <c r="X1178" s="11" t="str">
        <f t="shared" si="132"/>
        <v>Low</v>
      </c>
    </row>
    <row r="1179" spans="1:24" ht="15.75" customHeight="1">
      <c r="A1179" s="4" t="s">
        <v>3175</v>
      </c>
      <c r="B1179" s="9">
        <v>45300</v>
      </c>
      <c r="C1179" s="4" t="s">
        <v>488</v>
      </c>
      <c r="D1179" s="4" t="s">
        <v>1706</v>
      </c>
      <c r="E1179" s="4" t="s">
        <v>1965</v>
      </c>
      <c r="F1179" s="4">
        <v>1</v>
      </c>
      <c r="G1179" s="4">
        <v>222.94</v>
      </c>
      <c r="H1179" s="4">
        <v>0.19</v>
      </c>
      <c r="I1179" s="4" t="s">
        <v>1996</v>
      </c>
      <c r="J1179" s="10">
        <v>180.5814</v>
      </c>
      <c r="K1179" s="4" t="str">
        <f t="shared" si="126"/>
        <v>09-01-2024</v>
      </c>
      <c r="L1179" s="4" t="str">
        <f>TEXT(Sales_Fact!$B1179,"mmm")</f>
        <v>Jan</v>
      </c>
      <c r="M1179" s="4">
        <f t="shared" si="127"/>
        <v>1</v>
      </c>
      <c r="N1179" s="10">
        <f t="shared" si="128"/>
        <v>222.94</v>
      </c>
      <c r="O1179" s="10">
        <f t="shared" si="129"/>
        <v>180.5814</v>
      </c>
      <c r="P1179" s="10">
        <f t="shared" si="130"/>
        <v>222.94</v>
      </c>
      <c r="Q1179" s="3">
        <f t="shared" si="131"/>
        <v>0.18999999999999997</v>
      </c>
      <c r="R1179" s="4" t="str">
        <f>IF(Sales_Fact!$O1179&gt;1000,"High","Low")</f>
        <v>Low</v>
      </c>
      <c r="S1179" s="4" t="str">
        <f>VLOOKUP(C1179,Customer_Dim!$A:$N,9,FALSE())</f>
        <v>Patrick Coleman</v>
      </c>
      <c r="T1179" s="4" t="str">
        <f>VLOOKUP(D1179,Product_Dim!$A:$M,3,FALSE())</f>
        <v>Home</v>
      </c>
      <c r="U1179" s="11" t="str">
        <f>VLOOKUP(D1179,Product_Dim!$A:$M,2,FALSE())</f>
        <v>Bedroom Table Lamp</v>
      </c>
      <c r="V1179" s="11" t="str">
        <f>VLOOKUP(E1179,Store_Dim!$A:$E,3,FALSE())</f>
        <v>North</v>
      </c>
      <c r="W1179" s="11" t="str">
        <f>VLOOKUP(C1179,Customer_Dim!$A:$N,13,FALSE())</f>
        <v>Silver</v>
      </c>
      <c r="X1179" s="11" t="str">
        <f t="shared" si="132"/>
        <v>Low</v>
      </c>
    </row>
    <row r="1180" spans="1:24" ht="15.75" customHeight="1">
      <c r="A1180" s="4" t="s">
        <v>3176</v>
      </c>
      <c r="B1180" s="9">
        <v>45773</v>
      </c>
      <c r="C1180" s="4" t="s">
        <v>822</v>
      </c>
      <c r="D1180" s="4" t="s">
        <v>1706</v>
      </c>
      <c r="E1180" s="4" t="s">
        <v>1919</v>
      </c>
      <c r="F1180" s="4">
        <v>2</v>
      </c>
      <c r="G1180" s="4">
        <v>355.3</v>
      </c>
      <c r="H1180" s="4"/>
      <c r="I1180" s="4" t="s">
        <v>1998</v>
      </c>
      <c r="J1180" s="10">
        <v>589.798</v>
      </c>
      <c r="K1180" s="4" t="str">
        <f t="shared" si="126"/>
        <v>26-04-2025</v>
      </c>
      <c r="L1180" s="4" t="str">
        <f>TEXT(Sales_Fact!$B1180,"mmm")</f>
        <v>Apr</v>
      </c>
      <c r="M1180" s="4">
        <f t="shared" si="127"/>
        <v>2</v>
      </c>
      <c r="N1180" s="10">
        <f t="shared" si="128"/>
        <v>355.3</v>
      </c>
      <c r="O1180" s="10">
        <f t="shared" si="129"/>
        <v>710.6</v>
      </c>
      <c r="P1180" s="10">
        <f t="shared" si="130"/>
        <v>710.6</v>
      </c>
      <c r="Q1180" s="3">
        <f t="shared" si="131"/>
        <v>0</v>
      </c>
      <c r="R1180" s="4" t="str">
        <f>IF(Sales_Fact!$O1180&gt;1000,"High","Low")</f>
        <v>Low</v>
      </c>
      <c r="S1180" s="4" t="str">
        <f>VLOOKUP(C1180,Customer_Dim!$A:$N,9,FALSE())</f>
        <v>Nicholas Webb</v>
      </c>
      <c r="T1180" s="4" t="str">
        <f>VLOOKUP(D1180,Product_Dim!$A:$M,3,FALSE())</f>
        <v>Home</v>
      </c>
      <c r="U1180" s="11" t="str">
        <f>VLOOKUP(D1180,Product_Dim!$A:$M,2,FALSE())</f>
        <v>Bedroom Table Lamp</v>
      </c>
      <c r="V1180" s="11" t="str">
        <f>VLOOKUP(E1180,Store_Dim!$A:$E,3,FALSE())</f>
        <v>South</v>
      </c>
      <c r="W1180" s="11" t="str">
        <f>VLOOKUP(C1180,Customer_Dim!$A:$N,13,FALSE())</f>
        <v>Gold</v>
      </c>
      <c r="X1180" s="11" t="str">
        <f t="shared" si="132"/>
        <v>Low</v>
      </c>
    </row>
    <row r="1181" spans="1:24" ht="15.75" customHeight="1">
      <c r="A1181" s="4" t="s">
        <v>3177</v>
      </c>
      <c r="B1181" s="9">
        <v>45294</v>
      </c>
      <c r="C1181" s="4" t="s">
        <v>718</v>
      </c>
      <c r="D1181" s="4" t="s">
        <v>1900</v>
      </c>
      <c r="E1181" s="4" t="s">
        <v>1940</v>
      </c>
      <c r="F1181" s="4">
        <v>4</v>
      </c>
      <c r="G1181" s="4">
        <v>156.16</v>
      </c>
      <c r="H1181" s="4"/>
      <c r="I1181" s="4" t="s">
        <v>1996</v>
      </c>
      <c r="J1181" s="10">
        <v>599.65440000000001</v>
      </c>
      <c r="K1181" s="4" t="str">
        <f t="shared" si="126"/>
        <v>03-01-2024</v>
      </c>
      <c r="L1181" s="4" t="str">
        <f>TEXT(Sales_Fact!$B1181,"mmm")</f>
        <v>Jan</v>
      </c>
      <c r="M1181" s="4">
        <f t="shared" si="127"/>
        <v>4</v>
      </c>
      <c r="N1181" s="10">
        <f t="shared" si="128"/>
        <v>156.16</v>
      </c>
      <c r="O1181" s="10">
        <f t="shared" si="129"/>
        <v>624.64</v>
      </c>
      <c r="P1181" s="10">
        <f t="shared" si="130"/>
        <v>624.64</v>
      </c>
      <c r="Q1181" s="3">
        <f t="shared" si="131"/>
        <v>0</v>
      </c>
      <c r="R1181" s="4" t="str">
        <f>IF(Sales_Fact!$O1181&gt;1000,"High","Low")</f>
        <v>Low</v>
      </c>
      <c r="S1181" s="4" t="str">
        <f>VLOOKUP(C1181,Customer_Dim!$A:$N,9,FALSE())</f>
        <v>Stuart Johnson</v>
      </c>
      <c r="T1181" s="4" t="str">
        <f>VLOOKUP(D1181,Product_Dim!$A:$M,3,FALSE())</f>
        <v>Electronics</v>
      </c>
      <c r="U1181" s="11" t="str">
        <f>VLOOKUP(D1181,Product_Dim!$A:$M,2,FALSE())</f>
        <v>Portable Bluetooth Speaker</v>
      </c>
      <c r="V1181" s="11" t="str">
        <f>VLOOKUP(E1181,Store_Dim!$A:$E,3,FALSE())</f>
        <v>West</v>
      </c>
      <c r="W1181" s="11" t="str">
        <f>VLOOKUP(C1181,Customer_Dim!$A:$N,13,FALSE())</f>
        <v>Platinum</v>
      </c>
      <c r="X1181" s="11" t="str">
        <f t="shared" si="132"/>
        <v>High</v>
      </c>
    </row>
    <row r="1182" spans="1:24" ht="15.75" customHeight="1">
      <c r="A1182" s="4" t="s">
        <v>3178</v>
      </c>
      <c r="B1182" s="9">
        <v>45497</v>
      </c>
      <c r="C1182" s="4" t="s">
        <v>387</v>
      </c>
      <c r="D1182" s="4" t="s">
        <v>1873</v>
      </c>
      <c r="E1182" s="4" t="s">
        <v>1971</v>
      </c>
      <c r="F1182" s="4">
        <v>4</v>
      </c>
      <c r="G1182" s="4">
        <v>611.29999999999995</v>
      </c>
      <c r="H1182" s="4">
        <v>0.11</v>
      </c>
      <c r="I1182" s="4" t="s">
        <v>1998</v>
      </c>
      <c r="J1182" s="10">
        <v>2176.2280000000001</v>
      </c>
      <c r="K1182" s="4" t="str">
        <f t="shared" si="126"/>
        <v>24-07-2024</v>
      </c>
      <c r="L1182" s="4" t="str">
        <f>TEXT(Sales_Fact!$B1182,"mmm")</f>
        <v>Jul</v>
      </c>
      <c r="M1182" s="4">
        <f t="shared" si="127"/>
        <v>4</v>
      </c>
      <c r="N1182" s="10">
        <f t="shared" si="128"/>
        <v>611.29999999999995</v>
      </c>
      <c r="O1182" s="10">
        <f t="shared" si="129"/>
        <v>2176.2280000000001</v>
      </c>
      <c r="P1182" s="10">
        <f t="shared" si="130"/>
        <v>2445.1999999999998</v>
      </c>
      <c r="Q1182" s="3">
        <f t="shared" si="131"/>
        <v>0.1099999999999999</v>
      </c>
      <c r="R1182" s="4" t="str">
        <f>IF(Sales_Fact!$O1182&gt;1000,"High","Low")</f>
        <v>High</v>
      </c>
      <c r="S1182" s="4" t="str">
        <f>VLOOKUP(C1182,Customer_Dim!$A:$N,9,FALSE())</f>
        <v>Steven Stein</v>
      </c>
      <c r="T1182" s="4" t="str">
        <f>VLOOKUP(D1182,Product_Dim!$A:$M,3,FALSE())</f>
        <v>Beauty</v>
      </c>
      <c r="U1182" s="11" t="str">
        <f>VLOOKUP(D1182,Product_Dim!$A:$M,2,FALSE())</f>
        <v>Face Foundation Kit</v>
      </c>
      <c r="V1182" s="11" t="str">
        <f>VLOOKUP(E1182,Store_Dim!$A:$E,3,FALSE())</f>
        <v>East</v>
      </c>
      <c r="W1182" s="11" t="str">
        <f>VLOOKUP(C1182,Customer_Dim!$A:$N,13,FALSE())</f>
        <v>Bronze</v>
      </c>
      <c r="X1182" s="11" t="str">
        <f t="shared" si="132"/>
        <v>High</v>
      </c>
    </row>
    <row r="1183" spans="1:24" ht="15.75" customHeight="1">
      <c r="A1183" s="4" t="s">
        <v>3179</v>
      </c>
      <c r="B1183" s="9">
        <v>45742</v>
      </c>
      <c r="C1183" s="4" t="s">
        <v>1075</v>
      </c>
      <c r="D1183" s="4" t="s">
        <v>1578</v>
      </c>
      <c r="E1183" s="4" t="s">
        <v>1940</v>
      </c>
      <c r="F1183" s="4">
        <v>4</v>
      </c>
      <c r="G1183" s="4">
        <v>849.21</v>
      </c>
      <c r="H1183" s="4">
        <v>7.0000000000000007E-2</v>
      </c>
      <c r="I1183" s="4" t="s">
        <v>1996</v>
      </c>
      <c r="J1183" s="10">
        <v>3159.0612000000001</v>
      </c>
      <c r="K1183" s="4" t="str">
        <f t="shared" si="126"/>
        <v>26-03-2025</v>
      </c>
      <c r="L1183" s="4" t="str">
        <f>TEXT(Sales_Fact!$B1183,"mmm")</f>
        <v>Mar</v>
      </c>
      <c r="M1183" s="4">
        <f t="shared" si="127"/>
        <v>4</v>
      </c>
      <c r="N1183" s="10">
        <f t="shared" si="128"/>
        <v>849.21</v>
      </c>
      <c r="O1183" s="10">
        <f t="shared" si="129"/>
        <v>3159.0612000000001</v>
      </c>
      <c r="P1183" s="10">
        <f t="shared" si="130"/>
        <v>3396.84</v>
      </c>
      <c r="Q1183" s="3">
        <f t="shared" si="131"/>
        <v>7.0000000000000007E-2</v>
      </c>
      <c r="R1183" s="4" t="str">
        <f>IF(Sales_Fact!$O1183&gt;1000,"High","Low")</f>
        <v>High</v>
      </c>
      <c r="S1183" s="4" t="str">
        <f>VLOOKUP(C1183,Customer_Dim!$A:$N,9,FALSE())</f>
        <v>Teresa Johnson</v>
      </c>
      <c r="T1183" s="4" t="str">
        <f>VLOOKUP(D1183,Product_Dim!$A:$M,3,FALSE())</f>
        <v>Electronics</v>
      </c>
      <c r="U1183" s="11" t="str">
        <f>VLOOKUP(D1183,Product_Dim!$A:$M,2,FALSE())</f>
        <v>Brother Laser Printer</v>
      </c>
      <c r="V1183" s="11" t="str">
        <f>VLOOKUP(E1183,Store_Dim!$A:$E,3,FALSE())</f>
        <v>West</v>
      </c>
      <c r="W1183" s="11" t="str">
        <f>VLOOKUP(C1183,Customer_Dim!$A:$N,13,FALSE())</f>
        <v>Gold</v>
      </c>
      <c r="X1183" s="11" t="str">
        <f t="shared" si="132"/>
        <v>High</v>
      </c>
    </row>
    <row r="1184" spans="1:24" ht="15.75" customHeight="1">
      <c r="A1184" s="4" t="s">
        <v>3180</v>
      </c>
      <c r="B1184" s="9">
        <v>45713</v>
      </c>
      <c r="C1184" s="4" t="s">
        <v>706</v>
      </c>
      <c r="D1184" s="4" t="s">
        <v>1729</v>
      </c>
      <c r="E1184" s="4" t="s">
        <v>1937</v>
      </c>
      <c r="F1184" s="4">
        <v>3</v>
      </c>
      <c r="G1184" s="4">
        <v>553.12</v>
      </c>
      <c r="H1184" s="4">
        <v>0.28000000000000003</v>
      </c>
      <c r="I1184" s="4" t="s">
        <v>2004</v>
      </c>
      <c r="J1184" s="10">
        <v>1194.7392</v>
      </c>
      <c r="K1184" s="4" t="str">
        <f t="shared" si="126"/>
        <v>25-02-2025</v>
      </c>
      <c r="L1184" s="4" t="str">
        <f>TEXT(Sales_Fact!$B1184,"mmm")</f>
        <v>Feb</v>
      </c>
      <c r="M1184" s="4">
        <f t="shared" si="127"/>
        <v>3</v>
      </c>
      <c r="N1184" s="10">
        <f t="shared" si="128"/>
        <v>553.12</v>
      </c>
      <c r="O1184" s="10">
        <f t="shared" si="129"/>
        <v>1194.7392</v>
      </c>
      <c r="P1184" s="10">
        <f t="shared" si="130"/>
        <v>1659.3600000000001</v>
      </c>
      <c r="Q1184" s="3">
        <f t="shared" si="131"/>
        <v>0.28000000000000008</v>
      </c>
      <c r="R1184" s="4" t="str">
        <f>IF(Sales_Fact!$O1184&gt;1000,"High","Low")</f>
        <v>High</v>
      </c>
      <c r="S1184" s="4" t="str">
        <f>VLOOKUP(C1184,Customer_Dim!$A:$N,9,FALSE())</f>
        <v>Joan Johnson</v>
      </c>
      <c r="T1184" s="4" t="str">
        <f>VLOOKUP(D1184,Product_Dim!$A:$M,3,FALSE())</f>
        <v>Electronics</v>
      </c>
      <c r="U1184" s="11" t="str">
        <f>VLOOKUP(D1184,Product_Dim!$A:$M,2,FALSE())</f>
        <v>Smart Home WiFi Camera</v>
      </c>
      <c r="V1184" s="11" t="str">
        <f>VLOOKUP(E1184,Store_Dim!$A:$E,3,FALSE())</f>
        <v>South</v>
      </c>
      <c r="W1184" s="11" t="str">
        <f>VLOOKUP(C1184,Customer_Dim!$A:$N,13,FALSE())</f>
        <v>Platinum</v>
      </c>
      <c r="X1184" s="11" t="str">
        <f t="shared" si="132"/>
        <v>Low</v>
      </c>
    </row>
    <row r="1185" spans="1:24" ht="15.75" customHeight="1">
      <c r="A1185" s="4" t="s">
        <v>3181</v>
      </c>
      <c r="B1185" s="9">
        <v>45826</v>
      </c>
      <c r="C1185" s="4" t="s">
        <v>924</v>
      </c>
      <c r="D1185" s="4" t="s">
        <v>1879</v>
      </c>
      <c r="E1185" s="4" t="s">
        <v>1944</v>
      </c>
      <c r="F1185" s="4">
        <v>2</v>
      </c>
      <c r="G1185" s="4">
        <v>903.08</v>
      </c>
      <c r="H1185" s="4">
        <v>0.18</v>
      </c>
      <c r="I1185" s="4" t="s">
        <v>2004</v>
      </c>
      <c r="J1185" s="10">
        <v>1481.0512000000001</v>
      </c>
      <c r="K1185" s="4" t="str">
        <f t="shared" si="126"/>
        <v>18-06-2025</v>
      </c>
      <c r="L1185" s="4" t="str">
        <f>TEXT(Sales_Fact!$B1185,"mmm")</f>
        <v>Jun</v>
      </c>
      <c r="M1185" s="4">
        <f t="shared" si="127"/>
        <v>2</v>
      </c>
      <c r="N1185" s="10">
        <f t="shared" si="128"/>
        <v>903.08</v>
      </c>
      <c r="O1185" s="10">
        <f t="shared" si="129"/>
        <v>1481.0512000000001</v>
      </c>
      <c r="P1185" s="10">
        <f t="shared" si="130"/>
        <v>1806.16</v>
      </c>
      <c r="Q1185" s="3">
        <f t="shared" si="131"/>
        <v>0.17999999999999997</v>
      </c>
      <c r="R1185" s="4" t="str">
        <f>IF(Sales_Fact!$O1185&gt;1000,"High","Low")</f>
        <v>High</v>
      </c>
      <c r="S1185" s="4" t="str">
        <f>VLOOKUP(C1185,Customer_Dim!$A:$N,9,FALSE())</f>
        <v>Kristi Lopez</v>
      </c>
      <c r="T1185" s="4" t="str">
        <f>VLOOKUP(D1185,Product_Dim!$A:$M,3,FALSE())</f>
        <v>Clothing</v>
      </c>
      <c r="U1185" s="11" t="str">
        <f>VLOOKUP(D1185,Product_Dim!$A:$M,2,FALSE())</f>
        <v>Women's High Heels</v>
      </c>
      <c r="V1185" s="11" t="str">
        <f>VLOOKUP(E1185,Store_Dim!$A:$E,3,FALSE())</f>
        <v>South</v>
      </c>
      <c r="W1185" s="11" t="str">
        <f>VLOOKUP(C1185,Customer_Dim!$A:$N,13,FALSE())</f>
        <v>Gold</v>
      </c>
      <c r="X1185" s="11" t="str">
        <f t="shared" si="132"/>
        <v>Low</v>
      </c>
    </row>
    <row r="1186" spans="1:24" ht="15.75" customHeight="1">
      <c r="A1186" s="4" t="s">
        <v>3182</v>
      </c>
      <c r="B1186" s="9">
        <v>45648</v>
      </c>
      <c r="C1186" s="4" t="s">
        <v>1501</v>
      </c>
      <c r="D1186" s="4" t="s">
        <v>1644</v>
      </c>
      <c r="E1186" s="4" t="s">
        <v>1950</v>
      </c>
      <c r="F1186" s="4">
        <v>4</v>
      </c>
      <c r="G1186" s="4">
        <v>640.23</v>
      </c>
      <c r="H1186" s="4">
        <v>0.06</v>
      </c>
      <c r="I1186" s="4" t="s">
        <v>2004</v>
      </c>
      <c r="J1186" s="10">
        <v>2407.2647999999999</v>
      </c>
      <c r="K1186" s="4" t="str">
        <f t="shared" si="126"/>
        <v>22-12-2024</v>
      </c>
      <c r="L1186" s="4" t="str">
        <f>TEXT(Sales_Fact!$B1186,"mmm")</f>
        <v>Dec</v>
      </c>
      <c r="M1186" s="4">
        <f t="shared" si="127"/>
        <v>4</v>
      </c>
      <c r="N1186" s="10">
        <f t="shared" si="128"/>
        <v>640.23</v>
      </c>
      <c r="O1186" s="10">
        <f t="shared" si="129"/>
        <v>2407.2647999999999</v>
      </c>
      <c r="P1186" s="10">
        <f t="shared" si="130"/>
        <v>2560.92</v>
      </c>
      <c r="Q1186" s="3">
        <f t="shared" si="131"/>
        <v>6.000000000000006E-2</v>
      </c>
      <c r="R1186" s="4" t="str">
        <f>IF(Sales_Fact!$O1186&gt;1000,"High","Low")</f>
        <v>High</v>
      </c>
      <c r="S1186" s="4" t="str">
        <f>VLOOKUP(C1186,Customer_Dim!$A:$N,9,FALSE())</f>
        <v>Earl Smith Dds</v>
      </c>
      <c r="T1186" s="4" t="str">
        <f>VLOOKUP(D1186,Product_Dim!$A:$M,3,FALSE())</f>
        <v>Beauty</v>
      </c>
      <c r="U1186" s="11" t="str">
        <f>VLOOKUP(D1186,Product_Dim!$A:$M,2,FALSE())</f>
        <v>Beard Grooming Kit</v>
      </c>
      <c r="V1186" s="11" t="str">
        <f>VLOOKUP(E1186,Store_Dim!$A:$E,3,FALSE())</f>
        <v>South</v>
      </c>
      <c r="W1186" s="11" t="str">
        <f>VLOOKUP(C1186,Customer_Dim!$A:$N,13,FALSE())</f>
        <v>Gold</v>
      </c>
      <c r="X1186" s="11" t="str">
        <f t="shared" si="132"/>
        <v>High</v>
      </c>
    </row>
    <row r="1187" spans="1:24" ht="15.75" customHeight="1">
      <c r="A1187" s="4" t="s">
        <v>3183</v>
      </c>
      <c r="B1187" s="9">
        <v>45836</v>
      </c>
      <c r="C1187" s="4" t="s">
        <v>502</v>
      </c>
      <c r="D1187" s="4" t="s">
        <v>1661</v>
      </c>
      <c r="E1187" s="4" t="s">
        <v>1934</v>
      </c>
      <c r="F1187" s="4">
        <v>1</v>
      </c>
      <c r="G1187" s="4">
        <v>518</v>
      </c>
      <c r="H1187" s="4">
        <v>0.25</v>
      </c>
      <c r="I1187" s="4" t="s">
        <v>1996</v>
      </c>
      <c r="J1187" s="10">
        <v>388.5</v>
      </c>
      <c r="K1187" s="4" t="str">
        <f t="shared" si="126"/>
        <v>28-06-2025</v>
      </c>
      <c r="L1187" s="4" t="str">
        <f>TEXT(Sales_Fact!$B1187,"mmm")</f>
        <v>Jun</v>
      </c>
      <c r="M1187" s="4">
        <f t="shared" si="127"/>
        <v>1</v>
      </c>
      <c r="N1187" s="10">
        <f t="shared" si="128"/>
        <v>518</v>
      </c>
      <c r="O1187" s="10">
        <f t="shared" si="129"/>
        <v>388.5</v>
      </c>
      <c r="P1187" s="10">
        <f t="shared" si="130"/>
        <v>518</v>
      </c>
      <c r="Q1187" s="3">
        <f t="shared" si="131"/>
        <v>0.25</v>
      </c>
      <c r="R1187" s="4" t="str">
        <f>IF(Sales_Fact!$O1187&gt;1000,"High","Low")</f>
        <v>Low</v>
      </c>
      <c r="S1187" s="4" t="str">
        <f>VLOOKUP(C1187,Customer_Dim!$A:$N,9,FALSE())</f>
        <v>Cristian Wright</v>
      </c>
      <c r="T1187" s="4" t="str">
        <f>VLOOKUP(D1187,Product_Dim!$A:$M,3,FALSE())</f>
        <v>Home</v>
      </c>
      <c r="U1187" s="11" t="str">
        <f>VLOOKUP(D1187,Product_Dim!$A:$M,2,FALSE())</f>
        <v>Multi-Purpose Storage Box</v>
      </c>
      <c r="V1187" s="11" t="str">
        <f>VLOOKUP(E1187,Store_Dim!$A:$E,3,FALSE())</f>
        <v>East</v>
      </c>
      <c r="W1187" s="11" t="str">
        <f>VLOOKUP(C1187,Customer_Dim!$A:$N,13,FALSE())</f>
        <v>Bronze</v>
      </c>
      <c r="X1187" s="11" t="str">
        <f t="shared" si="132"/>
        <v>Low</v>
      </c>
    </row>
    <row r="1188" spans="1:24" ht="15.75" customHeight="1">
      <c r="A1188" s="4" t="s">
        <v>3184</v>
      </c>
      <c r="B1188" s="9">
        <v>45437</v>
      </c>
      <c r="C1188" s="4" t="s">
        <v>1372</v>
      </c>
      <c r="D1188" s="4" t="s">
        <v>1797</v>
      </c>
      <c r="E1188" s="4" t="s">
        <v>1927</v>
      </c>
      <c r="F1188" s="4">
        <v>4</v>
      </c>
      <c r="G1188" s="4">
        <v>779.25</v>
      </c>
      <c r="H1188" s="4">
        <v>0.25</v>
      </c>
      <c r="I1188" s="4" t="s">
        <v>1996</v>
      </c>
      <c r="J1188" s="10">
        <v>2337.75</v>
      </c>
      <c r="K1188" s="4" t="str">
        <f t="shared" si="126"/>
        <v>25-05-2024</v>
      </c>
      <c r="L1188" s="4" t="str">
        <f>TEXT(Sales_Fact!$B1188,"mmm")</f>
        <v>May</v>
      </c>
      <c r="M1188" s="4">
        <f t="shared" si="127"/>
        <v>4</v>
      </c>
      <c r="N1188" s="10">
        <f t="shared" si="128"/>
        <v>779.25</v>
      </c>
      <c r="O1188" s="10">
        <f t="shared" si="129"/>
        <v>2337.75</v>
      </c>
      <c r="P1188" s="10">
        <f t="shared" si="130"/>
        <v>3117</v>
      </c>
      <c r="Q1188" s="3">
        <f t="shared" si="131"/>
        <v>0.25</v>
      </c>
      <c r="R1188" s="4" t="str">
        <f>IF(Sales_Fact!$O1188&gt;1000,"High","Low")</f>
        <v>High</v>
      </c>
      <c r="S1188" s="4" t="str">
        <f>VLOOKUP(C1188,Customer_Dim!$A:$N,9,FALSE())</f>
        <v>Thomas Moore</v>
      </c>
      <c r="T1188" s="4" t="str">
        <f>VLOOKUP(D1188,Product_Dim!$A:$M,3,FALSE())</f>
        <v>Beauty</v>
      </c>
      <c r="U1188" s="11" t="str">
        <f>VLOOKUP(D1188,Product_Dim!$A:$M,2,FALSE())</f>
        <v>Matte Lipstick Set</v>
      </c>
      <c r="V1188" s="11" t="str">
        <f>VLOOKUP(E1188,Store_Dim!$A:$E,3,FALSE())</f>
        <v>South</v>
      </c>
      <c r="W1188" s="11" t="str">
        <f>VLOOKUP(C1188,Customer_Dim!$A:$N,13,FALSE())</f>
        <v>Silver</v>
      </c>
      <c r="X1188" s="11" t="str">
        <f t="shared" si="132"/>
        <v>High</v>
      </c>
    </row>
    <row r="1189" spans="1:24" ht="15.75" customHeight="1">
      <c r="A1189" s="4" t="s">
        <v>3185</v>
      </c>
      <c r="B1189" s="9">
        <v>45807</v>
      </c>
      <c r="C1189" s="4" t="s">
        <v>432</v>
      </c>
      <c r="D1189" s="4" t="s">
        <v>1855</v>
      </c>
      <c r="E1189" s="4" t="s">
        <v>1937</v>
      </c>
      <c r="F1189" s="4">
        <v>2</v>
      </c>
      <c r="G1189" s="4">
        <v>467.75</v>
      </c>
      <c r="H1189" s="4">
        <v>0.26</v>
      </c>
      <c r="I1189" s="4" t="s">
        <v>1996</v>
      </c>
      <c r="J1189" s="10">
        <v>692.27</v>
      </c>
      <c r="K1189" s="4" t="str">
        <f t="shared" si="126"/>
        <v>30-05-2025</v>
      </c>
      <c r="L1189" s="4" t="str">
        <f>TEXT(Sales_Fact!$B1189,"mmm")</f>
        <v>May</v>
      </c>
      <c r="M1189" s="4">
        <f t="shared" si="127"/>
        <v>2</v>
      </c>
      <c r="N1189" s="10">
        <f t="shared" si="128"/>
        <v>467.75</v>
      </c>
      <c r="O1189" s="10">
        <f t="shared" si="129"/>
        <v>692.27</v>
      </c>
      <c r="P1189" s="10">
        <f t="shared" si="130"/>
        <v>935.5</v>
      </c>
      <c r="Q1189" s="3">
        <f t="shared" si="131"/>
        <v>0.26</v>
      </c>
      <c r="R1189" s="4" t="str">
        <f>IF(Sales_Fact!$O1189&gt;1000,"High","Low")</f>
        <v>Low</v>
      </c>
      <c r="S1189" s="4" t="str">
        <f>VLOOKUP(C1189,Customer_Dim!$A:$N,9,FALSE())</f>
        <v>Earl Allen</v>
      </c>
      <c r="T1189" s="4" t="str">
        <f>VLOOKUP(D1189,Product_Dim!$A:$M,3,FALSE())</f>
        <v>Beauty</v>
      </c>
      <c r="U1189" s="11" t="str">
        <f>VLOOKUP(D1189,Product_Dim!$A:$M,2,FALSE())</f>
        <v>Hydrating Face Cleanser</v>
      </c>
      <c r="V1189" s="11" t="str">
        <f>VLOOKUP(E1189,Store_Dim!$A:$E,3,FALSE())</f>
        <v>South</v>
      </c>
      <c r="W1189" s="11" t="str">
        <f>VLOOKUP(C1189,Customer_Dim!$A:$N,13,FALSE())</f>
        <v>Platinum</v>
      </c>
      <c r="X1189" s="11" t="str">
        <f t="shared" si="132"/>
        <v>Low</v>
      </c>
    </row>
    <row r="1190" spans="1:24" ht="15.75" customHeight="1">
      <c r="A1190" s="4" t="s">
        <v>3186</v>
      </c>
      <c r="B1190" s="9">
        <v>45555</v>
      </c>
      <c r="C1190" s="4" t="s">
        <v>1292</v>
      </c>
      <c r="D1190" s="4" t="s">
        <v>1876</v>
      </c>
      <c r="E1190" s="4" t="s">
        <v>1968</v>
      </c>
      <c r="F1190" s="4">
        <v>3</v>
      </c>
      <c r="G1190" s="4"/>
      <c r="H1190" s="4">
        <v>0.06</v>
      </c>
      <c r="I1190" s="4" t="s">
        <v>1996</v>
      </c>
      <c r="J1190" s="10">
        <v>315.24779999999998</v>
      </c>
      <c r="K1190" s="4" t="str">
        <f t="shared" si="126"/>
        <v>20-09-2024</v>
      </c>
      <c r="L1190" s="4" t="str">
        <f>TEXT(Sales_Fact!$B1190,"mmm")</f>
        <v>Sep</v>
      </c>
      <c r="M1190" s="4">
        <f t="shared" si="127"/>
        <v>3</v>
      </c>
      <c r="N1190" s="10">
        <f t="shared" si="128"/>
        <v>513.99</v>
      </c>
      <c r="O1190" s="10">
        <f t="shared" si="129"/>
        <v>1449.4518</v>
      </c>
      <c r="P1190" s="10">
        <f t="shared" si="130"/>
        <v>1541.97</v>
      </c>
      <c r="Q1190" s="3">
        <f t="shared" si="131"/>
        <v>5.9999999999999984E-2</v>
      </c>
      <c r="R1190" s="4" t="str">
        <f>IF(Sales_Fact!$O1190&gt;1000,"High","Low")</f>
        <v>High</v>
      </c>
      <c r="S1190" s="4" t="str">
        <f>VLOOKUP(C1190,Customer_Dim!$A:$N,9,FALSE())</f>
        <v>David Lozano</v>
      </c>
      <c r="T1190" s="4" t="str">
        <f>VLOOKUP(D1190,Product_Dim!$A:$M,3,FALSE())</f>
        <v>Electronics</v>
      </c>
      <c r="U1190" s="11" t="str">
        <f>VLOOKUP(D1190,Product_Dim!$A:$M,2,FALSE())</f>
        <v>Gaming Mouse Pad XL</v>
      </c>
      <c r="V1190" s="11" t="str">
        <f>VLOOKUP(E1190,Store_Dim!$A:$E,3,FALSE())</f>
        <v>East</v>
      </c>
      <c r="W1190" s="11" t="str">
        <f>VLOOKUP(C1190,Customer_Dim!$A:$N,13,FALSE())</f>
        <v>Gold</v>
      </c>
      <c r="X1190" s="11" t="str">
        <f t="shared" si="132"/>
        <v>Low</v>
      </c>
    </row>
    <row r="1191" spans="1:24" ht="15.75" customHeight="1">
      <c r="A1191" s="4" t="s">
        <v>3187</v>
      </c>
      <c r="B1191" s="9">
        <v>45803</v>
      </c>
      <c r="C1191" s="4" t="s">
        <v>736</v>
      </c>
      <c r="D1191" s="4" t="s">
        <v>1712</v>
      </c>
      <c r="E1191" s="4" t="s">
        <v>1910</v>
      </c>
      <c r="F1191" s="4">
        <v>4</v>
      </c>
      <c r="G1191" s="4">
        <v>747.01</v>
      </c>
      <c r="H1191" s="4">
        <v>0.13</v>
      </c>
      <c r="I1191" s="4" t="s">
        <v>1998</v>
      </c>
      <c r="J1191" s="10">
        <v>2599.5947999999999</v>
      </c>
      <c r="K1191" s="4" t="str">
        <f t="shared" si="126"/>
        <v>26-05-2025</v>
      </c>
      <c r="L1191" s="4" t="str">
        <f>TEXT(Sales_Fact!$B1191,"mmm")</f>
        <v>May</v>
      </c>
      <c r="M1191" s="4">
        <f t="shared" si="127"/>
        <v>4</v>
      </c>
      <c r="N1191" s="10">
        <f t="shared" si="128"/>
        <v>747.01</v>
      </c>
      <c r="O1191" s="10">
        <f t="shared" si="129"/>
        <v>2599.5947999999999</v>
      </c>
      <c r="P1191" s="10">
        <f t="shared" si="130"/>
        <v>2988.04</v>
      </c>
      <c r="Q1191" s="3">
        <f t="shared" si="131"/>
        <v>0.13000000000000003</v>
      </c>
      <c r="R1191" s="4" t="str">
        <f>IF(Sales_Fact!$O1191&gt;1000,"High","Low")</f>
        <v>High</v>
      </c>
      <c r="S1191" s="4" t="str">
        <f>VLOOKUP(C1191,Customer_Dim!$A:$N,9,FALSE())</f>
        <v>Jordan Wells</v>
      </c>
      <c r="T1191" s="4" t="str">
        <f>VLOOKUP(D1191,Product_Dim!$A:$M,3,FALSE())</f>
        <v>Clothing</v>
      </c>
      <c r="U1191" s="11" t="str">
        <f>VLOOKUP(D1191,Product_Dim!$A:$M,2,FALSE())</f>
        <v>Men's Casual Sneakers</v>
      </c>
      <c r="V1191" s="11" t="str">
        <f>VLOOKUP(E1191,Store_Dim!$A:$E,3,FALSE())</f>
        <v>East</v>
      </c>
      <c r="W1191" s="11" t="str">
        <f>VLOOKUP(C1191,Customer_Dim!$A:$N,13,FALSE())</f>
        <v>Gold</v>
      </c>
      <c r="X1191" s="11" t="str">
        <f t="shared" si="132"/>
        <v>High</v>
      </c>
    </row>
    <row r="1192" spans="1:24" ht="15.75" customHeight="1">
      <c r="A1192" s="4" t="s">
        <v>3188</v>
      </c>
      <c r="B1192" s="9">
        <v>45710</v>
      </c>
      <c r="C1192" s="4" t="s">
        <v>679</v>
      </c>
      <c r="D1192" s="4" t="s">
        <v>1837</v>
      </c>
      <c r="E1192" s="4" t="s">
        <v>1940</v>
      </c>
      <c r="F1192" s="4">
        <v>3</v>
      </c>
      <c r="G1192" s="4">
        <v>815.49</v>
      </c>
      <c r="H1192" s="4">
        <v>0.17</v>
      </c>
      <c r="I1192" s="4" t="s">
        <v>1996</v>
      </c>
      <c r="J1192" s="10">
        <v>2030.5700999999999</v>
      </c>
      <c r="K1192" s="4" t="str">
        <f t="shared" si="126"/>
        <v>22-02-2025</v>
      </c>
      <c r="L1192" s="4" t="str">
        <f>TEXT(Sales_Fact!$B1192,"mmm")</f>
        <v>Feb</v>
      </c>
      <c r="M1192" s="4">
        <f t="shared" si="127"/>
        <v>3</v>
      </c>
      <c r="N1192" s="10">
        <f t="shared" si="128"/>
        <v>815.49</v>
      </c>
      <c r="O1192" s="10">
        <f t="shared" si="129"/>
        <v>2030.5701000000001</v>
      </c>
      <c r="P1192" s="10">
        <f t="shared" si="130"/>
        <v>2446.4700000000003</v>
      </c>
      <c r="Q1192" s="3">
        <f t="shared" si="131"/>
        <v>0.17000000000000004</v>
      </c>
      <c r="R1192" s="4" t="str">
        <f>IF(Sales_Fact!$O1192&gt;1000,"High","Low")</f>
        <v>High</v>
      </c>
      <c r="S1192" s="4" t="str">
        <f>VLOOKUP(C1192,Customer_Dim!$A:$N,9,FALSE())</f>
        <v>Anna Perez</v>
      </c>
      <c r="T1192" s="4" t="str">
        <f>VLOOKUP(D1192,Product_Dim!$A:$M,3,FALSE())</f>
        <v>Electronics</v>
      </c>
      <c r="U1192" s="11" t="str">
        <f>VLOOKUP(D1192,Product_Dim!$A:$M,2,FALSE())</f>
        <v>WiFi Mesh Router</v>
      </c>
      <c r="V1192" s="11" t="str">
        <f>VLOOKUP(E1192,Store_Dim!$A:$E,3,FALSE())</f>
        <v>West</v>
      </c>
      <c r="W1192" s="11" t="str">
        <f>VLOOKUP(C1192,Customer_Dim!$A:$N,13,FALSE())</f>
        <v>Platinum</v>
      </c>
      <c r="X1192" s="11" t="str">
        <f t="shared" si="132"/>
        <v>Low</v>
      </c>
    </row>
    <row r="1193" spans="1:24" ht="15.75" customHeight="1">
      <c r="A1193" s="4" t="s">
        <v>3189</v>
      </c>
      <c r="B1193" s="9">
        <v>45735</v>
      </c>
      <c r="C1193" s="4" t="s">
        <v>381</v>
      </c>
      <c r="D1193" s="4" t="s">
        <v>1873</v>
      </c>
      <c r="E1193" s="4" t="s">
        <v>1952</v>
      </c>
      <c r="F1193" s="4">
        <v>4</v>
      </c>
      <c r="G1193" s="4">
        <v>461.83</v>
      </c>
      <c r="H1193" s="4">
        <v>0.28000000000000003</v>
      </c>
      <c r="I1193" s="4" t="s">
        <v>1998</v>
      </c>
      <c r="J1193" s="10">
        <v>1330.0704000000001</v>
      </c>
      <c r="K1193" s="4" t="str">
        <f t="shared" si="126"/>
        <v>19-03-2025</v>
      </c>
      <c r="L1193" s="4" t="str">
        <f>TEXT(Sales_Fact!$B1193,"mmm")</f>
        <v>Mar</v>
      </c>
      <c r="M1193" s="4">
        <f t="shared" si="127"/>
        <v>4</v>
      </c>
      <c r="N1193" s="10">
        <f t="shared" si="128"/>
        <v>461.83</v>
      </c>
      <c r="O1193" s="10">
        <f t="shared" si="129"/>
        <v>1330.0703999999998</v>
      </c>
      <c r="P1193" s="10">
        <f t="shared" si="130"/>
        <v>1847.32</v>
      </c>
      <c r="Q1193" s="3">
        <f t="shared" si="131"/>
        <v>0.28000000000000008</v>
      </c>
      <c r="R1193" s="4" t="str">
        <f>IF(Sales_Fact!$O1193&gt;1000,"High","Low")</f>
        <v>High</v>
      </c>
      <c r="S1193" s="4" t="str">
        <f>VLOOKUP(C1193,Customer_Dim!$A:$N,9,FALSE())</f>
        <v>Colleen Maynard</v>
      </c>
      <c r="T1193" s="4" t="str">
        <f>VLOOKUP(D1193,Product_Dim!$A:$M,3,FALSE())</f>
        <v>Beauty</v>
      </c>
      <c r="U1193" s="11" t="str">
        <f>VLOOKUP(D1193,Product_Dim!$A:$M,2,FALSE())</f>
        <v>Face Foundation Kit</v>
      </c>
      <c r="V1193" s="11" t="str">
        <f>VLOOKUP(E1193,Store_Dim!$A:$E,3,FALSE())</f>
        <v>North</v>
      </c>
      <c r="W1193" s="11" t="str">
        <f>VLOOKUP(C1193,Customer_Dim!$A:$N,13,FALSE())</f>
        <v>Gold</v>
      </c>
      <c r="X1193" s="11" t="str">
        <f t="shared" si="132"/>
        <v>High</v>
      </c>
    </row>
    <row r="1194" spans="1:24" ht="15.75" customHeight="1">
      <c r="A1194" s="4" t="s">
        <v>3190</v>
      </c>
      <c r="B1194" s="9">
        <v>45750</v>
      </c>
      <c r="C1194" s="4" t="s">
        <v>482</v>
      </c>
      <c r="D1194" s="4" t="s">
        <v>1816</v>
      </c>
      <c r="E1194" s="4" t="s">
        <v>1940</v>
      </c>
      <c r="F1194" s="4">
        <v>2</v>
      </c>
      <c r="G1194" s="4">
        <v>105.15</v>
      </c>
      <c r="H1194" s="4">
        <v>0.06</v>
      </c>
      <c r="I1194" s="4" t="s">
        <v>1996</v>
      </c>
      <c r="J1194" s="10">
        <v>197.68199999999999</v>
      </c>
      <c r="K1194" s="4" t="str">
        <f t="shared" si="126"/>
        <v>03-04-2025</v>
      </c>
      <c r="L1194" s="4" t="str">
        <f>TEXT(Sales_Fact!$B1194,"mmm")</f>
        <v>Apr</v>
      </c>
      <c r="M1194" s="4">
        <f t="shared" si="127"/>
        <v>2</v>
      </c>
      <c r="N1194" s="10">
        <f t="shared" si="128"/>
        <v>105.15</v>
      </c>
      <c r="O1194" s="10">
        <f t="shared" si="129"/>
        <v>197.68199999999999</v>
      </c>
      <c r="P1194" s="10">
        <f t="shared" si="130"/>
        <v>210.3</v>
      </c>
      <c r="Q1194" s="3">
        <f t="shared" si="131"/>
        <v>6.0000000000000109E-2</v>
      </c>
      <c r="R1194" s="4" t="str">
        <f>IF(Sales_Fact!$O1194&gt;1000,"High","Low")</f>
        <v>Low</v>
      </c>
      <c r="S1194" s="4" t="str">
        <f>VLOOKUP(C1194,Customer_Dim!$A:$N,9,FALSE())</f>
        <v>Morgan Bowen</v>
      </c>
      <c r="T1194" s="4" t="str">
        <f>VLOOKUP(D1194,Product_Dim!$A:$M,3,FALSE())</f>
        <v>Home</v>
      </c>
      <c r="U1194" s="11" t="str">
        <f>VLOOKUP(D1194,Product_Dim!$A:$M,2,FALSE())</f>
        <v>Kitchen Storage Rack</v>
      </c>
      <c r="V1194" s="11" t="str">
        <f>VLOOKUP(E1194,Store_Dim!$A:$E,3,FALSE())</f>
        <v>West</v>
      </c>
      <c r="W1194" s="11" t="str">
        <f>VLOOKUP(C1194,Customer_Dim!$A:$N,13,FALSE())</f>
        <v>Gold</v>
      </c>
      <c r="X1194" s="11" t="str">
        <f t="shared" si="132"/>
        <v>Low</v>
      </c>
    </row>
    <row r="1195" spans="1:24" ht="15.75" customHeight="1">
      <c r="A1195" s="4" t="s">
        <v>3191</v>
      </c>
      <c r="B1195" s="9">
        <v>45693</v>
      </c>
      <c r="C1195" s="4" t="s">
        <v>155</v>
      </c>
      <c r="D1195" s="4" t="s">
        <v>1668</v>
      </c>
      <c r="E1195" s="4" t="s">
        <v>1924</v>
      </c>
      <c r="F1195" s="4">
        <v>3</v>
      </c>
      <c r="G1195" s="4">
        <v>610.24</v>
      </c>
      <c r="H1195" s="4">
        <v>0.17</v>
      </c>
      <c r="I1195" s="4" t="s">
        <v>2004</v>
      </c>
      <c r="J1195" s="10">
        <v>1519.4975999999999</v>
      </c>
      <c r="K1195" s="4" t="str">
        <f t="shared" si="126"/>
        <v>05-02-2025</v>
      </c>
      <c r="L1195" s="4" t="str">
        <f>TEXT(Sales_Fact!$B1195,"mmm")</f>
        <v>Feb</v>
      </c>
      <c r="M1195" s="4">
        <f t="shared" si="127"/>
        <v>3</v>
      </c>
      <c r="N1195" s="10">
        <f t="shared" si="128"/>
        <v>610.24</v>
      </c>
      <c r="O1195" s="10">
        <f t="shared" si="129"/>
        <v>1519.4975999999999</v>
      </c>
      <c r="P1195" s="10">
        <f t="shared" si="130"/>
        <v>1830.72</v>
      </c>
      <c r="Q1195" s="3">
        <f t="shared" si="131"/>
        <v>0.17000000000000007</v>
      </c>
      <c r="R1195" s="4" t="str">
        <f>IF(Sales_Fact!$O1195&gt;1000,"High","Low")</f>
        <v>High</v>
      </c>
      <c r="S1195" s="4" t="str">
        <f>VLOOKUP(C1195,Customer_Dim!$A:$N,9,FALSE())</f>
        <v>Robert Jones Dds</v>
      </c>
      <c r="T1195" s="4" t="str">
        <f>VLOOKUP(D1195,Product_Dim!$A:$M,3,FALSE())</f>
        <v>Clothing</v>
      </c>
      <c r="U1195" s="11" t="str">
        <f>VLOOKUP(D1195,Product_Dim!$A:$M,2,FALSE())</f>
        <v>Men's Formal Shirt</v>
      </c>
      <c r="V1195" s="11" t="str">
        <f>VLOOKUP(E1195,Store_Dim!$A:$E,3,FALSE())</f>
        <v>North</v>
      </c>
      <c r="W1195" s="11" t="str">
        <f>VLOOKUP(C1195,Customer_Dim!$A:$N,13,FALSE())</f>
        <v>Platinum</v>
      </c>
      <c r="X1195" s="11" t="str">
        <f t="shared" si="132"/>
        <v>Low</v>
      </c>
    </row>
    <row r="1196" spans="1:24" ht="15.75" customHeight="1">
      <c r="A1196" s="4" t="s">
        <v>3192</v>
      </c>
      <c r="B1196" s="9">
        <v>45667</v>
      </c>
      <c r="C1196" s="4" t="s">
        <v>1012</v>
      </c>
      <c r="D1196" s="4" t="s">
        <v>1828</v>
      </c>
      <c r="E1196" s="4" t="s">
        <v>1940</v>
      </c>
      <c r="F1196" s="4">
        <v>1</v>
      </c>
      <c r="G1196" s="4">
        <v>872.12</v>
      </c>
      <c r="H1196" s="4">
        <v>7.0000000000000007E-2</v>
      </c>
      <c r="I1196" s="4" t="s">
        <v>1998</v>
      </c>
      <c r="J1196" s="10">
        <v>811.07159999999999</v>
      </c>
      <c r="K1196" s="4" t="str">
        <f t="shared" si="126"/>
        <v>10-01-2025</v>
      </c>
      <c r="L1196" s="4" t="str">
        <f>TEXT(Sales_Fact!$B1196,"mmm")</f>
        <v>Jan</v>
      </c>
      <c r="M1196" s="4">
        <f t="shared" si="127"/>
        <v>1</v>
      </c>
      <c r="N1196" s="10">
        <f t="shared" si="128"/>
        <v>872.12</v>
      </c>
      <c r="O1196" s="10">
        <f t="shared" si="129"/>
        <v>811.07159999999999</v>
      </c>
      <c r="P1196" s="10">
        <f t="shared" si="130"/>
        <v>872.12</v>
      </c>
      <c r="Q1196" s="3">
        <f t="shared" si="131"/>
        <v>7.0000000000000021E-2</v>
      </c>
      <c r="R1196" s="4" t="str">
        <f>IF(Sales_Fact!$O1196&gt;1000,"High","Low")</f>
        <v>Low</v>
      </c>
      <c r="S1196" s="4" t="str">
        <f>VLOOKUP(C1196,Customer_Dim!$A:$N,9,FALSE())</f>
        <v>Jason Mullins</v>
      </c>
      <c r="T1196" s="4" t="str">
        <f>VLOOKUP(D1196,Product_Dim!$A:$M,3,FALSE())</f>
        <v>Electronics</v>
      </c>
      <c r="U1196" s="11" t="str">
        <f>VLOOKUP(D1196,Product_Dim!$A:$M,2,FALSE())</f>
        <v>Bluetooth Car Audio System</v>
      </c>
      <c r="V1196" s="11" t="str">
        <f>VLOOKUP(E1196,Store_Dim!$A:$E,3,FALSE())</f>
        <v>West</v>
      </c>
      <c r="W1196" s="11" t="str">
        <f>VLOOKUP(C1196,Customer_Dim!$A:$N,13,FALSE())</f>
        <v>Silver</v>
      </c>
      <c r="X1196" s="11" t="str">
        <f t="shared" si="132"/>
        <v>Low</v>
      </c>
    </row>
    <row r="1197" spans="1:24" ht="15.75" customHeight="1">
      <c r="A1197" s="4" t="s">
        <v>3193</v>
      </c>
      <c r="B1197" s="9">
        <v>45316</v>
      </c>
      <c r="C1197" s="4" t="s">
        <v>1372</v>
      </c>
      <c r="D1197" s="4" t="s">
        <v>1622</v>
      </c>
      <c r="E1197" s="4" t="s">
        <v>1915</v>
      </c>
      <c r="F1197" s="4">
        <v>1</v>
      </c>
      <c r="G1197" s="4">
        <v>406.79</v>
      </c>
      <c r="H1197" s="4">
        <v>0.03</v>
      </c>
      <c r="I1197" s="4" t="s">
        <v>2004</v>
      </c>
      <c r="J1197" s="10">
        <v>394.58629999999999</v>
      </c>
      <c r="K1197" s="4" t="str">
        <f t="shared" si="126"/>
        <v>25-01-2024</v>
      </c>
      <c r="L1197" s="4" t="str">
        <f>TEXT(Sales_Fact!$B1197,"mmm")</f>
        <v>Jan</v>
      </c>
      <c r="M1197" s="4">
        <f t="shared" si="127"/>
        <v>1</v>
      </c>
      <c r="N1197" s="10">
        <f t="shared" si="128"/>
        <v>406.79</v>
      </c>
      <c r="O1197" s="10">
        <f t="shared" si="129"/>
        <v>394.58629999999999</v>
      </c>
      <c r="P1197" s="10">
        <f t="shared" si="130"/>
        <v>406.79</v>
      </c>
      <c r="Q1197" s="3">
        <f t="shared" si="131"/>
        <v>3.0000000000000061E-2</v>
      </c>
      <c r="R1197" s="4" t="str">
        <f>IF(Sales_Fact!$O1197&gt;1000,"High","Low")</f>
        <v>Low</v>
      </c>
      <c r="S1197" s="4" t="str">
        <f>VLOOKUP(C1197,Customer_Dim!$A:$N,9,FALSE())</f>
        <v>Thomas Moore</v>
      </c>
      <c r="T1197" s="4" t="str">
        <f>VLOOKUP(D1197,Product_Dim!$A:$M,3,FALSE())</f>
        <v>Home</v>
      </c>
      <c r="U1197" s="11" t="str">
        <f>VLOOKUP(D1197,Product_Dim!$A:$M,2,FALSE())</f>
        <v>Ceramic Kitchen Bowl Set</v>
      </c>
      <c r="V1197" s="11" t="str">
        <f>VLOOKUP(E1197,Store_Dim!$A:$E,3,FALSE())</f>
        <v>North</v>
      </c>
      <c r="W1197" s="11" t="str">
        <f>VLOOKUP(C1197,Customer_Dim!$A:$N,13,FALSE())</f>
        <v>Silver</v>
      </c>
      <c r="X1197" s="11" t="str">
        <f t="shared" si="132"/>
        <v>Low</v>
      </c>
    </row>
    <row r="1198" spans="1:24" ht="15.75" customHeight="1">
      <c r="A1198" s="4" t="s">
        <v>3194</v>
      </c>
      <c r="B1198" s="9">
        <v>45932</v>
      </c>
      <c r="C1198" s="4" t="s">
        <v>1192</v>
      </c>
      <c r="D1198" s="4" t="s">
        <v>1767</v>
      </c>
      <c r="E1198" s="4" t="s">
        <v>1957</v>
      </c>
      <c r="F1198" s="4">
        <v>1</v>
      </c>
      <c r="G1198" s="4">
        <v>606.01</v>
      </c>
      <c r="H1198" s="4">
        <v>0.04</v>
      </c>
      <c r="I1198" s="4" t="s">
        <v>1998</v>
      </c>
      <c r="J1198" s="10">
        <v>581.76959999999997</v>
      </c>
      <c r="K1198" s="4" t="str">
        <f t="shared" si="126"/>
        <v>02-10-2025</v>
      </c>
      <c r="L1198" s="4" t="str">
        <f>TEXT(Sales_Fact!$B1198,"mmm")</f>
        <v>Oct</v>
      </c>
      <c r="M1198" s="4">
        <f t="shared" si="127"/>
        <v>1</v>
      </c>
      <c r="N1198" s="10">
        <f t="shared" si="128"/>
        <v>606.01</v>
      </c>
      <c r="O1198" s="10">
        <f t="shared" si="129"/>
        <v>581.76959999999997</v>
      </c>
      <c r="P1198" s="10">
        <f t="shared" si="130"/>
        <v>606.01</v>
      </c>
      <c r="Q1198" s="3">
        <f t="shared" si="131"/>
        <v>4.0000000000000036E-2</v>
      </c>
      <c r="R1198" s="4" t="str">
        <f>IF(Sales_Fact!$O1198&gt;1000,"High","Low")</f>
        <v>Low</v>
      </c>
      <c r="S1198" s="4" t="str">
        <f>VLOOKUP(C1198,Customer_Dim!$A:$N,9,FALSE())</f>
        <v>Jacqueline Anthony</v>
      </c>
      <c r="T1198" s="4" t="str">
        <f>VLOOKUP(D1198,Product_Dim!$A:$M,3,FALSE())</f>
        <v>Sports</v>
      </c>
      <c r="U1198" s="11" t="str">
        <f>VLOOKUP(D1198,Product_Dim!$A:$M,2,FALSE())</f>
        <v>Sports Stopwatch Pro</v>
      </c>
      <c r="V1198" s="11" t="str">
        <f>VLOOKUP(E1198,Store_Dim!$A:$E,3,FALSE())</f>
        <v>South</v>
      </c>
      <c r="W1198" s="11" t="str">
        <f>VLOOKUP(C1198,Customer_Dim!$A:$N,13,FALSE())</f>
        <v>Bronze</v>
      </c>
      <c r="X1198" s="11" t="str">
        <f t="shared" si="132"/>
        <v>Low</v>
      </c>
    </row>
    <row r="1199" spans="1:24" ht="15.75" customHeight="1">
      <c r="A1199" s="4" t="s">
        <v>3195</v>
      </c>
      <c r="B1199" s="9">
        <v>45483</v>
      </c>
      <c r="C1199" s="4" t="s">
        <v>1123</v>
      </c>
      <c r="D1199" s="4" t="s">
        <v>1648</v>
      </c>
      <c r="E1199" s="4" t="s">
        <v>1931</v>
      </c>
      <c r="F1199" s="4">
        <v>4</v>
      </c>
      <c r="G1199" s="4">
        <v>322.58</v>
      </c>
      <c r="H1199" s="4">
        <v>0.06</v>
      </c>
      <c r="I1199" s="4" t="s">
        <v>1996</v>
      </c>
      <c r="J1199" s="10">
        <v>1212.9007999999999</v>
      </c>
      <c r="K1199" s="4" t="str">
        <f t="shared" si="126"/>
        <v>10-07-2024</v>
      </c>
      <c r="L1199" s="4" t="str">
        <f>TEXT(Sales_Fact!$B1199,"mmm")</f>
        <v>Jul</v>
      </c>
      <c r="M1199" s="4">
        <f t="shared" si="127"/>
        <v>4</v>
      </c>
      <c r="N1199" s="10">
        <f t="shared" si="128"/>
        <v>322.58</v>
      </c>
      <c r="O1199" s="10">
        <f t="shared" si="129"/>
        <v>1212.9007999999999</v>
      </c>
      <c r="P1199" s="10">
        <f t="shared" si="130"/>
        <v>1290.32</v>
      </c>
      <c r="Q1199" s="3">
        <f t="shared" si="131"/>
        <v>6.0000000000000039E-2</v>
      </c>
      <c r="R1199" s="4" t="str">
        <f>IF(Sales_Fact!$O1199&gt;1000,"High","Low")</f>
        <v>High</v>
      </c>
      <c r="S1199" s="4" t="str">
        <f>VLOOKUP(C1199,Customer_Dim!$A:$N,9,FALSE())</f>
        <v>Heather Valenzuela</v>
      </c>
      <c r="T1199" s="4" t="str">
        <f>VLOOKUP(D1199,Product_Dim!$A:$M,3,FALSE())</f>
        <v>Sports</v>
      </c>
      <c r="U1199" s="11" t="str">
        <f>VLOOKUP(D1199,Product_Dim!$A:$M,2,FALSE())</f>
        <v>Soccer Training Cone Set</v>
      </c>
      <c r="V1199" s="11" t="str">
        <f>VLOOKUP(E1199,Store_Dim!$A:$E,3,FALSE())</f>
        <v>North</v>
      </c>
      <c r="W1199" s="11" t="str">
        <f>VLOOKUP(C1199,Customer_Dim!$A:$N,13,FALSE())</f>
        <v>Bronze</v>
      </c>
      <c r="X1199" s="11" t="str">
        <f t="shared" si="132"/>
        <v>High</v>
      </c>
    </row>
    <row r="1200" spans="1:24" ht="15.75" customHeight="1">
      <c r="A1200" s="4" t="s">
        <v>3196</v>
      </c>
      <c r="B1200" s="9">
        <v>45661</v>
      </c>
      <c r="C1200" s="4" t="s">
        <v>1518</v>
      </c>
      <c r="D1200" s="4" t="s">
        <v>1837</v>
      </c>
      <c r="E1200" s="4" t="s">
        <v>1968</v>
      </c>
      <c r="F1200" s="4">
        <v>4</v>
      </c>
      <c r="G1200" s="4">
        <v>463.17</v>
      </c>
      <c r="H1200" s="4">
        <v>0.06</v>
      </c>
      <c r="I1200" s="4" t="s">
        <v>1998</v>
      </c>
      <c r="J1200" s="10">
        <v>1741.5192</v>
      </c>
      <c r="K1200" s="4" t="str">
        <f t="shared" si="126"/>
        <v>04-01-2025</v>
      </c>
      <c r="L1200" s="4" t="str">
        <f>TEXT(Sales_Fact!$B1200,"mmm")</f>
        <v>Jan</v>
      </c>
      <c r="M1200" s="4">
        <f t="shared" si="127"/>
        <v>4</v>
      </c>
      <c r="N1200" s="10">
        <f t="shared" si="128"/>
        <v>463.17</v>
      </c>
      <c r="O1200" s="10">
        <f t="shared" si="129"/>
        <v>1741.5192</v>
      </c>
      <c r="P1200" s="10">
        <f t="shared" si="130"/>
        <v>1852.68</v>
      </c>
      <c r="Q1200" s="3">
        <f t="shared" si="131"/>
        <v>6.0000000000000053E-2</v>
      </c>
      <c r="R1200" s="4" t="str">
        <f>IF(Sales_Fact!$O1200&gt;1000,"High","Low")</f>
        <v>High</v>
      </c>
      <c r="S1200" s="4" t="str">
        <f>VLOOKUP(C1200,Customer_Dim!$A:$N,9,FALSE())</f>
        <v>Jessica Castro</v>
      </c>
      <c r="T1200" s="4" t="str">
        <f>VLOOKUP(D1200,Product_Dim!$A:$M,3,FALSE())</f>
        <v>Electronics</v>
      </c>
      <c r="U1200" s="11" t="str">
        <f>VLOOKUP(D1200,Product_Dim!$A:$M,2,FALSE())</f>
        <v>WiFi Mesh Router</v>
      </c>
      <c r="V1200" s="11" t="str">
        <f>VLOOKUP(E1200,Store_Dim!$A:$E,3,FALSE())</f>
        <v>East</v>
      </c>
      <c r="W1200" s="11" t="str">
        <f>VLOOKUP(C1200,Customer_Dim!$A:$N,13,FALSE())</f>
        <v>Bronze</v>
      </c>
      <c r="X1200" s="11" t="str">
        <f t="shared" si="132"/>
        <v>High</v>
      </c>
    </row>
    <row r="1201" spans="1:24" ht="15.75" customHeight="1">
      <c r="A1201" s="4" t="s">
        <v>3197</v>
      </c>
      <c r="B1201" s="9">
        <v>45798</v>
      </c>
      <c r="C1201" s="4" t="s">
        <v>1024</v>
      </c>
      <c r="D1201" s="4" t="s">
        <v>1675</v>
      </c>
      <c r="E1201" s="4" t="s">
        <v>1937</v>
      </c>
      <c r="F1201" s="4">
        <v>4</v>
      </c>
      <c r="G1201" s="4">
        <v>285.82</v>
      </c>
      <c r="H1201" s="4">
        <v>0.18</v>
      </c>
      <c r="I1201" s="4" t="s">
        <v>1998</v>
      </c>
      <c r="J1201" s="10">
        <v>937.4896</v>
      </c>
      <c r="K1201" s="4" t="str">
        <f t="shared" si="126"/>
        <v>21-05-2025</v>
      </c>
      <c r="L1201" s="4" t="str">
        <f>TEXT(Sales_Fact!$B1201,"mmm")</f>
        <v>May</v>
      </c>
      <c r="M1201" s="4">
        <f t="shared" si="127"/>
        <v>4</v>
      </c>
      <c r="N1201" s="10">
        <f t="shared" si="128"/>
        <v>285.82</v>
      </c>
      <c r="O1201" s="10">
        <f t="shared" si="129"/>
        <v>937.4896</v>
      </c>
      <c r="P1201" s="10">
        <f t="shared" si="130"/>
        <v>1143.28</v>
      </c>
      <c r="Q1201" s="3">
        <f t="shared" si="131"/>
        <v>0.18</v>
      </c>
      <c r="R1201" s="4" t="str">
        <f>IF(Sales_Fact!$O1201&gt;1000,"High","Low")</f>
        <v>Low</v>
      </c>
      <c r="S1201" s="4" t="str">
        <f>VLOOKUP(C1201,Customer_Dim!$A:$N,9,FALSE())</f>
        <v>Robert House</v>
      </c>
      <c r="T1201" s="4" t="str">
        <f>VLOOKUP(D1201,Product_Dim!$A:$M,3,FALSE())</f>
        <v>Clothing</v>
      </c>
      <c r="U1201" s="11" t="str">
        <f>VLOOKUP(D1201,Product_Dim!$A:$M,2,FALSE())</f>
        <v>Women's Scarf Set</v>
      </c>
      <c r="V1201" s="11" t="str">
        <f>VLOOKUP(E1201,Store_Dim!$A:$E,3,FALSE())</f>
        <v>South</v>
      </c>
      <c r="W1201" s="11" t="str">
        <f>VLOOKUP(C1201,Customer_Dim!$A:$N,13,FALSE())</f>
        <v>Gold</v>
      </c>
      <c r="X1201" s="11" t="str">
        <f t="shared" si="132"/>
        <v>High</v>
      </c>
    </row>
    <row r="1202" spans="1:24" ht="15.75" customHeight="1">
      <c r="A1202" s="4" t="s">
        <v>3198</v>
      </c>
      <c r="B1202" s="9">
        <v>45868</v>
      </c>
      <c r="C1202" s="4" t="s">
        <v>1054</v>
      </c>
      <c r="D1202" s="4" t="s">
        <v>1712</v>
      </c>
      <c r="E1202" s="4" t="s">
        <v>1950</v>
      </c>
      <c r="F1202" s="4">
        <v>3</v>
      </c>
      <c r="G1202" s="4">
        <v>995.38</v>
      </c>
      <c r="H1202" s="4">
        <v>0.1</v>
      </c>
      <c r="I1202" s="4" t="s">
        <v>1998</v>
      </c>
      <c r="J1202" s="10">
        <v>2687.5259999999998</v>
      </c>
      <c r="K1202" s="4" t="str">
        <f t="shared" si="126"/>
        <v>30-07-2025</v>
      </c>
      <c r="L1202" s="4" t="str">
        <f>TEXT(Sales_Fact!$B1202,"mmm")</f>
        <v>Jul</v>
      </c>
      <c r="M1202" s="4">
        <f t="shared" si="127"/>
        <v>3</v>
      </c>
      <c r="N1202" s="10">
        <f t="shared" si="128"/>
        <v>995.38</v>
      </c>
      <c r="O1202" s="10">
        <f t="shared" si="129"/>
        <v>2687.5259999999998</v>
      </c>
      <c r="P1202" s="10">
        <f t="shared" si="130"/>
        <v>2986.14</v>
      </c>
      <c r="Q1202" s="3">
        <f t="shared" si="131"/>
        <v>0.10000000000000002</v>
      </c>
      <c r="R1202" s="4" t="str">
        <f>IF(Sales_Fact!$O1202&gt;1000,"High","Low")</f>
        <v>High</v>
      </c>
      <c r="S1202" s="4" t="str">
        <f>VLOOKUP(C1202,Customer_Dim!$A:$N,9,FALSE())</f>
        <v>Robert King</v>
      </c>
      <c r="T1202" s="4" t="str">
        <f>VLOOKUP(D1202,Product_Dim!$A:$M,3,FALSE())</f>
        <v>Clothing</v>
      </c>
      <c r="U1202" s="11" t="str">
        <f>VLOOKUP(D1202,Product_Dim!$A:$M,2,FALSE())</f>
        <v>Men's Casual Sneakers</v>
      </c>
      <c r="V1202" s="11" t="str">
        <f>VLOOKUP(E1202,Store_Dim!$A:$E,3,FALSE())</f>
        <v>South</v>
      </c>
      <c r="W1202" s="11" t="str">
        <f>VLOOKUP(C1202,Customer_Dim!$A:$N,13,FALSE())</f>
        <v>Gold</v>
      </c>
      <c r="X1202" s="11" t="str">
        <f t="shared" si="132"/>
        <v>Low</v>
      </c>
    </row>
    <row r="1203" spans="1:24" ht="15.75" customHeight="1">
      <c r="A1203" s="4" t="s">
        <v>3199</v>
      </c>
      <c r="B1203" s="9">
        <v>45923</v>
      </c>
      <c r="C1203" s="4" t="s">
        <v>523</v>
      </c>
      <c r="D1203" s="4" t="s">
        <v>1633</v>
      </c>
      <c r="E1203" s="4" t="s">
        <v>1919</v>
      </c>
      <c r="F1203" s="4">
        <v>2</v>
      </c>
      <c r="G1203" s="4">
        <v>74.209999999999994</v>
      </c>
      <c r="H1203" s="4">
        <v>0.11</v>
      </c>
      <c r="I1203" s="4" t="s">
        <v>1998</v>
      </c>
      <c r="J1203" s="10">
        <v>132.09379999999999</v>
      </c>
      <c r="K1203" s="4" t="str">
        <f t="shared" si="126"/>
        <v>23-09-2025</v>
      </c>
      <c r="L1203" s="4" t="str">
        <f>TEXT(Sales_Fact!$B1203,"mmm")</f>
        <v>Sep</v>
      </c>
      <c r="M1203" s="4">
        <f t="shared" si="127"/>
        <v>2</v>
      </c>
      <c r="N1203" s="10">
        <f t="shared" si="128"/>
        <v>74.209999999999994</v>
      </c>
      <c r="O1203" s="10">
        <f t="shared" si="129"/>
        <v>132.09379999999999</v>
      </c>
      <c r="P1203" s="10">
        <f t="shared" si="130"/>
        <v>148.41999999999999</v>
      </c>
      <c r="Q1203" s="3">
        <f t="shared" si="131"/>
        <v>0.11000000000000001</v>
      </c>
      <c r="R1203" s="4" t="str">
        <f>IF(Sales_Fact!$O1203&gt;1000,"High","Low")</f>
        <v>Low</v>
      </c>
      <c r="S1203" s="4" t="str">
        <f>VLOOKUP(C1203,Customer_Dim!$A:$N,9,FALSE())</f>
        <v>Theresa Campbell</v>
      </c>
      <c r="T1203" s="4" t="str">
        <f>VLOOKUP(D1203,Product_Dim!$A:$M,3,FALSE())</f>
        <v>Electronics</v>
      </c>
      <c r="U1203" s="11" t="str">
        <f>VLOOKUP(D1203,Product_Dim!$A:$M,2,FALSE())</f>
        <v>USB-C Fast Charger</v>
      </c>
      <c r="V1203" s="11" t="str">
        <f>VLOOKUP(E1203,Store_Dim!$A:$E,3,FALSE())</f>
        <v>South</v>
      </c>
      <c r="W1203" s="11" t="str">
        <f>VLOOKUP(C1203,Customer_Dim!$A:$N,13,FALSE())</f>
        <v>Bronze</v>
      </c>
      <c r="X1203" s="11" t="str">
        <f t="shared" si="132"/>
        <v>Low</v>
      </c>
    </row>
    <row r="1204" spans="1:24" ht="15.75" customHeight="1">
      <c r="A1204" s="4" t="s">
        <v>3200</v>
      </c>
      <c r="B1204" s="9">
        <v>45757</v>
      </c>
      <c r="C1204" s="4" t="s">
        <v>435</v>
      </c>
      <c r="D1204" s="4" t="s">
        <v>1791</v>
      </c>
      <c r="E1204" s="4" t="s">
        <v>1940</v>
      </c>
      <c r="F1204" s="4">
        <v>1</v>
      </c>
      <c r="G1204" s="4">
        <v>329.31</v>
      </c>
      <c r="H1204" s="4">
        <v>0.09</v>
      </c>
      <c r="I1204" s="4" t="s">
        <v>1996</v>
      </c>
      <c r="J1204" s="10">
        <v>299.6721</v>
      </c>
      <c r="K1204" s="4" t="str">
        <f t="shared" si="126"/>
        <v>10-04-2025</v>
      </c>
      <c r="L1204" s="4" t="str">
        <f>TEXT(Sales_Fact!$B1204,"mmm")</f>
        <v>Apr</v>
      </c>
      <c r="M1204" s="4">
        <f t="shared" si="127"/>
        <v>1</v>
      </c>
      <c r="N1204" s="10">
        <f t="shared" si="128"/>
        <v>329.31</v>
      </c>
      <c r="O1204" s="10">
        <f t="shared" si="129"/>
        <v>299.6721</v>
      </c>
      <c r="P1204" s="10">
        <f t="shared" si="130"/>
        <v>329.31</v>
      </c>
      <c r="Q1204" s="3">
        <f t="shared" si="131"/>
        <v>9.0000000000000011E-2</v>
      </c>
      <c r="R1204" s="4" t="str">
        <f>IF(Sales_Fact!$O1204&gt;1000,"High","Low")</f>
        <v>Low</v>
      </c>
      <c r="S1204" s="4" t="str">
        <f>VLOOKUP(C1204,Customer_Dim!$A:$N,9,FALSE())</f>
        <v>Michael Jones</v>
      </c>
      <c r="T1204" s="4" t="str">
        <f>VLOOKUP(D1204,Product_Dim!$A:$M,3,FALSE())</f>
        <v>Electronics</v>
      </c>
      <c r="U1204" s="11" t="str">
        <f>VLOOKUP(D1204,Product_Dim!$A:$M,2,FALSE())</f>
        <v>Laptop Cooling Pad</v>
      </c>
      <c r="V1204" s="11" t="str">
        <f>VLOOKUP(E1204,Store_Dim!$A:$E,3,FALSE())</f>
        <v>West</v>
      </c>
      <c r="W1204" s="11" t="str">
        <f>VLOOKUP(C1204,Customer_Dim!$A:$N,13,FALSE())</f>
        <v>Bronze</v>
      </c>
      <c r="X1204" s="11" t="str">
        <f t="shared" si="132"/>
        <v>Low</v>
      </c>
    </row>
    <row r="1205" spans="1:24" ht="15.75" customHeight="1">
      <c r="A1205" s="4" t="s">
        <v>3201</v>
      </c>
      <c r="B1205" s="9">
        <v>45475</v>
      </c>
      <c r="C1205" s="4" t="s">
        <v>1536</v>
      </c>
      <c r="D1205" s="4" t="s">
        <v>1744</v>
      </c>
      <c r="E1205" s="4" t="s">
        <v>1962</v>
      </c>
      <c r="F1205" s="4">
        <v>3</v>
      </c>
      <c r="G1205" s="4">
        <v>64.2</v>
      </c>
      <c r="H1205" s="4">
        <v>0.08</v>
      </c>
      <c r="I1205" s="4" t="s">
        <v>2004</v>
      </c>
      <c r="J1205" s="10">
        <v>177.19200000000001</v>
      </c>
      <c r="K1205" s="4" t="str">
        <f t="shared" si="126"/>
        <v>02-07-2024</v>
      </c>
      <c r="L1205" s="4" t="str">
        <f>TEXT(Sales_Fact!$B1205,"mmm")</f>
        <v>Jul</v>
      </c>
      <c r="M1205" s="4">
        <f t="shared" si="127"/>
        <v>3</v>
      </c>
      <c r="N1205" s="10">
        <f t="shared" si="128"/>
        <v>64.2</v>
      </c>
      <c r="O1205" s="10">
        <f t="shared" si="129"/>
        <v>177.19200000000004</v>
      </c>
      <c r="P1205" s="10">
        <f t="shared" si="130"/>
        <v>192.60000000000002</v>
      </c>
      <c r="Q1205" s="3">
        <f t="shared" si="131"/>
        <v>7.9999999999999918E-2</v>
      </c>
      <c r="R1205" s="4" t="str">
        <f>IF(Sales_Fact!$O1205&gt;1000,"High","Low")</f>
        <v>Low</v>
      </c>
      <c r="S1205" s="4" t="str">
        <f>VLOOKUP(C1205,Customer_Dim!$A:$N,9,FALSE())</f>
        <v>Scott Harris</v>
      </c>
      <c r="T1205" s="4" t="str">
        <f>VLOOKUP(D1205,Product_Dim!$A:$M,3,FALSE())</f>
        <v>Beauty</v>
      </c>
      <c r="U1205" s="11" t="str">
        <f>VLOOKUP(D1205,Product_Dim!$A:$M,2,FALSE())</f>
        <v>Makeup Brush Set</v>
      </c>
      <c r="V1205" s="11" t="str">
        <f>VLOOKUP(E1205,Store_Dim!$A:$E,3,FALSE())</f>
        <v>West</v>
      </c>
      <c r="W1205" s="11" t="str">
        <f>VLOOKUP(C1205,Customer_Dim!$A:$N,13,FALSE())</f>
        <v>Platinum</v>
      </c>
      <c r="X1205" s="11" t="str">
        <f t="shared" si="132"/>
        <v>Low</v>
      </c>
    </row>
    <row r="1206" spans="1:24" ht="15.75" customHeight="1">
      <c r="A1206" s="4" t="s">
        <v>3202</v>
      </c>
      <c r="B1206" s="9">
        <v>45829</v>
      </c>
      <c r="C1206" s="4" t="s">
        <v>864</v>
      </c>
      <c r="D1206" s="4" t="s">
        <v>1626</v>
      </c>
      <c r="E1206" s="4" t="s">
        <v>1955</v>
      </c>
      <c r="F1206" s="4">
        <v>3</v>
      </c>
      <c r="G1206" s="4">
        <v>697.13</v>
      </c>
      <c r="H1206" s="4">
        <v>0.25</v>
      </c>
      <c r="I1206" s="4" t="s">
        <v>2004</v>
      </c>
      <c r="J1206" s="10">
        <v>1568.5425</v>
      </c>
      <c r="K1206" s="4" t="str">
        <f t="shared" si="126"/>
        <v>21-06-2025</v>
      </c>
      <c r="L1206" s="4" t="str">
        <f>TEXT(Sales_Fact!$B1206,"mmm")</f>
        <v>Jun</v>
      </c>
      <c r="M1206" s="4">
        <f t="shared" si="127"/>
        <v>3</v>
      </c>
      <c r="N1206" s="10">
        <f t="shared" si="128"/>
        <v>697.13</v>
      </c>
      <c r="O1206" s="10">
        <f t="shared" si="129"/>
        <v>1568.5425</v>
      </c>
      <c r="P1206" s="10">
        <f t="shared" si="130"/>
        <v>2091.39</v>
      </c>
      <c r="Q1206" s="3">
        <f t="shared" si="131"/>
        <v>0.24999999999999994</v>
      </c>
      <c r="R1206" s="4" t="str">
        <f>IF(Sales_Fact!$O1206&gt;1000,"High","Low")</f>
        <v>High</v>
      </c>
      <c r="S1206" s="4" t="str">
        <f>VLOOKUP(C1206,Customer_Dim!$A:$N,9,FALSE())</f>
        <v>Katherine Cowan</v>
      </c>
      <c r="T1206" s="4" t="str">
        <f>VLOOKUP(D1206,Product_Dim!$A:$M,3,FALSE())</f>
        <v>Electronics</v>
      </c>
      <c r="U1206" s="11" t="str">
        <f>VLOOKUP(D1206,Product_Dim!$A:$M,2,FALSE())</f>
        <v>HD Smart TV Stick</v>
      </c>
      <c r="V1206" s="11" t="str">
        <f>VLOOKUP(E1206,Store_Dim!$A:$E,3,FALSE())</f>
        <v>East</v>
      </c>
      <c r="W1206" s="11" t="str">
        <f>VLOOKUP(C1206,Customer_Dim!$A:$N,13,FALSE())</f>
        <v>Silver</v>
      </c>
      <c r="X1206" s="11" t="str">
        <f t="shared" si="132"/>
        <v>Low</v>
      </c>
    </row>
    <row r="1207" spans="1:24" ht="15.75" customHeight="1">
      <c r="A1207" s="4" t="s">
        <v>3203</v>
      </c>
      <c r="B1207" s="9">
        <v>45639</v>
      </c>
      <c r="C1207" s="4" t="s">
        <v>117</v>
      </c>
      <c r="D1207" s="4" t="s">
        <v>1617</v>
      </c>
      <c r="E1207" s="4" t="s">
        <v>1931</v>
      </c>
      <c r="F1207" s="4">
        <v>3</v>
      </c>
      <c r="G1207" s="4">
        <v>134.30000000000001</v>
      </c>
      <c r="H1207" s="4">
        <v>0.14000000000000001</v>
      </c>
      <c r="I1207" s="4" t="s">
        <v>1996</v>
      </c>
      <c r="J1207" s="10">
        <v>346.49400000000003</v>
      </c>
      <c r="K1207" s="4" t="str">
        <f t="shared" si="126"/>
        <v>13-12-2024</v>
      </c>
      <c r="L1207" s="4" t="str">
        <f>TEXT(Sales_Fact!$B1207,"mmm")</f>
        <v>Dec</v>
      </c>
      <c r="M1207" s="4">
        <f t="shared" si="127"/>
        <v>3</v>
      </c>
      <c r="N1207" s="10">
        <f t="shared" si="128"/>
        <v>134.30000000000001</v>
      </c>
      <c r="O1207" s="10">
        <f t="shared" si="129"/>
        <v>346.49400000000003</v>
      </c>
      <c r="P1207" s="10">
        <f t="shared" si="130"/>
        <v>402.90000000000003</v>
      </c>
      <c r="Q1207" s="3">
        <f t="shared" si="131"/>
        <v>0.14000000000000001</v>
      </c>
      <c r="R1207" s="4" t="str">
        <f>IF(Sales_Fact!$O1207&gt;1000,"High","Low")</f>
        <v>Low</v>
      </c>
      <c r="S1207" s="4" t="str">
        <f>VLOOKUP(C1207,Customer_Dim!$A:$N,9,FALSE())</f>
        <v>Paul Fox</v>
      </c>
      <c r="T1207" s="4" t="str">
        <f>VLOOKUP(D1207,Product_Dim!$A:$M,3,FALSE())</f>
        <v>Sports</v>
      </c>
      <c r="U1207" s="11" t="str">
        <f>VLOOKUP(D1207,Product_Dim!$A:$M,2,FALSE())</f>
        <v>Adjustable Dumbbell Set</v>
      </c>
      <c r="V1207" s="11" t="str">
        <f>VLOOKUP(E1207,Store_Dim!$A:$E,3,FALSE())</f>
        <v>North</v>
      </c>
      <c r="W1207" s="11" t="str">
        <f>VLOOKUP(C1207,Customer_Dim!$A:$N,13,FALSE())</f>
        <v>Silver</v>
      </c>
      <c r="X1207" s="11" t="str">
        <f t="shared" si="132"/>
        <v>Low</v>
      </c>
    </row>
    <row r="1208" spans="1:24" ht="15.75" customHeight="1">
      <c r="A1208" s="4" t="s">
        <v>3204</v>
      </c>
      <c r="B1208" s="9">
        <v>45518</v>
      </c>
      <c r="C1208" s="4" t="s">
        <v>858</v>
      </c>
      <c r="D1208" s="4" t="s">
        <v>1858</v>
      </c>
      <c r="E1208" s="4" t="s">
        <v>1955</v>
      </c>
      <c r="F1208" s="4">
        <v>1</v>
      </c>
      <c r="G1208" s="4">
        <v>520.92999999999995</v>
      </c>
      <c r="H1208" s="4">
        <v>0.15</v>
      </c>
      <c r="I1208" s="4" t="s">
        <v>1996</v>
      </c>
      <c r="J1208" s="10">
        <v>442.79050000000001</v>
      </c>
      <c r="K1208" s="4" t="str">
        <f t="shared" si="126"/>
        <v>14-08-2024</v>
      </c>
      <c r="L1208" s="4" t="str">
        <f>TEXT(Sales_Fact!$B1208,"mmm")</f>
        <v>Aug</v>
      </c>
      <c r="M1208" s="4">
        <f t="shared" si="127"/>
        <v>1</v>
      </c>
      <c r="N1208" s="10">
        <f t="shared" si="128"/>
        <v>520.92999999999995</v>
      </c>
      <c r="O1208" s="10">
        <f t="shared" si="129"/>
        <v>442.79049999999995</v>
      </c>
      <c r="P1208" s="10">
        <f t="shared" si="130"/>
        <v>520.92999999999995</v>
      </c>
      <c r="Q1208" s="3">
        <f t="shared" si="131"/>
        <v>0.15000000000000002</v>
      </c>
      <c r="R1208" s="4" t="str">
        <f>IF(Sales_Fact!$O1208&gt;1000,"High","Low")</f>
        <v>Low</v>
      </c>
      <c r="S1208" s="4" t="str">
        <f>VLOOKUP(C1208,Customer_Dim!$A:$N,9,FALSE())</f>
        <v>Russell Lamb</v>
      </c>
      <c r="T1208" s="4" t="str">
        <f>VLOOKUP(D1208,Product_Dim!$A:$M,3,FALSE())</f>
        <v>Home</v>
      </c>
      <c r="U1208" s="11" t="str">
        <f>VLOOKUP(D1208,Product_Dim!$A:$M,2,FALSE())</f>
        <v>Wooden Bookshelf</v>
      </c>
      <c r="V1208" s="11" t="str">
        <f>VLOOKUP(E1208,Store_Dim!$A:$E,3,FALSE())</f>
        <v>East</v>
      </c>
      <c r="W1208" s="11" t="str">
        <f>VLOOKUP(C1208,Customer_Dim!$A:$N,13,FALSE())</f>
        <v>Platinum</v>
      </c>
      <c r="X1208" s="11" t="str">
        <f t="shared" si="132"/>
        <v>Low</v>
      </c>
    </row>
    <row r="1209" spans="1:24" ht="15.75" customHeight="1">
      <c r="A1209" s="4" t="s">
        <v>3205</v>
      </c>
      <c r="B1209" s="9">
        <v>45721</v>
      </c>
      <c r="C1209" s="4" t="s">
        <v>755</v>
      </c>
      <c r="D1209" s="4" t="s">
        <v>1654</v>
      </c>
      <c r="E1209" s="4" t="s">
        <v>1937</v>
      </c>
      <c r="F1209" s="4">
        <v>2</v>
      </c>
      <c r="G1209" s="4">
        <v>350.12</v>
      </c>
      <c r="H1209" s="4">
        <v>0.21</v>
      </c>
      <c r="I1209" s="4" t="s">
        <v>2004</v>
      </c>
      <c r="J1209" s="10">
        <v>553.18960000000004</v>
      </c>
      <c r="K1209" s="4" t="str">
        <f t="shared" si="126"/>
        <v>05-03-2025</v>
      </c>
      <c r="L1209" s="4" t="str">
        <f>TEXT(Sales_Fact!$B1209,"mmm")</f>
        <v>Mar</v>
      </c>
      <c r="M1209" s="4">
        <f t="shared" si="127"/>
        <v>2</v>
      </c>
      <c r="N1209" s="10">
        <f t="shared" si="128"/>
        <v>350.12</v>
      </c>
      <c r="O1209" s="10">
        <f t="shared" si="129"/>
        <v>553.18960000000004</v>
      </c>
      <c r="P1209" s="10">
        <f t="shared" si="130"/>
        <v>700.24</v>
      </c>
      <c r="Q1209" s="3">
        <f t="shared" si="131"/>
        <v>0.20999999999999996</v>
      </c>
      <c r="R1209" s="4" t="str">
        <f>IF(Sales_Fact!$O1209&gt;1000,"High","Low")</f>
        <v>Low</v>
      </c>
      <c r="S1209" s="4" t="str">
        <f>VLOOKUP(C1209,Customer_Dim!$A:$N,9,FALSE())</f>
        <v>Elizabeth Stanley</v>
      </c>
      <c r="T1209" s="4" t="str">
        <f>VLOOKUP(D1209,Product_Dim!$A:$M,3,FALSE())</f>
        <v>Sports</v>
      </c>
      <c r="U1209" s="11" t="str">
        <f>VLOOKUP(D1209,Product_Dim!$A:$M,2,FALSE())</f>
        <v>Knee Support Brace</v>
      </c>
      <c r="V1209" s="11" t="str">
        <f>VLOOKUP(E1209,Store_Dim!$A:$E,3,FALSE())</f>
        <v>South</v>
      </c>
      <c r="W1209" s="11" t="str">
        <f>VLOOKUP(C1209,Customer_Dim!$A:$N,13,FALSE())</f>
        <v>Platinum</v>
      </c>
      <c r="X1209" s="11" t="str">
        <f t="shared" si="132"/>
        <v>Low</v>
      </c>
    </row>
    <row r="1210" spans="1:24" ht="15.75" customHeight="1">
      <c r="A1210" s="4" t="s">
        <v>3206</v>
      </c>
      <c r="B1210" s="9">
        <v>45308</v>
      </c>
      <c r="C1210" s="4" t="s">
        <v>1466</v>
      </c>
      <c r="D1210" s="4" t="s">
        <v>1748</v>
      </c>
      <c r="E1210" s="4" t="s">
        <v>1971</v>
      </c>
      <c r="F1210" s="4">
        <v>3</v>
      </c>
      <c r="G1210" s="4">
        <v>807.95</v>
      </c>
      <c r="H1210" s="4">
        <v>0.1</v>
      </c>
      <c r="I1210" s="4" t="s">
        <v>1998</v>
      </c>
      <c r="J1210" s="10">
        <v>2181.4650000000001</v>
      </c>
      <c r="K1210" s="4" t="str">
        <f t="shared" si="126"/>
        <v>17-01-2024</v>
      </c>
      <c r="L1210" s="4" t="str">
        <f>TEXT(Sales_Fact!$B1210,"mmm")</f>
        <v>Jan</v>
      </c>
      <c r="M1210" s="4">
        <f t="shared" si="127"/>
        <v>3</v>
      </c>
      <c r="N1210" s="10">
        <f t="shared" si="128"/>
        <v>807.95</v>
      </c>
      <c r="O1210" s="10">
        <f t="shared" si="129"/>
        <v>2181.4650000000006</v>
      </c>
      <c r="P1210" s="10">
        <f t="shared" si="130"/>
        <v>2423.8500000000004</v>
      </c>
      <c r="Q1210" s="3">
        <f t="shared" si="131"/>
        <v>9.9999999999999881E-2</v>
      </c>
      <c r="R1210" s="4" t="str">
        <f>IF(Sales_Fact!$O1210&gt;1000,"High","Low")</f>
        <v>High</v>
      </c>
      <c r="S1210" s="4" t="str">
        <f>VLOOKUP(C1210,Customer_Dim!$A:$N,9,FALSE())</f>
        <v>Cynthia Parrish</v>
      </c>
      <c r="T1210" s="4" t="str">
        <f>VLOOKUP(D1210,Product_Dim!$A:$M,3,FALSE())</f>
        <v>Electronics</v>
      </c>
      <c r="U1210" s="11" t="str">
        <f>VLOOKUP(D1210,Product_Dim!$A:$M,2,FALSE())</f>
        <v>Car Dashboard Phone Holder</v>
      </c>
      <c r="V1210" s="11" t="str">
        <f>VLOOKUP(E1210,Store_Dim!$A:$E,3,FALSE())</f>
        <v>East</v>
      </c>
      <c r="W1210" s="11" t="str">
        <f>VLOOKUP(C1210,Customer_Dim!$A:$N,13,FALSE())</f>
        <v>Silver</v>
      </c>
      <c r="X1210" s="11" t="str">
        <f t="shared" si="132"/>
        <v>Low</v>
      </c>
    </row>
    <row r="1211" spans="1:24" ht="15.75" customHeight="1">
      <c r="A1211" s="4" t="s">
        <v>3207</v>
      </c>
      <c r="B1211" s="9">
        <v>45889</v>
      </c>
      <c r="C1211" s="4" t="s">
        <v>1081</v>
      </c>
      <c r="D1211" s="4" t="s">
        <v>1716</v>
      </c>
      <c r="E1211" s="4" t="s">
        <v>1934</v>
      </c>
      <c r="F1211" s="4">
        <v>4</v>
      </c>
      <c r="G1211" s="4">
        <v>766.03</v>
      </c>
      <c r="H1211" s="4">
        <v>0.28999999999999998</v>
      </c>
      <c r="I1211" s="4" t="s">
        <v>1998</v>
      </c>
      <c r="J1211" s="10">
        <v>2175.5252</v>
      </c>
      <c r="K1211" s="4" t="str">
        <f t="shared" si="126"/>
        <v>20-08-2025</v>
      </c>
      <c r="L1211" s="4" t="str">
        <f>TEXT(Sales_Fact!$B1211,"mmm")</f>
        <v>Aug</v>
      </c>
      <c r="M1211" s="4">
        <f t="shared" si="127"/>
        <v>4</v>
      </c>
      <c r="N1211" s="10">
        <f t="shared" si="128"/>
        <v>766.03</v>
      </c>
      <c r="O1211" s="10">
        <f t="shared" si="129"/>
        <v>2175.5252</v>
      </c>
      <c r="P1211" s="10">
        <f t="shared" si="130"/>
        <v>3064.12</v>
      </c>
      <c r="Q1211" s="3">
        <f t="shared" si="131"/>
        <v>0.28999999999999998</v>
      </c>
      <c r="R1211" s="4" t="str">
        <f>IF(Sales_Fact!$O1211&gt;1000,"High","Low")</f>
        <v>High</v>
      </c>
      <c r="S1211" s="4" t="str">
        <f>VLOOKUP(C1211,Customer_Dim!$A:$N,9,FALSE())</f>
        <v>Jennifer Woods</v>
      </c>
      <c r="T1211" s="4" t="str">
        <f>VLOOKUP(D1211,Product_Dim!$A:$M,3,FALSE())</f>
        <v>Sports</v>
      </c>
      <c r="U1211" s="11" t="str">
        <f>VLOOKUP(D1211,Product_Dim!$A:$M,2,FALSE())</f>
        <v>Sports Water Hydration Pack</v>
      </c>
      <c r="V1211" s="11" t="str">
        <f>VLOOKUP(E1211,Store_Dim!$A:$E,3,FALSE())</f>
        <v>East</v>
      </c>
      <c r="W1211" s="11" t="str">
        <f>VLOOKUP(C1211,Customer_Dim!$A:$N,13,FALSE())</f>
        <v>Platinum</v>
      </c>
      <c r="X1211" s="11" t="str">
        <f t="shared" si="132"/>
        <v>High</v>
      </c>
    </row>
    <row r="1212" spans="1:24" ht="15.75" customHeight="1">
      <c r="A1212" s="4" t="s">
        <v>3208</v>
      </c>
      <c r="B1212" s="9">
        <v>45386</v>
      </c>
      <c r="C1212" s="4" t="s">
        <v>626</v>
      </c>
      <c r="D1212" s="4" t="s">
        <v>1776</v>
      </c>
      <c r="E1212" s="4" t="s">
        <v>1940</v>
      </c>
      <c r="F1212" s="4">
        <v>3</v>
      </c>
      <c r="G1212" s="4">
        <v>545.1</v>
      </c>
      <c r="H1212" s="4">
        <v>0.08</v>
      </c>
      <c r="I1212" s="4" t="s">
        <v>2004</v>
      </c>
      <c r="J1212" s="10">
        <v>1504.4760000000001</v>
      </c>
      <c r="K1212" s="4" t="str">
        <f t="shared" si="126"/>
        <v>04-04-2024</v>
      </c>
      <c r="L1212" s="4" t="str">
        <f>TEXT(Sales_Fact!$B1212,"mmm")</f>
        <v>Apr</v>
      </c>
      <c r="M1212" s="4">
        <f t="shared" si="127"/>
        <v>3</v>
      </c>
      <c r="N1212" s="10">
        <f t="shared" si="128"/>
        <v>545.1</v>
      </c>
      <c r="O1212" s="10">
        <f t="shared" si="129"/>
        <v>1504.4760000000003</v>
      </c>
      <c r="P1212" s="10">
        <f t="shared" si="130"/>
        <v>1635.3000000000002</v>
      </c>
      <c r="Q1212" s="3">
        <f t="shared" si="131"/>
        <v>7.9999999999999891E-2</v>
      </c>
      <c r="R1212" s="4" t="str">
        <f>IF(Sales_Fact!$O1212&gt;1000,"High","Low")</f>
        <v>High</v>
      </c>
      <c r="S1212" s="4" t="str">
        <f>VLOOKUP(C1212,Customer_Dim!$A:$N,9,FALSE())</f>
        <v>Melissa Hamilton</v>
      </c>
      <c r="T1212" s="4" t="str">
        <f>VLOOKUP(D1212,Product_Dim!$A:$M,3,FALSE())</f>
        <v>Sports</v>
      </c>
      <c r="U1212" s="11" t="str">
        <f>VLOOKUP(D1212,Product_Dim!$A:$M,2,FALSE())</f>
        <v>Foam Roller</v>
      </c>
      <c r="V1212" s="11" t="str">
        <f>VLOOKUP(E1212,Store_Dim!$A:$E,3,FALSE())</f>
        <v>West</v>
      </c>
      <c r="W1212" s="11" t="str">
        <f>VLOOKUP(C1212,Customer_Dim!$A:$N,13,FALSE())</f>
        <v>Silver</v>
      </c>
      <c r="X1212" s="11" t="str">
        <f t="shared" si="132"/>
        <v>Low</v>
      </c>
    </row>
    <row r="1213" spans="1:24" ht="15.75" customHeight="1">
      <c r="A1213" s="4" t="s">
        <v>3209</v>
      </c>
      <c r="B1213" s="9">
        <v>45438</v>
      </c>
      <c r="C1213" s="4" t="s">
        <v>867</v>
      </c>
      <c r="D1213" s="4" t="s">
        <v>1800</v>
      </c>
      <c r="E1213" s="4" t="s">
        <v>1937</v>
      </c>
      <c r="F1213" s="4">
        <v>1</v>
      </c>
      <c r="G1213" s="4">
        <v>203.61</v>
      </c>
      <c r="H1213" s="4">
        <v>0.24</v>
      </c>
      <c r="I1213" s="4" t="s">
        <v>2004</v>
      </c>
      <c r="J1213" s="10">
        <v>154.74359999999999</v>
      </c>
      <c r="K1213" s="4" t="str">
        <f t="shared" si="126"/>
        <v>26-05-2024</v>
      </c>
      <c r="L1213" s="4" t="str">
        <f>TEXT(Sales_Fact!$B1213,"mmm")</f>
        <v>May</v>
      </c>
      <c r="M1213" s="4">
        <f t="shared" si="127"/>
        <v>1</v>
      </c>
      <c r="N1213" s="10">
        <f t="shared" si="128"/>
        <v>203.61</v>
      </c>
      <c r="O1213" s="10">
        <f t="shared" si="129"/>
        <v>154.74360000000001</v>
      </c>
      <c r="P1213" s="10">
        <f t="shared" si="130"/>
        <v>203.61</v>
      </c>
      <c r="Q1213" s="3">
        <f t="shared" si="131"/>
        <v>0.24</v>
      </c>
      <c r="R1213" s="4" t="str">
        <f>IF(Sales_Fact!$O1213&gt;1000,"High","Low")</f>
        <v>Low</v>
      </c>
      <c r="S1213" s="4" t="str">
        <f>VLOOKUP(C1213,Customer_Dim!$A:$N,9,FALSE())</f>
        <v>Crystal Davis</v>
      </c>
      <c r="T1213" s="4" t="str">
        <f>VLOOKUP(D1213,Product_Dim!$A:$M,3,FALSE())</f>
        <v>Sports</v>
      </c>
      <c r="U1213" s="11" t="str">
        <f>VLOOKUP(D1213,Product_Dim!$A:$M,2,FALSE())</f>
        <v>Adjustable Dumbbells 20kg</v>
      </c>
      <c r="V1213" s="11" t="str">
        <f>VLOOKUP(E1213,Store_Dim!$A:$E,3,FALSE())</f>
        <v>South</v>
      </c>
      <c r="W1213" s="11" t="str">
        <f>VLOOKUP(C1213,Customer_Dim!$A:$N,13,FALSE())</f>
        <v>Bronze</v>
      </c>
      <c r="X1213" s="11" t="str">
        <f t="shared" si="132"/>
        <v>Low</v>
      </c>
    </row>
    <row r="1214" spans="1:24" ht="15.75" customHeight="1">
      <c r="A1214" s="4" t="s">
        <v>3210</v>
      </c>
      <c r="B1214" s="9">
        <v>45302</v>
      </c>
      <c r="C1214" s="4" t="s">
        <v>1120</v>
      </c>
      <c r="D1214" s="4" t="s">
        <v>1903</v>
      </c>
      <c r="E1214" s="4" t="s">
        <v>1924</v>
      </c>
      <c r="F1214" s="4"/>
      <c r="G1214" s="4">
        <v>451.67</v>
      </c>
      <c r="H1214" s="4">
        <v>0.15</v>
      </c>
      <c r="I1214" s="4" t="s">
        <v>1996</v>
      </c>
      <c r="J1214" s="10">
        <v>1535.6780000000001</v>
      </c>
      <c r="K1214" s="4" t="str">
        <f t="shared" si="126"/>
        <v>11-01-2024</v>
      </c>
      <c r="L1214" s="4" t="str">
        <f>TEXT(Sales_Fact!$B1214,"mmm")</f>
        <v>Jan</v>
      </c>
      <c r="M1214" s="4">
        <f t="shared" si="127"/>
        <v>1</v>
      </c>
      <c r="N1214" s="10">
        <f t="shared" si="128"/>
        <v>451.67</v>
      </c>
      <c r="O1214" s="10">
        <f t="shared" si="129"/>
        <v>383.91950000000003</v>
      </c>
      <c r="P1214" s="10">
        <f t="shared" si="130"/>
        <v>451.67</v>
      </c>
      <c r="Q1214" s="3">
        <f t="shared" si="131"/>
        <v>0.14999999999999997</v>
      </c>
      <c r="R1214" s="4" t="str">
        <f>IF(Sales_Fact!$O1214&gt;1000,"High","Low")</f>
        <v>Low</v>
      </c>
      <c r="S1214" s="4" t="str">
        <f>VLOOKUP(C1214,Customer_Dim!$A:$N,9,FALSE())</f>
        <v>Sherry Cabrera</v>
      </c>
      <c r="T1214" s="4" t="str">
        <f>VLOOKUP(D1214,Product_Dim!$A:$M,3,FALSE())</f>
        <v>Home</v>
      </c>
      <c r="U1214" s="11" t="str">
        <f>VLOOKUP(D1214,Product_Dim!$A:$M,2,FALSE())</f>
        <v>Stainless Steel Cookware Set</v>
      </c>
      <c r="V1214" s="11" t="str">
        <f>VLOOKUP(E1214,Store_Dim!$A:$E,3,FALSE())</f>
        <v>North</v>
      </c>
      <c r="W1214" s="11" t="str">
        <f>VLOOKUP(C1214,Customer_Dim!$A:$N,13,FALSE())</f>
        <v>Silver</v>
      </c>
      <c r="X1214" s="11" t="str">
        <f t="shared" si="132"/>
        <v>Low</v>
      </c>
    </row>
    <row r="1215" spans="1:24" ht="15.75" customHeight="1">
      <c r="A1215" s="4" t="s">
        <v>3211</v>
      </c>
      <c r="B1215" s="9">
        <v>45856</v>
      </c>
      <c r="C1215" s="4" t="s">
        <v>1324</v>
      </c>
      <c r="D1215" s="4" t="s">
        <v>1897</v>
      </c>
      <c r="E1215" s="4" t="s">
        <v>1959</v>
      </c>
      <c r="F1215" s="4">
        <v>4</v>
      </c>
      <c r="G1215" s="4">
        <v>493.8</v>
      </c>
      <c r="H1215" s="4">
        <v>0.24</v>
      </c>
      <c r="I1215" s="4" t="s">
        <v>2004</v>
      </c>
      <c r="J1215" s="10">
        <v>1501.152</v>
      </c>
      <c r="K1215" s="4" t="str">
        <f t="shared" si="126"/>
        <v>18-07-2025</v>
      </c>
      <c r="L1215" s="4" t="str">
        <f>TEXT(Sales_Fact!$B1215,"mmm")</f>
        <v>Jul</v>
      </c>
      <c r="M1215" s="4">
        <f t="shared" si="127"/>
        <v>4</v>
      </c>
      <c r="N1215" s="10">
        <f t="shared" si="128"/>
        <v>493.8</v>
      </c>
      <c r="O1215" s="10">
        <f t="shared" si="129"/>
        <v>1501.152</v>
      </c>
      <c r="P1215" s="10">
        <f t="shared" si="130"/>
        <v>1975.2</v>
      </c>
      <c r="Q1215" s="3">
        <f t="shared" si="131"/>
        <v>0.24</v>
      </c>
      <c r="R1215" s="4" t="str">
        <f>IF(Sales_Fact!$O1215&gt;1000,"High","Low")</f>
        <v>High</v>
      </c>
      <c r="S1215" s="4" t="str">
        <f>VLOOKUP(C1215,Customer_Dim!$A:$N,9,FALSE())</f>
        <v>Karen King</v>
      </c>
      <c r="T1215" s="4" t="str">
        <f>VLOOKUP(D1215,Product_Dim!$A:$M,3,FALSE())</f>
        <v>Sports</v>
      </c>
      <c r="U1215" s="11" t="str">
        <f>VLOOKUP(D1215,Product_Dim!$A:$M,2,FALSE())</f>
        <v>Cricket Bat</v>
      </c>
      <c r="V1215" s="11" t="str">
        <f>VLOOKUP(E1215,Store_Dim!$A:$E,3,FALSE())</f>
        <v>North</v>
      </c>
      <c r="W1215" s="11" t="str">
        <f>VLOOKUP(C1215,Customer_Dim!$A:$N,13,FALSE())</f>
        <v>Bronze</v>
      </c>
      <c r="X1215" s="11" t="str">
        <f t="shared" si="132"/>
        <v>High</v>
      </c>
    </row>
    <row r="1216" spans="1:24" ht="15.75" customHeight="1">
      <c r="A1216" s="4" t="s">
        <v>3212</v>
      </c>
      <c r="B1216" s="9">
        <v>45485</v>
      </c>
      <c r="C1216" s="4" t="s">
        <v>98</v>
      </c>
      <c r="D1216" s="4" t="s">
        <v>1726</v>
      </c>
      <c r="E1216" s="4" t="s">
        <v>1965</v>
      </c>
      <c r="F1216" s="4">
        <v>1</v>
      </c>
      <c r="G1216" s="4">
        <v>640.54999999999995</v>
      </c>
      <c r="H1216" s="4">
        <v>0.25</v>
      </c>
      <c r="I1216" s="4" t="s">
        <v>1996</v>
      </c>
      <c r="J1216" s="10">
        <v>480.41250000000002</v>
      </c>
      <c r="K1216" s="4" t="str">
        <f t="shared" si="126"/>
        <v>12-07-2024</v>
      </c>
      <c r="L1216" s="4" t="str">
        <f>TEXT(Sales_Fact!$B1216,"mmm")</f>
        <v>Jul</v>
      </c>
      <c r="M1216" s="4">
        <f t="shared" si="127"/>
        <v>1</v>
      </c>
      <c r="N1216" s="10">
        <f t="shared" si="128"/>
        <v>640.54999999999995</v>
      </c>
      <c r="O1216" s="10">
        <f t="shared" si="129"/>
        <v>480.41249999999997</v>
      </c>
      <c r="P1216" s="10">
        <f t="shared" si="130"/>
        <v>640.54999999999995</v>
      </c>
      <c r="Q1216" s="3">
        <f t="shared" si="131"/>
        <v>0.25</v>
      </c>
      <c r="R1216" s="4" t="str">
        <f>IF(Sales_Fact!$O1216&gt;1000,"High","Low")</f>
        <v>Low</v>
      </c>
      <c r="S1216" s="4" t="str">
        <f>VLOOKUP(C1216,Customer_Dim!$A:$N,9,FALSE())</f>
        <v>Adam Cruz</v>
      </c>
      <c r="T1216" s="4" t="str">
        <f>VLOOKUP(D1216,Product_Dim!$A:$M,3,FALSE())</f>
        <v>Sports</v>
      </c>
      <c r="U1216" s="11" t="str">
        <f>VLOOKUP(D1216,Product_Dim!$A:$M,2,FALSE())</f>
        <v>Yoga Exercise Mat</v>
      </c>
      <c r="V1216" s="11" t="str">
        <f>VLOOKUP(E1216,Store_Dim!$A:$E,3,FALSE())</f>
        <v>North</v>
      </c>
      <c r="W1216" s="11" t="str">
        <f>VLOOKUP(C1216,Customer_Dim!$A:$N,13,FALSE())</f>
        <v>Platinum</v>
      </c>
      <c r="X1216" s="11" t="str">
        <f t="shared" si="132"/>
        <v>Low</v>
      </c>
    </row>
    <row r="1217" spans="1:24" ht="15.75" customHeight="1">
      <c r="A1217" s="4" t="s">
        <v>3213</v>
      </c>
      <c r="B1217" s="9">
        <v>45545</v>
      </c>
      <c r="C1217" s="4" t="s">
        <v>435</v>
      </c>
      <c r="D1217" s="4" t="s">
        <v>1828</v>
      </c>
      <c r="E1217" s="4" t="s">
        <v>1927</v>
      </c>
      <c r="F1217" s="4">
        <v>1</v>
      </c>
      <c r="G1217" s="4">
        <v>702.53</v>
      </c>
      <c r="H1217" s="4">
        <v>0.3</v>
      </c>
      <c r="I1217" s="4" t="s">
        <v>1996</v>
      </c>
      <c r="J1217" s="10">
        <v>491.77100000000002</v>
      </c>
      <c r="K1217" s="4" t="str">
        <f t="shared" si="126"/>
        <v>10-09-2024</v>
      </c>
      <c r="L1217" s="4" t="str">
        <f>TEXT(Sales_Fact!$B1217,"mmm")</f>
        <v>Sep</v>
      </c>
      <c r="M1217" s="4">
        <f t="shared" si="127"/>
        <v>1</v>
      </c>
      <c r="N1217" s="10">
        <f t="shared" si="128"/>
        <v>702.53</v>
      </c>
      <c r="O1217" s="10">
        <f t="shared" si="129"/>
        <v>491.77099999999996</v>
      </c>
      <c r="P1217" s="10">
        <f t="shared" si="130"/>
        <v>702.53</v>
      </c>
      <c r="Q1217" s="3">
        <f t="shared" si="131"/>
        <v>0.30000000000000004</v>
      </c>
      <c r="R1217" s="4" t="str">
        <f>IF(Sales_Fact!$O1217&gt;1000,"High","Low")</f>
        <v>Low</v>
      </c>
      <c r="S1217" s="4" t="str">
        <f>VLOOKUP(C1217,Customer_Dim!$A:$N,9,FALSE())</f>
        <v>Michael Jones</v>
      </c>
      <c r="T1217" s="4" t="str">
        <f>VLOOKUP(D1217,Product_Dim!$A:$M,3,FALSE())</f>
        <v>Electronics</v>
      </c>
      <c r="U1217" s="11" t="str">
        <f>VLOOKUP(D1217,Product_Dim!$A:$M,2,FALSE())</f>
        <v>Bluetooth Car Audio System</v>
      </c>
      <c r="V1217" s="11" t="str">
        <f>VLOOKUP(E1217,Store_Dim!$A:$E,3,FALSE())</f>
        <v>South</v>
      </c>
      <c r="W1217" s="11" t="str">
        <f>VLOOKUP(C1217,Customer_Dim!$A:$N,13,FALSE())</f>
        <v>Bronze</v>
      </c>
      <c r="X1217" s="11" t="str">
        <f t="shared" si="132"/>
        <v>Low</v>
      </c>
    </row>
    <row r="1218" spans="1:24" ht="15.75" customHeight="1">
      <c r="A1218" s="4" t="s">
        <v>3214</v>
      </c>
      <c r="B1218" s="9">
        <v>45826</v>
      </c>
      <c r="C1218" s="4" t="s">
        <v>752</v>
      </c>
      <c r="D1218" s="4" t="s">
        <v>1719</v>
      </c>
      <c r="E1218" s="4" t="s">
        <v>1940</v>
      </c>
      <c r="F1218" s="4">
        <v>4</v>
      </c>
      <c r="G1218" s="4">
        <v>139.94</v>
      </c>
      <c r="H1218" s="4">
        <v>0.24</v>
      </c>
      <c r="I1218" s="4" t="s">
        <v>1996</v>
      </c>
      <c r="J1218" s="10">
        <v>425.41759999999999</v>
      </c>
      <c r="K1218" s="4" t="str">
        <f t="shared" ref="K1218:K1281" si="133">TEXT(B1218,"dd-mm-yyyy")</f>
        <v>18-06-2025</v>
      </c>
      <c r="L1218" s="4" t="str">
        <f>TEXT(Sales_Fact!$B1218,"mmm")</f>
        <v>Jun</v>
      </c>
      <c r="M1218" s="4">
        <f t="shared" ref="M1218:M1281" si="134">IF(ISBLANK(F1218),1,F1218)</f>
        <v>4</v>
      </c>
      <c r="N1218" s="10">
        <f t="shared" ref="N1218:N1281" si="135">ROUNDUP(IF(ISBLANK(G1218),AVERAGE(C:C,G1218,G:G),G1218),2)</f>
        <v>139.94</v>
      </c>
      <c r="O1218" s="10">
        <f t="shared" ref="O1218:O1281" si="136">M1218*N1218*(1-H1218)</f>
        <v>425.41759999999999</v>
      </c>
      <c r="P1218" s="10">
        <f t="shared" ref="P1218:P1281" si="137">M1218*N1218</f>
        <v>559.76</v>
      </c>
      <c r="Q1218" s="3">
        <f t="shared" ref="Q1218:Q1281" si="138">(P1218-O1218)/P1218</f>
        <v>0.24</v>
      </c>
      <c r="R1218" s="4" t="str">
        <f>IF(Sales_Fact!$O1218&gt;1000,"High","Low")</f>
        <v>Low</v>
      </c>
      <c r="S1218" s="4" t="str">
        <f>VLOOKUP(C1218,Customer_Dim!$A:$N,9,FALSE())</f>
        <v>Anthony Morgan</v>
      </c>
      <c r="T1218" s="4" t="str">
        <f>VLOOKUP(D1218,Product_Dim!$A:$M,3,FALSE())</f>
        <v>Electronics</v>
      </c>
      <c r="U1218" s="11" t="str">
        <f>VLOOKUP(D1218,Product_Dim!$A:$M,2,FALSE())</f>
        <v>Portable Power Bank</v>
      </c>
      <c r="V1218" s="11" t="str">
        <f>VLOOKUP(E1218,Store_Dim!$A:$E,3,FALSE())</f>
        <v>West</v>
      </c>
      <c r="W1218" s="11" t="str">
        <f>VLOOKUP(C1218,Customer_Dim!$A:$N,13,FALSE())</f>
        <v>Silver</v>
      </c>
      <c r="X1218" s="11" t="str">
        <f t="shared" ref="X1218:X1281" si="139">IF(F1218&gt;3,"High","Low")</f>
        <v>High</v>
      </c>
    </row>
    <row r="1219" spans="1:24" ht="15.75" customHeight="1">
      <c r="A1219" s="4" t="s">
        <v>3215</v>
      </c>
      <c r="B1219" s="9">
        <v>45654</v>
      </c>
      <c r="C1219" s="4" t="s">
        <v>909</v>
      </c>
      <c r="D1219" s="4" t="s">
        <v>1654</v>
      </c>
      <c r="E1219" s="4" t="s">
        <v>1940</v>
      </c>
      <c r="F1219" s="4">
        <v>2</v>
      </c>
      <c r="G1219" s="4">
        <v>230.85</v>
      </c>
      <c r="H1219" s="4">
        <v>0.18</v>
      </c>
      <c r="I1219" s="4" t="s">
        <v>1996</v>
      </c>
      <c r="J1219" s="10">
        <v>378.59399999999999</v>
      </c>
      <c r="K1219" s="4" t="str">
        <f t="shared" si="133"/>
        <v>28-12-2024</v>
      </c>
      <c r="L1219" s="4" t="str">
        <f>TEXT(Sales_Fact!$B1219,"mmm")</f>
        <v>Dec</v>
      </c>
      <c r="M1219" s="4">
        <f t="shared" si="134"/>
        <v>2</v>
      </c>
      <c r="N1219" s="10">
        <f t="shared" si="135"/>
        <v>230.85</v>
      </c>
      <c r="O1219" s="10">
        <f t="shared" si="136"/>
        <v>378.59399999999999</v>
      </c>
      <c r="P1219" s="10">
        <f t="shared" si="137"/>
        <v>461.7</v>
      </c>
      <c r="Q1219" s="3">
        <f t="shared" si="138"/>
        <v>0.18</v>
      </c>
      <c r="R1219" s="4" t="str">
        <f>IF(Sales_Fact!$O1219&gt;1000,"High","Low")</f>
        <v>Low</v>
      </c>
      <c r="S1219" s="4" t="str">
        <f>VLOOKUP(C1219,Customer_Dim!$A:$N,9,FALSE())</f>
        <v>Jeffrey Gomez</v>
      </c>
      <c r="T1219" s="4" t="str">
        <f>VLOOKUP(D1219,Product_Dim!$A:$M,3,FALSE())</f>
        <v>Sports</v>
      </c>
      <c r="U1219" s="11" t="str">
        <f>VLOOKUP(D1219,Product_Dim!$A:$M,2,FALSE())</f>
        <v>Knee Support Brace</v>
      </c>
      <c r="V1219" s="11" t="str">
        <f>VLOOKUP(E1219,Store_Dim!$A:$E,3,FALSE())</f>
        <v>West</v>
      </c>
      <c r="W1219" s="11" t="str">
        <f>VLOOKUP(C1219,Customer_Dim!$A:$N,13,FALSE())</f>
        <v>Platinum</v>
      </c>
      <c r="X1219" s="11" t="str">
        <f t="shared" si="139"/>
        <v>Low</v>
      </c>
    </row>
    <row r="1220" spans="1:24" ht="15.75" customHeight="1">
      <c r="A1220" s="4" t="s">
        <v>3216</v>
      </c>
      <c r="B1220" s="9">
        <v>45556</v>
      </c>
      <c r="C1220" s="4" t="s">
        <v>712</v>
      </c>
      <c r="D1220" s="4" t="s">
        <v>1861</v>
      </c>
      <c r="E1220" s="4" t="s">
        <v>1965</v>
      </c>
      <c r="F1220" s="4">
        <v>4</v>
      </c>
      <c r="G1220" s="4">
        <v>626.35</v>
      </c>
      <c r="H1220" s="4">
        <v>0.25</v>
      </c>
      <c r="I1220" s="4" t="s">
        <v>2004</v>
      </c>
      <c r="J1220" s="10">
        <v>1879.05</v>
      </c>
      <c r="K1220" s="4" t="str">
        <f t="shared" si="133"/>
        <v>21-09-2024</v>
      </c>
      <c r="L1220" s="4" t="str">
        <f>TEXT(Sales_Fact!$B1220,"mmm")</f>
        <v>Sep</v>
      </c>
      <c r="M1220" s="4">
        <f t="shared" si="134"/>
        <v>4</v>
      </c>
      <c r="N1220" s="10">
        <f t="shared" si="135"/>
        <v>626.35</v>
      </c>
      <c r="O1220" s="10">
        <f t="shared" si="136"/>
        <v>1879.0500000000002</v>
      </c>
      <c r="P1220" s="10">
        <f t="shared" si="137"/>
        <v>2505.4</v>
      </c>
      <c r="Q1220" s="3">
        <f t="shared" si="138"/>
        <v>0.24999999999999994</v>
      </c>
      <c r="R1220" s="4" t="str">
        <f>IF(Sales_Fact!$O1220&gt;1000,"High","Low")</f>
        <v>High</v>
      </c>
      <c r="S1220" s="4" t="str">
        <f>VLOOKUP(C1220,Customer_Dim!$A:$N,9,FALSE())</f>
        <v>Rodney Huffman</v>
      </c>
      <c r="T1220" s="4" t="str">
        <f>VLOOKUP(D1220,Product_Dim!$A:$M,3,FALSE())</f>
        <v>Clothing</v>
      </c>
      <c r="U1220" s="11" t="str">
        <f>VLOOKUP(D1220,Product_Dim!$A:$M,2,FALSE())</f>
        <v>Women's Beanie Hat</v>
      </c>
      <c r="V1220" s="11" t="str">
        <f>VLOOKUP(E1220,Store_Dim!$A:$E,3,FALSE())</f>
        <v>North</v>
      </c>
      <c r="W1220" s="11" t="str">
        <f>VLOOKUP(C1220,Customer_Dim!$A:$N,13,FALSE())</f>
        <v>Silver</v>
      </c>
      <c r="X1220" s="11" t="str">
        <f t="shared" si="139"/>
        <v>High</v>
      </c>
    </row>
    <row r="1221" spans="1:24" ht="15.75" customHeight="1">
      <c r="A1221" s="4" t="s">
        <v>3217</v>
      </c>
      <c r="B1221" s="9">
        <v>45434</v>
      </c>
      <c r="C1221" s="4" t="s">
        <v>319</v>
      </c>
      <c r="D1221" s="4" t="s">
        <v>1726</v>
      </c>
      <c r="E1221" s="4" t="s">
        <v>1957</v>
      </c>
      <c r="F1221" s="4">
        <v>4</v>
      </c>
      <c r="G1221" s="4">
        <v>108.55</v>
      </c>
      <c r="H1221" s="4">
        <v>0.18</v>
      </c>
      <c r="I1221" s="4" t="s">
        <v>1998</v>
      </c>
      <c r="J1221" s="10">
        <v>356.04399999999998</v>
      </c>
      <c r="K1221" s="4" t="str">
        <f t="shared" si="133"/>
        <v>22-05-2024</v>
      </c>
      <c r="L1221" s="4" t="str">
        <f>TEXT(Sales_Fact!$B1221,"mmm")</f>
        <v>May</v>
      </c>
      <c r="M1221" s="4">
        <f t="shared" si="134"/>
        <v>4</v>
      </c>
      <c r="N1221" s="10">
        <f t="shared" si="135"/>
        <v>108.55</v>
      </c>
      <c r="O1221" s="10">
        <f t="shared" si="136"/>
        <v>356.04400000000004</v>
      </c>
      <c r="P1221" s="10">
        <f t="shared" si="137"/>
        <v>434.2</v>
      </c>
      <c r="Q1221" s="3">
        <f t="shared" si="138"/>
        <v>0.17999999999999988</v>
      </c>
      <c r="R1221" s="4" t="str">
        <f>IF(Sales_Fact!$O1221&gt;1000,"High","Low")</f>
        <v>Low</v>
      </c>
      <c r="S1221" s="4" t="str">
        <f>VLOOKUP(C1221,Customer_Dim!$A:$N,9,FALSE())</f>
        <v>George Rosario</v>
      </c>
      <c r="T1221" s="4" t="str">
        <f>VLOOKUP(D1221,Product_Dim!$A:$M,3,FALSE())</f>
        <v>Sports</v>
      </c>
      <c r="U1221" s="11" t="str">
        <f>VLOOKUP(D1221,Product_Dim!$A:$M,2,FALSE())</f>
        <v>Yoga Exercise Mat</v>
      </c>
      <c r="V1221" s="11" t="str">
        <f>VLOOKUP(E1221,Store_Dim!$A:$E,3,FALSE())</f>
        <v>South</v>
      </c>
      <c r="W1221" s="11" t="str">
        <f>VLOOKUP(C1221,Customer_Dim!$A:$N,13,FALSE())</f>
        <v>Bronze</v>
      </c>
      <c r="X1221" s="11" t="str">
        <f t="shared" si="139"/>
        <v>High</v>
      </c>
    </row>
    <row r="1222" spans="1:24" ht="15.75" customHeight="1">
      <c r="A1222" s="4" t="s">
        <v>3218</v>
      </c>
      <c r="B1222" s="9">
        <v>45871</v>
      </c>
      <c r="C1222" s="4" t="s">
        <v>653</v>
      </c>
      <c r="D1222" s="4" t="s">
        <v>1648</v>
      </c>
      <c r="E1222" s="4" t="s">
        <v>1915</v>
      </c>
      <c r="F1222" s="4">
        <v>4</v>
      </c>
      <c r="G1222" s="4">
        <v>353.67</v>
      </c>
      <c r="H1222" s="4">
        <v>0.03</v>
      </c>
      <c r="I1222" s="4" t="s">
        <v>2004</v>
      </c>
      <c r="J1222" s="10">
        <v>1372.2396000000001</v>
      </c>
      <c r="K1222" s="4" t="str">
        <f t="shared" si="133"/>
        <v>02-08-2025</v>
      </c>
      <c r="L1222" s="4" t="str">
        <f>TEXT(Sales_Fact!$B1222,"mmm")</f>
        <v>Aug</v>
      </c>
      <c r="M1222" s="4">
        <f t="shared" si="134"/>
        <v>4</v>
      </c>
      <c r="N1222" s="10">
        <f t="shared" si="135"/>
        <v>353.67</v>
      </c>
      <c r="O1222" s="10">
        <f t="shared" si="136"/>
        <v>1372.2396000000001</v>
      </c>
      <c r="P1222" s="10">
        <f t="shared" si="137"/>
        <v>1414.68</v>
      </c>
      <c r="Q1222" s="3">
        <f t="shared" si="138"/>
        <v>2.9999999999999968E-2</v>
      </c>
      <c r="R1222" s="4" t="str">
        <f>IF(Sales_Fact!$O1222&gt;1000,"High","Low")</f>
        <v>High</v>
      </c>
      <c r="S1222" s="4" t="str">
        <f>VLOOKUP(C1222,Customer_Dim!$A:$N,9,FALSE())</f>
        <v>Todd Poole</v>
      </c>
      <c r="T1222" s="4" t="str">
        <f>VLOOKUP(D1222,Product_Dim!$A:$M,3,FALSE())</f>
        <v>Sports</v>
      </c>
      <c r="U1222" s="11" t="str">
        <f>VLOOKUP(D1222,Product_Dim!$A:$M,2,FALSE())</f>
        <v>Soccer Training Cone Set</v>
      </c>
      <c r="V1222" s="11" t="str">
        <f>VLOOKUP(E1222,Store_Dim!$A:$E,3,FALSE())</f>
        <v>North</v>
      </c>
      <c r="W1222" s="11" t="str">
        <f>VLOOKUP(C1222,Customer_Dim!$A:$N,13,FALSE())</f>
        <v>Bronze</v>
      </c>
      <c r="X1222" s="11" t="str">
        <f t="shared" si="139"/>
        <v>High</v>
      </c>
    </row>
    <row r="1223" spans="1:24" ht="15.75" customHeight="1">
      <c r="A1223" s="4" t="s">
        <v>3219</v>
      </c>
      <c r="B1223" s="9">
        <v>45583</v>
      </c>
      <c r="C1223" s="4" t="s">
        <v>262</v>
      </c>
      <c r="D1223" s="4" t="s">
        <v>1876</v>
      </c>
      <c r="E1223" s="4" t="s">
        <v>1915</v>
      </c>
      <c r="F1223" s="4">
        <v>4</v>
      </c>
      <c r="G1223" s="4">
        <v>61.98</v>
      </c>
      <c r="H1223" s="4">
        <v>0.16</v>
      </c>
      <c r="I1223" s="4" t="s">
        <v>1996</v>
      </c>
      <c r="J1223" s="10">
        <v>208.25280000000001</v>
      </c>
      <c r="K1223" s="4" t="str">
        <f t="shared" si="133"/>
        <v>18-10-2024</v>
      </c>
      <c r="L1223" s="4" t="str">
        <f>TEXT(Sales_Fact!$B1223,"mmm")</f>
        <v>Oct</v>
      </c>
      <c r="M1223" s="4">
        <f t="shared" si="134"/>
        <v>4</v>
      </c>
      <c r="N1223" s="10">
        <f t="shared" si="135"/>
        <v>61.98</v>
      </c>
      <c r="O1223" s="10">
        <f t="shared" si="136"/>
        <v>208.25279999999998</v>
      </c>
      <c r="P1223" s="10">
        <f t="shared" si="137"/>
        <v>247.92</v>
      </c>
      <c r="Q1223" s="3">
        <f t="shared" si="138"/>
        <v>0.16000000000000003</v>
      </c>
      <c r="R1223" s="4" t="str">
        <f>IF(Sales_Fact!$O1223&gt;1000,"High","Low")</f>
        <v>Low</v>
      </c>
      <c r="S1223" s="4" t="str">
        <f>VLOOKUP(C1223,Customer_Dim!$A:$N,9,FALSE())</f>
        <v>Michael Thomas</v>
      </c>
      <c r="T1223" s="4" t="str">
        <f>VLOOKUP(D1223,Product_Dim!$A:$M,3,FALSE())</f>
        <v>Electronics</v>
      </c>
      <c r="U1223" s="11" t="str">
        <f>VLOOKUP(D1223,Product_Dim!$A:$M,2,FALSE())</f>
        <v>Gaming Mouse Pad XL</v>
      </c>
      <c r="V1223" s="11" t="str">
        <f>VLOOKUP(E1223,Store_Dim!$A:$E,3,FALSE())</f>
        <v>North</v>
      </c>
      <c r="W1223" s="11" t="str">
        <f>VLOOKUP(C1223,Customer_Dim!$A:$N,13,FALSE())</f>
        <v>Silver</v>
      </c>
      <c r="X1223" s="11" t="str">
        <f t="shared" si="139"/>
        <v>High</v>
      </c>
    </row>
    <row r="1224" spans="1:24" ht="15.75" customHeight="1">
      <c r="A1224" s="4" t="s">
        <v>3220</v>
      </c>
      <c r="B1224" s="9">
        <v>45348</v>
      </c>
      <c r="C1224" s="4" t="s">
        <v>727</v>
      </c>
      <c r="D1224" s="4" t="s">
        <v>1665</v>
      </c>
      <c r="E1224" s="4" t="s">
        <v>1971</v>
      </c>
      <c r="F1224" s="4">
        <v>2</v>
      </c>
      <c r="G1224" s="4">
        <v>873.1</v>
      </c>
      <c r="H1224" s="4">
        <v>0.12</v>
      </c>
      <c r="I1224" s="4" t="s">
        <v>1998</v>
      </c>
      <c r="J1224" s="10">
        <v>1536.6559999999999</v>
      </c>
      <c r="K1224" s="4" t="str">
        <f t="shared" si="133"/>
        <v>26-02-2024</v>
      </c>
      <c r="L1224" s="4" t="str">
        <f>TEXT(Sales_Fact!$B1224,"mmm")</f>
        <v>Feb</v>
      </c>
      <c r="M1224" s="4">
        <f t="shared" si="134"/>
        <v>2</v>
      </c>
      <c r="N1224" s="10">
        <f t="shared" si="135"/>
        <v>873.1</v>
      </c>
      <c r="O1224" s="10">
        <f t="shared" si="136"/>
        <v>1536.6559999999999</v>
      </c>
      <c r="P1224" s="10">
        <f t="shared" si="137"/>
        <v>1746.2</v>
      </c>
      <c r="Q1224" s="3">
        <f t="shared" si="138"/>
        <v>0.12000000000000005</v>
      </c>
      <c r="R1224" s="4" t="str">
        <f>IF(Sales_Fact!$O1224&gt;1000,"High","Low")</f>
        <v>High</v>
      </c>
      <c r="S1224" s="4" t="str">
        <f>VLOOKUP(C1224,Customer_Dim!$A:$N,9,FALSE())</f>
        <v>Kathryn Garcia</v>
      </c>
      <c r="T1224" s="4" t="str">
        <f>VLOOKUP(D1224,Product_Dim!$A:$M,3,FALSE())</f>
        <v>Sports</v>
      </c>
      <c r="U1224" s="11" t="str">
        <f>VLOOKUP(D1224,Product_Dim!$A:$M,2,FALSE())</f>
        <v>Carbon Fiber Tennis Racket</v>
      </c>
      <c r="V1224" s="11" t="str">
        <f>VLOOKUP(E1224,Store_Dim!$A:$E,3,FALSE())</f>
        <v>East</v>
      </c>
      <c r="W1224" s="11" t="str">
        <f>VLOOKUP(C1224,Customer_Dim!$A:$N,13,FALSE())</f>
        <v>Platinum</v>
      </c>
      <c r="X1224" s="11" t="str">
        <f t="shared" si="139"/>
        <v>Low</v>
      </c>
    </row>
    <row r="1225" spans="1:24" ht="15.75" customHeight="1">
      <c r="A1225" s="4" t="s">
        <v>3221</v>
      </c>
      <c r="B1225" s="9">
        <v>45259</v>
      </c>
      <c r="C1225" s="4" t="s">
        <v>1114</v>
      </c>
      <c r="D1225" s="4" t="s">
        <v>1876</v>
      </c>
      <c r="E1225" s="4" t="s">
        <v>1940</v>
      </c>
      <c r="F1225" s="4">
        <v>1</v>
      </c>
      <c r="G1225" s="4">
        <v>921.51</v>
      </c>
      <c r="H1225" s="4">
        <v>0.16</v>
      </c>
      <c r="I1225" s="4" t="s">
        <v>2004</v>
      </c>
      <c r="J1225" s="10">
        <v>774.0684</v>
      </c>
      <c r="K1225" s="4" t="str">
        <f t="shared" si="133"/>
        <v>29-11-2023</v>
      </c>
      <c r="L1225" s="4" t="str">
        <f>TEXT(Sales_Fact!$B1225,"mmm")</f>
        <v>Nov</v>
      </c>
      <c r="M1225" s="4">
        <f t="shared" si="134"/>
        <v>1</v>
      </c>
      <c r="N1225" s="10">
        <f t="shared" si="135"/>
        <v>921.51</v>
      </c>
      <c r="O1225" s="10">
        <f t="shared" si="136"/>
        <v>774.0684</v>
      </c>
      <c r="P1225" s="10">
        <f t="shared" si="137"/>
        <v>921.51</v>
      </c>
      <c r="Q1225" s="3">
        <f t="shared" si="138"/>
        <v>0.16</v>
      </c>
      <c r="R1225" s="4" t="str">
        <f>IF(Sales_Fact!$O1225&gt;1000,"High","Low")</f>
        <v>Low</v>
      </c>
      <c r="S1225" s="4" t="str">
        <f>VLOOKUP(C1225,Customer_Dim!$A:$N,9,FALSE())</f>
        <v>John Jordan</v>
      </c>
      <c r="T1225" s="4" t="str">
        <f>VLOOKUP(D1225,Product_Dim!$A:$M,3,FALSE())</f>
        <v>Electronics</v>
      </c>
      <c r="U1225" s="11" t="str">
        <f>VLOOKUP(D1225,Product_Dim!$A:$M,2,FALSE())</f>
        <v>Gaming Mouse Pad XL</v>
      </c>
      <c r="V1225" s="11" t="str">
        <f>VLOOKUP(E1225,Store_Dim!$A:$E,3,FALSE())</f>
        <v>West</v>
      </c>
      <c r="W1225" s="11" t="str">
        <f>VLOOKUP(C1225,Customer_Dim!$A:$N,13,FALSE())</f>
        <v>Platinum</v>
      </c>
      <c r="X1225" s="11" t="str">
        <f t="shared" si="139"/>
        <v>Low</v>
      </c>
    </row>
    <row r="1226" spans="1:24" ht="15.75" customHeight="1">
      <c r="A1226" s="4" t="s">
        <v>3222</v>
      </c>
      <c r="B1226" s="9">
        <v>45217</v>
      </c>
      <c r="C1226" s="4" t="s">
        <v>139</v>
      </c>
      <c r="D1226" s="4" t="s">
        <v>1599</v>
      </c>
      <c r="E1226" s="4" t="s">
        <v>1971</v>
      </c>
      <c r="F1226" s="4">
        <v>1</v>
      </c>
      <c r="G1226" s="4">
        <v>429.38</v>
      </c>
      <c r="H1226" s="4">
        <v>0.13</v>
      </c>
      <c r="I1226" s="4" t="s">
        <v>1998</v>
      </c>
      <c r="J1226" s="10">
        <v>373.56060000000002</v>
      </c>
      <c r="K1226" s="4" t="str">
        <f t="shared" si="133"/>
        <v>18-10-2023</v>
      </c>
      <c r="L1226" s="4" t="str">
        <f>TEXT(Sales_Fact!$B1226,"mmm")</f>
        <v>Oct</v>
      </c>
      <c r="M1226" s="4">
        <f t="shared" si="134"/>
        <v>1</v>
      </c>
      <c r="N1226" s="10">
        <f t="shared" si="135"/>
        <v>429.38</v>
      </c>
      <c r="O1226" s="10">
        <f t="shared" si="136"/>
        <v>373.56060000000002</v>
      </c>
      <c r="P1226" s="10">
        <f t="shared" si="137"/>
        <v>429.38</v>
      </c>
      <c r="Q1226" s="3">
        <f t="shared" si="138"/>
        <v>0.12999999999999995</v>
      </c>
      <c r="R1226" s="4" t="str">
        <f>IF(Sales_Fact!$O1226&gt;1000,"High","Low")</f>
        <v>Low</v>
      </c>
      <c r="S1226" s="4" t="str">
        <f>VLOOKUP(C1226,Customer_Dim!$A:$N,9,FALSE())</f>
        <v>Joshua Ryan</v>
      </c>
      <c r="T1226" s="4" t="str">
        <f>VLOOKUP(D1226,Product_Dim!$A:$M,3,FALSE())</f>
        <v>Clothing</v>
      </c>
      <c r="U1226" s="11" t="str">
        <f>VLOOKUP(D1226,Product_Dim!$A:$M,2,FALSE())</f>
        <v>Men's Leather Belt</v>
      </c>
      <c r="V1226" s="11" t="str">
        <f>VLOOKUP(E1226,Store_Dim!$A:$E,3,FALSE())</f>
        <v>East</v>
      </c>
      <c r="W1226" s="11" t="str">
        <f>VLOOKUP(C1226,Customer_Dim!$A:$N,13,FALSE())</f>
        <v>Platinum</v>
      </c>
      <c r="X1226" s="11" t="str">
        <f t="shared" si="139"/>
        <v>Low</v>
      </c>
    </row>
    <row r="1227" spans="1:24" ht="15.75" customHeight="1">
      <c r="A1227" s="4" t="s">
        <v>3223</v>
      </c>
      <c r="B1227" s="9">
        <v>45268</v>
      </c>
      <c r="C1227" s="4" t="s">
        <v>673</v>
      </c>
      <c r="D1227" s="4" t="s">
        <v>1629</v>
      </c>
      <c r="E1227" s="4" t="s">
        <v>1959</v>
      </c>
      <c r="F1227" s="4">
        <v>4</v>
      </c>
      <c r="G1227" s="4">
        <v>889.47</v>
      </c>
      <c r="H1227" s="4">
        <v>0.24</v>
      </c>
      <c r="I1227" s="4" t="s">
        <v>1996</v>
      </c>
      <c r="J1227" s="10">
        <v>2703.9888000000001</v>
      </c>
      <c r="K1227" s="4" t="str">
        <f t="shared" si="133"/>
        <v>08-12-2023</v>
      </c>
      <c r="L1227" s="4" t="str">
        <f>TEXT(Sales_Fact!$B1227,"mmm")</f>
        <v>Dec</v>
      </c>
      <c r="M1227" s="4">
        <f t="shared" si="134"/>
        <v>4</v>
      </c>
      <c r="N1227" s="10">
        <f t="shared" si="135"/>
        <v>889.47</v>
      </c>
      <c r="O1227" s="10">
        <f t="shared" si="136"/>
        <v>2703.9888000000001</v>
      </c>
      <c r="P1227" s="10">
        <f t="shared" si="137"/>
        <v>3557.88</v>
      </c>
      <c r="Q1227" s="3">
        <f t="shared" si="138"/>
        <v>0.24</v>
      </c>
      <c r="R1227" s="4" t="str">
        <f>IF(Sales_Fact!$O1227&gt;1000,"High","Low")</f>
        <v>High</v>
      </c>
      <c r="S1227" s="4" t="str">
        <f>VLOOKUP(C1227,Customer_Dim!$A:$N,9,FALSE())</f>
        <v>Wanda Snyder</v>
      </c>
      <c r="T1227" s="4" t="str">
        <f>VLOOKUP(D1227,Product_Dim!$A:$M,3,FALSE())</f>
        <v>Beauty</v>
      </c>
      <c r="U1227" s="11" t="str">
        <f>VLOOKUP(D1227,Product_Dim!$A:$M,2,FALSE())</f>
        <v>Hair Strengthening Shampoo</v>
      </c>
      <c r="V1227" s="11" t="str">
        <f>VLOOKUP(E1227,Store_Dim!$A:$E,3,FALSE())</f>
        <v>North</v>
      </c>
      <c r="W1227" s="11" t="str">
        <f>VLOOKUP(C1227,Customer_Dim!$A:$N,13,FALSE())</f>
        <v>Bronze</v>
      </c>
      <c r="X1227" s="11" t="str">
        <f t="shared" si="139"/>
        <v>High</v>
      </c>
    </row>
    <row r="1228" spans="1:24" ht="15.75" customHeight="1">
      <c r="A1228" s="4" t="s">
        <v>3224</v>
      </c>
      <c r="B1228" s="9">
        <v>45596</v>
      </c>
      <c r="C1228" s="4" t="s">
        <v>139</v>
      </c>
      <c r="D1228" s="4" t="s">
        <v>1828</v>
      </c>
      <c r="E1228" s="4" t="s">
        <v>1950</v>
      </c>
      <c r="F1228" s="4">
        <v>3</v>
      </c>
      <c r="G1228" s="4">
        <v>803.76</v>
      </c>
      <c r="H1228" s="4">
        <v>0.19</v>
      </c>
      <c r="I1228" s="4" t="s">
        <v>2004</v>
      </c>
      <c r="J1228" s="10">
        <v>1953.1368</v>
      </c>
      <c r="K1228" s="4" t="str">
        <f t="shared" si="133"/>
        <v>31-10-2024</v>
      </c>
      <c r="L1228" s="4" t="str">
        <f>TEXT(Sales_Fact!$B1228,"mmm")</f>
        <v>Oct</v>
      </c>
      <c r="M1228" s="4">
        <f t="shared" si="134"/>
        <v>3</v>
      </c>
      <c r="N1228" s="10">
        <f t="shared" si="135"/>
        <v>803.76</v>
      </c>
      <c r="O1228" s="10">
        <f t="shared" si="136"/>
        <v>1953.1368</v>
      </c>
      <c r="P1228" s="10">
        <f t="shared" si="137"/>
        <v>2411.2799999999997</v>
      </c>
      <c r="Q1228" s="3">
        <f t="shared" si="138"/>
        <v>0.18999999999999992</v>
      </c>
      <c r="R1228" s="4" t="str">
        <f>IF(Sales_Fact!$O1228&gt;1000,"High","Low")</f>
        <v>High</v>
      </c>
      <c r="S1228" s="4" t="str">
        <f>VLOOKUP(C1228,Customer_Dim!$A:$N,9,FALSE())</f>
        <v>Joshua Ryan</v>
      </c>
      <c r="T1228" s="4" t="str">
        <f>VLOOKUP(D1228,Product_Dim!$A:$M,3,FALSE())</f>
        <v>Electronics</v>
      </c>
      <c r="U1228" s="11" t="str">
        <f>VLOOKUP(D1228,Product_Dim!$A:$M,2,FALSE())</f>
        <v>Bluetooth Car Audio System</v>
      </c>
      <c r="V1228" s="11" t="str">
        <f>VLOOKUP(E1228,Store_Dim!$A:$E,3,FALSE())</f>
        <v>South</v>
      </c>
      <c r="W1228" s="11" t="str">
        <f>VLOOKUP(C1228,Customer_Dim!$A:$N,13,FALSE())</f>
        <v>Platinum</v>
      </c>
      <c r="X1228" s="11" t="str">
        <f t="shared" si="139"/>
        <v>Low</v>
      </c>
    </row>
    <row r="1229" spans="1:24" ht="15.75" customHeight="1">
      <c r="A1229" s="4" t="s">
        <v>3225</v>
      </c>
      <c r="B1229" s="9">
        <v>45624</v>
      </c>
      <c r="C1229" s="4" t="s">
        <v>1472</v>
      </c>
      <c r="D1229" s="4" t="s">
        <v>1831</v>
      </c>
      <c r="E1229" s="4" t="s">
        <v>1931</v>
      </c>
      <c r="F1229" s="4">
        <v>2</v>
      </c>
      <c r="G1229" s="4">
        <v>865.14</v>
      </c>
      <c r="H1229" s="4">
        <v>0.2</v>
      </c>
      <c r="I1229" s="4" t="s">
        <v>1998</v>
      </c>
      <c r="J1229" s="10">
        <v>1384.2239999999999</v>
      </c>
      <c r="K1229" s="4" t="str">
        <f t="shared" si="133"/>
        <v>28-11-2024</v>
      </c>
      <c r="L1229" s="4" t="str">
        <f>TEXT(Sales_Fact!$B1229,"mmm")</f>
        <v>Nov</v>
      </c>
      <c r="M1229" s="4">
        <f t="shared" si="134"/>
        <v>2</v>
      </c>
      <c r="N1229" s="10">
        <f t="shared" si="135"/>
        <v>865.14</v>
      </c>
      <c r="O1229" s="10">
        <f t="shared" si="136"/>
        <v>1384.2240000000002</v>
      </c>
      <c r="P1229" s="10">
        <f t="shared" si="137"/>
        <v>1730.28</v>
      </c>
      <c r="Q1229" s="3">
        <f t="shared" si="138"/>
        <v>0.1999999999999999</v>
      </c>
      <c r="R1229" s="4" t="str">
        <f>IF(Sales_Fact!$O1229&gt;1000,"High","Low")</f>
        <v>High</v>
      </c>
      <c r="S1229" s="4" t="str">
        <f>VLOOKUP(C1229,Customer_Dim!$A:$N,9,FALSE())</f>
        <v>Gregory Curtis</v>
      </c>
      <c r="T1229" s="4" t="str">
        <f>VLOOKUP(D1229,Product_Dim!$A:$M,3,FALSE())</f>
        <v>Clothing</v>
      </c>
      <c r="U1229" s="11" t="str">
        <f>VLOOKUP(D1229,Product_Dim!$A:$M,2,FALSE())</f>
        <v>Women's Ankle Boots</v>
      </c>
      <c r="V1229" s="11" t="str">
        <f>VLOOKUP(E1229,Store_Dim!$A:$E,3,FALSE())</f>
        <v>North</v>
      </c>
      <c r="W1229" s="11" t="str">
        <f>VLOOKUP(C1229,Customer_Dim!$A:$N,13,FALSE())</f>
        <v>Bronze</v>
      </c>
      <c r="X1229" s="11" t="str">
        <f t="shared" si="139"/>
        <v>Low</v>
      </c>
    </row>
    <row r="1230" spans="1:24" ht="15.75" customHeight="1">
      <c r="A1230" s="4" t="s">
        <v>3226</v>
      </c>
      <c r="B1230" s="9">
        <v>45813</v>
      </c>
      <c r="C1230" s="4" t="s">
        <v>368</v>
      </c>
      <c r="D1230" s="4" t="s">
        <v>1693</v>
      </c>
      <c r="E1230" s="4" t="s">
        <v>1944</v>
      </c>
      <c r="F1230" s="4">
        <v>2</v>
      </c>
      <c r="G1230" s="4">
        <v>916.49</v>
      </c>
      <c r="H1230" s="4">
        <v>0.3</v>
      </c>
      <c r="I1230" s="4" t="s">
        <v>2004</v>
      </c>
      <c r="J1230" s="10">
        <v>1283.086</v>
      </c>
      <c r="K1230" s="4" t="str">
        <f t="shared" si="133"/>
        <v>05-06-2025</v>
      </c>
      <c r="L1230" s="4" t="str">
        <f>TEXT(Sales_Fact!$B1230,"mmm")</f>
        <v>Jun</v>
      </c>
      <c r="M1230" s="4">
        <f t="shared" si="134"/>
        <v>2</v>
      </c>
      <c r="N1230" s="10">
        <f t="shared" si="135"/>
        <v>916.49</v>
      </c>
      <c r="O1230" s="10">
        <f t="shared" si="136"/>
        <v>1283.086</v>
      </c>
      <c r="P1230" s="10">
        <f t="shared" si="137"/>
        <v>1832.98</v>
      </c>
      <c r="Q1230" s="3">
        <f t="shared" si="138"/>
        <v>0.3</v>
      </c>
      <c r="R1230" s="4" t="str">
        <f>IF(Sales_Fact!$O1230&gt;1000,"High","Low")</f>
        <v>High</v>
      </c>
      <c r="S1230" s="4" t="str">
        <f>VLOOKUP(C1230,Customer_Dim!$A:$N,9,FALSE())</f>
        <v>David Cobb</v>
      </c>
      <c r="T1230" s="4" t="str">
        <f>VLOOKUP(D1230,Product_Dim!$A:$M,3,FALSE())</f>
        <v>Sports</v>
      </c>
      <c r="U1230" s="11" t="str">
        <f>VLOOKUP(D1230,Product_Dim!$A:$M,2,FALSE())</f>
        <v>Basketball</v>
      </c>
      <c r="V1230" s="11" t="str">
        <f>VLOOKUP(E1230,Store_Dim!$A:$E,3,FALSE())</f>
        <v>South</v>
      </c>
      <c r="W1230" s="11" t="str">
        <f>VLOOKUP(C1230,Customer_Dim!$A:$N,13,FALSE())</f>
        <v>Silver</v>
      </c>
      <c r="X1230" s="11" t="str">
        <f t="shared" si="139"/>
        <v>Low</v>
      </c>
    </row>
    <row r="1231" spans="1:24" ht="15.75" customHeight="1">
      <c r="A1231" s="4" t="s">
        <v>3227</v>
      </c>
      <c r="B1231" s="9">
        <v>45615</v>
      </c>
      <c r="C1231" s="4" t="s">
        <v>185</v>
      </c>
      <c r="D1231" s="4" t="s">
        <v>1758</v>
      </c>
      <c r="E1231" s="4" t="s">
        <v>1952</v>
      </c>
      <c r="F1231" s="4">
        <v>3</v>
      </c>
      <c r="G1231" s="4">
        <v>781.39</v>
      </c>
      <c r="H1231" s="4">
        <v>0.12</v>
      </c>
      <c r="I1231" s="4" t="s">
        <v>1996</v>
      </c>
      <c r="J1231" s="10">
        <v>2062.8696</v>
      </c>
      <c r="K1231" s="4" t="str">
        <f t="shared" si="133"/>
        <v>19-11-2024</v>
      </c>
      <c r="L1231" s="4" t="str">
        <f>TEXT(Sales_Fact!$B1231,"mmm")</f>
        <v>Nov</v>
      </c>
      <c r="M1231" s="4">
        <f t="shared" si="134"/>
        <v>3</v>
      </c>
      <c r="N1231" s="10">
        <f t="shared" si="135"/>
        <v>781.39</v>
      </c>
      <c r="O1231" s="10">
        <f t="shared" si="136"/>
        <v>2062.8696</v>
      </c>
      <c r="P1231" s="10">
        <f t="shared" si="137"/>
        <v>2344.17</v>
      </c>
      <c r="Q1231" s="3">
        <f t="shared" si="138"/>
        <v>0.12000000000000004</v>
      </c>
      <c r="R1231" s="4" t="str">
        <f>IF(Sales_Fact!$O1231&gt;1000,"High","Low")</f>
        <v>High</v>
      </c>
      <c r="S1231" s="4" t="str">
        <f>VLOOKUP(C1231,Customer_Dim!$A:$N,9,FALSE())</f>
        <v>William Martin</v>
      </c>
      <c r="T1231" s="4" t="str">
        <f>VLOOKUP(D1231,Product_Dim!$A:$M,3,FALSE())</f>
        <v>Electronics</v>
      </c>
      <c r="U1231" s="11" t="str">
        <f>VLOOKUP(D1231,Product_Dim!$A:$M,2,FALSE())</f>
        <v>HDMI Cable – 2m</v>
      </c>
      <c r="V1231" s="11" t="str">
        <f>VLOOKUP(E1231,Store_Dim!$A:$E,3,FALSE())</f>
        <v>North</v>
      </c>
      <c r="W1231" s="11" t="str">
        <f>VLOOKUP(C1231,Customer_Dim!$A:$N,13,FALSE())</f>
        <v>Platinum</v>
      </c>
      <c r="X1231" s="11" t="str">
        <f t="shared" si="139"/>
        <v>Low</v>
      </c>
    </row>
    <row r="1232" spans="1:24" ht="15.75" customHeight="1">
      <c r="A1232" s="4" t="s">
        <v>3228</v>
      </c>
      <c r="B1232" s="9">
        <v>45431</v>
      </c>
      <c r="C1232" s="4" t="s">
        <v>712</v>
      </c>
      <c r="D1232" s="4" t="s">
        <v>1716</v>
      </c>
      <c r="E1232" s="4" t="s">
        <v>1952</v>
      </c>
      <c r="F1232" s="4">
        <v>4</v>
      </c>
      <c r="G1232" s="4">
        <v>619.74</v>
      </c>
      <c r="H1232" s="4">
        <v>0.13</v>
      </c>
      <c r="I1232" s="4" t="s">
        <v>2004</v>
      </c>
      <c r="J1232" s="10">
        <v>2156.6952000000001</v>
      </c>
      <c r="K1232" s="4" t="str">
        <f t="shared" si="133"/>
        <v>19-05-2024</v>
      </c>
      <c r="L1232" s="4" t="str">
        <f>TEXT(Sales_Fact!$B1232,"mmm")</f>
        <v>May</v>
      </c>
      <c r="M1232" s="4">
        <f t="shared" si="134"/>
        <v>4</v>
      </c>
      <c r="N1232" s="10">
        <f t="shared" si="135"/>
        <v>619.74</v>
      </c>
      <c r="O1232" s="10">
        <f t="shared" si="136"/>
        <v>2156.6952000000001</v>
      </c>
      <c r="P1232" s="10">
        <f t="shared" si="137"/>
        <v>2478.96</v>
      </c>
      <c r="Q1232" s="3">
        <f t="shared" si="138"/>
        <v>0.12999999999999998</v>
      </c>
      <c r="R1232" s="4" t="str">
        <f>IF(Sales_Fact!$O1232&gt;1000,"High","Low")</f>
        <v>High</v>
      </c>
      <c r="S1232" s="4" t="str">
        <f>VLOOKUP(C1232,Customer_Dim!$A:$N,9,FALSE())</f>
        <v>Rodney Huffman</v>
      </c>
      <c r="T1232" s="4" t="str">
        <f>VLOOKUP(D1232,Product_Dim!$A:$M,3,FALSE())</f>
        <v>Sports</v>
      </c>
      <c r="U1232" s="11" t="str">
        <f>VLOOKUP(D1232,Product_Dim!$A:$M,2,FALSE())</f>
        <v>Sports Water Hydration Pack</v>
      </c>
      <c r="V1232" s="11" t="str">
        <f>VLOOKUP(E1232,Store_Dim!$A:$E,3,FALSE())</f>
        <v>North</v>
      </c>
      <c r="W1232" s="11" t="str">
        <f>VLOOKUP(C1232,Customer_Dim!$A:$N,13,FALSE())</f>
        <v>Silver</v>
      </c>
      <c r="X1232" s="11" t="str">
        <f t="shared" si="139"/>
        <v>High</v>
      </c>
    </row>
    <row r="1233" spans="1:24" ht="15.75" customHeight="1">
      <c r="A1233" s="4" t="s">
        <v>3229</v>
      </c>
      <c r="B1233" s="9">
        <v>45679</v>
      </c>
      <c r="C1233" s="4" t="s">
        <v>1510</v>
      </c>
      <c r="D1233" s="4" t="s">
        <v>1791</v>
      </c>
      <c r="E1233" s="4" t="s">
        <v>1957</v>
      </c>
      <c r="F1233" s="4">
        <v>2</v>
      </c>
      <c r="G1233" s="4">
        <v>837.76</v>
      </c>
      <c r="H1233" s="4">
        <v>0.03</v>
      </c>
      <c r="I1233" s="4" t="s">
        <v>2004</v>
      </c>
      <c r="J1233" s="10">
        <v>1625.2544</v>
      </c>
      <c r="K1233" s="4" t="str">
        <f t="shared" si="133"/>
        <v>22-01-2025</v>
      </c>
      <c r="L1233" s="4" t="str">
        <f>TEXT(Sales_Fact!$B1233,"mmm")</f>
        <v>Jan</v>
      </c>
      <c r="M1233" s="4">
        <f t="shared" si="134"/>
        <v>2</v>
      </c>
      <c r="N1233" s="10">
        <f t="shared" si="135"/>
        <v>837.76</v>
      </c>
      <c r="O1233" s="10">
        <f t="shared" si="136"/>
        <v>1625.2544</v>
      </c>
      <c r="P1233" s="10">
        <f t="shared" si="137"/>
        <v>1675.52</v>
      </c>
      <c r="Q1233" s="3">
        <f t="shared" si="138"/>
        <v>2.9999999999999971E-2</v>
      </c>
      <c r="R1233" s="4" t="str">
        <f>IF(Sales_Fact!$O1233&gt;1000,"High","Low")</f>
        <v>High</v>
      </c>
      <c r="S1233" s="4" t="str">
        <f>VLOOKUP(C1233,Customer_Dim!$A:$N,9,FALSE())</f>
        <v>Bryan Tran</v>
      </c>
      <c r="T1233" s="4" t="str">
        <f>VLOOKUP(D1233,Product_Dim!$A:$M,3,FALSE())</f>
        <v>Electronics</v>
      </c>
      <c r="U1233" s="11" t="str">
        <f>VLOOKUP(D1233,Product_Dim!$A:$M,2,FALSE())</f>
        <v>Laptop Cooling Pad</v>
      </c>
      <c r="V1233" s="11" t="str">
        <f>VLOOKUP(E1233,Store_Dim!$A:$E,3,FALSE())</f>
        <v>South</v>
      </c>
      <c r="W1233" s="11" t="str">
        <f>VLOOKUP(C1233,Customer_Dim!$A:$N,13,FALSE())</f>
        <v>Gold</v>
      </c>
      <c r="X1233" s="11" t="str">
        <f t="shared" si="139"/>
        <v>Low</v>
      </c>
    </row>
    <row r="1234" spans="1:24" ht="15.75" customHeight="1">
      <c r="A1234" s="4" t="s">
        <v>3230</v>
      </c>
      <c r="B1234" s="9">
        <v>45842</v>
      </c>
      <c r="C1234" s="4" t="s">
        <v>1424</v>
      </c>
      <c r="D1234" s="4" t="s">
        <v>1876</v>
      </c>
      <c r="E1234" s="4" t="s">
        <v>1915</v>
      </c>
      <c r="F1234" s="4">
        <v>3</v>
      </c>
      <c r="G1234" s="4">
        <v>135.94</v>
      </c>
      <c r="H1234" s="4">
        <v>0.2</v>
      </c>
      <c r="I1234" s="4" t="s">
        <v>1996</v>
      </c>
      <c r="J1234" s="10">
        <v>326.25599999999997</v>
      </c>
      <c r="K1234" s="4" t="str">
        <f t="shared" si="133"/>
        <v>04-07-2025</v>
      </c>
      <c r="L1234" s="4" t="str">
        <f>TEXT(Sales_Fact!$B1234,"mmm")</f>
        <v>Jul</v>
      </c>
      <c r="M1234" s="4">
        <f t="shared" si="134"/>
        <v>3</v>
      </c>
      <c r="N1234" s="10">
        <f t="shared" si="135"/>
        <v>135.94</v>
      </c>
      <c r="O1234" s="10">
        <f t="shared" si="136"/>
        <v>326.25600000000003</v>
      </c>
      <c r="P1234" s="10">
        <f t="shared" si="137"/>
        <v>407.82</v>
      </c>
      <c r="Q1234" s="3">
        <f t="shared" si="138"/>
        <v>0.19999999999999993</v>
      </c>
      <c r="R1234" s="4" t="str">
        <f>IF(Sales_Fact!$O1234&gt;1000,"High","Low")</f>
        <v>Low</v>
      </c>
      <c r="S1234" s="4" t="str">
        <f>VLOOKUP(C1234,Customer_Dim!$A:$N,9,FALSE())</f>
        <v>Ashley Roberts</v>
      </c>
      <c r="T1234" s="4" t="str">
        <f>VLOOKUP(D1234,Product_Dim!$A:$M,3,FALSE())</f>
        <v>Electronics</v>
      </c>
      <c r="U1234" s="11" t="str">
        <f>VLOOKUP(D1234,Product_Dim!$A:$M,2,FALSE())</f>
        <v>Gaming Mouse Pad XL</v>
      </c>
      <c r="V1234" s="11" t="str">
        <f>VLOOKUP(E1234,Store_Dim!$A:$E,3,FALSE())</f>
        <v>North</v>
      </c>
      <c r="W1234" s="11" t="str">
        <f>VLOOKUP(C1234,Customer_Dim!$A:$N,13,FALSE())</f>
        <v>Gold</v>
      </c>
      <c r="X1234" s="11" t="str">
        <f t="shared" si="139"/>
        <v>Low</v>
      </c>
    </row>
    <row r="1235" spans="1:24" ht="15.75" customHeight="1">
      <c r="A1235" s="4" t="s">
        <v>3231</v>
      </c>
      <c r="B1235" s="9">
        <v>45796</v>
      </c>
      <c r="C1235" s="4" t="s">
        <v>1504</v>
      </c>
      <c r="D1235" s="4" t="s">
        <v>1828</v>
      </c>
      <c r="E1235" s="4" t="s">
        <v>1915</v>
      </c>
      <c r="F1235" s="4">
        <v>4</v>
      </c>
      <c r="G1235" s="4">
        <v>396.53</v>
      </c>
      <c r="H1235" s="4">
        <v>7.0000000000000007E-2</v>
      </c>
      <c r="I1235" s="4" t="s">
        <v>1998</v>
      </c>
      <c r="J1235" s="10">
        <v>1475.0916</v>
      </c>
      <c r="K1235" s="4" t="str">
        <f t="shared" si="133"/>
        <v>19-05-2025</v>
      </c>
      <c r="L1235" s="4" t="str">
        <f>TEXT(Sales_Fact!$B1235,"mmm")</f>
        <v>May</v>
      </c>
      <c r="M1235" s="4">
        <f t="shared" si="134"/>
        <v>4</v>
      </c>
      <c r="N1235" s="10">
        <f t="shared" si="135"/>
        <v>396.53</v>
      </c>
      <c r="O1235" s="10">
        <f t="shared" si="136"/>
        <v>1475.0915999999997</v>
      </c>
      <c r="P1235" s="10">
        <f t="shared" si="137"/>
        <v>1586.12</v>
      </c>
      <c r="Q1235" s="3">
        <f t="shared" si="138"/>
        <v>7.0000000000000104E-2</v>
      </c>
      <c r="R1235" s="4" t="str">
        <f>IF(Sales_Fact!$O1235&gt;1000,"High","Low")</f>
        <v>High</v>
      </c>
      <c r="S1235" s="4" t="str">
        <f>VLOOKUP(C1235,Customer_Dim!$A:$N,9,FALSE())</f>
        <v>Dylan Gutierrez</v>
      </c>
      <c r="T1235" s="4" t="str">
        <f>VLOOKUP(D1235,Product_Dim!$A:$M,3,FALSE())</f>
        <v>Electronics</v>
      </c>
      <c r="U1235" s="11" t="str">
        <f>VLOOKUP(D1235,Product_Dim!$A:$M,2,FALSE())</f>
        <v>Bluetooth Car Audio System</v>
      </c>
      <c r="V1235" s="11" t="str">
        <f>VLOOKUP(E1235,Store_Dim!$A:$E,3,FALSE())</f>
        <v>North</v>
      </c>
      <c r="W1235" s="11" t="str">
        <f>VLOOKUP(C1235,Customer_Dim!$A:$N,13,FALSE())</f>
        <v>Bronze</v>
      </c>
      <c r="X1235" s="11" t="str">
        <f t="shared" si="139"/>
        <v>High</v>
      </c>
    </row>
    <row r="1236" spans="1:24" ht="15.75" customHeight="1">
      <c r="A1236" s="4" t="s">
        <v>3232</v>
      </c>
      <c r="B1236" s="9">
        <v>45264</v>
      </c>
      <c r="C1236" s="4" t="s">
        <v>739</v>
      </c>
      <c r="D1236" s="4" t="s">
        <v>1687</v>
      </c>
      <c r="E1236" s="4" t="s">
        <v>1957</v>
      </c>
      <c r="F1236" s="4">
        <v>2</v>
      </c>
      <c r="G1236" s="4">
        <v>722.45</v>
      </c>
      <c r="H1236" s="4">
        <v>0.22</v>
      </c>
      <c r="I1236" s="4" t="s">
        <v>1998</v>
      </c>
      <c r="J1236" s="10">
        <v>1127.0219999999999</v>
      </c>
      <c r="K1236" s="4" t="str">
        <f t="shared" si="133"/>
        <v>04-12-2023</v>
      </c>
      <c r="L1236" s="4" t="str">
        <f>TEXT(Sales_Fact!$B1236,"mmm")</f>
        <v>Dec</v>
      </c>
      <c r="M1236" s="4">
        <f t="shared" si="134"/>
        <v>2</v>
      </c>
      <c r="N1236" s="10">
        <f t="shared" si="135"/>
        <v>722.45</v>
      </c>
      <c r="O1236" s="10">
        <f t="shared" si="136"/>
        <v>1127.0220000000002</v>
      </c>
      <c r="P1236" s="10">
        <f t="shared" si="137"/>
        <v>1444.9</v>
      </c>
      <c r="Q1236" s="3">
        <f t="shared" si="138"/>
        <v>0.21999999999999995</v>
      </c>
      <c r="R1236" s="4" t="str">
        <f>IF(Sales_Fact!$O1236&gt;1000,"High","Low")</f>
        <v>High</v>
      </c>
      <c r="S1236" s="4" t="str">
        <f>VLOOKUP(C1236,Customer_Dim!$A:$N,9,FALSE())</f>
        <v>George Davis</v>
      </c>
      <c r="T1236" s="4" t="str">
        <f>VLOOKUP(D1236,Product_Dim!$A:$M,3,FALSE())</f>
        <v>Home</v>
      </c>
      <c r="U1236" s="11" t="str">
        <f>VLOOKUP(D1236,Product_Dim!$A:$M,2,FALSE())</f>
        <v>Fabric Sofa Throw Blanket</v>
      </c>
      <c r="V1236" s="11" t="str">
        <f>VLOOKUP(E1236,Store_Dim!$A:$E,3,FALSE())</f>
        <v>South</v>
      </c>
      <c r="W1236" s="11" t="str">
        <f>VLOOKUP(C1236,Customer_Dim!$A:$N,13,FALSE())</f>
        <v>Bronze</v>
      </c>
      <c r="X1236" s="11" t="str">
        <f t="shared" si="139"/>
        <v>Low</v>
      </c>
    </row>
    <row r="1237" spans="1:24" ht="15.75" customHeight="1">
      <c r="A1237" s="4" t="s">
        <v>3233</v>
      </c>
      <c r="B1237" s="9">
        <v>45593</v>
      </c>
      <c r="C1237" s="4" t="s">
        <v>1310</v>
      </c>
      <c r="D1237" s="4" t="s">
        <v>1764</v>
      </c>
      <c r="E1237" s="4" t="s">
        <v>1952</v>
      </c>
      <c r="F1237" s="4">
        <v>2</v>
      </c>
      <c r="G1237" s="4">
        <v>148.96</v>
      </c>
      <c r="H1237" s="4">
        <v>0.03</v>
      </c>
      <c r="I1237" s="4" t="s">
        <v>2004</v>
      </c>
      <c r="J1237" s="10">
        <v>288.98239999999998</v>
      </c>
      <c r="K1237" s="4" t="str">
        <f t="shared" si="133"/>
        <v>28-10-2024</v>
      </c>
      <c r="L1237" s="4" t="str">
        <f>TEXT(Sales_Fact!$B1237,"mmm")</f>
        <v>Oct</v>
      </c>
      <c r="M1237" s="4">
        <f t="shared" si="134"/>
        <v>2</v>
      </c>
      <c r="N1237" s="10">
        <f t="shared" si="135"/>
        <v>148.96</v>
      </c>
      <c r="O1237" s="10">
        <f t="shared" si="136"/>
        <v>288.98239999999998</v>
      </c>
      <c r="P1237" s="10">
        <f t="shared" si="137"/>
        <v>297.92</v>
      </c>
      <c r="Q1237" s="3">
        <f t="shared" si="138"/>
        <v>3.0000000000000106E-2</v>
      </c>
      <c r="R1237" s="4" t="str">
        <f>IF(Sales_Fact!$O1237&gt;1000,"High","Low")</f>
        <v>Low</v>
      </c>
      <c r="S1237" s="4" t="str">
        <f>VLOOKUP(C1237,Customer_Dim!$A:$N,9,FALSE())</f>
        <v>Shane Brown</v>
      </c>
      <c r="T1237" s="4" t="str">
        <f>VLOOKUP(D1237,Product_Dim!$A:$M,3,FALSE())</f>
        <v>Clothing</v>
      </c>
      <c r="U1237" s="11" t="str">
        <f>VLOOKUP(D1237,Product_Dim!$A:$M,2,FALSE())</f>
        <v>Men's Track Pants</v>
      </c>
      <c r="V1237" s="11" t="str">
        <f>VLOOKUP(E1237,Store_Dim!$A:$E,3,FALSE())</f>
        <v>North</v>
      </c>
      <c r="W1237" s="11" t="str">
        <f>VLOOKUP(C1237,Customer_Dim!$A:$N,13,FALSE())</f>
        <v>Gold</v>
      </c>
      <c r="X1237" s="11" t="str">
        <f t="shared" si="139"/>
        <v>Low</v>
      </c>
    </row>
    <row r="1238" spans="1:24" ht="15.75" customHeight="1">
      <c r="A1238" s="4" t="s">
        <v>3234</v>
      </c>
      <c r="B1238" s="9">
        <v>45504</v>
      </c>
      <c r="C1238" s="4" t="s">
        <v>202</v>
      </c>
      <c r="D1238" s="4" t="s">
        <v>1797</v>
      </c>
      <c r="E1238" s="4" t="s">
        <v>1919</v>
      </c>
      <c r="F1238" s="4">
        <v>2</v>
      </c>
      <c r="G1238" s="4">
        <v>138.41</v>
      </c>
      <c r="H1238" s="4">
        <v>0.02</v>
      </c>
      <c r="I1238" s="4" t="s">
        <v>1996</v>
      </c>
      <c r="J1238" s="10">
        <v>271.28359999999998</v>
      </c>
      <c r="K1238" s="4" t="str">
        <f t="shared" si="133"/>
        <v>31-07-2024</v>
      </c>
      <c r="L1238" s="4" t="str">
        <f>TEXT(Sales_Fact!$B1238,"mmm")</f>
        <v>Jul</v>
      </c>
      <c r="M1238" s="4">
        <f t="shared" si="134"/>
        <v>2</v>
      </c>
      <c r="N1238" s="10">
        <f t="shared" si="135"/>
        <v>138.41</v>
      </c>
      <c r="O1238" s="10">
        <f t="shared" si="136"/>
        <v>271.28359999999998</v>
      </c>
      <c r="P1238" s="10">
        <f t="shared" si="137"/>
        <v>276.82</v>
      </c>
      <c r="Q1238" s="3">
        <f t="shared" si="138"/>
        <v>2.0000000000000052E-2</v>
      </c>
      <c r="R1238" s="4" t="str">
        <f>IF(Sales_Fact!$O1238&gt;1000,"High","Low")</f>
        <v>Low</v>
      </c>
      <c r="S1238" s="4" t="str">
        <f>VLOOKUP(C1238,Customer_Dim!$A:$N,9,FALSE())</f>
        <v>Gina Knight</v>
      </c>
      <c r="T1238" s="4" t="str">
        <f>VLOOKUP(D1238,Product_Dim!$A:$M,3,FALSE())</f>
        <v>Beauty</v>
      </c>
      <c r="U1238" s="11" t="str">
        <f>VLOOKUP(D1238,Product_Dim!$A:$M,2,FALSE())</f>
        <v>Matte Lipstick Set</v>
      </c>
      <c r="V1238" s="11" t="str">
        <f>VLOOKUP(E1238,Store_Dim!$A:$E,3,FALSE())</f>
        <v>South</v>
      </c>
      <c r="W1238" s="11" t="str">
        <f>VLOOKUP(C1238,Customer_Dim!$A:$N,13,FALSE())</f>
        <v>Silver</v>
      </c>
      <c r="X1238" s="11" t="str">
        <f t="shared" si="139"/>
        <v>Low</v>
      </c>
    </row>
    <row r="1239" spans="1:24" ht="15.75" customHeight="1">
      <c r="A1239" s="4" t="s">
        <v>3235</v>
      </c>
      <c r="B1239" s="9">
        <v>45679</v>
      </c>
      <c r="C1239" s="4" t="s">
        <v>457</v>
      </c>
      <c r="D1239" s="4" t="s">
        <v>1846</v>
      </c>
      <c r="E1239" s="4" t="s">
        <v>1919</v>
      </c>
      <c r="F1239" s="4">
        <v>4</v>
      </c>
      <c r="G1239" s="4">
        <v>741.51</v>
      </c>
      <c r="H1239" s="4">
        <v>0.09</v>
      </c>
      <c r="I1239" s="4" t="s">
        <v>2004</v>
      </c>
      <c r="J1239" s="10">
        <v>2699.0963999999999</v>
      </c>
      <c r="K1239" s="4" t="str">
        <f t="shared" si="133"/>
        <v>22-01-2025</v>
      </c>
      <c r="L1239" s="4" t="str">
        <f>TEXT(Sales_Fact!$B1239,"mmm")</f>
        <v>Jan</v>
      </c>
      <c r="M1239" s="4">
        <f t="shared" si="134"/>
        <v>4</v>
      </c>
      <c r="N1239" s="10">
        <f t="shared" si="135"/>
        <v>741.51</v>
      </c>
      <c r="O1239" s="10">
        <f t="shared" si="136"/>
        <v>2699.0963999999999</v>
      </c>
      <c r="P1239" s="10">
        <f t="shared" si="137"/>
        <v>2966.04</v>
      </c>
      <c r="Q1239" s="3">
        <f t="shared" si="138"/>
        <v>9.0000000000000024E-2</v>
      </c>
      <c r="R1239" s="4" t="str">
        <f>IF(Sales_Fact!$O1239&gt;1000,"High","Low")</f>
        <v>High</v>
      </c>
      <c r="S1239" s="4" t="str">
        <f>VLOOKUP(C1239,Customer_Dim!$A:$N,9,FALSE())</f>
        <v>James Wolfe</v>
      </c>
      <c r="T1239" s="4" t="str">
        <f>VLOOKUP(D1239,Product_Dim!$A:$M,3,FALSE())</f>
        <v>Home</v>
      </c>
      <c r="U1239" s="11" t="str">
        <f>VLOOKUP(D1239,Product_Dim!$A:$M,2,FALSE())</f>
        <v>Wall-Mounted Spice Rack</v>
      </c>
      <c r="V1239" s="11" t="str">
        <f>VLOOKUP(E1239,Store_Dim!$A:$E,3,FALSE())</f>
        <v>South</v>
      </c>
      <c r="W1239" s="11" t="str">
        <f>VLOOKUP(C1239,Customer_Dim!$A:$N,13,FALSE())</f>
        <v>Gold</v>
      </c>
      <c r="X1239" s="11" t="str">
        <f t="shared" si="139"/>
        <v>High</v>
      </c>
    </row>
    <row r="1240" spans="1:24" ht="15.75" customHeight="1">
      <c r="A1240" s="4" t="s">
        <v>3236</v>
      </c>
      <c r="B1240" s="9">
        <v>45611</v>
      </c>
      <c r="C1240" s="4" t="s">
        <v>121</v>
      </c>
      <c r="D1240" s="4" t="s">
        <v>1846</v>
      </c>
      <c r="E1240" s="4" t="s">
        <v>1965</v>
      </c>
      <c r="F1240" s="4">
        <v>2</v>
      </c>
      <c r="G1240" s="4">
        <v>588.9</v>
      </c>
      <c r="H1240" s="4">
        <v>0.19</v>
      </c>
      <c r="I1240" s="4" t="s">
        <v>1998</v>
      </c>
      <c r="J1240" s="10">
        <v>954.01800000000003</v>
      </c>
      <c r="K1240" s="4" t="str">
        <f t="shared" si="133"/>
        <v>15-11-2024</v>
      </c>
      <c r="L1240" s="4" t="str">
        <f>TEXT(Sales_Fact!$B1240,"mmm")</f>
        <v>Nov</v>
      </c>
      <c r="M1240" s="4">
        <f t="shared" si="134"/>
        <v>2</v>
      </c>
      <c r="N1240" s="10">
        <f t="shared" si="135"/>
        <v>588.9</v>
      </c>
      <c r="O1240" s="10">
        <f t="shared" si="136"/>
        <v>954.01800000000003</v>
      </c>
      <c r="P1240" s="10">
        <f t="shared" si="137"/>
        <v>1177.8</v>
      </c>
      <c r="Q1240" s="3">
        <f t="shared" si="138"/>
        <v>0.18999999999999995</v>
      </c>
      <c r="R1240" s="4" t="str">
        <f>IF(Sales_Fact!$O1240&gt;1000,"High","Low")</f>
        <v>Low</v>
      </c>
      <c r="S1240" s="4" t="str">
        <f>VLOOKUP(C1240,Customer_Dim!$A:$N,9,FALSE())</f>
        <v>Jonathan Steele</v>
      </c>
      <c r="T1240" s="4" t="str">
        <f>VLOOKUP(D1240,Product_Dim!$A:$M,3,FALSE())</f>
        <v>Home</v>
      </c>
      <c r="U1240" s="11" t="str">
        <f>VLOOKUP(D1240,Product_Dim!$A:$M,2,FALSE())</f>
        <v>Wall-Mounted Spice Rack</v>
      </c>
      <c r="V1240" s="11" t="str">
        <f>VLOOKUP(E1240,Store_Dim!$A:$E,3,FALSE())</f>
        <v>North</v>
      </c>
      <c r="W1240" s="11" t="str">
        <f>VLOOKUP(C1240,Customer_Dim!$A:$N,13,FALSE())</f>
        <v>Silver</v>
      </c>
      <c r="X1240" s="11" t="str">
        <f t="shared" si="139"/>
        <v>Low</v>
      </c>
    </row>
    <row r="1241" spans="1:24" ht="15.75" customHeight="1">
      <c r="A1241" s="4" t="s">
        <v>3237</v>
      </c>
      <c r="B1241" s="9">
        <v>45389</v>
      </c>
      <c r="C1241" s="4" t="s">
        <v>988</v>
      </c>
      <c r="D1241" s="4" t="s">
        <v>1755</v>
      </c>
      <c r="E1241" s="4" t="s">
        <v>1919</v>
      </c>
      <c r="F1241" s="4">
        <v>1</v>
      </c>
      <c r="G1241" s="4">
        <v>88.92</v>
      </c>
      <c r="H1241" s="4">
        <v>0.19</v>
      </c>
      <c r="I1241" s="4" t="s">
        <v>1998</v>
      </c>
      <c r="J1241" s="10">
        <v>72.025199999999998</v>
      </c>
      <c r="K1241" s="4" t="str">
        <f t="shared" si="133"/>
        <v>07-04-2024</v>
      </c>
      <c r="L1241" s="4" t="str">
        <f>TEXT(Sales_Fact!$B1241,"mmm")</f>
        <v>Apr</v>
      </c>
      <c r="M1241" s="4">
        <f t="shared" si="134"/>
        <v>1</v>
      </c>
      <c r="N1241" s="10">
        <f t="shared" si="135"/>
        <v>88.92</v>
      </c>
      <c r="O1241" s="10">
        <f t="shared" si="136"/>
        <v>72.025200000000012</v>
      </c>
      <c r="P1241" s="10">
        <f t="shared" si="137"/>
        <v>88.92</v>
      </c>
      <c r="Q1241" s="3">
        <f t="shared" si="138"/>
        <v>0.18999999999999986</v>
      </c>
      <c r="R1241" s="4" t="str">
        <f>IF(Sales_Fact!$O1241&gt;1000,"High","Low")</f>
        <v>Low</v>
      </c>
      <c r="S1241" s="4" t="str">
        <f>VLOOKUP(C1241,Customer_Dim!$A:$N,9,FALSE())</f>
        <v>Miss Alexandria Li Dvm</v>
      </c>
      <c r="T1241" s="4" t="str">
        <f>VLOOKUP(D1241,Product_Dim!$A:$M,3,FALSE())</f>
        <v>Sports</v>
      </c>
      <c r="U1241" s="11" t="str">
        <f>VLOOKUP(D1241,Product_Dim!$A:$M,2,FALSE())</f>
        <v>Boxing Hand Wraps</v>
      </c>
      <c r="V1241" s="11" t="str">
        <f>VLOOKUP(E1241,Store_Dim!$A:$E,3,FALSE())</f>
        <v>South</v>
      </c>
      <c r="W1241" s="11" t="str">
        <f>VLOOKUP(C1241,Customer_Dim!$A:$N,13,FALSE())</f>
        <v>Silver</v>
      </c>
      <c r="X1241" s="11" t="str">
        <f t="shared" si="139"/>
        <v>Low</v>
      </c>
    </row>
    <row r="1242" spans="1:24" ht="15.75" customHeight="1">
      <c r="A1242" s="4" t="s">
        <v>3238</v>
      </c>
      <c r="B1242" s="9">
        <v>45339</v>
      </c>
      <c r="C1242" s="4" t="s">
        <v>432</v>
      </c>
      <c r="D1242" s="4" t="s">
        <v>1788</v>
      </c>
      <c r="E1242" s="4" t="s">
        <v>1962</v>
      </c>
      <c r="F1242" s="4">
        <v>1</v>
      </c>
      <c r="G1242" s="4">
        <v>299.13</v>
      </c>
      <c r="H1242" s="4">
        <v>0.1</v>
      </c>
      <c r="I1242" s="4" t="s">
        <v>2004</v>
      </c>
      <c r="J1242" s="10">
        <v>269.21699999999998</v>
      </c>
      <c r="K1242" s="4" t="str">
        <f t="shared" si="133"/>
        <v>17-02-2024</v>
      </c>
      <c r="L1242" s="4" t="str">
        <f>TEXT(Sales_Fact!$B1242,"mmm")</f>
        <v>Feb</v>
      </c>
      <c r="M1242" s="4">
        <f t="shared" si="134"/>
        <v>1</v>
      </c>
      <c r="N1242" s="10">
        <f t="shared" si="135"/>
        <v>299.13</v>
      </c>
      <c r="O1242" s="10">
        <f t="shared" si="136"/>
        <v>269.21699999999998</v>
      </c>
      <c r="P1242" s="10">
        <f t="shared" si="137"/>
        <v>299.13</v>
      </c>
      <c r="Q1242" s="3">
        <f t="shared" si="138"/>
        <v>0.10000000000000003</v>
      </c>
      <c r="R1242" s="4" t="str">
        <f>IF(Sales_Fact!$O1242&gt;1000,"High","Low")</f>
        <v>Low</v>
      </c>
      <c r="S1242" s="4" t="str">
        <f>VLOOKUP(C1242,Customer_Dim!$A:$N,9,FALSE())</f>
        <v>Earl Allen</v>
      </c>
      <c r="T1242" s="4" t="str">
        <f>VLOOKUP(D1242,Product_Dim!$A:$M,3,FALSE())</f>
        <v>Sports</v>
      </c>
      <c r="U1242" s="11" t="str">
        <f>VLOOKUP(D1242,Product_Dim!$A:$M,2,FALSE())</f>
        <v>Tennis Ball 3-Pack</v>
      </c>
      <c r="V1242" s="11" t="str">
        <f>VLOOKUP(E1242,Store_Dim!$A:$E,3,FALSE())</f>
        <v>West</v>
      </c>
      <c r="W1242" s="11" t="str">
        <f>VLOOKUP(C1242,Customer_Dim!$A:$N,13,FALSE())</f>
        <v>Platinum</v>
      </c>
      <c r="X1242" s="11" t="str">
        <f t="shared" si="139"/>
        <v>Low</v>
      </c>
    </row>
    <row r="1243" spans="1:24" ht="15.75" customHeight="1">
      <c r="A1243" s="4" t="s">
        <v>3239</v>
      </c>
      <c r="B1243" s="9">
        <v>45433</v>
      </c>
      <c r="C1243" s="4" t="s">
        <v>426</v>
      </c>
      <c r="D1243" s="4" t="s">
        <v>1837</v>
      </c>
      <c r="E1243" s="4" t="s">
        <v>1924</v>
      </c>
      <c r="F1243" s="4">
        <v>2</v>
      </c>
      <c r="G1243" s="4">
        <v>548.29999999999995</v>
      </c>
      <c r="H1243" s="4">
        <v>0.23</v>
      </c>
      <c r="I1243" s="4" t="s">
        <v>1996</v>
      </c>
      <c r="J1243" s="10">
        <v>844.38199999999995</v>
      </c>
      <c r="K1243" s="4" t="str">
        <f t="shared" si="133"/>
        <v>21-05-2024</v>
      </c>
      <c r="L1243" s="4" t="str">
        <f>TEXT(Sales_Fact!$B1243,"mmm")</f>
        <v>May</v>
      </c>
      <c r="M1243" s="4">
        <f t="shared" si="134"/>
        <v>2</v>
      </c>
      <c r="N1243" s="10">
        <f t="shared" si="135"/>
        <v>548.29999999999995</v>
      </c>
      <c r="O1243" s="10">
        <f t="shared" si="136"/>
        <v>844.38199999999995</v>
      </c>
      <c r="P1243" s="10">
        <f t="shared" si="137"/>
        <v>1096.5999999999999</v>
      </c>
      <c r="Q1243" s="3">
        <f t="shared" si="138"/>
        <v>0.22999999999999998</v>
      </c>
      <c r="R1243" s="4" t="str">
        <f>IF(Sales_Fact!$O1243&gt;1000,"High","Low")</f>
        <v>Low</v>
      </c>
      <c r="S1243" s="4" t="str">
        <f>VLOOKUP(C1243,Customer_Dim!$A:$N,9,FALSE())</f>
        <v>Anthony Phillips</v>
      </c>
      <c r="T1243" s="4" t="str">
        <f>VLOOKUP(D1243,Product_Dim!$A:$M,3,FALSE())</f>
        <v>Electronics</v>
      </c>
      <c r="U1243" s="11" t="str">
        <f>VLOOKUP(D1243,Product_Dim!$A:$M,2,FALSE())</f>
        <v>WiFi Mesh Router</v>
      </c>
      <c r="V1243" s="11" t="str">
        <f>VLOOKUP(E1243,Store_Dim!$A:$E,3,FALSE())</f>
        <v>North</v>
      </c>
      <c r="W1243" s="11" t="str">
        <f>VLOOKUP(C1243,Customer_Dim!$A:$N,13,FALSE())</f>
        <v>Platinum</v>
      </c>
      <c r="X1243" s="11" t="str">
        <f t="shared" si="139"/>
        <v>Low</v>
      </c>
    </row>
    <row r="1244" spans="1:24" ht="15.75" customHeight="1">
      <c r="A1244" s="4" t="s">
        <v>3240</v>
      </c>
      <c r="B1244" s="9">
        <v>45435</v>
      </c>
      <c r="C1244" s="4" t="s">
        <v>864</v>
      </c>
      <c r="D1244" s="4" t="s">
        <v>1767</v>
      </c>
      <c r="E1244" s="4" t="s">
        <v>1947</v>
      </c>
      <c r="F1244" s="4">
        <v>3</v>
      </c>
      <c r="G1244" s="4">
        <v>977.55</v>
      </c>
      <c r="H1244" s="4">
        <v>0.02</v>
      </c>
      <c r="I1244" s="4" t="s">
        <v>1998</v>
      </c>
      <c r="J1244" s="10">
        <v>2873.9969999999998</v>
      </c>
      <c r="K1244" s="4" t="str">
        <f t="shared" si="133"/>
        <v>23-05-2024</v>
      </c>
      <c r="L1244" s="4" t="str">
        <f>TEXT(Sales_Fact!$B1244,"mmm")</f>
        <v>May</v>
      </c>
      <c r="M1244" s="4">
        <f t="shared" si="134"/>
        <v>3</v>
      </c>
      <c r="N1244" s="10">
        <f t="shared" si="135"/>
        <v>977.55</v>
      </c>
      <c r="O1244" s="10">
        <f t="shared" si="136"/>
        <v>2873.9969999999994</v>
      </c>
      <c r="P1244" s="10">
        <f t="shared" si="137"/>
        <v>2932.6499999999996</v>
      </c>
      <c r="Q1244" s="3">
        <f t="shared" si="138"/>
        <v>2.0000000000000087E-2</v>
      </c>
      <c r="R1244" s="4" t="str">
        <f>IF(Sales_Fact!$O1244&gt;1000,"High","Low")</f>
        <v>High</v>
      </c>
      <c r="S1244" s="4" t="str">
        <f>VLOOKUP(C1244,Customer_Dim!$A:$N,9,FALSE())</f>
        <v>Katherine Cowan</v>
      </c>
      <c r="T1244" s="4" t="str">
        <f>VLOOKUP(D1244,Product_Dim!$A:$M,3,FALSE())</f>
        <v>Sports</v>
      </c>
      <c r="U1244" s="11" t="str">
        <f>VLOOKUP(D1244,Product_Dim!$A:$M,2,FALSE())</f>
        <v>Sports Stopwatch Pro</v>
      </c>
      <c r="V1244" s="11" t="str">
        <f>VLOOKUP(E1244,Store_Dim!$A:$E,3,FALSE())</f>
        <v>East</v>
      </c>
      <c r="W1244" s="11" t="str">
        <f>VLOOKUP(C1244,Customer_Dim!$A:$N,13,FALSE())</f>
        <v>Silver</v>
      </c>
      <c r="X1244" s="11" t="str">
        <f t="shared" si="139"/>
        <v>Low</v>
      </c>
    </row>
    <row r="1245" spans="1:24" ht="15.75" customHeight="1">
      <c r="A1245" s="4" t="s">
        <v>3241</v>
      </c>
      <c r="B1245" s="9">
        <v>45823</v>
      </c>
      <c r="C1245" s="4" t="s">
        <v>1114</v>
      </c>
      <c r="D1245" s="4" t="s">
        <v>1735</v>
      </c>
      <c r="E1245" s="4" t="s">
        <v>1968</v>
      </c>
      <c r="F1245" s="4">
        <v>1</v>
      </c>
      <c r="G1245" s="4">
        <v>459.42</v>
      </c>
      <c r="H1245" s="4">
        <v>0.28000000000000003</v>
      </c>
      <c r="I1245" s="4" t="s">
        <v>2004</v>
      </c>
      <c r="J1245" s="10">
        <v>330.7824</v>
      </c>
      <c r="K1245" s="4" t="str">
        <f t="shared" si="133"/>
        <v>15-06-2025</v>
      </c>
      <c r="L1245" s="4" t="str">
        <f>TEXT(Sales_Fact!$B1245,"mmm")</f>
        <v>Jun</v>
      </c>
      <c r="M1245" s="4">
        <f t="shared" si="134"/>
        <v>1</v>
      </c>
      <c r="N1245" s="10">
        <f t="shared" si="135"/>
        <v>459.42</v>
      </c>
      <c r="O1245" s="10">
        <f t="shared" si="136"/>
        <v>330.7824</v>
      </c>
      <c r="P1245" s="10">
        <f t="shared" si="137"/>
        <v>459.42</v>
      </c>
      <c r="Q1245" s="3">
        <f t="shared" si="138"/>
        <v>0.28000000000000003</v>
      </c>
      <c r="R1245" s="4" t="str">
        <f>IF(Sales_Fact!$O1245&gt;1000,"High","Low")</f>
        <v>Low</v>
      </c>
      <c r="S1245" s="4" t="str">
        <f>VLOOKUP(C1245,Customer_Dim!$A:$N,9,FALSE())</f>
        <v>John Jordan</v>
      </c>
      <c r="T1245" s="4" t="str">
        <f>VLOOKUP(D1245,Product_Dim!$A:$M,3,FALSE())</f>
        <v>Sports</v>
      </c>
      <c r="U1245" s="11" t="str">
        <f>VLOOKUP(D1245,Product_Dim!$A:$M,2,FALSE())</f>
        <v>Adjustable Jump Rope</v>
      </c>
      <c r="V1245" s="11" t="str">
        <f>VLOOKUP(E1245,Store_Dim!$A:$E,3,FALSE())</f>
        <v>East</v>
      </c>
      <c r="W1245" s="11" t="str">
        <f>VLOOKUP(C1245,Customer_Dim!$A:$N,13,FALSE())</f>
        <v>Platinum</v>
      </c>
      <c r="X1245" s="11" t="str">
        <f t="shared" si="139"/>
        <v>Low</v>
      </c>
    </row>
    <row r="1246" spans="1:24" ht="15.75" customHeight="1">
      <c r="A1246" s="4" t="s">
        <v>3242</v>
      </c>
      <c r="B1246" s="9">
        <v>45663</v>
      </c>
      <c r="C1246" s="4" t="s">
        <v>339</v>
      </c>
      <c r="D1246" s="4" t="s">
        <v>1588</v>
      </c>
      <c r="E1246" s="4" t="s">
        <v>1927</v>
      </c>
      <c r="F1246" s="4">
        <v>2</v>
      </c>
      <c r="G1246" s="4">
        <v>123.19</v>
      </c>
      <c r="H1246" s="4">
        <v>0.19</v>
      </c>
      <c r="I1246" s="4" t="s">
        <v>1996</v>
      </c>
      <c r="J1246" s="10">
        <v>199.56780000000001</v>
      </c>
      <c r="K1246" s="4" t="str">
        <f t="shared" si="133"/>
        <v>06-01-2025</v>
      </c>
      <c r="L1246" s="4" t="str">
        <f>TEXT(Sales_Fact!$B1246,"mmm")</f>
        <v>Jan</v>
      </c>
      <c r="M1246" s="4">
        <f t="shared" si="134"/>
        <v>2</v>
      </c>
      <c r="N1246" s="10">
        <f t="shared" si="135"/>
        <v>123.19</v>
      </c>
      <c r="O1246" s="10">
        <f t="shared" si="136"/>
        <v>199.56780000000001</v>
      </c>
      <c r="P1246" s="10">
        <f t="shared" si="137"/>
        <v>246.38</v>
      </c>
      <c r="Q1246" s="3">
        <f t="shared" si="138"/>
        <v>0.18999999999999997</v>
      </c>
      <c r="R1246" s="4" t="str">
        <f>IF(Sales_Fact!$O1246&gt;1000,"High","Low")</f>
        <v>Low</v>
      </c>
      <c r="S1246" s="4" t="str">
        <f>VLOOKUP(C1246,Customer_Dim!$A:$N,9,FALSE())</f>
        <v>Timothy Wright</v>
      </c>
      <c r="T1246" s="4" t="str">
        <f>VLOOKUP(D1246,Product_Dim!$A:$M,3,FALSE())</f>
        <v>Clothing</v>
      </c>
      <c r="U1246" s="11" t="str">
        <f>VLOOKUP(D1246,Product_Dim!$A:$M,2,FALSE())</f>
        <v>Women's Casual Hoodie</v>
      </c>
      <c r="V1246" s="11" t="str">
        <f>VLOOKUP(E1246,Store_Dim!$A:$E,3,FALSE())</f>
        <v>South</v>
      </c>
      <c r="W1246" s="11" t="str">
        <f>VLOOKUP(C1246,Customer_Dim!$A:$N,13,FALSE())</f>
        <v>Silver</v>
      </c>
      <c r="X1246" s="11" t="str">
        <f t="shared" si="139"/>
        <v>Low</v>
      </c>
    </row>
    <row r="1247" spans="1:24" ht="15.75" customHeight="1">
      <c r="A1247" s="4" t="s">
        <v>3243</v>
      </c>
      <c r="B1247" s="9">
        <v>45879</v>
      </c>
      <c r="C1247" s="4" t="s">
        <v>1150</v>
      </c>
      <c r="D1247" s="4" t="s">
        <v>1770</v>
      </c>
      <c r="E1247" s="4" t="s">
        <v>1971</v>
      </c>
      <c r="F1247" s="4">
        <v>1</v>
      </c>
      <c r="G1247" s="4">
        <v>222.95</v>
      </c>
      <c r="H1247" s="4">
        <v>0.02</v>
      </c>
      <c r="I1247" s="4" t="s">
        <v>1998</v>
      </c>
      <c r="J1247" s="10">
        <v>218.49100000000001</v>
      </c>
      <c r="K1247" s="4" t="str">
        <f t="shared" si="133"/>
        <v>10-08-2025</v>
      </c>
      <c r="L1247" s="4" t="str">
        <f>TEXT(Sales_Fact!$B1247,"mmm")</f>
        <v>Aug</v>
      </c>
      <c r="M1247" s="4">
        <f t="shared" si="134"/>
        <v>1</v>
      </c>
      <c r="N1247" s="10">
        <f t="shared" si="135"/>
        <v>222.95</v>
      </c>
      <c r="O1247" s="10">
        <f t="shared" si="136"/>
        <v>218.49099999999999</v>
      </c>
      <c r="P1247" s="10">
        <f t="shared" si="137"/>
        <v>222.95</v>
      </c>
      <c r="Q1247" s="3">
        <f t="shared" si="138"/>
        <v>2.0000000000000014E-2</v>
      </c>
      <c r="R1247" s="4" t="str">
        <f>IF(Sales_Fact!$O1247&gt;1000,"High","Low")</f>
        <v>Low</v>
      </c>
      <c r="S1247" s="4" t="str">
        <f>VLOOKUP(C1247,Customer_Dim!$A:$N,9,FALSE())</f>
        <v>Ashley Anderson</v>
      </c>
      <c r="T1247" s="4" t="str">
        <f>VLOOKUP(D1247,Product_Dim!$A:$M,3,FALSE())</f>
        <v>Home</v>
      </c>
      <c r="U1247" s="11" t="str">
        <f>VLOOKUP(D1247,Product_Dim!$A:$M,2,FALSE())</f>
        <v>Ceramic Plant Pot</v>
      </c>
      <c r="V1247" s="11" t="str">
        <f>VLOOKUP(E1247,Store_Dim!$A:$E,3,FALSE())</f>
        <v>East</v>
      </c>
      <c r="W1247" s="11" t="str">
        <f>VLOOKUP(C1247,Customer_Dim!$A:$N,13,FALSE())</f>
        <v>Gold</v>
      </c>
      <c r="X1247" s="11" t="str">
        <f t="shared" si="139"/>
        <v>Low</v>
      </c>
    </row>
    <row r="1248" spans="1:24" ht="15.75" customHeight="1">
      <c r="A1248" s="4" t="s">
        <v>3244</v>
      </c>
      <c r="B1248" s="9">
        <v>45597</v>
      </c>
      <c r="C1248" s="4" t="s">
        <v>1269</v>
      </c>
      <c r="D1248" s="4" t="s">
        <v>1831</v>
      </c>
      <c r="E1248" s="4" t="s">
        <v>1940</v>
      </c>
      <c r="F1248" s="4">
        <v>4</v>
      </c>
      <c r="G1248" s="4">
        <v>313.83</v>
      </c>
      <c r="H1248" s="4">
        <v>0.08</v>
      </c>
      <c r="I1248" s="4" t="s">
        <v>1996</v>
      </c>
      <c r="J1248" s="10">
        <v>1154.8943999999999</v>
      </c>
      <c r="K1248" s="4" t="str">
        <f t="shared" si="133"/>
        <v>01-11-2024</v>
      </c>
      <c r="L1248" s="4" t="str">
        <f>TEXT(Sales_Fact!$B1248,"mmm")</f>
        <v>Nov</v>
      </c>
      <c r="M1248" s="4">
        <f t="shared" si="134"/>
        <v>4</v>
      </c>
      <c r="N1248" s="10">
        <f t="shared" si="135"/>
        <v>313.83</v>
      </c>
      <c r="O1248" s="10">
        <f t="shared" si="136"/>
        <v>1154.8943999999999</v>
      </c>
      <c r="P1248" s="10">
        <f t="shared" si="137"/>
        <v>1255.32</v>
      </c>
      <c r="Q1248" s="3">
        <f t="shared" si="138"/>
        <v>8.0000000000000029E-2</v>
      </c>
      <c r="R1248" s="4" t="str">
        <f>IF(Sales_Fact!$O1248&gt;1000,"High","Low")</f>
        <v>High</v>
      </c>
      <c r="S1248" s="4" t="str">
        <f>VLOOKUP(C1248,Customer_Dim!$A:$N,9,FALSE())</f>
        <v>Jennifer Johnson</v>
      </c>
      <c r="T1248" s="4" t="str">
        <f>VLOOKUP(D1248,Product_Dim!$A:$M,3,FALSE())</f>
        <v>Clothing</v>
      </c>
      <c r="U1248" s="11" t="str">
        <f>VLOOKUP(D1248,Product_Dim!$A:$M,2,FALSE())</f>
        <v>Women's Ankle Boots</v>
      </c>
      <c r="V1248" s="11" t="str">
        <f>VLOOKUP(E1248,Store_Dim!$A:$E,3,FALSE())</f>
        <v>West</v>
      </c>
      <c r="W1248" s="11" t="str">
        <f>VLOOKUP(C1248,Customer_Dim!$A:$N,13,FALSE())</f>
        <v>Bronze</v>
      </c>
      <c r="X1248" s="11" t="str">
        <f t="shared" si="139"/>
        <v>High</v>
      </c>
    </row>
    <row r="1249" spans="1:24" ht="15.75" customHeight="1">
      <c r="A1249" s="4" t="s">
        <v>3245</v>
      </c>
      <c r="B1249" s="9">
        <v>45840</v>
      </c>
      <c r="C1249" s="4" t="s">
        <v>1072</v>
      </c>
      <c r="D1249" s="4" t="s">
        <v>1697</v>
      </c>
      <c r="E1249" s="4" t="s">
        <v>1927</v>
      </c>
      <c r="F1249" s="4">
        <v>3</v>
      </c>
      <c r="G1249" s="4">
        <v>601.92999999999995</v>
      </c>
      <c r="H1249" s="4">
        <v>0.14000000000000001</v>
      </c>
      <c r="I1249" s="4" t="s">
        <v>1996</v>
      </c>
      <c r="J1249" s="10">
        <v>1552.9793999999999</v>
      </c>
      <c r="K1249" s="4" t="str">
        <f t="shared" si="133"/>
        <v>02-07-2025</v>
      </c>
      <c r="L1249" s="4" t="str">
        <f>TEXT(Sales_Fact!$B1249,"mmm")</f>
        <v>Jul</v>
      </c>
      <c r="M1249" s="4">
        <f t="shared" si="134"/>
        <v>3</v>
      </c>
      <c r="N1249" s="10">
        <f t="shared" si="135"/>
        <v>601.92999999999995</v>
      </c>
      <c r="O1249" s="10">
        <f t="shared" si="136"/>
        <v>1552.9793999999999</v>
      </c>
      <c r="P1249" s="10">
        <f t="shared" si="137"/>
        <v>1805.79</v>
      </c>
      <c r="Q1249" s="3">
        <f t="shared" si="138"/>
        <v>0.14000000000000001</v>
      </c>
      <c r="R1249" s="4" t="str">
        <f>IF(Sales_Fact!$O1249&gt;1000,"High","Low")</f>
        <v>High</v>
      </c>
      <c r="S1249" s="4" t="str">
        <f>VLOOKUP(C1249,Customer_Dim!$A:$N,9,FALSE())</f>
        <v>Dr. Lindsay Hanna</v>
      </c>
      <c r="T1249" s="4" t="str">
        <f>VLOOKUP(D1249,Product_Dim!$A:$M,3,FALSE())</f>
        <v>Beauty</v>
      </c>
      <c r="U1249" s="11" t="str">
        <f>VLOOKUP(D1249,Product_Dim!$A:$M,2,FALSE())</f>
        <v>Vitamin C Face Serum</v>
      </c>
      <c r="V1249" s="11" t="str">
        <f>VLOOKUP(E1249,Store_Dim!$A:$E,3,FALSE())</f>
        <v>South</v>
      </c>
      <c r="W1249" s="11" t="str">
        <f>VLOOKUP(C1249,Customer_Dim!$A:$N,13,FALSE())</f>
        <v>Bronze</v>
      </c>
      <c r="X1249" s="11" t="str">
        <f t="shared" si="139"/>
        <v>Low</v>
      </c>
    </row>
    <row r="1250" spans="1:24" ht="15.75" customHeight="1">
      <c r="A1250" s="4" t="s">
        <v>3246</v>
      </c>
      <c r="B1250" s="9">
        <v>45380</v>
      </c>
      <c r="C1250" s="4" t="s">
        <v>967</v>
      </c>
      <c r="D1250" s="4" t="s">
        <v>1813</v>
      </c>
      <c r="E1250" s="4" t="s">
        <v>1919</v>
      </c>
      <c r="F1250" s="4">
        <v>1</v>
      </c>
      <c r="G1250" s="4">
        <v>564.1</v>
      </c>
      <c r="H1250" s="4">
        <v>0.03</v>
      </c>
      <c r="I1250" s="4" t="s">
        <v>1996</v>
      </c>
      <c r="J1250" s="10">
        <v>547.17700000000002</v>
      </c>
      <c r="K1250" s="4" t="str">
        <f t="shared" si="133"/>
        <v>29-03-2024</v>
      </c>
      <c r="L1250" s="4" t="str">
        <f>TEXT(Sales_Fact!$B1250,"mmm")</f>
        <v>Mar</v>
      </c>
      <c r="M1250" s="4">
        <f t="shared" si="134"/>
        <v>1</v>
      </c>
      <c r="N1250" s="10">
        <f t="shared" si="135"/>
        <v>564.1</v>
      </c>
      <c r="O1250" s="10">
        <f t="shared" si="136"/>
        <v>547.17700000000002</v>
      </c>
      <c r="P1250" s="10">
        <f t="shared" si="137"/>
        <v>564.1</v>
      </c>
      <c r="Q1250" s="3">
        <f t="shared" si="138"/>
        <v>3.0000000000000002E-2</v>
      </c>
      <c r="R1250" s="4" t="str">
        <f>IF(Sales_Fact!$O1250&gt;1000,"High","Low")</f>
        <v>Low</v>
      </c>
      <c r="S1250" s="4" t="str">
        <f>VLOOKUP(C1250,Customer_Dim!$A:$N,9,FALSE())</f>
        <v>Jennifer Carr</v>
      </c>
      <c r="T1250" s="4" t="str">
        <f>VLOOKUP(D1250,Product_Dim!$A:$M,3,FALSE())</f>
        <v>Clothing</v>
      </c>
      <c r="U1250" s="11" t="str">
        <f>VLOOKUP(D1250,Product_Dim!$A:$M,2,FALSE())</f>
        <v>Men's Sports Shorts</v>
      </c>
      <c r="V1250" s="11" t="str">
        <f>VLOOKUP(E1250,Store_Dim!$A:$E,3,FALSE())</f>
        <v>South</v>
      </c>
      <c r="W1250" s="11" t="str">
        <f>VLOOKUP(C1250,Customer_Dim!$A:$N,13,FALSE())</f>
        <v>Silver</v>
      </c>
      <c r="X1250" s="11" t="str">
        <f t="shared" si="139"/>
        <v>Low</v>
      </c>
    </row>
    <row r="1251" spans="1:24" ht="15.75" customHeight="1">
      <c r="A1251" s="4" t="s">
        <v>3247</v>
      </c>
      <c r="B1251" s="9">
        <v>45672</v>
      </c>
      <c r="C1251" s="4" t="s">
        <v>362</v>
      </c>
      <c r="D1251" s="4" t="s">
        <v>1846</v>
      </c>
      <c r="E1251" s="4" t="s">
        <v>1931</v>
      </c>
      <c r="F1251" s="4">
        <v>1</v>
      </c>
      <c r="G1251" s="4">
        <v>516.62</v>
      </c>
      <c r="H1251" s="4">
        <v>0.18</v>
      </c>
      <c r="I1251" s="4" t="s">
        <v>1996</v>
      </c>
      <c r="J1251" s="10">
        <v>423.6284</v>
      </c>
      <c r="K1251" s="4" t="str">
        <f t="shared" si="133"/>
        <v>15-01-2025</v>
      </c>
      <c r="L1251" s="4" t="str">
        <f>TEXT(Sales_Fact!$B1251,"mmm")</f>
        <v>Jan</v>
      </c>
      <c r="M1251" s="4">
        <f t="shared" si="134"/>
        <v>1</v>
      </c>
      <c r="N1251" s="10">
        <f t="shared" si="135"/>
        <v>516.62</v>
      </c>
      <c r="O1251" s="10">
        <f t="shared" si="136"/>
        <v>423.62840000000006</v>
      </c>
      <c r="P1251" s="10">
        <f t="shared" si="137"/>
        <v>516.62</v>
      </c>
      <c r="Q1251" s="3">
        <f t="shared" si="138"/>
        <v>0.17999999999999991</v>
      </c>
      <c r="R1251" s="4" t="str">
        <f>IF(Sales_Fact!$O1251&gt;1000,"High","Low")</f>
        <v>Low</v>
      </c>
      <c r="S1251" s="4" t="str">
        <f>VLOOKUP(C1251,Customer_Dim!$A:$N,9,FALSE())</f>
        <v>Amy Fowler</v>
      </c>
      <c r="T1251" s="4" t="str">
        <f>VLOOKUP(D1251,Product_Dim!$A:$M,3,FALSE())</f>
        <v>Home</v>
      </c>
      <c r="U1251" s="11" t="str">
        <f>VLOOKUP(D1251,Product_Dim!$A:$M,2,FALSE())</f>
        <v>Wall-Mounted Spice Rack</v>
      </c>
      <c r="V1251" s="11" t="str">
        <f>VLOOKUP(E1251,Store_Dim!$A:$E,3,FALSE())</f>
        <v>North</v>
      </c>
      <c r="W1251" s="11" t="str">
        <f>VLOOKUP(C1251,Customer_Dim!$A:$N,13,FALSE())</f>
        <v>Platinum</v>
      </c>
      <c r="X1251" s="11" t="str">
        <f t="shared" si="139"/>
        <v>Low</v>
      </c>
    </row>
    <row r="1252" spans="1:24" ht="15.75" customHeight="1">
      <c r="A1252" s="4" t="s">
        <v>3248</v>
      </c>
      <c r="B1252" s="9">
        <v>45497</v>
      </c>
      <c r="C1252" s="4" t="s">
        <v>1386</v>
      </c>
      <c r="D1252" s="4" t="s">
        <v>1794</v>
      </c>
      <c r="E1252" s="4" t="s">
        <v>1952</v>
      </c>
      <c r="F1252" s="4">
        <v>1</v>
      </c>
      <c r="G1252" s="4">
        <v>934.75</v>
      </c>
      <c r="H1252" s="4">
        <v>0.11</v>
      </c>
      <c r="I1252" s="4" t="s">
        <v>1998</v>
      </c>
      <c r="J1252" s="10">
        <v>831.92750000000001</v>
      </c>
      <c r="K1252" s="4" t="str">
        <f t="shared" si="133"/>
        <v>24-07-2024</v>
      </c>
      <c r="L1252" s="4" t="str">
        <f>TEXT(Sales_Fact!$B1252,"mmm")</f>
        <v>Jul</v>
      </c>
      <c r="M1252" s="4">
        <f t="shared" si="134"/>
        <v>1</v>
      </c>
      <c r="N1252" s="10">
        <f t="shared" si="135"/>
        <v>934.75</v>
      </c>
      <c r="O1252" s="10">
        <f t="shared" si="136"/>
        <v>831.92750000000001</v>
      </c>
      <c r="P1252" s="10">
        <f t="shared" si="137"/>
        <v>934.75</v>
      </c>
      <c r="Q1252" s="3">
        <f t="shared" si="138"/>
        <v>0.10999999999999999</v>
      </c>
      <c r="R1252" s="4" t="str">
        <f>IF(Sales_Fact!$O1252&gt;1000,"High","Low")</f>
        <v>Low</v>
      </c>
      <c r="S1252" s="4" t="str">
        <f>VLOOKUP(C1252,Customer_Dim!$A:$N,9,FALSE())</f>
        <v>Monica Flynn</v>
      </c>
      <c r="T1252" s="4" t="str">
        <f>VLOOKUP(D1252,Product_Dim!$A:$M,3,FALSE())</f>
        <v>Beauty</v>
      </c>
      <c r="U1252" s="11" t="str">
        <f>VLOOKUP(D1252,Product_Dim!$A:$M,2,FALSE())</f>
        <v>Organic Sunscreen Lotion</v>
      </c>
      <c r="V1252" s="11" t="str">
        <f>VLOOKUP(E1252,Store_Dim!$A:$E,3,FALSE())</f>
        <v>North</v>
      </c>
      <c r="W1252" s="11" t="str">
        <f>VLOOKUP(C1252,Customer_Dim!$A:$N,13,FALSE())</f>
        <v>Platinum</v>
      </c>
      <c r="X1252" s="11" t="str">
        <f t="shared" si="139"/>
        <v>Low</v>
      </c>
    </row>
    <row r="1253" spans="1:24" ht="15.75" customHeight="1">
      <c r="A1253" s="4" t="s">
        <v>3249</v>
      </c>
      <c r="B1253" s="9">
        <v>45407</v>
      </c>
      <c r="C1253" s="4" t="s">
        <v>780</v>
      </c>
      <c r="D1253" s="4" t="s">
        <v>1900</v>
      </c>
      <c r="E1253" s="4" t="s">
        <v>1937</v>
      </c>
      <c r="F1253" s="4">
        <v>4</v>
      </c>
      <c r="G1253" s="4">
        <v>548.44000000000005</v>
      </c>
      <c r="H1253" s="4">
        <v>0.05</v>
      </c>
      <c r="I1253" s="4" t="s">
        <v>1998</v>
      </c>
      <c r="J1253" s="10">
        <v>2084.0720000000001</v>
      </c>
      <c r="K1253" s="4" t="str">
        <f t="shared" si="133"/>
        <v>25-04-2024</v>
      </c>
      <c r="L1253" s="4" t="str">
        <f>TEXT(Sales_Fact!$B1253,"mmm")</f>
        <v>Apr</v>
      </c>
      <c r="M1253" s="4">
        <f t="shared" si="134"/>
        <v>4</v>
      </c>
      <c r="N1253" s="10">
        <f t="shared" si="135"/>
        <v>548.44000000000005</v>
      </c>
      <c r="O1253" s="10">
        <f t="shared" si="136"/>
        <v>2084.0720000000001</v>
      </c>
      <c r="P1253" s="10">
        <f t="shared" si="137"/>
        <v>2193.7600000000002</v>
      </c>
      <c r="Q1253" s="3">
        <f t="shared" si="138"/>
        <v>5.0000000000000044E-2</v>
      </c>
      <c r="R1253" s="4" t="str">
        <f>IF(Sales_Fact!$O1253&gt;1000,"High","Low")</f>
        <v>High</v>
      </c>
      <c r="S1253" s="4" t="str">
        <f>VLOOKUP(C1253,Customer_Dim!$A:$N,9,FALSE())</f>
        <v>Nathaniel Hill</v>
      </c>
      <c r="T1253" s="4" t="str">
        <f>VLOOKUP(D1253,Product_Dim!$A:$M,3,FALSE())</f>
        <v>Electronics</v>
      </c>
      <c r="U1253" s="11" t="str">
        <f>VLOOKUP(D1253,Product_Dim!$A:$M,2,FALSE())</f>
        <v>Portable Bluetooth Speaker</v>
      </c>
      <c r="V1253" s="11" t="str">
        <f>VLOOKUP(E1253,Store_Dim!$A:$E,3,FALSE())</f>
        <v>South</v>
      </c>
      <c r="W1253" s="11" t="str">
        <f>VLOOKUP(C1253,Customer_Dim!$A:$N,13,FALSE())</f>
        <v>Gold</v>
      </c>
      <c r="X1253" s="11" t="str">
        <f t="shared" si="139"/>
        <v>High</v>
      </c>
    </row>
    <row r="1254" spans="1:24" ht="15.75" customHeight="1">
      <c r="A1254" s="4" t="s">
        <v>3250</v>
      </c>
      <c r="B1254" s="9">
        <v>45764</v>
      </c>
      <c r="C1254" s="4" t="s">
        <v>83</v>
      </c>
      <c r="D1254" s="4" t="s">
        <v>1712</v>
      </c>
      <c r="E1254" s="4" t="s">
        <v>1924</v>
      </c>
      <c r="F1254" s="4">
        <v>3</v>
      </c>
      <c r="G1254" s="4">
        <v>361.11</v>
      </c>
      <c r="H1254" s="4">
        <v>0.06</v>
      </c>
      <c r="I1254" s="4" t="s">
        <v>1996</v>
      </c>
      <c r="J1254" s="10">
        <v>1018.3302</v>
      </c>
      <c r="K1254" s="4" t="str">
        <f t="shared" si="133"/>
        <v>17-04-2025</v>
      </c>
      <c r="L1254" s="4" t="str">
        <f>TEXT(Sales_Fact!$B1254,"mmm")</f>
        <v>Apr</v>
      </c>
      <c r="M1254" s="4">
        <f t="shared" si="134"/>
        <v>3</v>
      </c>
      <c r="N1254" s="10">
        <f t="shared" si="135"/>
        <v>361.11</v>
      </c>
      <c r="O1254" s="10">
        <f t="shared" si="136"/>
        <v>1018.3301999999999</v>
      </c>
      <c r="P1254" s="10">
        <f t="shared" si="137"/>
        <v>1083.33</v>
      </c>
      <c r="Q1254" s="3">
        <f t="shared" si="138"/>
        <v>6.0000000000000053E-2</v>
      </c>
      <c r="R1254" s="4" t="str">
        <f>IF(Sales_Fact!$O1254&gt;1000,"High","Low")</f>
        <v>High</v>
      </c>
      <c r="S1254" s="4" t="str">
        <f>VLOOKUP(C1254,Customer_Dim!$A:$N,9,FALSE())</f>
        <v>Nathan Hernandez</v>
      </c>
      <c r="T1254" s="4" t="str">
        <f>VLOOKUP(D1254,Product_Dim!$A:$M,3,FALSE())</f>
        <v>Clothing</v>
      </c>
      <c r="U1254" s="11" t="str">
        <f>VLOOKUP(D1254,Product_Dim!$A:$M,2,FALSE())</f>
        <v>Men's Casual Sneakers</v>
      </c>
      <c r="V1254" s="11" t="str">
        <f>VLOOKUP(E1254,Store_Dim!$A:$E,3,FALSE())</f>
        <v>North</v>
      </c>
      <c r="W1254" s="11" t="str">
        <f>VLOOKUP(C1254,Customer_Dim!$A:$N,13,FALSE())</f>
        <v>Silver</v>
      </c>
      <c r="X1254" s="11" t="str">
        <f t="shared" si="139"/>
        <v>Low</v>
      </c>
    </row>
    <row r="1255" spans="1:24" ht="15.75" customHeight="1">
      <c r="A1255" s="4" t="s">
        <v>3251</v>
      </c>
      <c r="B1255" s="9">
        <v>45924</v>
      </c>
      <c r="C1255" s="4" t="s">
        <v>641</v>
      </c>
      <c r="D1255" s="4" t="s">
        <v>1633</v>
      </c>
      <c r="E1255" s="4" t="s">
        <v>1915</v>
      </c>
      <c r="F1255" s="4">
        <v>2</v>
      </c>
      <c r="G1255" s="4">
        <v>610.37</v>
      </c>
      <c r="H1255" s="4">
        <v>0.1</v>
      </c>
      <c r="I1255" s="4" t="s">
        <v>1998</v>
      </c>
      <c r="J1255" s="10">
        <v>1098.6659999999999</v>
      </c>
      <c r="K1255" s="4" t="str">
        <f t="shared" si="133"/>
        <v>24-09-2025</v>
      </c>
      <c r="L1255" s="4" t="str">
        <f>TEXT(Sales_Fact!$B1255,"mmm")</f>
        <v>Sep</v>
      </c>
      <c r="M1255" s="4">
        <f t="shared" si="134"/>
        <v>2</v>
      </c>
      <c r="N1255" s="10">
        <f t="shared" si="135"/>
        <v>610.37</v>
      </c>
      <c r="O1255" s="10">
        <f t="shared" si="136"/>
        <v>1098.6659999999999</v>
      </c>
      <c r="P1255" s="10">
        <f t="shared" si="137"/>
        <v>1220.74</v>
      </c>
      <c r="Q1255" s="3">
        <f t="shared" si="138"/>
        <v>0.10000000000000006</v>
      </c>
      <c r="R1255" s="4" t="str">
        <f>IF(Sales_Fact!$O1255&gt;1000,"High","Low")</f>
        <v>High</v>
      </c>
      <c r="S1255" s="4" t="str">
        <f>VLOOKUP(C1255,Customer_Dim!$A:$N,9,FALSE())</f>
        <v>Dr. Suzanne Bullock</v>
      </c>
      <c r="T1255" s="4" t="str">
        <f>VLOOKUP(D1255,Product_Dim!$A:$M,3,FALSE())</f>
        <v>Electronics</v>
      </c>
      <c r="U1255" s="11" t="str">
        <f>VLOOKUP(D1255,Product_Dim!$A:$M,2,FALSE())</f>
        <v>USB-C Fast Charger</v>
      </c>
      <c r="V1255" s="11" t="str">
        <f>VLOOKUP(E1255,Store_Dim!$A:$E,3,FALSE())</f>
        <v>North</v>
      </c>
      <c r="W1255" s="11" t="str">
        <f>VLOOKUP(C1255,Customer_Dim!$A:$N,13,FALSE())</f>
        <v>Platinum</v>
      </c>
      <c r="X1255" s="11" t="str">
        <f t="shared" si="139"/>
        <v>Low</v>
      </c>
    </row>
    <row r="1256" spans="1:24" ht="15.75" customHeight="1">
      <c r="A1256" s="4" t="s">
        <v>3252</v>
      </c>
      <c r="B1256" s="9">
        <v>45240</v>
      </c>
      <c r="C1256" s="4" t="s">
        <v>1078</v>
      </c>
      <c r="D1256" s="4" t="s">
        <v>1758</v>
      </c>
      <c r="E1256" s="4" t="s">
        <v>1962</v>
      </c>
      <c r="F1256" s="4">
        <v>1</v>
      </c>
      <c r="G1256" s="4">
        <v>272.2</v>
      </c>
      <c r="H1256" s="4">
        <v>0.3</v>
      </c>
      <c r="I1256" s="4" t="s">
        <v>1996</v>
      </c>
      <c r="J1256" s="10">
        <v>190.54</v>
      </c>
      <c r="K1256" s="4" t="str">
        <f t="shared" si="133"/>
        <v>10-11-2023</v>
      </c>
      <c r="L1256" s="4" t="str">
        <f>TEXT(Sales_Fact!$B1256,"mmm")</f>
        <v>Nov</v>
      </c>
      <c r="M1256" s="4">
        <f t="shared" si="134"/>
        <v>1</v>
      </c>
      <c r="N1256" s="10">
        <f t="shared" si="135"/>
        <v>272.2</v>
      </c>
      <c r="O1256" s="10">
        <f t="shared" si="136"/>
        <v>190.54</v>
      </c>
      <c r="P1256" s="10">
        <f t="shared" si="137"/>
        <v>272.2</v>
      </c>
      <c r="Q1256" s="3">
        <f t="shared" si="138"/>
        <v>0.3</v>
      </c>
      <c r="R1256" s="4" t="str">
        <f>IF(Sales_Fact!$O1256&gt;1000,"High","Low")</f>
        <v>Low</v>
      </c>
      <c r="S1256" s="4" t="str">
        <f>VLOOKUP(C1256,Customer_Dim!$A:$N,9,FALSE())</f>
        <v>Mr. Christopher Sims</v>
      </c>
      <c r="T1256" s="4" t="str">
        <f>VLOOKUP(D1256,Product_Dim!$A:$M,3,FALSE())</f>
        <v>Electronics</v>
      </c>
      <c r="U1256" s="11" t="str">
        <f>VLOOKUP(D1256,Product_Dim!$A:$M,2,FALSE())</f>
        <v>HDMI Cable – 2m</v>
      </c>
      <c r="V1256" s="11" t="str">
        <f>VLOOKUP(E1256,Store_Dim!$A:$E,3,FALSE())</f>
        <v>West</v>
      </c>
      <c r="W1256" s="11" t="str">
        <f>VLOOKUP(C1256,Customer_Dim!$A:$N,13,FALSE())</f>
        <v>Silver</v>
      </c>
      <c r="X1256" s="11" t="str">
        <f t="shared" si="139"/>
        <v>Low</v>
      </c>
    </row>
    <row r="1257" spans="1:24" ht="15.75" customHeight="1">
      <c r="A1257" s="4" t="s">
        <v>3253</v>
      </c>
      <c r="B1257" s="9">
        <v>45349</v>
      </c>
      <c r="C1257" s="4" t="s">
        <v>1386</v>
      </c>
      <c r="D1257" s="4" t="s">
        <v>1837</v>
      </c>
      <c r="E1257" s="4" t="s">
        <v>1934</v>
      </c>
      <c r="F1257" s="4">
        <v>3</v>
      </c>
      <c r="G1257" s="4">
        <v>573.1</v>
      </c>
      <c r="H1257" s="4">
        <v>0.16</v>
      </c>
      <c r="I1257" s="4" t="s">
        <v>2004</v>
      </c>
      <c r="J1257" s="10">
        <v>1444.212</v>
      </c>
      <c r="K1257" s="4" t="str">
        <f t="shared" si="133"/>
        <v>27-02-2024</v>
      </c>
      <c r="L1257" s="4" t="str">
        <f>TEXT(Sales_Fact!$B1257,"mmm")</f>
        <v>Feb</v>
      </c>
      <c r="M1257" s="4">
        <f t="shared" si="134"/>
        <v>3</v>
      </c>
      <c r="N1257" s="10">
        <f t="shared" si="135"/>
        <v>573.1</v>
      </c>
      <c r="O1257" s="10">
        <f t="shared" si="136"/>
        <v>1444.212</v>
      </c>
      <c r="P1257" s="10">
        <f t="shared" si="137"/>
        <v>1719.3000000000002</v>
      </c>
      <c r="Q1257" s="3">
        <f t="shared" si="138"/>
        <v>0.16000000000000009</v>
      </c>
      <c r="R1257" s="4" t="str">
        <f>IF(Sales_Fact!$O1257&gt;1000,"High","Low")</f>
        <v>High</v>
      </c>
      <c r="S1257" s="4" t="str">
        <f>VLOOKUP(C1257,Customer_Dim!$A:$N,9,FALSE())</f>
        <v>Monica Flynn</v>
      </c>
      <c r="T1257" s="4" t="str">
        <f>VLOOKUP(D1257,Product_Dim!$A:$M,3,FALSE())</f>
        <v>Electronics</v>
      </c>
      <c r="U1257" s="11" t="str">
        <f>VLOOKUP(D1257,Product_Dim!$A:$M,2,FALSE())</f>
        <v>WiFi Mesh Router</v>
      </c>
      <c r="V1257" s="11" t="str">
        <f>VLOOKUP(E1257,Store_Dim!$A:$E,3,FALSE())</f>
        <v>East</v>
      </c>
      <c r="W1257" s="11" t="str">
        <f>VLOOKUP(C1257,Customer_Dim!$A:$N,13,FALSE())</f>
        <v>Platinum</v>
      </c>
      <c r="X1257" s="11" t="str">
        <f t="shared" si="139"/>
        <v>Low</v>
      </c>
    </row>
    <row r="1258" spans="1:24" ht="15.75" customHeight="1">
      <c r="A1258" s="4" t="s">
        <v>3254</v>
      </c>
      <c r="B1258" s="9">
        <v>45756</v>
      </c>
      <c r="C1258" s="4" t="s">
        <v>1042</v>
      </c>
      <c r="D1258" s="4" t="s">
        <v>1603</v>
      </c>
      <c r="E1258" s="4" t="s">
        <v>1910</v>
      </c>
      <c r="F1258" s="4">
        <v>4</v>
      </c>
      <c r="G1258" s="4">
        <v>24.72</v>
      </c>
      <c r="H1258" s="4">
        <v>0.28000000000000003</v>
      </c>
      <c r="I1258" s="4" t="s">
        <v>1996</v>
      </c>
      <c r="J1258" s="10">
        <v>71.193600000000004</v>
      </c>
      <c r="K1258" s="4" t="str">
        <f t="shared" si="133"/>
        <v>09-04-2025</v>
      </c>
      <c r="L1258" s="4" t="str">
        <f>TEXT(Sales_Fact!$B1258,"mmm")</f>
        <v>Apr</v>
      </c>
      <c r="M1258" s="4">
        <f t="shared" si="134"/>
        <v>4</v>
      </c>
      <c r="N1258" s="10">
        <f t="shared" si="135"/>
        <v>24.72</v>
      </c>
      <c r="O1258" s="10">
        <f t="shared" si="136"/>
        <v>71.193599999999989</v>
      </c>
      <c r="P1258" s="10">
        <f t="shared" si="137"/>
        <v>98.88</v>
      </c>
      <c r="Q1258" s="3">
        <f t="shared" si="138"/>
        <v>0.28000000000000008</v>
      </c>
      <c r="R1258" s="4" t="str">
        <f>IF(Sales_Fact!$O1258&gt;1000,"High","Low")</f>
        <v>Low</v>
      </c>
      <c r="S1258" s="4" t="str">
        <f>VLOOKUP(C1258,Customer_Dim!$A:$N,9,FALSE())</f>
        <v>Samuel Arias</v>
      </c>
      <c r="T1258" s="4" t="str">
        <f>VLOOKUP(D1258,Product_Dim!$A:$M,3,FALSE())</f>
        <v>Beauty</v>
      </c>
      <c r="U1258" s="11" t="str">
        <f>VLOOKUP(D1258,Product_Dim!$A:$M,2,FALSE())</f>
        <v>Herbal Face Moisturizer</v>
      </c>
      <c r="V1258" s="11" t="str">
        <f>VLOOKUP(E1258,Store_Dim!$A:$E,3,FALSE())</f>
        <v>East</v>
      </c>
      <c r="W1258" s="11" t="str">
        <f>VLOOKUP(C1258,Customer_Dim!$A:$N,13,FALSE())</f>
        <v>Bronze</v>
      </c>
      <c r="X1258" s="11" t="str">
        <f t="shared" si="139"/>
        <v>High</v>
      </c>
    </row>
    <row r="1259" spans="1:24" ht="15.75" customHeight="1">
      <c r="A1259" s="4" t="s">
        <v>3255</v>
      </c>
      <c r="B1259" s="9">
        <v>45620</v>
      </c>
      <c r="C1259" s="4" t="s">
        <v>1429</v>
      </c>
      <c r="D1259" s="4" t="s">
        <v>1629</v>
      </c>
      <c r="E1259" s="4" t="s">
        <v>1934</v>
      </c>
      <c r="F1259" s="4">
        <v>2</v>
      </c>
      <c r="G1259" s="4">
        <v>717.31</v>
      </c>
      <c r="H1259" s="4">
        <v>0.15</v>
      </c>
      <c r="I1259" s="4" t="s">
        <v>1996</v>
      </c>
      <c r="J1259" s="10">
        <v>1219.4269999999999</v>
      </c>
      <c r="K1259" s="4" t="str">
        <f t="shared" si="133"/>
        <v>24-11-2024</v>
      </c>
      <c r="L1259" s="4" t="str">
        <f>TEXT(Sales_Fact!$B1259,"mmm")</f>
        <v>Nov</v>
      </c>
      <c r="M1259" s="4">
        <f t="shared" si="134"/>
        <v>2</v>
      </c>
      <c r="N1259" s="10">
        <f t="shared" si="135"/>
        <v>717.31</v>
      </c>
      <c r="O1259" s="10">
        <f t="shared" si="136"/>
        <v>1219.4269999999999</v>
      </c>
      <c r="P1259" s="10">
        <f t="shared" si="137"/>
        <v>1434.62</v>
      </c>
      <c r="Q1259" s="3">
        <f t="shared" si="138"/>
        <v>0.15</v>
      </c>
      <c r="R1259" s="4" t="str">
        <f>IF(Sales_Fact!$O1259&gt;1000,"High","Low")</f>
        <v>High</v>
      </c>
      <c r="S1259" s="4" t="str">
        <f>VLOOKUP(C1259,Customer_Dim!$A:$N,9,FALSE())</f>
        <v>April Phillips</v>
      </c>
      <c r="T1259" s="4" t="str">
        <f>VLOOKUP(D1259,Product_Dim!$A:$M,3,FALSE())</f>
        <v>Beauty</v>
      </c>
      <c r="U1259" s="11" t="str">
        <f>VLOOKUP(D1259,Product_Dim!$A:$M,2,FALSE())</f>
        <v>Hair Strengthening Shampoo</v>
      </c>
      <c r="V1259" s="11" t="str">
        <f>VLOOKUP(E1259,Store_Dim!$A:$E,3,FALSE())</f>
        <v>East</v>
      </c>
      <c r="W1259" s="11" t="str">
        <f>VLOOKUP(C1259,Customer_Dim!$A:$N,13,FALSE())</f>
        <v>Platinum</v>
      </c>
      <c r="X1259" s="11" t="str">
        <f t="shared" si="139"/>
        <v>Low</v>
      </c>
    </row>
    <row r="1260" spans="1:24" ht="15.75" customHeight="1">
      <c r="A1260" s="4" t="s">
        <v>3256</v>
      </c>
      <c r="B1260" s="9">
        <v>45478</v>
      </c>
      <c r="C1260" s="4" t="s">
        <v>831</v>
      </c>
      <c r="D1260" s="4" t="s">
        <v>1617</v>
      </c>
      <c r="E1260" s="4" t="s">
        <v>1944</v>
      </c>
      <c r="F1260" s="4">
        <v>3</v>
      </c>
      <c r="G1260" s="4">
        <v>268.89</v>
      </c>
      <c r="H1260" s="4">
        <v>7.0000000000000007E-2</v>
      </c>
      <c r="I1260" s="4" t="s">
        <v>2004</v>
      </c>
      <c r="J1260" s="10">
        <v>750.20309999999995</v>
      </c>
      <c r="K1260" s="4" t="str">
        <f t="shared" si="133"/>
        <v>05-07-2024</v>
      </c>
      <c r="L1260" s="4" t="str">
        <f>TEXT(Sales_Fact!$B1260,"mmm")</f>
        <v>Jul</v>
      </c>
      <c r="M1260" s="4">
        <f t="shared" si="134"/>
        <v>3</v>
      </c>
      <c r="N1260" s="10">
        <f t="shared" si="135"/>
        <v>268.89</v>
      </c>
      <c r="O1260" s="10">
        <f t="shared" si="136"/>
        <v>750.20309999999995</v>
      </c>
      <c r="P1260" s="10">
        <f t="shared" si="137"/>
        <v>806.67</v>
      </c>
      <c r="Q1260" s="3">
        <f t="shared" si="138"/>
        <v>7.0000000000000021E-2</v>
      </c>
      <c r="R1260" s="4" t="str">
        <f>IF(Sales_Fact!$O1260&gt;1000,"High","Low")</f>
        <v>Low</v>
      </c>
      <c r="S1260" s="4" t="str">
        <f>VLOOKUP(C1260,Customer_Dim!$A:$N,9,FALSE())</f>
        <v>Tyler Garner</v>
      </c>
      <c r="T1260" s="4" t="str">
        <f>VLOOKUP(D1260,Product_Dim!$A:$M,3,FALSE())</f>
        <v>Sports</v>
      </c>
      <c r="U1260" s="11" t="str">
        <f>VLOOKUP(D1260,Product_Dim!$A:$M,2,FALSE())</f>
        <v>Adjustable Dumbbell Set</v>
      </c>
      <c r="V1260" s="11" t="str">
        <f>VLOOKUP(E1260,Store_Dim!$A:$E,3,FALSE())</f>
        <v>South</v>
      </c>
      <c r="W1260" s="11" t="str">
        <f>VLOOKUP(C1260,Customer_Dim!$A:$N,13,FALSE())</f>
        <v>Silver</v>
      </c>
      <c r="X1260" s="11" t="str">
        <f t="shared" si="139"/>
        <v>Low</v>
      </c>
    </row>
    <row r="1261" spans="1:24" ht="15.75" customHeight="1">
      <c r="A1261" s="4" t="s">
        <v>3257</v>
      </c>
      <c r="B1261" s="9">
        <v>45890</v>
      </c>
      <c r="C1261" s="4" t="s">
        <v>849</v>
      </c>
      <c r="D1261" s="4" t="s">
        <v>1809</v>
      </c>
      <c r="E1261" s="4" t="s">
        <v>1944</v>
      </c>
      <c r="F1261" s="4">
        <v>1</v>
      </c>
      <c r="G1261" s="4">
        <v>78.5</v>
      </c>
      <c r="H1261" s="4">
        <v>0.17</v>
      </c>
      <c r="I1261" s="4" t="s">
        <v>2004</v>
      </c>
      <c r="J1261" s="10">
        <v>65.155000000000001</v>
      </c>
      <c r="K1261" s="4" t="str">
        <f t="shared" si="133"/>
        <v>21-08-2025</v>
      </c>
      <c r="L1261" s="4" t="str">
        <f>TEXT(Sales_Fact!$B1261,"mmm")</f>
        <v>Aug</v>
      </c>
      <c r="M1261" s="4">
        <f t="shared" si="134"/>
        <v>1</v>
      </c>
      <c r="N1261" s="10">
        <f t="shared" si="135"/>
        <v>78.5</v>
      </c>
      <c r="O1261" s="10">
        <f t="shared" si="136"/>
        <v>65.155000000000001</v>
      </c>
      <c r="P1261" s="10">
        <f t="shared" si="137"/>
        <v>78.5</v>
      </c>
      <c r="Q1261" s="3">
        <f t="shared" si="138"/>
        <v>0.16999999999999998</v>
      </c>
      <c r="R1261" s="4" t="str">
        <f>IF(Sales_Fact!$O1261&gt;1000,"High","Low")</f>
        <v>Low</v>
      </c>
      <c r="S1261" s="4" t="str">
        <f>VLOOKUP(C1261,Customer_Dim!$A:$N,9,FALSE())</f>
        <v>Christopher David</v>
      </c>
      <c r="T1261" s="4" t="str">
        <f>VLOOKUP(D1261,Product_Dim!$A:$M,3,FALSE())</f>
        <v>Home</v>
      </c>
      <c r="U1261" s="11" t="str">
        <f>VLOOKUP(D1261,Product_Dim!$A:$M,2,FALSE())</f>
        <v>Wooden Nightstand</v>
      </c>
      <c r="V1261" s="11" t="str">
        <f>VLOOKUP(E1261,Store_Dim!$A:$E,3,FALSE())</f>
        <v>South</v>
      </c>
      <c r="W1261" s="11" t="str">
        <f>VLOOKUP(C1261,Customer_Dim!$A:$N,13,FALSE())</f>
        <v>Silver</v>
      </c>
      <c r="X1261" s="11" t="str">
        <f t="shared" si="139"/>
        <v>Low</v>
      </c>
    </row>
    <row r="1262" spans="1:24" ht="15.75" customHeight="1">
      <c r="A1262" s="4" t="s">
        <v>3258</v>
      </c>
      <c r="B1262" s="9">
        <v>45815</v>
      </c>
      <c r="C1262" s="4" t="s">
        <v>479</v>
      </c>
      <c r="D1262" s="4" t="s">
        <v>1709</v>
      </c>
      <c r="E1262" s="4" t="s">
        <v>1927</v>
      </c>
      <c r="F1262" s="4">
        <v>3</v>
      </c>
      <c r="G1262" s="4">
        <v>399.42</v>
      </c>
      <c r="H1262" s="4">
        <v>0.02</v>
      </c>
      <c r="I1262" s="4" t="s">
        <v>1996</v>
      </c>
      <c r="J1262" s="10">
        <v>1174.2947999999999</v>
      </c>
      <c r="K1262" s="4" t="str">
        <f t="shared" si="133"/>
        <v>07-06-2025</v>
      </c>
      <c r="L1262" s="4" t="str">
        <f>TEXT(Sales_Fact!$B1262,"mmm")</f>
        <v>Jun</v>
      </c>
      <c r="M1262" s="4">
        <f t="shared" si="134"/>
        <v>3</v>
      </c>
      <c r="N1262" s="10">
        <f t="shared" si="135"/>
        <v>399.42</v>
      </c>
      <c r="O1262" s="10">
        <f t="shared" si="136"/>
        <v>1174.2947999999999</v>
      </c>
      <c r="P1262" s="10">
        <f t="shared" si="137"/>
        <v>1198.26</v>
      </c>
      <c r="Q1262" s="3">
        <f t="shared" si="138"/>
        <v>2.000000000000008E-2</v>
      </c>
      <c r="R1262" s="4" t="str">
        <f>IF(Sales_Fact!$O1262&gt;1000,"High","Low")</f>
        <v>High</v>
      </c>
      <c r="S1262" s="4" t="str">
        <f>VLOOKUP(C1262,Customer_Dim!$A:$N,9,FALSE())</f>
        <v>Hayley Pope</v>
      </c>
      <c r="T1262" s="4" t="str">
        <f>VLOOKUP(D1262,Product_Dim!$A:$M,3,FALSE())</f>
        <v>Clothing</v>
      </c>
      <c r="U1262" s="11" t="str">
        <f>VLOOKUP(D1262,Product_Dim!$A:$M,2,FALSE())</f>
        <v>Women's Summer Dress</v>
      </c>
      <c r="V1262" s="11" t="str">
        <f>VLOOKUP(E1262,Store_Dim!$A:$E,3,FALSE())</f>
        <v>South</v>
      </c>
      <c r="W1262" s="11" t="str">
        <f>VLOOKUP(C1262,Customer_Dim!$A:$N,13,FALSE())</f>
        <v>Bronze</v>
      </c>
      <c r="X1262" s="11" t="str">
        <f t="shared" si="139"/>
        <v>Low</v>
      </c>
    </row>
    <row r="1263" spans="1:24" ht="15.75" customHeight="1">
      <c r="A1263" s="4" t="s">
        <v>3259</v>
      </c>
      <c r="B1263" s="9">
        <v>45891</v>
      </c>
      <c r="C1263" s="4" t="s">
        <v>328</v>
      </c>
      <c r="D1263" s="4" t="s">
        <v>1693</v>
      </c>
      <c r="E1263" s="4" t="s">
        <v>1971</v>
      </c>
      <c r="F1263" s="4">
        <v>3</v>
      </c>
      <c r="G1263" s="4">
        <v>455.82</v>
      </c>
      <c r="H1263" s="4">
        <v>0.01</v>
      </c>
      <c r="I1263" s="4" t="s">
        <v>1998</v>
      </c>
      <c r="J1263" s="10">
        <v>1353.7854</v>
      </c>
      <c r="K1263" s="4" t="str">
        <f t="shared" si="133"/>
        <v>22-08-2025</v>
      </c>
      <c r="L1263" s="4" t="str">
        <f>TEXT(Sales_Fact!$B1263,"mmm")</f>
        <v>Aug</v>
      </c>
      <c r="M1263" s="4">
        <f t="shared" si="134"/>
        <v>3</v>
      </c>
      <c r="N1263" s="10">
        <f t="shared" si="135"/>
        <v>455.82</v>
      </c>
      <c r="O1263" s="10">
        <f t="shared" si="136"/>
        <v>1353.7854</v>
      </c>
      <c r="P1263" s="10">
        <f t="shared" si="137"/>
        <v>1367.46</v>
      </c>
      <c r="Q1263" s="3">
        <f t="shared" si="138"/>
        <v>1.000000000000004E-2</v>
      </c>
      <c r="R1263" s="4" t="str">
        <f>IF(Sales_Fact!$O1263&gt;1000,"High","Low")</f>
        <v>High</v>
      </c>
      <c r="S1263" s="4" t="str">
        <f>VLOOKUP(C1263,Customer_Dim!$A:$N,9,FALSE())</f>
        <v>Richard Delgado</v>
      </c>
      <c r="T1263" s="4" t="str">
        <f>VLOOKUP(D1263,Product_Dim!$A:$M,3,FALSE())</f>
        <v>Sports</v>
      </c>
      <c r="U1263" s="11" t="str">
        <f>VLOOKUP(D1263,Product_Dim!$A:$M,2,FALSE())</f>
        <v>Basketball</v>
      </c>
      <c r="V1263" s="11" t="str">
        <f>VLOOKUP(E1263,Store_Dim!$A:$E,3,FALSE())</f>
        <v>East</v>
      </c>
      <c r="W1263" s="11" t="str">
        <f>VLOOKUP(C1263,Customer_Dim!$A:$N,13,FALSE())</f>
        <v>Silver</v>
      </c>
      <c r="X1263" s="11" t="str">
        <f t="shared" si="139"/>
        <v>Low</v>
      </c>
    </row>
    <row r="1264" spans="1:24" ht="15.75" customHeight="1">
      <c r="A1264" s="4" t="s">
        <v>3260</v>
      </c>
      <c r="B1264" s="9">
        <v>45609</v>
      </c>
      <c r="C1264" s="4" t="s">
        <v>1123</v>
      </c>
      <c r="D1264" s="4" t="s">
        <v>1755</v>
      </c>
      <c r="E1264" s="4" t="s">
        <v>1931</v>
      </c>
      <c r="F1264" s="4">
        <v>2</v>
      </c>
      <c r="G1264" s="4">
        <v>613.23</v>
      </c>
      <c r="H1264" s="4">
        <v>0.15</v>
      </c>
      <c r="I1264" s="4" t="s">
        <v>1998</v>
      </c>
      <c r="J1264" s="10">
        <v>1042.491</v>
      </c>
      <c r="K1264" s="4" t="str">
        <f t="shared" si="133"/>
        <v>13-11-2024</v>
      </c>
      <c r="L1264" s="4" t="str">
        <f>TEXT(Sales_Fact!$B1264,"mmm")</f>
        <v>Nov</v>
      </c>
      <c r="M1264" s="4">
        <f t="shared" si="134"/>
        <v>2</v>
      </c>
      <c r="N1264" s="10">
        <f t="shared" si="135"/>
        <v>613.23</v>
      </c>
      <c r="O1264" s="10">
        <f t="shared" si="136"/>
        <v>1042.491</v>
      </c>
      <c r="P1264" s="10">
        <f t="shared" si="137"/>
        <v>1226.46</v>
      </c>
      <c r="Q1264" s="3">
        <f t="shared" si="138"/>
        <v>0.15000000000000005</v>
      </c>
      <c r="R1264" s="4" t="str">
        <f>IF(Sales_Fact!$O1264&gt;1000,"High","Low")</f>
        <v>High</v>
      </c>
      <c r="S1264" s="4" t="str">
        <f>VLOOKUP(C1264,Customer_Dim!$A:$N,9,FALSE())</f>
        <v>Heather Valenzuela</v>
      </c>
      <c r="T1264" s="4" t="str">
        <f>VLOOKUP(D1264,Product_Dim!$A:$M,3,FALSE())</f>
        <v>Sports</v>
      </c>
      <c r="U1264" s="11" t="str">
        <f>VLOOKUP(D1264,Product_Dim!$A:$M,2,FALSE())</f>
        <v>Boxing Hand Wraps</v>
      </c>
      <c r="V1264" s="11" t="str">
        <f>VLOOKUP(E1264,Store_Dim!$A:$E,3,FALSE())</f>
        <v>North</v>
      </c>
      <c r="W1264" s="11" t="str">
        <f>VLOOKUP(C1264,Customer_Dim!$A:$N,13,FALSE())</f>
        <v>Bronze</v>
      </c>
      <c r="X1264" s="11" t="str">
        <f t="shared" si="139"/>
        <v>Low</v>
      </c>
    </row>
    <row r="1265" spans="1:24" ht="15.75" customHeight="1">
      <c r="A1265" s="4" t="s">
        <v>3261</v>
      </c>
      <c r="B1265" s="9">
        <v>45309</v>
      </c>
      <c r="C1265" s="4" t="s">
        <v>1443</v>
      </c>
      <c r="D1265" s="4" t="s">
        <v>1588</v>
      </c>
      <c r="E1265" s="4" t="s">
        <v>1957</v>
      </c>
      <c r="F1265" s="4">
        <v>4</v>
      </c>
      <c r="G1265" s="4">
        <v>971.9</v>
      </c>
      <c r="H1265" s="4">
        <v>0.28000000000000003</v>
      </c>
      <c r="I1265" s="4" t="s">
        <v>1998</v>
      </c>
      <c r="J1265" s="10">
        <v>2799.0720000000001</v>
      </c>
      <c r="K1265" s="4" t="str">
        <f t="shared" si="133"/>
        <v>18-01-2024</v>
      </c>
      <c r="L1265" s="4" t="str">
        <f>TEXT(Sales_Fact!$B1265,"mmm")</f>
        <v>Jan</v>
      </c>
      <c r="M1265" s="4">
        <f t="shared" si="134"/>
        <v>4</v>
      </c>
      <c r="N1265" s="10">
        <f t="shared" si="135"/>
        <v>971.9</v>
      </c>
      <c r="O1265" s="10">
        <f t="shared" si="136"/>
        <v>2799.0719999999997</v>
      </c>
      <c r="P1265" s="10">
        <f t="shared" si="137"/>
        <v>3887.6</v>
      </c>
      <c r="Q1265" s="3">
        <f t="shared" si="138"/>
        <v>0.28000000000000008</v>
      </c>
      <c r="R1265" s="4" t="str">
        <f>IF(Sales_Fact!$O1265&gt;1000,"High","Low")</f>
        <v>High</v>
      </c>
      <c r="S1265" s="4" t="str">
        <f>VLOOKUP(C1265,Customer_Dim!$A:$N,9,FALSE())</f>
        <v>Kelly Garrett</v>
      </c>
      <c r="T1265" s="4" t="str">
        <f>VLOOKUP(D1265,Product_Dim!$A:$M,3,FALSE())</f>
        <v>Clothing</v>
      </c>
      <c r="U1265" s="11" t="str">
        <f>VLOOKUP(D1265,Product_Dim!$A:$M,2,FALSE())</f>
        <v>Women's Casual Hoodie</v>
      </c>
      <c r="V1265" s="11" t="str">
        <f>VLOOKUP(E1265,Store_Dim!$A:$E,3,FALSE())</f>
        <v>South</v>
      </c>
      <c r="W1265" s="11" t="str">
        <f>VLOOKUP(C1265,Customer_Dim!$A:$N,13,FALSE())</f>
        <v>Silver</v>
      </c>
      <c r="X1265" s="11" t="str">
        <f t="shared" si="139"/>
        <v>High</v>
      </c>
    </row>
    <row r="1266" spans="1:24" ht="15.75" customHeight="1">
      <c r="A1266" s="4" t="s">
        <v>3262</v>
      </c>
      <c r="B1266" s="9">
        <v>45519</v>
      </c>
      <c r="C1266" s="4" t="s">
        <v>158</v>
      </c>
      <c r="D1266" s="4" t="s">
        <v>1684</v>
      </c>
      <c r="E1266" s="4" t="s">
        <v>1937</v>
      </c>
      <c r="F1266" s="4">
        <v>3</v>
      </c>
      <c r="G1266" s="4">
        <v>884.92</v>
      </c>
      <c r="H1266" s="4">
        <v>0.06</v>
      </c>
      <c r="I1266" s="4" t="s">
        <v>1998</v>
      </c>
      <c r="J1266" s="10">
        <v>2495.4744000000001</v>
      </c>
      <c r="K1266" s="4" t="str">
        <f t="shared" si="133"/>
        <v>15-08-2024</v>
      </c>
      <c r="L1266" s="4" t="str">
        <f>TEXT(Sales_Fact!$B1266,"mmm")</f>
        <v>Aug</v>
      </c>
      <c r="M1266" s="4">
        <f t="shared" si="134"/>
        <v>3</v>
      </c>
      <c r="N1266" s="10">
        <f t="shared" si="135"/>
        <v>884.92</v>
      </c>
      <c r="O1266" s="10">
        <f t="shared" si="136"/>
        <v>2495.4743999999996</v>
      </c>
      <c r="P1266" s="10">
        <f t="shared" si="137"/>
        <v>2654.7599999999998</v>
      </c>
      <c r="Q1266" s="3">
        <f t="shared" si="138"/>
        <v>6.0000000000000067E-2</v>
      </c>
      <c r="R1266" s="4" t="str">
        <f>IF(Sales_Fact!$O1266&gt;1000,"High","Low")</f>
        <v>High</v>
      </c>
      <c r="S1266" s="4" t="str">
        <f>VLOOKUP(C1266,Customer_Dim!$A:$N,9,FALSE())</f>
        <v>Christopher Olson</v>
      </c>
      <c r="T1266" s="4" t="str">
        <f>VLOOKUP(D1266,Product_Dim!$A:$M,3,FALSE())</f>
        <v>Sports</v>
      </c>
      <c r="U1266" s="11" t="str">
        <f>VLOOKUP(D1266,Product_Dim!$A:$M,2,FALSE())</f>
        <v>Sports Stopwatch Timer</v>
      </c>
      <c r="V1266" s="11" t="str">
        <f>VLOOKUP(E1266,Store_Dim!$A:$E,3,FALSE())</f>
        <v>South</v>
      </c>
      <c r="W1266" s="11" t="str">
        <f>VLOOKUP(C1266,Customer_Dim!$A:$N,13,FALSE())</f>
        <v>Platinum</v>
      </c>
      <c r="X1266" s="11" t="str">
        <f t="shared" si="139"/>
        <v>Low</v>
      </c>
    </row>
    <row r="1267" spans="1:24" ht="15.75" customHeight="1">
      <c r="A1267" s="4" t="s">
        <v>3263</v>
      </c>
      <c r="B1267" s="9">
        <v>45921</v>
      </c>
      <c r="C1267" s="4" t="s">
        <v>335</v>
      </c>
      <c r="D1267" s="4" t="s">
        <v>1613</v>
      </c>
      <c r="E1267" s="4" t="s">
        <v>1944</v>
      </c>
      <c r="F1267" s="4">
        <v>1</v>
      </c>
      <c r="G1267" s="4">
        <v>125</v>
      </c>
      <c r="H1267" s="4">
        <v>0.23</v>
      </c>
      <c r="I1267" s="4" t="s">
        <v>1996</v>
      </c>
      <c r="J1267" s="10">
        <v>96.25</v>
      </c>
      <c r="K1267" s="4" t="str">
        <f t="shared" si="133"/>
        <v>21-09-2025</v>
      </c>
      <c r="L1267" s="4" t="str">
        <f>TEXT(Sales_Fact!$B1267,"mmm")</f>
        <v>Sep</v>
      </c>
      <c r="M1267" s="4">
        <f t="shared" si="134"/>
        <v>1</v>
      </c>
      <c r="N1267" s="10">
        <f t="shared" si="135"/>
        <v>125</v>
      </c>
      <c r="O1267" s="10">
        <f t="shared" si="136"/>
        <v>96.25</v>
      </c>
      <c r="P1267" s="10">
        <f t="shared" si="137"/>
        <v>125</v>
      </c>
      <c r="Q1267" s="3">
        <f t="shared" si="138"/>
        <v>0.23</v>
      </c>
      <c r="R1267" s="4" t="str">
        <f>IF(Sales_Fact!$O1267&gt;1000,"High","Low")</f>
        <v>Low</v>
      </c>
      <c r="S1267" s="4" t="str">
        <f>VLOOKUP(C1267,Customer_Dim!$A:$N,9,FALSE())</f>
        <v>Melissa Duffy Md</v>
      </c>
      <c r="T1267" s="4" t="str">
        <f>VLOOKUP(D1267,Product_Dim!$A:$M,3,FALSE())</f>
        <v>Electronics</v>
      </c>
      <c r="U1267" s="11" t="str">
        <f>VLOOKUP(D1267,Product_Dim!$A:$M,2,FALSE())</f>
        <v>Wireless Bluetooth Earbuds</v>
      </c>
      <c r="V1267" s="11" t="str">
        <f>VLOOKUP(E1267,Store_Dim!$A:$E,3,FALSE())</f>
        <v>South</v>
      </c>
      <c r="W1267" s="11" t="str">
        <f>VLOOKUP(C1267,Customer_Dim!$A:$N,13,FALSE())</f>
        <v>Bronze</v>
      </c>
      <c r="X1267" s="11" t="str">
        <f t="shared" si="139"/>
        <v>Low</v>
      </c>
    </row>
    <row r="1268" spans="1:24" ht="15.75" customHeight="1">
      <c r="A1268" s="4" t="s">
        <v>3264</v>
      </c>
      <c r="B1268" s="9">
        <v>45465</v>
      </c>
      <c r="C1268" s="4" t="s">
        <v>463</v>
      </c>
      <c r="D1268" s="4" t="s">
        <v>1622</v>
      </c>
      <c r="E1268" s="4" t="s">
        <v>1959</v>
      </c>
      <c r="F1268" s="4">
        <v>2</v>
      </c>
      <c r="G1268" s="4">
        <v>188.25</v>
      </c>
      <c r="H1268" s="4">
        <v>0.08</v>
      </c>
      <c r="I1268" s="4" t="s">
        <v>1998</v>
      </c>
      <c r="J1268" s="10">
        <v>346.38</v>
      </c>
      <c r="K1268" s="4" t="str">
        <f t="shared" si="133"/>
        <v>22-06-2024</v>
      </c>
      <c r="L1268" s="4" t="str">
        <f>TEXT(Sales_Fact!$B1268,"mmm")</f>
        <v>Jun</v>
      </c>
      <c r="M1268" s="4">
        <f t="shared" si="134"/>
        <v>2</v>
      </c>
      <c r="N1268" s="10">
        <f t="shared" si="135"/>
        <v>188.25</v>
      </c>
      <c r="O1268" s="10">
        <f t="shared" si="136"/>
        <v>346.38</v>
      </c>
      <c r="P1268" s="10">
        <f t="shared" si="137"/>
        <v>376.5</v>
      </c>
      <c r="Q1268" s="3">
        <f t="shared" si="138"/>
        <v>8.0000000000000016E-2</v>
      </c>
      <c r="R1268" s="4" t="str">
        <f>IF(Sales_Fact!$O1268&gt;1000,"High","Low")</f>
        <v>Low</v>
      </c>
      <c r="S1268" s="4" t="str">
        <f>VLOOKUP(C1268,Customer_Dim!$A:$N,9,FALSE())</f>
        <v>Susan Mcdonald</v>
      </c>
      <c r="T1268" s="4" t="str">
        <f>VLOOKUP(D1268,Product_Dim!$A:$M,3,FALSE())</f>
        <v>Home</v>
      </c>
      <c r="U1268" s="11" t="str">
        <f>VLOOKUP(D1268,Product_Dim!$A:$M,2,FALSE())</f>
        <v>Ceramic Kitchen Bowl Set</v>
      </c>
      <c r="V1268" s="11" t="str">
        <f>VLOOKUP(E1268,Store_Dim!$A:$E,3,FALSE())</f>
        <v>North</v>
      </c>
      <c r="W1268" s="11" t="str">
        <f>VLOOKUP(C1268,Customer_Dim!$A:$N,13,FALSE())</f>
        <v>Silver</v>
      </c>
      <c r="X1268" s="11" t="str">
        <f t="shared" si="139"/>
        <v>Low</v>
      </c>
    </row>
    <row r="1269" spans="1:24" ht="15.75" customHeight="1">
      <c r="A1269" s="4" t="s">
        <v>3265</v>
      </c>
      <c r="B1269" s="9">
        <v>45303</v>
      </c>
      <c r="C1269" s="4" t="s">
        <v>746</v>
      </c>
      <c r="D1269" s="4" t="s">
        <v>1741</v>
      </c>
      <c r="E1269" s="4" t="s">
        <v>1934</v>
      </c>
      <c r="F1269" s="4">
        <v>4</v>
      </c>
      <c r="G1269" s="4">
        <v>344.12</v>
      </c>
      <c r="H1269" s="4">
        <v>0.25</v>
      </c>
      <c r="I1269" s="4" t="s">
        <v>1998</v>
      </c>
      <c r="J1269" s="10">
        <v>1032.3599999999999</v>
      </c>
      <c r="K1269" s="4" t="str">
        <f t="shared" si="133"/>
        <v>12-01-2024</v>
      </c>
      <c r="L1269" s="4" t="str">
        <f>TEXT(Sales_Fact!$B1269,"mmm")</f>
        <v>Jan</v>
      </c>
      <c r="M1269" s="4">
        <f t="shared" si="134"/>
        <v>4</v>
      </c>
      <c r="N1269" s="10">
        <f t="shared" si="135"/>
        <v>344.12</v>
      </c>
      <c r="O1269" s="10">
        <f t="shared" si="136"/>
        <v>1032.3600000000001</v>
      </c>
      <c r="P1269" s="10">
        <f t="shared" si="137"/>
        <v>1376.48</v>
      </c>
      <c r="Q1269" s="3">
        <f t="shared" si="138"/>
        <v>0.24999999999999992</v>
      </c>
      <c r="R1269" s="4" t="str">
        <f>IF(Sales_Fact!$O1269&gt;1000,"High","Low")</f>
        <v>High</v>
      </c>
      <c r="S1269" s="4" t="str">
        <f>VLOOKUP(C1269,Customer_Dim!$A:$N,9,FALSE())</f>
        <v>Alejandro Doyle</v>
      </c>
      <c r="T1269" s="4" t="str">
        <f>VLOOKUP(D1269,Product_Dim!$A:$M,3,FALSE())</f>
        <v>Clothing</v>
      </c>
      <c r="U1269" s="11" t="str">
        <f>VLOOKUP(D1269,Product_Dim!$A:$M,2,FALSE())</f>
        <v>Men's Winter Jacket</v>
      </c>
      <c r="V1269" s="11" t="str">
        <f>VLOOKUP(E1269,Store_Dim!$A:$E,3,FALSE())</f>
        <v>East</v>
      </c>
      <c r="W1269" s="11" t="str">
        <f>VLOOKUP(C1269,Customer_Dim!$A:$N,13,FALSE())</f>
        <v>Platinum</v>
      </c>
      <c r="X1269" s="11" t="str">
        <f t="shared" si="139"/>
        <v>High</v>
      </c>
    </row>
    <row r="1270" spans="1:24" ht="15.75" customHeight="1">
      <c r="A1270" s="4" t="s">
        <v>3266</v>
      </c>
      <c r="B1270" s="9">
        <v>45215</v>
      </c>
      <c r="C1270" s="4" t="s">
        <v>1108</v>
      </c>
      <c r="D1270" s="4" t="s">
        <v>1843</v>
      </c>
      <c r="E1270" s="4" t="s">
        <v>1915</v>
      </c>
      <c r="F1270" s="4"/>
      <c r="G1270" s="4">
        <v>873.22</v>
      </c>
      <c r="H1270" s="4">
        <v>0.18</v>
      </c>
      <c r="I1270" s="4" t="s">
        <v>1996</v>
      </c>
      <c r="J1270" s="10">
        <v>2148.1212</v>
      </c>
      <c r="K1270" s="4" t="str">
        <f t="shared" si="133"/>
        <v>16-10-2023</v>
      </c>
      <c r="L1270" s="4" t="str">
        <f>TEXT(Sales_Fact!$B1270,"mmm")</f>
        <v>Oct</v>
      </c>
      <c r="M1270" s="4">
        <f t="shared" si="134"/>
        <v>1</v>
      </c>
      <c r="N1270" s="10">
        <f t="shared" si="135"/>
        <v>873.22</v>
      </c>
      <c r="O1270" s="10">
        <f t="shared" si="136"/>
        <v>716.04040000000009</v>
      </c>
      <c r="P1270" s="10">
        <f t="shared" si="137"/>
        <v>873.22</v>
      </c>
      <c r="Q1270" s="3">
        <f t="shared" si="138"/>
        <v>0.17999999999999991</v>
      </c>
      <c r="R1270" s="4" t="str">
        <f>IF(Sales_Fact!$O1270&gt;1000,"High","Low")</f>
        <v>Low</v>
      </c>
      <c r="S1270" s="4" t="str">
        <f>VLOOKUP(C1270,Customer_Dim!$A:$N,9,FALSE())</f>
        <v>Evelyn Brown</v>
      </c>
      <c r="T1270" s="4" t="str">
        <f>VLOOKUP(D1270,Product_Dim!$A:$M,3,FALSE())</f>
        <v>Home</v>
      </c>
      <c r="U1270" s="11" t="str">
        <f>VLOOKUP(D1270,Product_Dim!$A:$M,2,FALSE())</f>
        <v>Decorative Lamp Shade</v>
      </c>
      <c r="V1270" s="11" t="str">
        <f>VLOOKUP(E1270,Store_Dim!$A:$E,3,FALSE())</f>
        <v>North</v>
      </c>
      <c r="W1270" s="11" t="str">
        <f>VLOOKUP(C1270,Customer_Dim!$A:$N,13,FALSE())</f>
        <v>Gold</v>
      </c>
      <c r="X1270" s="11" t="str">
        <f t="shared" si="139"/>
        <v>Low</v>
      </c>
    </row>
    <row r="1271" spans="1:24" ht="15.75" customHeight="1">
      <c r="A1271" s="4" t="s">
        <v>3267</v>
      </c>
      <c r="B1271" s="9">
        <v>45218</v>
      </c>
      <c r="C1271" s="4" t="s">
        <v>202</v>
      </c>
      <c r="D1271" s="4" t="s">
        <v>1648</v>
      </c>
      <c r="E1271" s="4" t="s">
        <v>1971</v>
      </c>
      <c r="F1271" s="4">
        <v>3</v>
      </c>
      <c r="G1271" s="4">
        <v>997.95</v>
      </c>
      <c r="H1271" s="4">
        <v>0.09</v>
      </c>
      <c r="I1271" s="4" t="s">
        <v>2004</v>
      </c>
      <c r="J1271" s="10">
        <v>2724.4034999999999</v>
      </c>
      <c r="K1271" s="4" t="str">
        <f t="shared" si="133"/>
        <v>19-10-2023</v>
      </c>
      <c r="L1271" s="4" t="str">
        <f>TEXT(Sales_Fact!$B1271,"mmm")</f>
        <v>Oct</v>
      </c>
      <c r="M1271" s="4">
        <f t="shared" si="134"/>
        <v>3</v>
      </c>
      <c r="N1271" s="10">
        <f t="shared" si="135"/>
        <v>997.95</v>
      </c>
      <c r="O1271" s="10">
        <f t="shared" si="136"/>
        <v>2724.4035000000003</v>
      </c>
      <c r="P1271" s="10">
        <f t="shared" si="137"/>
        <v>2993.8500000000004</v>
      </c>
      <c r="Q1271" s="3">
        <f t="shared" si="138"/>
        <v>0.09</v>
      </c>
      <c r="R1271" s="4" t="str">
        <f>IF(Sales_Fact!$O1271&gt;1000,"High","Low")</f>
        <v>High</v>
      </c>
      <c r="S1271" s="4" t="str">
        <f>VLOOKUP(C1271,Customer_Dim!$A:$N,9,FALSE())</f>
        <v>Gina Knight</v>
      </c>
      <c r="T1271" s="4" t="str">
        <f>VLOOKUP(D1271,Product_Dim!$A:$M,3,FALSE())</f>
        <v>Sports</v>
      </c>
      <c r="U1271" s="11" t="str">
        <f>VLOOKUP(D1271,Product_Dim!$A:$M,2,FALSE())</f>
        <v>Soccer Training Cone Set</v>
      </c>
      <c r="V1271" s="11" t="str">
        <f>VLOOKUP(E1271,Store_Dim!$A:$E,3,FALSE())</f>
        <v>East</v>
      </c>
      <c r="W1271" s="11" t="str">
        <f>VLOOKUP(C1271,Customer_Dim!$A:$N,13,FALSE())</f>
        <v>Silver</v>
      </c>
      <c r="X1271" s="11" t="str">
        <f t="shared" si="139"/>
        <v>Low</v>
      </c>
    </row>
    <row r="1272" spans="1:24" ht="15.75" customHeight="1">
      <c r="A1272" s="4" t="s">
        <v>3268</v>
      </c>
      <c r="B1272" s="9">
        <v>45727</v>
      </c>
      <c r="C1272" s="4" t="s">
        <v>529</v>
      </c>
      <c r="D1272" s="4" t="s">
        <v>1626</v>
      </c>
      <c r="E1272" s="4" t="s">
        <v>1959</v>
      </c>
      <c r="F1272" s="4">
        <v>3</v>
      </c>
      <c r="G1272" s="4">
        <v>121.64</v>
      </c>
      <c r="H1272" s="4">
        <v>7.0000000000000007E-2</v>
      </c>
      <c r="I1272" s="4" t="s">
        <v>1998</v>
      </c>
      <c r="J1272" s="10">
        <v>339.37560000000002</v>
      </c>
      <c r="K1272" s="4" t="str">
        <f t="shared" si="133"/>
        <v>11-03-2025</v>
      </c>
      <c r="L1272" s="4" t="str">
        <f>TEXT(Sales_Fact!$B1272,"mmm")</f>
        <v>Mar</v>
      </c>
      <c r="M1272" s="4">
        <f t="shared" si="134"/>
        <v>3</v>
      </c>
      <c r="N1272" s="10">
        <f t="shared" si="135"/>
        <v>121.64</v>
      </c>
      <c r="O1272" s="10">
        <f t="shared" si="136"/>
        <v>339.37560000000002</v>
      </c>
      <c r="P1272" s="10">
        <f t="shared" si="137"/>
        <v>364.92</v>
      </c>
      <c r="Q1272" s="3">
        <f t="shared" si="138"/>
        <v>6.9999999999999993E-2</v>
      </c>
      <c r="R1272" s="4" t="str">
        <f>IF(Sales_Fact!$O1272&gt;1000,"High","Low")</f>
        <v>Low</v>
      </c>
      <c r="S1272" s="4" t="str">
        <f>VLOOKUP(C1272,Customer_Dim!$A:$N,9,FALSE())</f>
        <v>Stephanie Conway</v>
      </c>
      <c r="T1272" s="4" t="str">
        <f>VLOOKUP(D1272,Product_Dim!$A:$M,3,FALSE())</f>
        <v>Electronics</v>
      </c>
      <c r="U1272" s="11" t="str">
        <f>VLOOKUP(D1272,Product_Dim!$A:$M,2,FALSE())</f>
        <v>HD Smart TV Stick</v>
      </c>
      <c r="V1272" s="11" t="str">
        <f>VLOOKUP(E1272,Store_Dim!$A:$E,3,FALSE())</f>
        <v>North</v>
      </c>
      <c r="W1272" s="11" t="str">
        <f>VLOOKUP(C1272,Customer_Dim!$A:$N,13,FALSE())</f>
        <v>Gold</v>
      </c>
      <c r="X1272" s="11" t="str">
        <f t="shared" si="139"/>
        <v>Low</v>
      </c>
    </row>
    <row r="1273" spans="1:24" ht="15.75" customHeight="1">
      <c r="A1273" s="4" t="s">
        <v>3269</v>
      </c>
      <c r="B1273" s="9">
        <v>45557</v>
      </c>
      <c r="C1273" s="4" t="s">
        <v>743</v>
      </c>
      <c r="D1273" s="4" t="s">
        <v>1809</v>
      </c>
      <c r="E1273" s="4" t="s">
        <v>1947</v>
      </c>
      <c r="F1273" s="4">
        <v>2</v>
      </c>
      <c r="G1273" s="4">
        <v>692.72</v>
      </c>
      <c r="H1273" s="4">
        <v>0.13</v>
      </c>
      <c r="I1273" s="4" t="s">
        <v>1998</v>
      </c>
      <c r="J1273" s="10">
        <v>1205.3327999999999</v>
      </c>
      <c r="K1273" s="4" t="str">
        <f t="shared" si="133"/>
        <v>22-09-2024</v>
      </c>
      <c r="L1273" s="4" t="str">
        <f>TEXT(Sales_Fact!$B1273,"mmm")</f>
        <v>Sep</v>
      </c>
      <c r="M1273" s="4">
        <f t="shared" si="134"/>
        <v>2</v>
      </c>
      <c r="N1273" s="10">
        <f t="shared" si="135"/>
        <v>692.72</v>
      </c>
      <c r="O1273" s="10">
        <f t="shared" si="136"/>
        <v>1205.3328000000001</v>
      </c>
      <c r="P1273" s="10">
        <f t="shared" si="137"/>
        <v>1385.44</v>
      </c>
      <c r="Q1273" s="3">
        <f t="shared" si="138"/>
        <v>0.12999999999999995</v>
      </c>
      <c r="R1273" s="4" t="str">
        <f>IF(Sales_Fact!$O1273&gt;1000,"High","Low")</f>
        <v>High</v>
      </c>
      <c r="S1273" s="4" t="str">
        <f>VLOOKUP(C1273,Customer_Dim!$A:$N,9,FALSE())</f>
        <v>Lisa Young</v>
      </c>
      <c r="T1273" s="4" t="str">
        <f>VLOOKUP(D1273,Product_Dim!$A:$M,3,FALSE())</f>
        <v>Home</v>
      </c>
      <c r="U1273" s="11" t="str">
        <f>VLOOKUP(D1273,Product_Dim!$A:$M,2,FALSE())</f>
        <v>Wooden Nightstand</v>
      </c>
      <c r="V1273" s="11" t="str">
        <f>VLOOKUP(E1273,Store_Dim!$A:$E,3,FALSE())</f>
        <v>East</v>
      </c>
      <c r="W1273" s="11" t="str">
        <f>VLOOKUP(C1273,Customer_Dim!$A:$N,13,FALSE())</f>
        <v>Platinum</v>
      </c>
      <c r="X1273" s="11" t="str">
        <f t="shared" si="139"/>
        <v>Low</v>
      </c>
    </row>
    <row r="1274" spans="1:24" ht="15.75" customHeight="1">
      <c r="A1274" s="4" t="s">
        <v>3270</v>
      </c>
      <c r="B1274" s="9">
        <v>45623</v>
      </c>
      <c r="C1274" s="4" t="s">
        <v>135</v>
      </c>
      <c r="D1274" s="4" t="s">
        <v>1671</v>
      </c>
      <c r="E1274" s="4" t="s">
        <v>1971</v>
      </c>
      <c r="F1274" s="4">
        <v>3</v>
      </c>
      <c r="G1274" s="4">
        <v>794.59</v>
      </c>
      <c r="H1274" s="4">
        <v>0.03</v>
      </c>
      <c r="I1274" s="4" t="s">
        <v>1998</v>
      </c>
      <c r="J1274" s="10">
        <v>2312.2568999999999</v>
      </c>
      <c r="K1274" s="4" t="str">
        <f t="shared" si="133"/>
        <v>27-11-2024</v>
      </c>
      <c r="L1274" s="4" t="str">
        <f>TEXT(Sales_Fact!$B1274,"mmm")</f>
        <v>Nov</v>
      </c>
      <c r="M1274" s="4">
        <f t="shared" si="134"/>
        <v>3</v>
      </c>
      <c r="N1274" s="10">
        <f t="shared" si="135"/>
        <v>794.59</v>
      </c>
      <c r="O1274" s="10">
        <f t="shared" si="136"/>
        <v>2312.2568999999999</v>
      </c>
      <c r="P1274" s="10">
        <f t="shared" si="137"/>
        <v>2383.77</v>
      </c>
      <c r="Q1274" s="3">
        <f t="shared" si="138"/>
        <v>3.0000000000000051E-2</v>
      </c>
      <c r="R1274" s="4" t="str">
        <f>IF(Sales_Fact!$O1274&gt;1000,"High","Low")</f>
        <v>High</v>
      </c>
      <c r="S1274" s="4" t="str">
        <f>VLOOKUP(C1274,Customer_Dim!$A:$N,9,FALSE())</f>
        <v>Leslie Johnson</v>
      </c>
      <c r="T1274" s="4" t="str">
        <f>VLOOKUP(D1274,Product_Dim!$A:$M,3,FALSE())</f>
        <v>Sports</v>
      </c>
      <c r="U1274" s="11" t="str">
        <f>VLOOKUP(D1274,Product_Dim!$A:$M,2,FALSE())</f>
        <v>Foldable Camping Chair</v>
      </c>
      <c r="V1274" s="11" t="str">
        <f>VLOOKUP(E1274,Store_Dim!$A:$E,3,FALSE())</f>
        <v>East</v>
      </c>
      <c r="W1274" s="11" t="str">
        <f>VLOOKUP(C1274,Customer_Dim!$A:$N,13,FALSE())</f>
        <v>Standard</v>
      </c>
      <c r="X1274" s="11" t="str">
        <f t="shared" si="139"/>
        <v>Low</v>
      </c>
    </row>
    <row r="1275" spans="1:24" ht="15.75" customHeight="1">
      <c r="A1275" s="4" t="s">
        <v>3271</v>
      </c>
      <c r="B1275" s="9">
        <v>45224</v>
      </c>
      <c r="C1275" s="4" t="s">
        <v>87</v>
      </c>
      <c r="D1275" s="4" t="s">
        <v>1678</v>
      </c>
      <c r="E1275" s="4" t="s">
        <v>1944</v>
      </c>
      <c r="F1275" s="4">
        <v>1</v>
      </c>
      <c r="G1275" s="4">
        <v>907.95</v>
      </c>
      <c r="H1275" s="4">
        <v>0.1</v>
      </c>
      <c r="I1275" s="4" t="s">
        <v>1998</v>
      </c>
      <c r="J1275" s="10">
        <v>817.15499999999997</v>
      </c>
      <c r="K1275" s="4" t="str">
        <f t="shared" si="133"/>
        <v>25-10-2023</v>
      </c>
      <c r="L1275" s="4" t="str">
        <f>TEXT(Sales_Fact!$B1275,"mmm")</f>
        <v>Oct</v>
      </c>
      <c r="M1275" s="4">
        <f t="shared" si="134"/>
        <v>1</v>
      </c>
      <c r="N1275" s="10">
        <f t="shared" si="135"/>
        <v>907.95</v>
      </c>
      <c r="O1275" s="10">
        <f t="shared" si="136"/>
        <v>817.15500000000009</v>
      </c>
      <c r="P1275" s="10">
        <f t="shared" si="137"/>
        <v>907.95</v>
      </c>
      <c r="Q1275" s="3">
        <f t="shared" si="138"/>
        <v>9.999999999999995E-2</v>
      </c>
      <c r="R1275" s="4" t="str">
        <f>IF(Sales_Fact!$O1275&gt;1000,"High","Low")</f>
        <v>Low</v>
      </c>
      <c r="S1275" s="4" t="str">
        <f>VLOOKUP(C1275,Customer_Dim!$A:$N,9,FALSE())</f>
        <v>Ashley Cohen</v>
      </c>
      <c r="T1275" s="4" t="str">
        <f>VLOOKUP(D1275,Product_Dim!$A:$M,3,FALSE())</f>
        <v>Electronics</v>
      </c>
      <c r="U1275" s="11" t="str">
        <f>VLOOKUP(D1275,Product_Dim!$A:$M,2,FALSE())</f>
        <v>Wireless Bluetooth Speaker</v>
      </c>
      <c r="V1275" s="11" t="str">
        <f>VLOOKUP(E1275,Store_Dim!$A:$E,3,FALSE())</f>
        <v>South</v>
      </c>
      <c r="W1275" s="11" t="str">
        <f>VLOOKUP(C1275,Customer_Dim!$A:$N,13,FALSE())</f>
        <v>Silver</v>
      </c>
      <c r="X1275" s="11" t="str">
        <f t="shared" si="139"/>
        <v>Low</v>
      </c>
    </row>
    <row r="1276" spans="1:24" ht="15.75" customHeight="1">
      <c r="A1276" s="4" t="s">
        <v>3272</v>
      </c>
      <c r="B1276" s="9">
        <v>45940</v>
      </c>
      <c r="C1276" s="4" t="s">
        <v>939</v>
      </c>
      <c r="D1276" s="4" t="s">
        <v>1755</v>
      </c>
      <c r="E1276" s="4" t="s">
        <v>1910</v>
      </c>
      <c r="F1276" s="4">
        <v>2</v>
      </c>
      <c r="G1276" s="4">
        <v>660.81</v>
      </c>
      <c r="H1276" s="4">
        <v>0.18</v>
      </c>
      <c r="I1276" s="4" t="s">
        <v>1996</v>
      </c>
      <c r="J1276" s="10">
        <v>1083.7284</v>
      </c>
      <c r="K1276" s="4" t="str">
        <f t="shared" si="133"/>
        <v>10-10-2025</v>
      </c>
      <c r="L1276" s="4" t="str">
        <f>TEXT(Sales_Fact!$B1276,"mmm")</f>
        <v>Oct</v>
      </c>
      <c r="M1276" s="4">
        <f t="shared" si="134"/>
        <v>2</v>
      </c>
      <c r="N1276" s="10">
        <f t="shared" si="135"/>
        <v>660.81</v>
      </c>
      <c r="O1276" s="10">
        <f t="shared" si="136"/>
        <v>1083.7284</v>
      </c>
      <c r="P1276" s="10">
        <f t="shared" si="137"/>
        <v>1321.62</v>
      </c>
      <c r="Q1276" s="3">
        <f t="shared" si="138"/>
        <v>0.17999999999999997</v>
      </c>
      <c r="R1276" s="4" t="str">
        <f>IF(Sales_Fact!$O1276&gt;1000,"High","Low")</f>
        <v>High</v>
      </c>
      <c r="S1276" s="4" t="str">
        <f>VLOOKUP(C1276,Customer_Dim!$A:$N,9,FALSE())</f>
        <v>Cynthia Roberts</v>
      </c>
      <c r="T1276" s="4" t="str">
        <f>VLOOKUP(D1276,Product_Dim!$A:$M,3,FALSE())</f>
        <v>Sports</v>
      </c>
      <c r="U1276" s="11" t="str">
        <f>VLOOKUP(D1276,Product_Dim!$A:$M,2,FALSE())</f>
        <v>Boxing Hand Wraps</v>
      </c>
      <c r="V1276" s="11" t="str">
        <f>VLOOKUP(E1276,Store_Dim!$A:$E,3,FALSE())</f>
        <v>East</v>
      </c>
      <c r="W1276" s="11" t="str">
        <f>VLOOKUP(C1276,Customer_Dim!$A:$N,13,FALSE())</f>
        <v>Gold</v>
      </c>
      <c r="X1276" s="11" t="str">
        <f t="shared" si="139"/>
        <v>Low</v>
      </c>
    </row>
    <row r="1277" spans="1:24" ht="15.75" customHeight="1">
      <c r="A1277" s="4" t="s">
        <v>3273</v>
      </c>
      <c r="B1277" s="9">
        <v>45915</v>
      </c>
      <c r="C1277" s="4" t="s">
        <v>248</v>
      </c>
      <c r="D1277" s="4" t="s">
        <v>1758</v>
      </c>
      <c r="E1277" s="4" t="s">
        <v>1940</v>
      </c>
      <c r="F1277" s="4">
        <v>3</v>
      </c>
      <c r="G1277" s="4">
        <v>564.94000000000005</v>
      </c>
      <c r="H1277" s="4">
        <v>0.22</v>
      </c>
      <c r="I1277" s="4" t="s">
        <v>2004</v>
      </c>
      <c r="J1277" s="10">
        <v>1321.9595999999999</v>
      </c>
      <c r="K1277" s="4" t="str">
        <f t="shared" si="133"/>
        <v>15-09-2025</v>
      </c>
      <c r="L1277" s="4" t="str">
        <f>TEXT(Sales_Fact!$B1277,"mmm")</f>
        <v>Sep</v>
      </c>
      <c r="M1277" s="4">
        <f t="shared" si="134"/>
        <v>3</v>
      </c>
      <c r="N1277" s="10">
        <f t="shared" si="135"/>
        <v>564.94000000000005</v>
      </c>
      <c r="O1277" s="10">
        <f t="shared" si="136"/>
        <v>1321.9596000000001</v>
      </c>
      <c r="P1277" s="10">
        <f t="shared" si="137"/>
        <v>1694.8200000000002</v>
      </c>
      <c r="Q1277" s="3">
        <f t="shared" si="138"/>
        <v>0.22</v>
      </c>
      <c r="R1277" s="4" t="str">
        <f>IF(Sales_Fact!$O1277&gt;1000,"High","Low")</f>
        <v>High</v>
      </c>
      <c r="S1277" s="4" t="str">
        <f>VLOOKUP(C1277,Customer_Dim!$A:$N,9,FALSE())</f>
        <v>Kristin Stein</v>
      </c>
      <c r="T1277" s="4" t="str">
        <f>VLOOKUP(D1277,Product_Dim!$A:$M,3,FALSE())</f>
        <v>Electronics</v>
      </c>
      <c r="U1277" s="11" t="str">
        <f>VLOOKUP(D1277,Product_Dim!$A:$M,2,FALSE())</f>
        <v>HDMI Cable – 2m</v>
      </c>
      <c r="V1277" s="11" t="str">
        <f>VLOOKUP(E1277,Store_Dim!$A:$E,3,FALSE())</f>
        <v>West</v>
      </c>
      <c r="W1277" s="11" t="str">
        <f>VLOOKUP(C1277,Customer_Dim!$A:$N,13,FALSE())</f>
        <v>Silver</v>
      </c>
      <c r="X1277" s="11" t="str">
        <f t="shared" si="139"/>
        <v>Low</v>
      </c>
    </row>
    <row r="1278" spans="1:24" ht="15.75" customHeight="1">
      <c r="A1278" s="4" t="s">
        <v>3274</v>
      </c>
      <c r="B1278" s="9">
        <v>45541</v>
      </c>
      <c r="C1278" s="4" t="s">
        <v>226</v>
      </c>
      <c r="D1278" s="4" t="s">
        <v>1640</v>
      </c>
      <c r="E1278" s="4" t="s">
        <v>1959</v>
      </c>
      <c r="F1278" s="4">
        <v>2</v>
      </c>
      <c r="G1278" s="4">
        <v>280.37</v>
      </c>
      <c r="H1278" s="4">
        <v>0.22</v>
      </c>
      <c r="I1278" s="4" t="s">
        <v>2004</v>
      </c>
      <c r="J1278" s="10">
        <v>437.37720000000002</v>
      </c>
      <c r="K1278" s="4" t="str">
        <f t="shared" si="133"/>
        <v>06-09-2024</v>
      </c>
      <c r="L1278" s="4" t="str">
        <f>TEXT(Sales_Fact!$B1278,"mmm")</f>
        <v>Sep</v>
      </c>
      <c r="M1278" s="4">
        <f t="shared" si="134"/>
        <v>2</v>
      </c>
      <c r="N1278" s="10">
        <f t="shared" si="135"/>
        <v>280.37</v>
      </c>
      <c r="O1278" s="10">
        <f t="shared" si="136"/>
        <v>437.37720000000002</v>
      </c>
      <c r="P1278" s="10">
        <f t="shared" si="137"/>
        <v>560.74</v>
      </c>
      <c r="Q1278" s="3">
        <f t="shared" si="138"/>
        <v>0.21999999999999997</v>
      </c>
      <c r="R1278" s="4" t="str">
        <f>IF(Sales_Fact!$O1278&gt;1000,"High","Low")</f>
        <v>Low</v>
      </c>
      <c r="S1278" s="4" t="str">
        <f>VLOOKUP(C1278,Customer_Dim!$A:$N,9,FALSE())</f>
        <v>Katherine Dorsey</v>
      </c>
      <c r="T1278" s="4" t="str">
        <f>VLOOKUP(D1278,Product_Dim!$A:$M,3,FALSE())</f>
        <v>Electronics</v>
      </c>
      <c r="U1278" s="11" t="str">
        <f>VLOOKUP(D1278,Product_Dim!$A:$M,2,FALSE())</f>
        <v>4K Home Projector</v>
      </c>
      <c r="V1278" s="11" t="str">
        <f>VLOOKUP(E1278,Store_Dim!$A:$E,3,FALSE())</f>
        <v>North</v>
      </c>
      <c r="W1278" s="11" t="str">
        <f>VLOOKUP(C1278,Customer_Dim!$A:$N,13,FALSE())</f>
        <v>Platinum</v>
      </c>
      <c r="X1278" s="11" t="str">
        <f t="shared" si="139"/>
        <v>Low</v>
      </c>
    </row>
    <row r="1279" spans="1:24" ht="15.75" customHeight="1">
      <c r="A1279" s="4" t="s">
        <v>3275</v>
      </c>
      <c r="B1279" s="9">
        <v>45489</v>
      </c>
      <c r="C1279" s="4" t="s">
        <v>1192</v>
      </c>
      <c r="D1279" s="4" t="s">
        <v>1755</v>
      </c>
      <c r="E1279" s="4" t="s">
        <v>1924</v>
      </c>
      <c r="F1279" s="4">
        <v>2</v>
      </c>
      <c r="G1279" s="4">
        <v>85.23</v>
      </c>
      <c r="H1279" s="4">
        <v>0.13</v>
      </c>
      <c r="I1279" s="4" t="s">
        <v>1996</v>
      </c>
      <c r="J1279" s="10">
        <v>148.30019999999999</v>
      </c>
      <c r="K1279" s="4" t="str">
        <f t="shared" si="133"/>
        <v>16-07-2024</v>
      </c>
      <c r="L1279" s="4" t="str">
        <f>TEXT(Sales_Fact!$B1279,"mmm")</f>
        <v>Jul</v>
      </c>
      <c r="M1279" s="4">
        <f t="shared" si="134"/>
        <v>2</v>
      </c>
      <c r="N1279" s="10">
        <f t="shared" si="135"/>
        <v>85.23</v>
      </c>
      <c r="O1279" s="10">
        <f t="shared" si="136"/>
        <v>148.30020000000002</v>
      </c>
      <c r="P1279" s="10">
        <f t="shared" si="137"/>
        <v>170.46</v>
      </c>
      <c r="Q1279" s="3">
        <f t="shared" si="138"/>
        <v>0.12999999999999992</v>
      </c>
      <c r="R1279" s="4" t="str">
        <f>IF(Sales_Fact!$O1279&gt;1000,"High","Low")</f>
        <v>Low</v>
      </c>
      <c r="S1279" s="4" t="str">
        <f>VLOOKUP(C1279,Customer_Dim!$A:$N,9,FALSE())</f>
        <v>Jacqueline Anthony</v>
      </c>
      <c r="T1279" s="4" t="str">
        <f>VLOOKUP(D1279,Product_Dim!$A:$M,3,FALSE())</f>
        <v>Sports</v>
      </c>
      <c r="U1279" s="11" t="str">
        <f>VLOOKUP(D1279,Product_Dim!$A:$M,2,FALSE())</f>
        <v>Boxing Hand Wraps</v>
      </c>
      <c r="V1279" s="11" t="str">
        <f>VLOOKUP(E1279,Store_Dim!$A:$E,3,FALSE())</f>
        <v>North</v>
      </c>
      <c r="W1279" s="11" t="str">
        <f>VLOOKUP(C1279,Customer_Dim!$A:$N,13,FALSE())</f>
        <v>Bronze</v>
      </c>
      <c r="X1279" s="11" t="str">
        <f t="shared" si="139"/>
        <v>Low</v>
      </c>
    </row>
    <row r="1280" spans="1:24" ht="15.75" customHeight="1">
      <c r="A1280" s="4" t="s">
        <v>3276</v>
      </c>
      <c r="B1280" s="9">
        <v>45748</v>
      </c>
      <c r="C1280" s="4" t="s">
        <v>1012</v>
      </c>
      <c r="D1280" s="4" t="s">
        <v>1681</v>
      </c>
      <c r="E1280" s="4" t="s">
        <v>1955</v>
      </c>
      <c r="F1280" s="4">
        <v>2</v>
      </c>
      <c r="G1280" s="4">
        <v>563.29999999999995</v>
      </c>
      <c r="H1280" s="4">
        <v>0.26</v>
      </c>
      <c r="I1280" s="4" t="s">
        <v>1996</v>
      </c>
      <c r="J1280" s="10">
        <v>833.68399999999997</v>
      </c>
      <c r="K1280" s="4" t="str">
        <f t="shared" si="133"/>
        <v>01-04-2025</v>
      </c>
      <c r="L1280" s="4" t="str">
        <f>TEXT(Sales_Fact!$B1280,"mmm")</f>
        <v>Apr</v>
      </c>
      <c r="M1280" s="4">
        <f t="shared" si="134"/>
        <v>2</v>
      </c>
      <c r="N1280" s="10">
        <f t="shared" si="135"/>
        <v>563.29999999999995</v>
      </c>
      <c r="O1280" s="10">
        <f t="shared" si="136"/>
        <v>833.68399999999997</v>
      </c>
      <c r="P1280" s="10">
        <f t="shared" si="137"/>
        <v>1126.5999999999999</v>
      </c>
      <c r="Q1280" s="3">
        <f t="shared" si="138"/>
        <v>0.25999999999999995</v>
      </c>
      <c r="R1280" s="4" t="str">
        <f>IF(Sales_Fact!$O1280&gt;1000,"High","Low")</f>
        <v>Low</v>
      </c>
      <c r="S1280" s="4" t="str">
        <f>VLOOKUP(C1280,Customer_Dim!$A:$N,9,FALSE())</f>
        <v>Jason Mullins</v>
      </c>
      <c r="T1280" s="4" t="str">
        <f>VLOOKUP(D1280,Product_Dim!$A:$M,3,FALSE())</f>
        <v>Home</v>
      </c>
      <c r="U1280" s="11" t="str">
        <f>VLOOKUP(D1280,Product_Dim!$A:$M,2,FALSE())</f>
        <v>Decorative Floor Vase</v>
      </c>
      <c r="V1280" s="11" t="str">
        <f>VLOOKUP(E1280,Store_Dim!$A:$E,3,FALSE())</f>
        <v>East</v>
      </c>
      <c r="W1280" s="11" t="str">
        <f>VLOOKUP(C1280,Customer_Dim!$A:$N,13,FALSE())</f>
        <v>Silver</v>
      </c>
      <c r="X1280" s="11" t="str">
        <f t="shared" si="139"/>
        <v>Low</v>
      </c>
    </row>
    <row r="1281" spans="1:24" ht="15.75" customHeight="1">
      <c r="A1281" s="4" t="s">
        <v>3277</v>
      </c>
      <c r="B1281" s="9">
        <v>45878</v>
      </c>
      <c r="C1281" s="4" t="s">
        <v>733</v>
      </c>
      <c r="D1281" s="4" t="s">
        <v>1644</v>
      </c>
      <c r="E1281" s="4" t="s">
        <v>1924</v>
      </c>
      <c r="F1281" s="4">
        <v>4</v>
      </c>
      <c r="G1281" s="4">
        <v>109.36</v>
      </c>
      <c r="H1281" s="4">
        <v>0.19</v>
      </c>
      <c r="I1281" s="4" t="s">
        <v>2004</v>
      </c>
      <c r="J1281" s="10">
        <v>354.32639999999998</v>
      </c>
      <c r="K1281" s="4" t="str">
        <f t="shared" si="133"/>
        <v>09-08-2025</v>
      </c>
      <c r="L1281" s="4" t="str">
        <f>TEXT(Sales_Fact!$B1281,"mmm")</f>
        <v>Aug</v>
      </c>
      <c r="M1281" s="4">
        <f t="shared" si="134"/>
        <v>4</v>
      </c>
      <c r="N1281" s="10">
        <f t="shared" si="135"/>
        <v>109.36</v>
      </c>
      <c r="O1281" s="10">
        <f t="shared" si="136"/>
        <v>354.32640000000004</v>
      </c>
      <c r="P1281" s="10">
        <f t="shared" si="137"/>
        <v>437.44</v>
      </c>
      <c r="Q1281" s="3">
        <f t="shared" si="138"/>
        <v>0.18999999999999992</v>
      </c>
      <c r="R1281" s="4" t="str">
        <f>IF(Sales_Fact!$O1281&gt;1000,"High","Low")</f>
        <v>Low</v>
      </c>
      <c r="S1281" s="4" t="str">
        <f>VLOOKUP(C1281,Customer_Dim!$A:$N,9,FALSE())</f>
        <v>Julia Jackson</v>
      </c>
      <c r="T1281" s="4" t="str">
        <f>VLOOKUP(D1281,Product_Dim!$A:$M,3,FALSE())</f>
        <v>Beauty</v>
      </c>
      <c r="U1281" s="11" t="str">
        <f>VLOOKUP(D1281,Product_Dim!$A:$M,2,FALSE())</f>
        <v>Beard Grooming Kit</v>
      </c>
      <c r="V1281" s="11" t="str">
        <f>VLOOKUP(E1281,Store_Dim!$A:$E,3,FALSE())</f>
        <v>North</v>
      </c>
      <c r="W1281" s="11" t="str">
        <f>VLOOKUP(C1281,Customer_Dim!$A:$N,13,FALSE())</f>
        <v>Platinum</v>
      </c>
      <c r="X1281" s="11" t="str">
        <f t="shared" si="139"/>
        <v>High</v>
      </c>
    </row>
    <row r="1282" spans="1:24" ht="15.75" customHeight="1">
      <c r="A1282" s="4" t="s">
        <v>3278</v>
      </c>
      <c r="B1282" s="9">
        <v>45309</v>
      </c>
      <c r="C1282" s="4" t="s">
        <v>155</v>
      </c>
      <c r="D1282" s="4" t="s">
        <v>1846</v>
      </c>
      <c r="E1282" s="4" t="s">
        <v>1968</v>
      </c>
      <c r="F1282" s="4">
        <v>2</v>
      </c>
      <c r="G1282" s="4">
        <v>827.81</v>
      </c>
      <c r="H1282" s="4">
        <v>0.04</v>
      </c>
      <c r="I1282" s="4" t="s">
        <v>1998</v>
      </c>
      <c r="J1282" s="10">
        <v>1589.3951999999999</v>
      </c>
      <c r="K1282" s="4" t="str">
        <f t="shared" ref="K1282:K1345" si="140">TEXT(B1282,"dd-mm-yyyy")</f>
        <v>18-01-2024</v>
      </c>
      <c r="L1282" s="4" t="str">
        <f>TEXT(Sales_Fact!$B1282,"mmm")</f>
        <v>Jan</v>
      </c>
      <c r="M1282" s="4">
        <f t="shared" ref="M1282:M1345" si="141">IF(ISBLANK(F1282),1,F1282)</f>
        <v>2</v>
      </c>
      <c r="N1282" s="10">
        <f t="shared" ref="N1282:N1345" si="142">ROUNDUP(IF(ISBLANK(G1282),AVERAGE(C:C,G1282,G:G),G1282),2)</f>
        <v>827.81</v>
      </c>
      <c r="O1282" s="10">
        <f t="shared" ref="O1282:O1345" si="143">M1282*N1282*(1-H1282)</f>
        <v>1589.3951999999999</v>
      </c>
      <c r="P1282" s="10">
        <f t="shared" ref="P1282:P1345" si="144">M1282*N1282</f>
        <v>1655.62</v>
      </c>
      <c r="Q1282" s="3">
        <f t="shared" ref="Q1282:Q1345" si="145">(P1282-O1282)/P1282</f>
        <v>3.999999999999998E-2</v>
      </c>
      <c r="R1282" s="4" t="str">
        <f>IF(Sales_Fact!$O1282&gt;1000,"High","Low")</f>
        <v>High</v>
      </c>
      <c r="S1282" s="4" t="str">
        <f>VLOOKUP(C1282,Customer_Dim!$A:$N,9,FALSE())</f>
        <v>Robert Jones Dds</v>
      </c>
      <c r="T1282" s="4" t="str">
        <f>VLOOKUP(D1282,Product_Dim!$A:$M,3,FALSE())</f>
        <v>Home</v>
      </c>
      <c r="U1282" s="11" t="str">
        <f>VLOOKUP(D1282,Product_Dim!$A:$M,2,FALSE())</f>
        <v>Wall-Mounted Spice Rack</v>
      </c>
      <c r="V1282" s="11" t="str">
        <f>VLOOKUP(E1282,Store_Dim!$A:$E,3,FALSE())</f>
        <v>East</v>
      </c>
      <c r="W1282" s="11" t="str">
        <f>VLOOKUP(C1282,Customer_Dim!$A:$N,13,FALSE())</f>
        <v>Platinum</v>
      </c>
      <c r="X1282" s="11" t="str">
        <f t="shared" ref="X1282:X1345" si="146">IF(F1282&gt;3,"High","Low")</f>
        <v>Low</v>
      </c>
    </row>
    <row r="1283" spans="1:24" ht="15.75" customHeight="1">
      <c r="A1283" s="4" t="s">
        <v>3279</v>
      </c>
      <c r="B1283" s="9">
        <v>45621</v>
      </c>
      <c r="C1283" s="4" t="s">
        <v>721</v>
      </c>
      <c r="D1283" s="4" t="s">
        <v>1629</v>
      </c>
      <c r="E1283" s="4" t="s">
        <v>1968</v>
      </c>
      <c r="F1283" s="4">
        <v>3</v>
      </c>
      <c r="G1283" s="4">
        <v>877.71</v>
      </c>
      <c r="H1283" s="4">
        <v>0.12</v>
      </c>
      <c r="I1283" s="4" t="s">
        <v>1998</v>
      </c>
      <c r="J1283" s="10">
        <v>2317.1543999999999</v>
      </c>
      <c r="K1283" s="4" t="str">
        <f t="shared" si="140"/>
        <v>25-11-2024</v>
      </c>
      <c r="L1283" s="4" t="str">
        <f>TEXT(Sales_Fact!$B1283,"mmm")</f>
        <v>Nov</v>
      </c>
      <c r="M1283" s="4">
        <f t="shared" si="141"/>
        <v>3</v>
      </c>
      <c r="N1283" s="10">
        <f t="shared" si="142"/>
        <v>877.71</v>
      </c>
      <c r="O1283" s="10">
        <f t="shared" si="143"/>
        <v>2317.1543999999999</v>
      </c>
      <c r="P1283" s="10">
        <f t="shared" si="144"/>
        <v>2633.13</v>
      </c>
      <c r="Q1283" s="3">
        <f t="shared" si="145"/>
        <v>0.12000000000000008</v>
      </c>
      <c r="R1283" s="4" t="str">
        <f>IF(Sales_Fact!$O1283&gt;1000,"High","Low")</f>
        <v>High</v>
      </c>
      <c r="S1283" s="4" t="str">
        <f>VLOOKUP(C1283,Customer_Dim!$A:$N,9,FALSE())</f>
        <v>Eric Todd</v>
      </c>
      <c r="T1283" s="4" t="str">
        <f>VLOOKUP(D1283,Product_Dim!$A:$M,3,FALSE())</f>
        <v>Beauty</v>
      </c>
      <c r="U1283" s="11" t="str">
        <f>VLOOKUP(D1283,Product_Dim!$A:$M,2,FALSE())</f>
        <v>Hair Strengthening Shampoo</v>
      </c>
      <c r="V1283" s="11" t="str">
        <f>VLOOKUP(E1283,Store_Dim!$A:$E,3,FALSE())</f>
        <v>East</v>
      </c>
      <c r="W1283" s="11" t="str">
        <f>VLOOKUP(C1283,Customer_Dim!$A:$N,13,FALSE())</f>
        <v>Gold</v>
      </c>
      <c r="X1283" s="11" t="str">
        <f t="shared" si="146"/>
        <v>Low</v>
      </c>
    </row>
    <row r="1284" spans="1:24" ht="15.75" customHeight="1">
      <c r="A1284" s="4" t="s">
        <v>3280</v>
      </c>
      <c r="B1284" s="9">
        <v>45603</v>
      </c>
      <c r="C1284" s="4" t="s">
        <v>849</v>
      </c>
      <c r="D1284" s="4" t="s">
        <v>1776</v>
      </c>
      <c r="E1284" s="4" t="s">
        <v>1944</v>
      </c>
      <c r="F1284" s="4">
        <v>4</v>
      </c>
      <c r="G1284" s="4">
        <v>488.56</v>
      </c>
      <c r="H1284" s="4">
        <v>0.26</v>
      </c>
      <c r="I1284" s="4" t="s">
        <v>2004</v>
      </c>
      <c r="J1284" s="10">
        <v>1446.1376</v>
      </c>
      <c r="K1284" s="4" t="str">
        <f t="shared" si="140"/>
        <v>07-11-2024</v>
      </c>
      <c r="L1284" s="4" t="str">
        <f>TEXT(Sales_Fact!$B1284,"mmm")</f>
        <v>Nov</v>
      </c>
      <c r="M1284" s="4">
        <f t="shared" si="141"/>
        <v>4</v>
      </c>
      <c r="N1284" s="10">
        <f t="shared" si="142"/>
        <v>488.56</v>
      </c>
      <c r="O1284" s="10">
        <f t="shared" si="143"/>
        <v>1446.1376</v>
      </c>
      <c r="P1284" s="10">
        <f t="shared" si="144"/>
        <v>1954.24</v>
      </c>
      <c r="Q1284" s="3">
        <f t="shared" si="145"/>
        <v>0.26</v>
      </c>
      <c r="R1284" s="4" t="str">
        <f>IF(Sales_Fact!$O1284&gt;1000,"High","Low")</f>
        <v>High</v>
      </c>
      <c r="S1284" s="4" t="str">
        <f>VLOOKUP(C1284,Customer_Dim!$A:$N,9,FALSE())</f>
        <v>Christopher David</v>
      </c>
      <c r="T1284" s="4" t="str">
        <f>VLOOKUP(D1284,Product_Dim!$A:$M,3,FALSE())</f>
        <v>Sports</v>
      </c>
      <c r="U1284" s="11" t="str">
        <f>VLOOKUP(D1284,Product_Dim!$A:$M,2,FALSE())</f>
        <v>Foam Roller</v>
      </c>
      <c r="V1284" s="11" t="str">
        <f>VLOOKUP(E1284,Store_Dim!$A:$E,3,FALSE())</f>
        <v>South</v>
      </c>
      <c r="W1284" s="11" t="str">
        <f>VLOOKUP(C1284,Customer_Dim!$A:$N,13,FALSE())</f>
        <v>Silver</v>
      </c>
      <c r="X1284" s="11" t="str">
        <f t="shared" si="146"/>
        <v>High</v>
      </c>
    </row>
    <row r="1285" spans="1:24" ht="15.75" customHeight="1">
      <c r="A1285" s="4" t="s">
        <v>3281</v>
      </c>
      <c r="B1285" s="9">
        <v>45501</v>
      </c>
      <c r="C1285" s="4" t="s">
        <v>390</v>
      </c>
      <c r="D1285" s="4" t="s">
        <v>1675</v>
      </c>
      <c r="E1285" s="4" t="s">
        <v>1952</v>
      </c>
      <c r="F1285" s="4">
        <v>4</v>
      </c>
      <c r="G1285" s="4">
        <v>175.91</v>
      </c>
      <c r="H1285" s="4">
        <v>0.13</v>
      </c>
      <c r="I1285" s="4" t="s">
        <v>1998</v>
      </c>
      <c r="J1285" s="10">
        <v>612.16679999999997</v>
      </c>
      <c r="K1285" s="4" t="str">
        <f t="shared" si="140"/>
        <v>28-07-2024</v>
      </c>
      <c r="L1285" s="4" t="str">
        <f>TEXT(Sales_Fact!$B1285,"mmm")</f>
        <v>Jul</v>
      </c>
      <c r="M1285" s="4">
        <f t="shared" si="141"/>
        <v>4</v>
      </c>
      <c r="N1285" s="10">
        <f t="shared" si="142"/>
        <v>175.91</v>
      </c>
      <c r="O1285" s="10">
        <f t="shared" si="143"/>
        <v>612.16679999999997</v>
      </c>
      <c r="P1285" s="10">
        <f t="shared" si="144"/>
        <v>703.64</v>
      </c>
      <c r="Q1285" s="3">
        <f t="shared" si="145"/>
        <v>0.13000000000000003</v>
      </c>
      <c r="R1285" s="4" t="str">
        <f>IF(Sales_Fact!$O1285&gt;1000,"High","Low")</f>
        <v>Low</v>
      </c>
      <c r="S1285" s="4" t="str">
        <f>VLOOKUP(C1285,Customer_Dim!$A:$N,9,FALSE())</f>
        <v>Christopher Lester</v>
      </c>
      <c r="T1285" s="4" t="str">
        <f>VLOOKUP(D1285,Product_Dim!$A:$M,3,FALSE())</f>
        <v>Clothing</v>
      </c>
      <c r="U1285" s="11" t="str">
        <f>VLOOKUP(D1285,Product_Dim!$A:$M,2,FALSE())</f>
        <v>Women's Scarf Set</v>
      </c>
      <c r="V1285" s="11" t="str">
        <f>VLOOKUP(E1285,Store_Dim!$A:$E,3,FALSE())</f>
        <v>North</v>
      </c>
      <c r="W1285" s="11" t="str">
        <f>VLOOKUP(C1285,Customer_Dim!$A:$N,13,FALSE())</f>
        <v>Silver</v>
      </c>
      <c r="X1285" s="11" t="str">
        <f t="shared" si="146"/>
        <v>High</v>
      </c>
    </row>
    <row r="1286" spans="1:24" ht="15.75" customHeight="1">
      <c r="A1286" s="4" t="s">
        <v>3282</v>
      </c>
      <c r="B1286" s="9">
        <v>45398</v>
      </c>
      <c r="C1286" s="4" t="s">
        <v>822</v>
      </c>
      <c r="D1286" s="4" t="s">
        <v>1867</v>
      </c>
      <c r="E1286" s="4" t="s">
        <v>1940</v>
      </c>
      <c r="F1286" s="4">
        <v>4</v>
      </c>
      <c r="G1286" s="4">
        <v>289.66000000000003</v>
      </c>
      <c r="H1286" s="4">
        <v>0.25</v>
      </c>
      <c r="I1286" s="4" t="s">
        <v>2004</v>
      </c>
      <c r="J1286" s="10">
        <v>868.98</v>
      </c>
      <c r="K1286" s="4" t="str">
        <f t="shared" si="140"/>
        <v>16-04-2024</v>
      </c>
      <c r="L1286" s="4" t="str">
        <f>TEXT(Sales_Fact!$B1286,"mmm")</f>
        <v>Apr</v>
      </c>
      <c r="M1286" s="4">
        <f t="shared" si="141"/>
        <v>4</v>
      </c>
      <c r="N1286" s="10">
        <f t="shared" si="142"/>
        <v>289.66000000000003</v>
      </c>
      <c r="O1286" s="10">
        <f t="shared" si="143"/>
        <v>868.98</v>
      </c>
      <c r="P1286" s="10">
        <f t="shared" si="144"/>
        <v>1158.6400000000001</v>
      </c>
      <c r="Q1286" s="3">
        <f t="shared" si="145"/>
        <v>0.25000000000000006</v>
      </c>
      <c r="R1286" s="4" t="str">
        <f>IF(Sales_Fact!$O1286&gt;1000,"High","Low")</f>
        <v>Low</v>
      </c>
      <c r="S1286" s="4" t="str">
        <f>VLOOKUP(C1286,Customer_Dim!$A:$N,9,FALSE())</f>
        <v>Nicholas Webb</v>
      </c>
      <c r="T1286" s="4" t="str">
        <f>VLOOKUP(D1286,Product_Dim!$A:$M,3,FALSE())</f>
        <v>Home</v>
      </c>
      <c r="U1286" s="11" t="str">
        <f>VLOOKUP(D1286,Product_Dim!$A:$M,2,FALSE())</f>
        <v>LED Bedside Lamp</v>
      </c>
      <c r="V1286" s="11" t="str">
        <f>VLOOKUP(E1286,Store_Dim!$A:$E,3,FALSE())</f>
        <v>West</v>
      </c>
      <c r="W1286" s="11" t="str">
        <f>VLOOKUP(C1286,Customer_Dim!$A:$N,13,FALSE())</f>
        <v>Gold</v>
      </c>
      <c r="X1286" s="11" t="str">
        <f t="shared" si="146"/>
        <v>High</v>
      </c>
    </row>
    <row r="1287" spans="1:24" ht="15.75" customHeight="1">
      <c r="A1287" s="4" t="s">
        <v>3283</v>
      </c>
      <c r="B1287" s="9">
        <v>45304</v>
      </c>
      <c r="C1287" s="4" t="s">
        <v>801</v>
      </c>
      <c r="D1287" s="4" t="s">
        <v>1640</v>
      </c>
      <c r="E1287" s="4" t="s">
        <v>1959</v>
      </c>
      <c r="F1287" s="4">
        <v>2</v>
      </c>
      <c r="G1287" s="4">
        <v>899.27</v>
      </c>
      <c r="H1287" s="4">
        <v>0.17</v>
      </c>
      <c r="I1287" s="4" t="s">
        <v>1996</v>
      </c>
      <c r="J1287" s="10">
        <v>1492.7882</v>
      </c>
      <c r="K1287" s="4" t="str">
        <f t="shared" si="140"/>
        <v>13-01-2024</v>
      </c>
      <c r="L1287" s="4" t="str">
        <f>TEXT(Sales_Fact!$B1287,"mmm")</f>
        <v>Jan</v>
      </c>
      <c r="M1287" s="4">
        <f t="shared" si="141"/>
        <v>2</v>
      </c>
      <c r="N1287" s="10">
        <f t="shared" si="142"/>
        <v>899.27</v>
      </c>
      <c r="O1287" s="10">
        <f t="shared" si="143"/>
        <v>1492.7882</v>
      </c>
      <c r="P1287" s="10">
        <f t="shared" si="144"/>
        <v>1798.54</v>
      </c>
      <c r="Q1287" s="3">
        <f t="shared" si="145"/>
        <v>0.17</v>
      </c>
      <c r="R1287" s="4" t="str">
        <f>IF(Sales_Fact!$O1287&gt;1000,"High","Low")</f>
        <v>High</v>
      </c>
      <c r="S1287" s="4" t="str">
        <f>VLOOKUP(C1287,Customer_Dim!$A:$N,9,FALSE())</f>
        <v>Mr. William Horton</v>
      </c>
      <c r="T1287" s="4" t="str">
        <f>VLOOKUP(D1287,Product_Dim!$A:$M,3,FALSE())</f>
        <v>Electronics</v>
      </c>
      <c r="U1287" s="11" t="str">
        <f>VLOOKUP(D1287,Product_Dim!$A:$M,2,FALSE())</f>
        <v>4K Home Projector</v>
      </c>
      <c r="V1287" s="11" t="str">
        <f>VLOOKUP(E1287,Store_Dim!$A:$E,3,FALSE())</f>
        <v>North</v>
      </c>
      <c r="W1287" s="11" t="str">
        <f>VLOOKUP(C1287,Customer_Dim!$A:$N,13,FALSE())</f>
        <v>Platinum</v>
      </c>
      <c r="X1287" s="11" t="str">
        <f t="shared" si="146"/>
        <v>Low</v>
      </c>
    </row>
    <row r="1288" spans="1:24" ht="15.75" customHeight="1">
      <c r="A1288" s="4" t="s">
        <v>3284</v>
      </c>
      <c r="B1288" s="9">
        <v>45299</v>
      </c>
      <c r="C1288" s="4" t="s">
        <v>262</v>
      </c>
      <c r="D1288" s="4" t="s">
        <v>1651</v>
      </c>
      <c r="E1288" s="4" t="s">
        <v>1915</v>
      </c>
      <c r="F1288" s="4">
        <v>1</v>
      </c>
      <c r="G1288" s="4">
        <v>691.38</v>
      </c>
      <c r="H1288" s="4">
        <v>0.11</v>
      </c>
      <c r="I1288" s="4" t="s">
        <v>2004</v>
      </c>
      <c r="J1288" s="10">
        <v>615.32820000000004</v>
      </c>
      <c r="K1288" s="4" t="str">
        <f t="shared" si="140"/>
        <v>08-01-2024</v>
      </c>
      <c r="L1288" s="4" t="str">
        <f>TEXT(Sales_Fact!$B1288,"mmm")</f>
        <v>Jan</v>
      </c>
      <c r="M1288" s="4">
        <f t="shared" si="141"/>
        <v>1</v>
      </c>
      <c r="N1288" s="10">
        <f t="shared" si="142"/>
        <v>691.38</v>
      </c>
      <c r="O1288" s="10">
        <f t="shared" si="143"/>
        <v>615.32820000000004</v>
      </c>
      <c r="P1288" s="10">
        <f t="shared" si="144"/>
        <v>691.38</v>
      </c>
      <c r="Q1288" s="3">
        <f t="shared" si="145"/>
        <v>0.10999999999999995</v>
      </c>
      <c r="R1288" s="4" t="str">
        <f>IF(Sales_Fact!$O1288&gt;1000,"High","Low")</f>
        <v>Low</v>
      </c>
      <c r="S1288" s="4" t="str">
        <f>VLOOKUP(C1288,Customer_Dim!$A:$N,9,FALSE())</f>
        <v>Michael Thomas</v>
      </c>
      <c r="T1288" s="4" t="str">
        <f>VLOOKUP(D1288,Product_Dim!$A:$M,3,FALSE())</f>
        <v>Clothing</v>
      </c>
      <c r="U1288" s="11" t="str">
        <f>VLOOKUP(D1288,Product_Dim!$A:$M,2,FALSE())</f>
        <v>Women's Denim Jeans</v>
      </c>
      <c r="V1288" s="11" t="str">
        <f>VLOOKUP(E1288,Store_Dim!$A:$E,3,FALSE())</f>
        <v>North</v>
      </c>
      <c r="W1288" s="11" t="str">
        <f>VLOOKUP(C1288,Customer_Dim!$A:$N,13,FALSE())</f>
        <v>Silver</v>
      </c>
      <c r="X1288" s="11" t="str">
        <f t="shared" si="146"/>
        <v>Low</v>
      </c>
    </row>
    <row r="1289" spans="1:24" ht="15.75" customHeight="1">
      <c r="A1289" s="4" t="s">
        <v>3285</v>
      </c>
      <c r="B1289" s="9">
        <v>45564</v>
      </c>
      <c r="C1289" s="4" t="s">
        <v>574</v>
      </c>
      <c r="D1289" s="4" t="s">
        <v>1681</v>
      </c>
      <c r="E1289" s="4" t="s">
        <v>1910</v>
      </c>
      <c r="F1289" s="4">
        <v>3</v>
      </c>
      <c r="G1289" s="4">
        <v>158.72</v>
      </c>
      <c r="H1289" s="4">
        <v>0.13</v>
      </c>
      <c r="I1289" s="4" t="s">
        <v>1996</v>
      </c>
      <c r="J1289" s="10">
        <v>414.25920000000002</v>
      </c>
      <c r="K1289" s="4" t="str">
        <f t="shared" si="140"/>
        <v>29-09-2024</v>
      </c>
      <c r="L1289" s="4" t="str">
        <f>TEXT(Sales_Fact!$B1289,"mmm")</f>
        <v>Sep</v>
      </c>
      <c r="M1289" s="4">
        <f t="shared" si="141"/>
        <v>3</v>
      </c>
      <c r="N1289" s="10">
        <f t="shared" si="142"/>
        <v>158.72</v>
      </c>
      <c r="O1289" s="10">
        <f t="shared" si="143"/>
        <v>414.25919999999996</v>
      </c>
      <c r="P1289" s="10">
        <f t="shared" si="144"/>
        <v>476.15999999999997</v>
      </c>
      <c r="Q1289" s="3">
        <f t="shared" si="145"/>
        <v>0.13</v>
      </c>
      <c r="R1289" s="4" t="str">
        <f>IF(Sales_Fact!$O1289&gt;1000,"High","Low")</f>
        <v>Low</v>
      </c>
      <c r="S1289" s="4" t="str">
        <f>VLOOKUP(C1289,Customer_Dim!$A:$N,9,FALSE())</f>
        <v>Jason Wheeler</v>
      </c>
      <c r="T1289" s="4" t="str">
        <f>VLOOKUP(D1289,Product_Dim!$A:$M,3,FALSE())</f>
        <v>Home</v>
      </c>
      <c r="U1289" s="11" t="str">
        <f>VLOOKUP(D1289,Product_Dim!$A:$M,2,FALSE())</f>
        <v>Decorative Floor Vase</v>
      </c>
      <c r="V1289" s="11" t="str">
        <f>VLOOKUP(E1289,Store_Dim!$A:$E,3,FALSE())</f>
        <v>East</v>
      </c>
      <c r="W1289" s="11" t="str">
        <f>VLOOKUP(C1289,Customer_Dim!$A:$N,13,FALSE())</f>
        <v>Platinum</v>
      </c>
      <c r="X1289" s="11" t="str">
        <f t="shared" si="146"/>
        <v>Low</v>
      </c>
    </row>
    <row r="1290" spans="1:24" ht="15.75" customHeight="1">
      <c r="A1290" s="4" t="s">
        <v>3286</v>
      </c>
      <c r="B1290" s="9">
        <v>45413</v>
      </c>
      <c r="C1290" s="4" t="s">
        <v>709</v>
      </c>
      <c r="D1290" s="4" t="s">
        <v>1785</v>
      </c>
      <c r="E1290" s="4" t="s">
        <v>1962</v>
      </c>
      <c r="F1290" s="4">
        <v>4</v>
      </c>
      <c r="G1290" s="4">
        <v>537.15</v>
      </c>
      <c r="H1290" s="4">
        <v>0.06</v>
      </c>
      <c r="I1290" s="4" t="s">
        <v>2004</v>
      </c>
      <c r="J1290" s="10">
        <v>2019.684</v>
      </c>
      <c r="K1290" s="4" t="str">
        <f t="shared" si="140"/>
        <v>01-05-2024</v>
      </c>
      <c r="L1290" s="4" t="str">
        <f>TEXT(Sales_Fact!$B1290,"mmm")</f>
        <v>May</v>
      </c>
      <c r="M1290" s="4">
        <f t="shared" si="141"/>
        <v>4</v>
      </c>
      <c r="N1290" s="10">
        <f t="shared" si="142"/>
        <v>537.15</v>
      </c>
      <c r="O1290" s="10">
        <f t="shared" si="143"/>
        <v>2019.6839999999997</v>
      </c>
      <c r="P1290" s="10">
        <f t="shared" si="144"/>
        <v>2148.6</v>
      </c>
      <c r="Q1290" s="3">
        <f t="shared" si="145"/>
        <v>6.0000000000000081E-2</v>
      </c>
      <c r="R1290" s="4" t="str">
        <f>IF(Sales_Fact!$O1290&gt;1000,"High","Low")</f>
        <v>High</v>
      </c>
      <c r="S1290" s="4" t="str">
        <f>VLOOKUP(C1290,Customer_Dim!$A:$N,9,FALSE())</f>
        <v>Antonio Jones</v>
      </c>
      <c r="T1290" s="4" t="str">
        <f>VLOOKUP(D1290,Product_Dim!$A:$M,3,FALSE())</f>
        <v>Beauty</v>
      </c>
      <c r="U1290" s="11" t="str">
        <f>VLOOKUP(D1290,Product_Dim!$A:$M,2,FALSE())</f>
        <v>Luxury Perfume Spray</v>
      </c>
      <c r="V1290" s="11" t="str">
        <f>VLOOKUP(E1290,Store_Dim!$A:$E,3,FALSE())</f>
        <v>West</v>
      </c>
      <c r="W1290" s="11" t="str">
        <f>VLOOKUP(C1290,Customer_Dim!$A:$N,13,FALSE())</f>
        <v>Silver</v>
      </c>
      <c r="X1290" s="11" t="str">
        <f t="shared" si="146"/>
        <v>High</v>
      </c>
    </row>
    <row r="1291" spans="1:24" ht="15.75" customHeight="1">
      <c r="A1291" s="4" t="s">
        <v>3287</v>
      </c>
      <c r="B1291" s="9">
        <v>45480</v>
      </c>
      <c r="C1291" s="4" t="s">
        <v>1324</v>
      </c>
      <c r="D1291" s="4" t="s">
        <v>1726</v>
      </c>
      <c r="E1291" s="4" t="s">
        <v>1944</v>
      </c>
      <c r="F1291" s="4">
        <v>3</v>
      </c>
      <c r="G1291" s="4">
        <v>771.7</v>
      </c>
      <c r="H1291" s="4">
        <v>0.05</v>
      </c>
      <c r="I1291" s="4" t="s">
        <v>2004</v>
      </c>
      <c r="J1291" s="10">
        <v>2199.3449999999998</v>
      </c>
      <c r="K1291" s="4" t="str">
        <f t="shared" si="140"/>
        <v>07-07-2024</v>
      </c>
      <c r="L1291" s="4" t="str">
        <f>TEXT(Sales_Fact!$B1291,"mmm")</f>
        <v>Jul</v>
      </c>
      <c r="M1291" s="4">
        <f t="shared" si="141"/>
        <v>3</v>
      </c>
      <c r="N1291" s="10">
        <f t="shared" si="142"/>
        <v>771.7</v>
      </c>
      <c r="O1291" s="10">
        <f t="shared" si="143"/>
        <v>2199.3450000000003</v>
      </c>
      <c r="P1291" s="10">
        <f t="shared" si="144"/>
        <v>2315.1000000000004</v>
      </c>
      <c r="Q1291" s="3">
        <f t="shared" si="145"/>
        <v>5.0000000000000037E-2</v>
      </c>
      <c r="R1291" s="4" t="str">
        <f>IF(Sales_Fact!$O1291&gt;1000,"High","Low")</f>
        <v>High</v>
      </c>
      <c r="S1291" s="4" t="str">
        <f>VLOOKUP(C1291,Customer_Dim!$A:$N,9,FALSE())</f>
        <v>Karen King</v>
      </c>
      <c r="T1291" s="4" t="str">
        <f>VLOOKUP(D1291,Product_Dim!$A:$M,3,FALSE())</f>
        <v>Sports</v>
      </c>
      <c r="U1291" s="11" t="str">
        <f>VLOOKUP(D1291,Product_Dim!$A:$M,2,FALSE())</f>
        <v>Yoga Exercise Mat</v>
      </c>
      <c r="V1291" s="11" t="str">
        <f>VLOOKUP(E1291,Store_Dim!$A:$E,3,FALSE())</f>
        <v>South</v>
      </c>
      <c r="W1291" s="11" t="str">
        <f>VLOOKUP(C1291,Customer_Dim!$A:$N,13,FALSE())</f>
        <v>Bronze</v>
      </c>
      <c r="X1291" s="11" t="str">
        <f t="shared" si="146"/>
        <v>Low</v>
      </c>
    </row>
    <row r="1292" spans="1:24" ht="15.75" customHeight="1">
      <c r="A1292" s="4" t="s">
        <v>3288</v>
      </c>
      <c r="B1292" s="9">
        <v>45635</v>
      </c>
      <c r="C1292" s="4" t="s">
        <v>331</v>
      </c>
      <c r="D1292" s="4" t="s">
        <v>1599</v>
      </c>
      <c r="E1292" s="4" t="s">
        <v>1937</v>
      </c>
      <c r="F1292" s="4">
        <v>3</v>
      </c>
      <c r="G1292" s="4">
        <v>559.52</v>
      </c>
      <c r="H1292" s="4">
        <v>0.16</v>
      </c>
      <c r="I1292" s="4" t="s">
        <v>1998</v>
      </c>
      <c r="J1292" s="10">
        <v>1409.9903999999999</v>
      </c>
      <c r="K1292" s="4" t="str">
        <f t="shared" si="140"/>
        <v>09-12-2024</v>
      </c>
      <c r="L1292" s="4" t="str">
        <f>TEXT(Sales_Fact!$B1292,"mmm")</f>
        <v>Dec</v>
      </c>
      <c r="M1292" s="4">
        <f t="shared" si="141"/>
        <v>3</v>
      </c>
      <c r="N1292" s="10">
        <f t="shared" si="142"/>
        <v>559.52</v>
      </c>
      <c r="O1292" s="10">
        <f t="shared" si="143"/>
        <v>1409.9903999999999</v>
      </c>
      <c r="P1292" s="10">
        <f t="shared" si="144"/>
        <v>1678.56</v>
      </c>
      <c r="Q1292" s="3">
        <f t="shared" si="145"/>
        <v>0.16000000000000003</v>
      </c>
      <c r="R1292" s="4" t="str">
        <f>IF(Sales_Fact!$O1292&gt;1000,"High","Low")</f>
        <v>High</v>
      </c>
      <c r="S1292" s="4" t="str">
        <f>VLOOKUP(C1292,Customer_Dim!$A:$N,9,FALSE())</f>
        <v>Tammy Miller Md</v>
      </c>
      <c r="T1292" s="4" t="str">
        <f>VLOOKUP(D1292,Product_Dim!$A:$M,3,FALSE())</f>
        <v>Clothing</v>
      </c>
      <c r="U1292" s="11" t="str">
        <f>VLOOKUP(D1292,Product_Dim!$A:$M,2,FALSE())</f>
        <v>Men's Leather Belt</v>
      </c>
      <c r="V1292" s="11" t="str">
        <f>VLOOKUP(E1292,Store_Dim!$A:$E,3,FALSE())</f>
        <v>South</v>
      </c>
      <c r="W1292" s="11" t="str">
        <f>VLOOKUP(C1292,Customer_Dim!$A:$N,13,FALSE())</f>
        <v>Gold</v>
      </c>
      <c r="X1292" s="11" t="str">
        <f t="shared" si="146"/>
        <v>Low</v>
      </c>
    </row>
    <row r="1293" spans="1:24" ht="15.75" customHeight="1">
      <c r="A1293" s="4" t="s">
        <v>3289</v>
      </c>
      <c r="B1293" s="9">
        <v>45610</v>
      </c>
      <c r="C1293" s="4" t="s">
        <v>402</v>
      </c>
      <c r="D1293" s="4" t="s">
        <v>1870</v>
      </c>
      <c r="E1293" s="4" t="s">
        <v>1915</v>
      </c>
      <c r="F1293" s="4">
        <v>4</v>
      </c>
      <c r="G1293" s="4">
        <v>677.25</v>
      </c>
      <c r="H1293" s="4">
        <v>0.14000000000000001</v>
      </c>
      <c r="I1293" s="4" t="s">
        <v>1998</v>
      </c>
      <c r="J1293" s="10">
        <v>2329.7399999999998</v>
      </c>
      <c r="K1293" s="4" t="str">
        <f t="shared" si="140"/>
        <v>14-11-2024</v>
      </c>
      <c r="L1293" s="4" t="str">
        <f>TEXT(Sales_Fact!$B1293,"mmm")</f>
        <v>Nov</v>
      </c>
      <c r="M1293" s="4">
        <f t="shared" si="141"/>
        <v>4</v>
      </c>
      <c r="N1293" s="10">
        <f t="shared" si="142"/>
        <v>677.25</v>
      </c>
      <c r="O1293" s="10">
        <f t="shared" si="143"/>
        <v>2329.7399999999998</v>
      </c>
      <c r="P1293" s="10">
        <f t="shared" si="144"/>
        <v>2709</v>
      </c>
      <c r="Q1293" s="3">
        <f t="shared" si="145"/>
        <v>0.14000000000000007</v>
      </c>
      <c r="R1293" s="4" t="str">
        <f>IF(Sales_Fact!$O1293&gt;1000,"High","Low")</f>
        <v>High</v>
      </c>
      <c r="S1293" s="4" t="str">
        <f>VLOOKUP(C1293,Customer_Dim!$A:$N,9,FALSE())</f>
        <v>Travis Holland</v>
      </c>
      <c r="T1293" s="4" t="str">
        <f>VLOOKUP(D1293,Product_Dim!$A:$M,3,FALSE())</f>
        <v>Sports</v>
      </c>
      <c r="U1293" s="11" t="str">
        <f>VLOOKUP(D1293,Product_Dim!$A:$M,2,FALSE())</f>
        <v>Sports Wrist Sweatbands</v>
      </c>
      <c r="V1293" s="11" t="str">
        <f>VLOOKUP(E1293,Store_Dim!$A:$E,3,FALSE())</f>
        <v>North</v>
      </c>
      <c r="W1293" s="11" t="str">
        <f>VLOOKUP(C1293,Customer_Dim!$A:$N,13,FALSE())</f>
        <v>Bronze</v>
      </c>
      <c r="X1293" s="11" t="str">
        <f t="shared" si="146"/>
        <v>High</v>
      </c>
    </row>
    <row r="1294" spans="1:24" ht="15.75" customHeight="1">
      <c r="A1294" s="4" t="s">
        <v>3290</v>
      </c>
      <c r="B1294" s="9">
        <v>45763</v>
      </c>
      <c r="C1294" s="4" t="s">
        <v>384</v>
      </c>
      <c r="D1294" s="4" t="s">
        <v>1900</v>
      </c>
      <c r="E1294" s="4" t="s">
        <v>1950</v>
      </c>
      <c r="F1294" s="4">
        <v>1</v>
      </c>
      <c r="G1294" s="4">
        <v>645.48</v>
      </c>
      <c r="H1294" s="4">
        <v>0.26</v>
      </c>
      <c r="I1294" s="4" t="s">
        <v>2004</v>
      </c>
      <c r="J1294" s="10">
        <v>477.65519999999998</v>
      </c>
      <c r="K1294" s="4" t="str">
        <f t="shared" si="140"/>
        <v>16-04-2025</v>
      </c>
      <c r="L1294" s="4" t="str">
        <f>TEXT(Sales_Fact!$B1294,"mmm")</f>
        <v>Apr</v>
      </c>
      <c r="M1294" s="4">
        <f t="shared" si="141"/>
        <v>1</v>
      </c>
      <c r="N1294" s="10">
        <f t="shared" si="142"/>
        <v>645.48</v>
      </c>
      <c r="O1294" s="10">
        <f t="shared" si="143"/>
        <v>477.65519999999998</v>
      </c>
      <c r="P1294" s="10">
        <f t="shared" si="144"/>
        <v>645.48</v>
      </c>
      <c r="Q1294" s="3">
        <f t="shared" si="145"/>
        <v>0.26000000000000006</v>
      </c>
      <c r="R1294" s="4" t="str">
        <f>IF(Sales_Fact!$O1294&gt;1000,"High","Low")</f>
        <v>Low</v>
      </c>
      <c r="S1294" s="4" t="str">
        <f>VLOOKUP(C1294,Customer_Dim!$A:$N,9,FALSE())</f>
        <v>Sarah Schneider</v>
      </c>
      <c r="T1294" s="4" t="str">
        <f>VLOOKUP(D1294,Product_Dim!$A:$M,3,FALSE())</f>
        <v>Electronics</v>
      </c>
      <c r="U1294" s="11" t="str">
        <f>VLOOKUP(D1294,Product_Dim!$A:$M,2,FALSE())</f>
        <v>Portable Bluetooth Speaker</v>
      </c>
      <c r="V1294" s="11" t="str">
        <f>VLOOKUP(E1294,Store_Dim!$A:$E,3,FALSE())</f>
        <v>South</v>
      </c>
      <c r="W1294" s="11" t="str">
        <f>VLOOKUP(C1294,Customer_Dim!$A:$N,13,FALSE())</f>
        <v>Bronze</v>
      </c>
      <c r="X1294" s="11" t="str">
        <f t="shared" si="146"/>
        <v>Low</v>
      </c>
    </row>
    <row r="1295" spans="1:24" ht="15.75" customHeight="1">
      <c r="A1295" s="4" t="s">
        <v>3291</v>
      </c>
      <c r="B1295" s="9">
        <v>45856</v>
      </c>
      <c r="C1295" s="4" t="s">
        <v>1156</v>
      </c>
      <c r="D1295" s="4" t="s">
        <v>1825</v>
      </c>
      <c r="E1295" s="4" t="s">
        <v>1919</v>
      </c>
      <c r="F1295" s="4">
        <v>2</v>
      </c>
      <c r="G1295" s="4">
        <v>934</v>
      </c>
      <c r="H1295" s="4">
        <v>0.3</v>
      </c>
      <c r="I1295" s="4" t="s">
        <v>2004</v>
      </c>
      <c r="J1295" s="10">
        <v>1307.5999999999999</v>
      </c>
      <c r="K1295" s="4" t="str">
        <f t="shared" si="140"/>
        <v>18-07-2025</v>
      </c>
      <c r="L1295" s="4" t="str">
        <f>TEXT(Sales_Fact!$B1295,"mmm")</f>
        <v>Jul</v>
      </c>
      <c r="M1295" s="4">
        <f t="shared" si="141"/>
        <v>2</v>
      </c>
      <c r="N1295" s="10">
        <f t="shared" si="142"/>
        <v>934</v>
      </c>
      <c r="O1295" s="10">
        <f t="shared" si="143"/>
        <v>1307.5999999999999</v>
      </c>
      <c r="P1295" s="10">
        <f t="shared" si="144"/>
        <v>1868</v>
      </c>
      <c r="Q1295" s="3">
        <f t="shared" si="145"/>
        <v>0.30000000000000004</v>
      </c>
      <c r="R1295" s="4" t="str">
        <f>IF(Sales_Fact!$O1295&gt;1000,"High","Low")</f>
        <v>High</v>
      </c>
      <c r="S1295" s="4" t="str">
        <f>VLOOKUP(C1295,Customer_Dim!$A:$N,9,FALSE())</f>
        <v>Denise Tate</v>
      </c>
      <c r="T1295" s="4" t="str">
        <f>VLOOKUP(D1295,Product_Dim!$A:$M,3,FALSE())</f>
        <v>Sports</v>
      </c>
      <c r="U1295" s="11" t="str">
        <f>VLOOKUP(D1295,Product_Dim!$A:$M,2,FALSE())</f>
        <v>Shin Guards – Adult</v>
      </c>
      <c r="V1295" s="11" t="str">
        <f>VLOOKUP(E1295,Store_Dim!$A:$E,3,FALSE())</f>
        <v>South</v>
      </c>
      <c r="W1295" s="11" t="str">
        <f>VLOOKUP(C1295,Customer_Dim!$A:$N,13,FALSE())</f>
        <v>Platinum</v>
      </c>
      <c r="X1295" s="11" t="str">
        <f t="shared" si="146"/>
        <v>Low</v>
      </c>
    </row>
    <row r="1296" spans="1:24" ht="15.75" customHeight="1">
      <c r="A1296" s="4" t="s">
        <v>3292</v>
      </c>
      <c r="B1296" s="9">
        <v>45712</v>
      </c>
      <c r="C1296" s="4" t="s">
        <v>1078</v>
      </c>
      <c r="D1296" s="4" t="s">
        <v>1741</v>
      </c>
      <c r="E1296" s="4" t="s">
        <v>1919</v>
      </c>
      <c r="F1296" s="4">
        <v>1</v>
      </c>
      <c r="G1296" s="4">
        <v>669.53</v>
      </c>
      <c r="H1296" s="4">
        <v>0.2</v>
      </c>
      <c r="I1296" s="4" t="s">
        <v>1996</v>
      </c>
      <c r="J1296" s="10">
        <v>535.62400000000002</v>
      </c>
      <c r="K1296" s="4" t="str">
        <f t="shared" si="140"/>
        <v>24-02-2025</v>
      </c>
      <c r="L1296" s="4" t="str">
        <f>TEXT(Sales_Fact!$B1296,"mmm")</f>
        <v>Feb</v>
      </c>
      <c r="M1296" s="4">
        <f t="shared" si="141"/>
        <v>1</v>
      </c>
      <c r="N1296" s="10">
        <f t="shared" si="142"/>
        <v>669.53</v>
      </c>
      <c r="O1296" s="10">
        <f t="shared" si="143"/>
        <v>535.62400000000002</v>
      </c>
      <c r="P1296" s="10">
        <f t="shared" si="144"/>
        <v>669.53</v>
      </c>
      <c r="Q1296" s="3">
        <f t="shared" si="145"/>
        <v>0.19999999999999993</v>
      </c>
      <c r="R1296" s="4" t="str">
        <f>IF(Sales_Fact!$O1296&gt;1000,"High","Low")</f>
        <v>Low</v>
      </c>
      <c r="S1296" s="4" t="str">
        <f>VLOOKUP(C1296,Customer_Dim!$A:$N,9,FALSE())</f>
        <v>Mr. Christopher Sims</v>
      </c>
      <c r="T1296" s="4" t="str">
        <f>VLOOKUP(D1296,Product_Dim!$A:$M,3,FALSE())</f>
        <v>Clothing</v>
      </c>
      <c r="U1296" s="11" t="str">
        <f>VLOOKUP(D1296,Product_Dim!$A:$M,2,FALSE())</f>
        <v>Men's Winter Jacket</v>
      </c>
      <c r="V1296" s="11" t="str">
        <f>VLOOKUP(E1296,Store_Dim!$A:$E,3,FALSE())</f>
        <v>South</v>
      </c>
      <c r="W1296" s="11" t="str">
        <f>VLOOKUP(C1296,Customer_Dim!$A:$N,13,FALSE())</f>
        <v>Silver</v>
      </c>
      <c r="X1296" s="11" t="str">
        <f t="shared" si="146"/>
        <v>Low</v>
      </c>
    </row>
    <row r="1297" spans="1:24" ht="15.75" customHeight="1">
      <c r="A1297" s="4" t="s">
        <v>3293</v>
      </c>
      <c r="B1297" s="9">
        <v>45723</v>
      </c>
      <c r="C1297" s="4" t="s">
        <v>727</v>
      </c>
      <c r="D1297" s="4" t="s">
        <v>1706</v>
      </c>
      <c r="E1297" s="4" t="s">
        <v>1968</v>
      </c>
      <c r="F1297" s="4">
        <v>1</v>
      </c>
      <c r="G1297" s="4">
        <v>213.69</v>
      </c>
      <c r="H1297" s="4">
        <v>0.28000000000000003</v>
      </c>
      <c r="I1297" s="4" t="s">
        <v>2004</v>
      </c>
      <c r="J1297" s="10">
        <v>153.85679999999999</v>
      </c>
      <c r="K1297" s="4" t="str">
        <f t="shared" si="140"/>
        <v>07-03-2025</v>
      </c>
      <c r="L1297" s="4" t="str">
        <f>TEXT(Sales_Fact!$B1297,"mmm")</f>
        <v>Mar</v>
      </c>
      <c r="M1297" s="4">
        <f t="shared" si="141"/>
        <v>1</v>
      </c>
      <c r="N1297" s="10">
        <f t="shared" si="142"/>
        <v>213.69</v>
      </c>
      <c r="O1297" s="10">
        <f t="shared" si="143"/>
        <v>153.85679999999999</v>
      </c>
      <c r="P1297" s="10">
        <f t="shared" si="144"/>
        <v>213.69</v>
      </c>
      <c r="Q1297" s="3">
        <f t="shared" si="145"/>
        <v>0.28000000000000003</v>
      </c>
      <c r="R1297" s="4" t="str">
        <f>IF(Sales_Fact!$O1297&gt;1000,"High","Low")</f>
        <v>Low</v>
      </c>
      <c r="S1297" s="4" t="str">
        <f>VLOOKUP(C1297,Customer_Dim!$A:$N,9,FALSE())</f>
        <v>Kathryn Garcia</v>
      </c>
      <c r="T1297" s="4" t="str">
        <f>VLOOKUP(D1297,Product_Dim!$A:$M,3,FALSE())</f>
        <v>Home</v>
      </c>
      <c r="U1297" s="11" t="str">
        <f>VLOOKUP(D1297,Product_Dim!$A:$M,2,FALSE())</f>
        <v>Bedroom Table Lamp</v>
      </c>
      <c r="V1297" s="11" t="str">
        <f>VLOOKUP(E1297,Store_Dim!$A:$E,3,FALSE())</f>
        <v>East</v>
      </c>
      <c r="W1297" s="11" t="str">
        <f>VLOOKUP(C1297,Customer_Dim!$A:$N,13,FALSE())</f>
        <v>Platinum</v>
      </c>
      <c r="X1297" s="11" t="str">
        <f t="shared" si="146"/>
        <v>Low</v>
      </c>
    </row>
    <row r="1298" spans="1:24" ht="15.75" customHeight="1">
      <c r="A1298" s="4" t="s">
        <v>3294</v>
      </c>
      <c r="B1298" s="9">
        <v>45706</v>
      </c>
      <c r="C1298" s="4" t="s">
        <v>302</v>
      </c>
      <c r="D1298" s="4" t="s">
        <v>1661</v>
      </c>
      <c r="E1298" s="4" t="s">
        <v>1971</v>
      </c>
      <c r="F1298" s="4">
        <v>2</v>
      </c>
      <c r="G1298" s="4">
        <v>99.1</v>
      </c>
      <c r="H1298" s="4">
        <v>0.2</v>
      </c>
      <c r="I1298" s="4" t="s">
        <v>1998</v>
      </c>
      <c r="J1298" s="10">
        <v>158.56</v>
      </c>
      <c r="K1298" s="4" t="str">
        <f t="shared" si="140"/>
        <v>18-02-2025</v>
      </c>
      <c r="L1298" s="4" t="str">
        <f>TEXT(Sales_Fact!$B1298,"mmm")</f>
        <v>Feb</v>
      </c>
      <c r="M1298" s="4">
        <f t="shared" si="141"/>
        <v>2</v>
      </c>
      <c r="N1298" s="10">
        <f t="shared" si="142"/>
        <v>99.1</v>
      </c>
      <c r="O1298" s="10">
        <f t="shared" si="143"/>
        <v>158.56</v>
      </c>
      <c r="P1298" s="10">
        <f t="shared" si="144"/>
        <v>198.2</v>
      </c>
      <c r="Q1298" s="3">
        <f t="shared" si="145"/>
        <v>0.19999999999999996</v>
      </c>
      <c r="R1298" s="4" t="str">
        <f>IF(Sales_Fact!$O1298&gt;1000,"High","Low")</f>
        <v>Low</v>
      </c>
      <c r="S1298" s="4" t="str">
        <f>VLOOKUP(C1298,Customer_Dim!$A:$N,9,FALSE())</f>
        <v>Katherine Young</v>
      </c>
      <c r="T1298" s="4" t="str">
        <f>VLOOKUP(D1298,Product_Dim!$A:$M,3,FALSE())</f>
        <v>Home</v>
      </c>
      <c r="U1298" s="11" t="str">
        <f>VLOOKUP(D1298,Product_Dim!$A:$M,2,FALSE())</f>
        <v>Multi-Purpose Storage Box</v>
      </c>
      <c r="V1298" s="11" t="str">
        <f>VLOOKUP(E1298,Store_Dim!$A:$E,3,FALSE())</f>
        <v>East</v>
      </c>
      <c r="W1298" s="11" t="str">
        <f>VLOOKUP(C1298,Customer_Dim!$A:$N,13,FALSE())</f>
        <v>Gold</v>
      </c>
      <c r="X1298" s="11" t="str">
        <f t="shared" si="146"/>
        <v>Low</v>
      </c>
    </row>
    <row r="1299" spans="1:24" ht="15.75" customHeight="1">
      <c r="A1299" s="4" t="s">
        <v>3295</v>
      </c>
      <c r="B1299" s="9">
        <v>45469</v>
      </c>
      <c r="C1299" s="4" t="s">
        <v>1186</v>
      </c>
      <c r="D1299" s="4" t="s">
        <v>1712</v>
      </c>
      <c r="E1299" s="4" t="s">
        <v>1962</v>
      </c>
      <c r="F1299" s="4">
        <v>1</v>
      </c>
      <c r="G1299" s="4">
        <v>628.98</v>
      </c>
      <c r="H1299" s="4">
        <v>0.03</v>
      </c>
      <c r="I1299" s="4" t="s">
        <v>2004</v>
      </c>
      <c r="J1299" s="10">
        <v>610.11059999999998</v>
      </c>
      <c r="K1299" s="4" t="str">
        <f t="shared" si="140"/>
        <v>26-06-2024</v>
      </c>
      <c r="L1299" s="4" t="str">
        <f>TEXT(Sales_Fact!$B1299,"mmm")</f>
        <v>Jun</v>
      </c>
      <c r="M1299" s="4">
        <f t="shared" si="141"/>
        <v>1</v>
      </c>
      <c r="N1299" s="10">
        <f t="shared" si="142"/>
        <v>628.98</v>
      </c>
      <c r="O1299" s="10">
        <f t="shared" si="143"/>
        <v>610.11059999999998</v>
      </c>
      <c r="P1299" s="10">
        <f t="shared" si="144"/>
        <v>628.98</v>
      </c>
      <c r="Q1299" s="3">
        <f t="shared" si="145"/>
        <v>3.0000000000000065E-2</v>
      </c>
      <c r="R1299" s="4" t="str">
        <f>IF(Sales_Fact!$O1299&gt;1000,"High","Low")</f>
        <v>Low</v>
      </c>
      <c r="S1299" s="4" t="str">
        <f>VLOOKUP(C1299,Customer_Dim!$A:$N,9,FALSE())</f>
        <v>James Holloway Jr.</v>
      </c>
      <c r="T1299" s="4" t="str">
        <f>VLOOKUP(D1299,Product_Dim!$A:$M,3,FALSE())</f>
        <v>Clothing</v>
      </c>
      <c r="U1299" s="11" t="str">
        <f>VLOOKUP(D1299,Product_Dim!$A:$M,2,FALSE())</f>
        <v>Men's Casual Sneakers</v>
      </c>
      <c r="V1299" s="11" t="str">
        <f>VLOOKUP(E1299,Store_Dim!$A:$E,3,FALSE())</f>
        <v>West</v>
      </c>
      <c r="W1299" s="11" t="str">
        <f>VLOOKUP(C1299,Customer_Dim!$A:$N,13,FALSE())</f>
        <v>Silver</v>
      </c>
      <c r="X1299" s="11" t="str">
        <f t="shared" si="146"/>
        <v>Low</v>
      </c>
    </row>
    <row r="1300" spans="1:24" ht="15.75" customHeight="1">
      <c r="A1300" s="4" t="s">
        <v>3296</v>
      </c>
      <c r="B1300" s="9">
        <v>45711</v>
      </c>
      <c r="C1300" s="4" t="s">
        <v>328</v>
      </c>
      <c r="D1300" s="4" t="s">
        <v>1858</v>
      </c>
      <c r="E1300" s="4" t="s">
        <v>1927</v>
      </c>
      <c r="F1300" s="4">
        <v>3</v>
      </c>
      <c r="G1300" s="4">
        <v>944.64</v>
      </c>
      <c r="H1300" s="4">
        <v>0.26</v>
      </c>
      <c r="I1300" s="4" t="s">
        <v>1996</v>
      </c>
      <c r="J1300" s="10">
        <v>2097.1008000000002</v>
      </c>
      <c r="K1300" s="4" t="str">
        <f t="shared" si="140"/>
        <v>23-02-2025</v>
      </c>
      <c r="L1300" s="4" t="str">
        <f>TEXT(Sales_Fact!$B1300,"mmm")</f>
        <v>Feb</v>
      </c>
      <c r="M1300" s="4">
        <f t="shared" si="141"/>
        <v>3</v>
      </c>
      <c r="N1300" s="10">
        <f t="shared" si="142"/>
        <v>944.64</v>
      </c>
      <c r="O1300" s="10">
        <f t="shared" si="143"/>
        <v>2097.1008000000002</v>
      </c>
      <c r="P1300" s="10">
        <f t="shared" si="144"/>
        <v>2833.92</v>
      </c>
      <c r="Q1300" s="3">
        <f t="shared" si="145"/>
        <v>0.25999999999999995</v>
      </c>
      <c r="R1300" s="4" t="str">
        <f>IF(Sales_Fact!$O1300&gt;1000,"High","Low")</f>
        <v>High</v>
      </c>
      <c r="S1300" s="4" t="str">
        <f>VLOOKUP(C1300,Customer_Dim!$A:$N,9,FALSE())</f>
        <v>Richard Delgado</v>
      </c>
      <c r="T1300" s="4" t="str">
        <f>VLOOKUP(D1300,Product_Dim!$A:$M,3,FALSE())</f>
        <v>Home</v>
      </c>
      <c r="U1300" s="11" t="str">
        <f>VLOOKUP(D1300,Product_Dim!$A:$M,2,FALSE())</f>
        <v>Wooden Bookshelf</v>
      </c>
      <c r="V1300" s="11" t="str">
        <f>VLOOKUP(E1300,Store_Dim!$A:$E,3,FALSE())</f>
        <v>South</v>
      </c>
      <c r="W1300" s="11" t="str">
        <f>VLOOKUP(C1300,Customer_Dim!$A:$N,13,FALSE())</f>
        <v>Silver</v>
      </c>
      <c r="X1300" s="11" t="str">
        <f t="shared" si="146"/>
        <v>Low</v>
      </c>
    </row>
    <row r="1301" spans="1:24" ht="15.75" customHeight="1">
      <c r="A1301" s="4" t="s">
        <v>3297</v>
      </c>
      <c r="B1301" s="9">
        <v>45823</v>
      </c>
      <c r="C1301" s="4" t="s">
        <v>1481</v>
      </c>
      <c r="D1301" s="4" t="s">
        <v>1885</v>
      </c>
      <c r="E1301" s="4" t="s">
        <v>1952</v>
      </c>
      <c r="F1301" s="4">
        <v>2</v>
      </c>
      <c r="G1301" s="4">
        <v>121.7</v>
      </c>
      <c r="H1301" s="4">
        <v>0.06</v>
      </c>
      <c r="I1301" s="4" t="s">
        <v>2004</v>
      </c>
      <c r="J1301" s="10">
        <v>228.79599999999999</v>
      </c>
      <c r="K1301" s="4" t="str">
        <f t="shared" si="140"/>
        <v>15-06-2025</v>
      </c>
      <c r="L1301" s="4" t="str">
        <f>TEXT(Sales_Fact!$B1301,"mmm")</f>
        <v>Jun</v>
      </c>
      <c r="M1301" s="4">
        <f t="shared" si="141"/>
        <v>2</v>
      </c>
      <c r="N1301" s="10">
        <f t="shared" si="142"/>
        <v>121.7</v>
      </c>
      <c r="O1301" s="10">
        <f t="shared" si="143"/>
        <v>228.79599999999999</v>
      </c>
      <c r="P1301" s="10">
        <f t="shared" si="144"/>
        <v>243.4</v>
      </c>
      <c r="Q1301" s="3">
        <f t="shared" si="145"/>
        <v>6.0000000000000053E-2</v>
      </c>
      <c r="R1301" s="4" t="str">
        <f>IF(Sales_Fact!$O1301&gt;1000,"High","Low")</f>
        <v>Low</v>
      </c>
      <c r="S1301" s="4" t="str">
        <f>VLOOKUP(C1301,Customer_Dim!$A:$N,9,FALSE())</f>
        <v>Debra Mccullough</v>
      </c>
      <c r="T1301" s="4" t="str">
        <f>VLOOKUP(D1301,Product_Dim!$A:$M,3,FALSE())</f>
        <v>Electronics</v>
      </c>
      <c r="U1301" s="11" t="str">
        <f>VLOOKUP(D1301,Product_Dim!$A:$M,2,FALSE())</f>
        <v>USB-C Laptop Charger</v>
      </c>
      <c r="V1301" s="11" t="str">
        <f>VLOOKUP(E1301,Store_Dim!$A:$E,3,FALSE())</f>
        <v>North</v>
      </c>
      <c r="W1301" s="11" t="str">
        <f>VLOOKUP(C1301,Customer_Dim!$A:$N,13,FALSE())</f>
        <v>Platinum</v>
      </c>
      <c r="X1301" s="11" t="str">
        <f t="shared" si="146"/>
        <v>Low</v>
      </c>
    </row>
    <row r="1302" spans="1:24" ht="15.75" customHeight="1">
      <c r="A1302" s="4" t="s">
        <v>3298</v>
      </c>
      <c r="B1302" s="9">
        <v>45217</v>
      </c>
      <c r="C1302" s="4" t="s">
        <v>1415</v>
      </c>
      <c r="D1302" s="4" t="s">
        <v>1800</v>
      </c>
      <c r="E1302" s="4" t="s">
        <v>1924</v>
      </c>
      <c r="F1302" s="4">
        <v>4</v>
      </c>
      <c r="G1302" s="4">
        <v>269.49</v>
      </c>
      <c r="H1302" s="4">
        <v>7.0000000000000007E-2</v>
      </c>
      <c r="I1302" s="4" t="s">
        <v>1998</v>
      </c>
      <c r="J1302" s="10">
        <v>1002.5028</v>
      </c>
      <c r="K1302" s="4" t="str">
        <f t="shared" si="140"/>
        <v>18-10-2023</v>
      </c>
      <c r="L1302" s="4" t="str">
        <f>TEXT(Sales_Fact!$B1302,"mmm")</f>
        <v>Oct</v>
      </c>
      <c r="M1302" s="4">
        <f t="shared" si="141"/>
        <v>4</v>
      </c>
      <c r="N1302" s="10">
        <f t="shared" si="142"/>
        <v>269.49</v>
      </c>
      <c r="O1302" s="10">
        <f t="shared" si="143"/>
        <v>1002.5028</v>
      </c>
      <c r="P1302" s="10">
        <f t="shared" si="144"/>
        <v>1077.96</v>
      </c>
      <c r="Q1302" s="3">
        <f t="shared" si="145"/>
        <v>7.0000000000000048E-2</v>
      </c>
      <c r="R1302" s="4" t="str">
        <f>IF(Sales_Fact!$O1302&gt;1000,"High","Low")</f>
        <v>High</v>
      </c>
      <c r="S1302" s="4" t="str">
        <f>VLOOKUP(C1302,Customer_Dim!$A:$N,9,FALSE())</f>
        <v>Eric Holmes</v>
      </c>
      <c r="T1302" s="4" t="str">
        <f>VLOOKUP(D1302,Product_Dim!$A:$M,3,FALSE())</f>
        <v>Sports</v>
      </c>
      <c r="U1302" s="11" t="str">
        <f>VLOOKUP(D1302,Product_Dim!$A:$M,2,FALSE())</f>
        <v>Adjustable Dumbbells 20kg</v>
      </c>
      <c r="V1302" s="11" t="str">
        <f>VLOOKUP(E1302,Store_Dim!$A:$E,3,FALSE())</f>
        <v>North</v>
      </c>
      <c r="W1302" s="11" t="str">
        <f>VLOOKUP(C1302,Customer_Dim!$A:$N,13,FALSE())</f>
        <v>Bronze</v>
      </c>
      <c r="X1302" s="11" t="str">
        <f t="shared" si="146"/>
        <v>High</v>
      </c>
    </row>
    <row r="1303" spans="1:24" ht="15.75" customHeight="1">
      <c r="A1303" s="4" t="s">
        <v>3299</v>
      </c>
      <c r="B1303" s="9">
        <v>45329</v>
      </c>
      <c r="C1303" s="4" t="s">
        <v>1542</v>
      </c>
      <c r="D1303" s="4" t="s">
        <v>1622</v>
      </c>
      <c r="E1303" s="4" t="s">
        <v>1965</v>
      </c>
      <c r="F1303" s="4">
        <v>3</v>
      </c>
      <c r="G1303" s="4">
        <v>121.76</v>
      </c>
      <c r="H1303" s="4">
        <v>0.27</v>
      </c>
      <c r="I1303" s="4" t="s">
        <v>1998</v>
      </c>
      <c r="J1303" s="10">
        <v>266.65440000000001</v>
      </c>
      <c r="K1303" s="4" t="str">
        <f t="shared" si="140"/>
        <v>07-02-2024</v>
      </c>
      <c r="L1303" s="4" t="str">
        <f>TEXT(Sales_Fact!$B1303,"mmm")</f>
        <v>Feb</v>
      </c>
      <c r="M1303" s="4">
        <f t="shared" si="141"/>
        <v>3</v>
      </c>
      <c r="N1303" s="10">
        <f t="shared" si="142"/>
        <v>121.76</v>
      </c>
      <c r="O1303" s="10">
        <f t="shared" si="143"/>
        <v>266.65440000000001</v>
      </c>
      <c r="P1303" s="10">
        <f t="shared" si="144"/>
        <v>365.28000000000003</v>
      </c>
      <c r="Q1303" s="3">
        <f t="shared" si="145"/>
        <v>0.27</v>
      </c>
      <c r="R1303" s="4" t="str">
        <f>IF(Sales_Fact!$O1303&gt;1000,"High","Low")</f>
        <v>Low</v>
      </c>
      <c r="S1303" s="4" t="str">
        <f>VLOOKUP(C1303,Customer_Dim!$A:$N,9,FALSE())</f>
        <v>Darrell Miller</v>
      </c>
      <c r="T1303" s="4" t="str">
        <f>VLOOKUP(D1303,Product_Dim!$A:$M,3,FALSE())</f>
        <v>Home</v>
      </c>
      <c r="U1303" s="11" t="str">
        <f>VLOOKUP(D1303,Product_Dim!$A:$M,2,FALSE())</f>
        <v>Ceramic Kitchen Bowl Set</v>
      </c>
      <c r="V1303" s="11" t="str">
        <f>VLOOKUP(E1303,Store_Dim!$A:$E,3,FALSE())</f>
        <v>North</v>
      </c>
      <c r="W1303" s="11" t="str">
        <f>VLOOKUP(C1303,Customer_Dim!$A:$N,13,FALSE())</f>
        <v>Platinum</v>
      </c>
      <c r="X1303" s="11" t="str">
        <f t="shared" si="146"/>
        <v>Low</v>
      </c>
    </row>
    <row r="1304" spans="1:24" ht="15.75" customHeight="1">
      <c r="A1304" s="4" t="s">
        <v>3300</v>
      </c>
      <c r="B1304" s="9">
        <v>45733</v>
      </c>
      <c r="C1304" s="4" t="s">
        <v>374</v>
      </c>
      <c r="D1304" s="4" t="s">
        <v>1665</v>
      </c>
      <c r="E1304" s="4" t="s">
        <v>1968</v>
      </c>
      <c r="F1304" s="4">
        <v>1</v>
      </c>
      <c r="G1304" s="4">
        <v>678.2</v>
      </c>
      <c r="H1304" s="4">
        <v>0.14000000000000001</v>
      </c>
      <c r="I1304" s="4" t="s">
        <v>1996</v>
      </c>
      <c r="J1304" s="10">
        <v>583.25199999999995</v>
      </c>
      <c r="K1304" s="4" t="str">
        <f t="shared" si="140"/>
        <v>17-03-2025</v>
      </c>
      <c r="L1304" s="4" t="str">
        <f>TEXT(Sales_Fact!$B1304,"mmm")</f>
        <v>Mar</v>
      </c>
      <c r="M1304" s="4">
        <f t="shared" si="141"/>
        <v>1</v>
      </c>
      <c r="N1304" s="10">
        <f t="shared" si="142"/>
        <v>678.2</v>
      </c>
      <c r="O1304" s="10">
        <f t="shared" si="143"/>
        <v>583.25200000000007</v>
      </c>
      <c r="P1304" s="10">
        <f t="shared" si="144"/>
        <v>678.2</v>
      </c>
      <c r="Q1304" s="3">
        <f t="shared" si="145"/>
        <v>0.13999999999999996</v>
      </c>
      <c r="R1304" s="4" t="str">
        <f>IF(Sales_Fact!$O1304&gt;1000,"High","Low")</f>
        <v>Low</v>
      </c>
      <c r="S1304" s="4" t="str">
        <f>VLOOKUP(C1304,Customer_Dim!$A:$N,9,FALSE())</f>
        <v>Sheila Wilson</v>
      </c>
      <c r="T1304" s="4" t="str">
        <f>VLOOKUP(D1304,Product_Dim!$A:$M,3,FALSE())</f>
        <v>Sports</v>
      </c>
      <c r="U1304" s="11" t="str">
        <f>VLOOKUP(D1304,Product_Dim!$A:$M,2,FALSE())</f>
        <v>Carbon Fiber Tennis Racket</v>
      </c>
      <c r="V1304" s="11" t="str">
        <f>VLOOKUP(E1304,Store_Dim!$A:$E,3,FALSE())</f>
        <v>East</v>
      </c>
      <c r="W1304" s="11" t="str">
        <f>VLOOKUP(C1304,Customer_Dim!$A:$N,13,FALSE())</f>
        <v>Silver</v>
      </c>
      <c r="X1304" s="11" t="str">
        <f t="shared" si="146"/>
        <v>Low</v>
      </c>
    </row>
    <row r="1305" spans="1:24" ht="15.75" customHeight="1">
      <c r="A1305" s="4" t="s">
        <v>3301</v>
      </c>
      <c r="B1305" s="9">
        <v>45520</v>
      </c>
      <c r="C1305" s="4" t="s">
        <v>771</v>
      </c>
      <c r="D1305" s="4" t="s">
        <v>1876</v>
      </c>
      <c r="E1305" s="4" t="s">
        <v>1955</v>
      </c>
      <c r="F1305" s="4">
        <v>1</v>
      </c>
      <c r="G1305" s="4">
        <v>752.45</v>
      </c>
      <c r="H1305" s="4">
        <v>0.21</v>
      </c>
      <c r="I1305" s="4" t="s">
        <v>2004</v>
      </c>
      <c r="J1305" s="10">
        <v>594.43550000000005</v>
      </c>
      <c r="K1305" s="4" t="str">
        <f t="shared" si="140"/>
        <v>16-08-2024</v>
      </c>
      <c r="L1305" s="4" t="str">
        <f>TEXT(Sales_Fact!$B1305,"mmm")</f>
        <v>Aug</v>
      </c>
      <c r="M1305" s="4">
        <f t="shared" si="141"/>
        <v>1</v>
      </c>
      <c r="N1305" s="10">
        <f t="shared" si="142"/>
        <v>752.45</v>
      </c>
      <c r="O1305" s="10">
        <f t="shared" si="143"/>
        <v>594.43550000000005</v>
      </c>
      <c r="P1305" s="10">
        <f t="shared" si="144"/>
        <v>752.45</v>
      </c>
      <c r="Q1305" s="3">
        <f t="shared" si="145"/>
        <v>0.21</v>
      </c>
      <c r="R1305" s="4" t="str">
        <f>IF(Sales_Fact!$O1305&gt;1000,"High","Low")</f>
        <v>Low</v>
      </c>
      <c r="S1305" s="4" t="str">
        <f>VLOOKUP(C1305,Customer_Dim!$A:$N,9,FALSE())</f>
        <v>Timothy Juarez</v>
      </c>
      <c r="T1305" s="4" t="str">
        <f>VLOOKUP(D1305,Product_Dim!$A:$M,3,FALSE())</f>
        <v>Electronics</v>
      </c>
      <c r="U1305" s="11" t="str">
        <f>VLOOKUP(D1305,Product_Dim!$A:$M,2,FALSE())</f>
        <v>Gaming Mouse Pad XL</v>
      </c>
      <c r="V1305" s="11" t="str">
        <f>VLOOKUP(E1305,Store_Dim!$A:$E,3,FALSE())</f>
        <v>East</v>
      </c>
      <c r="W1305" s="11" t="str">
        <f>VLOOKUP(C1305,Customer_Dim!$A:$N,13,FALSE())</f>
        <v>Bronze</v>
      </c>
      <c r="X1305" s="11" t="str">
        <f t="shared" si="146"/>
        <v>Low</v>
      </c>
    </row>
    <row r="1306" spans="1:24" ht="15.75" customHeight="1">
      <c r="A1306" s="4" t="s">
        <v>3302</v>
      </c>
      <c r="B1306" s="9">
        <v>45373</v>
      </c>
      <c r="C1306" s="4" t="s">
        <v>168</v>
      </c>
      <c r="D1306" s="4" t="s">
        <v>1888</v>
      </c>
      <c r="E1306" s="4" t="s">
        <v>1955</v>
      </c>
      <c r="F1306" s="4">
        <v>2</v>
      </c>
      <c r="G1306" s="4">
        <v>209.66</v>
      </c>
      <c r="H1306" s="4">
        <v>0.21</v>
      </c>
      <c r="I1306" s="4" t="s">
        <v>1996</v>
      </c>
      <c r="J1306" s="10">
        <v>331.26280000000003</v>
      </c>
      <c r="K1306" s="4" t="str">
        <f t="shared" si="140"/>
        <v>22-03-2024</v>
      </c>
      <c r="L1306" s="4" t="str">
        <f>TEXT(Sales_Fact!$B1306,"mmm")</f>
        <v>Mar</v>
      </c>
      <c r="M1306" s="4">
        <f t="shared" si="141"/>
        <v>2</v>
      </c>
      <c r="N1306" s="10">
        <f t="shared" si="142"/>
        <v>209.66</v>
      </c>
      <c r="O1306" s="10">
        <f t="shared" si="143"/>
        <v>331.26280000000003</v>
      </c>
      <c r="P1306" s="10">
        <f t="shared" si="144"/>
        <v>419.32</v>
      </c>
      <c r="Q1306" s="3">
        <f t="shared" si="145"/>
        <v>0.20999999999999991</v>
      </c>
      <c r="R1306" s="4" t="str">
        <f>IF(Sales_Fact!$O1306&gt;1000,"High","Low")</f>
        <v>Low</v>
      </c>
      <c r="S1306" s="4" t="str">
        <f>VLOOKUP(C1306,Customer_Dim!$A:$N,9,FALSE())</f>
        <v>Christopher Carter</v>
      </c>
      <c r="T1306" s="4" t="str">
        <f>VLOOKUP(D1306,Product_Dim!$A:$M,3,FALSE())</f>
        <v>Beauty</v>
      </c>
      <c r="U1306" s="11" t="str">
        <f>VLOOKUP(D1306,Product_Dim!$A:$M,2,FALSE())</f>
        <v>Vitamin E Body Lotion</v>
      </c>
      <c r="V1306" s="11" t="str">
        <f>VLOOKUP(E1306,Store_Dim!$A:$E,3,FALSE())</f>
        <v>East</v>
      </c>
      <c r="W1306" s="11" t="str">
        <f>VLOOKUP(C1306,Customer_Dim!$A:$N,13,FALSE())</f>
        <v>Standard</v>
      </c>
      <c r="X1306" s="11" t="str">
        <f t="shared" si="146"/>
        <v>Low</v>
      </c>
    </row>
    <row r="1307" spans="1:24" ht="15.75" customHeight="1">
      <c r="A1307" s="4" t="s">
        <v>3303</v>
      </c>
      <c r="B1307" s="9">
        <v>45688</v>
      </c>
      <c r="C1307" s="4" t="s">
        <v>562</v>
      </c>
      <c r="D1307" s="4" t="s">
        <v>1897</v>
      </c>
      <c r="E1307" s="4" t="s">
        <v>1971</v>
      </c>
      <c r="F1307" s="4">
        <v>2</v>
      </c>
      <c r="G1307" s="4">
        <v>739.95</v>
      </c>
      <c r="H1307" s="4">
        <v>0.1</v>
      </c>
      <c r="I1307" s="4" t="s">
        <v>2004</v>
      </c>
      <c r="J1307" s="10">
        <v>1331.91</v>
      </c>
      <c r="K1307" s="4" t="str">
        <f t="shared" si="140"/>
        <v>31-01-2025</v>
      </c>
      <c r="L1307" s="4" t="str">
        <f>TEXT(Sales_Fact!$B1307,"mmm")</f>
        <v>Jan</v>
      </c>
      <c r="M1307" s="4">
        <f t="shared" si="141"/>
        <v>2</v>
      </c>
      <c r="N1307" s="10">
        <f t="shared" si="142"/>
        <v>739.95</v>
      </c>
      <c r="O1307" s="10">
        <f t="shared" si="143"/>
        <v>1331.91</v>
      </c>
      <c r="P1307" s="10">
        <f t="shared" si="144"/>
        <v>1479.9</v>
      </c>
      <c r="Q1307" s="3">
        <f t="shared" si="145"/>
        <v>0.1</v>
      </c>
      <c r="R1307" s="4" t="str">
        <f>IF(Sales_Fact!$O1307&gt;1000,"High","Low")</f>
        <v>High</v>
      </c>
      <c r="S1307" s="4" t="str">
        <f>VLOOKUP(C1307,Customer_Dim!$A:$N,9,FALSE())</f>
        <v>Cynthia Morris</v>
      </c>
      <c r="T1307" s="4" t="str">
        <f>VLOOKUP(D1307,Product_Dim!$A:$M,3,FALSE())</f>
        <v>Sports</v>
      </c>
      <c r="U1307" s="11" t="str">
        <f>VLOOKUP(D1307,Product_Dim!$A:$M,2,FALSE())</f>
        <v>Cricket Bat</v>
      </c>
      <c r="V1307" s="11" t="str">
        <f>VLOOKUP(E1307,Store_Dim!$A:$E,3,FALSE())</f>
        <v>East</v>
      </c>
      <c r="W1307" s="11" t="str">
        <f>VLOOKUP(C1307,Customer_Dim!$A:$N,13,FALSE())</f>
        <v>Silver</v>
      </c>
      <c r="X1307" s="11" t="str">
        <f t="shared" si="146"/>
        <v>Low</v>
      </c>
    </row>
    <row r="1308" spans="1:24" ht="15.75" customHeight="1">
      <c r="A1308" s="4" t="s">
        <v>3304</v>
      </c>
      <c r="B1308" s="9">
        <v>45276</v>
      </c>
      <c r="C1308" s="4" t="s">
        <v>1475</v>
      </c>
      <c r="D1308" s="4" t="s">
        <v>1738</v>
      </c>
      <c r="E1308" s="4" t="s">
        <v>1959</v>
      </c>
      <c r="F1308" s="4">
        <v>1</v>
      </c>
      <c r="G1308" s="4">
        <v>496.19</v>
      </c>
      <c r="H1308" s="4">
        <v>0.08</v>
      </c>
      <c r="I1308" s="4" t="s">
        <v>2004</v>
      </c>
      <c r="J1308" s="10">
        <v>456.4948</v>
      </c>
      <c r="K1308" s="4" t="str">
        <f t="shared" si="140"/>
        <v>16-12-2023</v>
      </c>
      <c r="L1308" s="4" t="str">
        <f>TEXT(Sales_Fact!$B1308,"mmm")</f>
        <v>Dec</v>
      </c>
      <c r="M1308" s="4">
        <f t="shared" si="141"/>
        <v>1</v>
      </c>
      <c r="N1308" s="10">
        <f t="shared" si="142"/>
        <v>496.19</v>
      </c>
      <c r="O1308" s="10">
        <f t="shared" si="143"/>
        <v>456.4948</v>
      </c>
      <c r="P1308" s="10">
        <f t="shared" si="144"/>
        <v>496.19</v>
      </c>
      <c r="Q1308" s="3">
        <f t="shared" si="145"/>
        <v>0.08</v>
      </c>
      <c r="R1308" s="4" t="str">
        <f>IF(Sales_Fact!$O1308&gt;1000,"High","Low")</f>
        <v>Low</v>
      </c>
      <c r="S1308" s="4" t="str">
        <f>VLOOKUP(C1308,Customer_Dim!$A:$N,9,FALSE())</f>
        <v>James Foster</v>
      </c>
      <c r="T1308" s="4" t="str">
        <f>VLOOKUP(D1308,Product_Dim!$A:$M,3,FALSE())</f>
        <v>Sports</v>
      </c>
      <c r="U1308" s="11" t="str">
        <f>VLOOKUP(D1308,Product_Dim!$A:$M,2,FALSE())</f>
        <v>High-Grip Football</v>
      </c>
      <c r="V1308" s="11" t="str">
        <f>VLOOKUP(E1308,Store_Dim!$A:$E,3,FALSE())</f>
        <v>North</v>
      </c>
      <c r="W1308" s="11" t="str">
        <f>VLOOKUP(C1308,Customer_Dim!$A:$N,13,FALSE())</f>
        <v>Gold</v>
      </c>
      <c r="X1308" s="11" t="str">
        <f t="shared" si="146"/>
        <v>Low</v>
      </c>
    </row>
    <row r="1309" spans="1:24" ht="15.75" customHeight="1">
      <c r="A1309" s="4" t="s">
        <v>3305</v>
      </c>
      <c r="B1309" s="9">
        <v>45756</v>
      </c>
      <c r="C1309" s="4" t="s">
        <v>193</v>
      </c>
      <c r="D1309" s="4" t="s">
        <v>1617</v>
      </c>
      <c r="E1309" s="4" t="s">
        <v>1952</v>
      </c>
      <c r="F1309" s="4">
        <v>1</v>
      </c>
      <c r="G1309" s="4">
        <v>306.36</v>
      </c>
      <c r="H1309" s="4">
        <v>0.01</v>
      </c>
      <c r="I1309" s="4" t="s">
        <v>1998</v>
      </c>
      <c r="J1309" s="10">
        <v>303.29640000000001</v>
      </c>
      <c r="K1309" s="4" t="str">
        <f t="shared" si="140"/>
        <v>09-04-2025</v>
      </c>
      <c r="L1309" s="4" t="str">
        <f>TEXT(Sales_Fact!$B1309,"mmm")</f>
        <v>Apr</v>
      </c>
      <c r="M1309" s="4">
        <f t="shared" si="141"/>
        <v>1</v>
      </c>
      <c r="N1309" s="10">
        <f t="shared" si="142"/>
        <v>306.36</v>
      </c>
      <c r="O1309" s="10">
        <f t="shared" si="143"/>
        <v>303.29640000000001</v>
      </c>
      <c r="P1309" s="10">
        <f t="shared" si="144"/>
        <v>306.36</v>
      </c>
      <c r="Q1309" s="3">
        <f t="shared" si="145"/>
        <v>1.0000000000000026E-2</v>
      </c>
      <c r="R1309" s="4" t="str">
        <f>IF(Sales_Fact!$O1309&gt;1000,"High","Low")</f>
        <v>Low</v>
      </c>
      <c r="S1309" s="4" t="str">
        <f>VLOOKUP(C1309,Customer_Dim!$A:$N,9,FALSE())</f>
        <v>Denise Williams</v>
      </c>
      <c r="T1309" s="4" t="str">
        <f>VLOOKUP(D1309,Product_Dim!$A:$M,3,FALSE())</f>
        <v>Sports</v>
      </c>
      <c r="U1309" s="11" t="str">
        <f>VLOOKUP(D1309,Product_Dim!$A:$M,2,FALSE())</f>
        <v>Adjustable Dumbbell Set</v>
      </c>
      <c r="V1309" s="11" t="str">
        <f>VLOOKUP(E1309,Store_Dim!$A:$E,3,FALSE())</f>
        <v>North</v>
      </c>
      <c r="W1309" s="11" t="str">
        <f>VLOOKUP(C1309,Customer_Dim!$A:$N,13,FALSE())</f>
        <v>Bronze</v>
      </c>
      <c r="X1309" s="11" t="str">
        <f t="shared" si="146"/>
        <v>Low</v>
      </c>
    </row>
    <row r="1310" spans="1:24" ht="15.75" customHeight="1">
      <c r="A1310" s="4" t="s">
        <v>3306</v>
      </c>
      <c r="B1310" s="9">
        <v>45309</v>
      </c>
      <c r="C1310" s="4" t="s">
        <v>438</v>
      </c>
      <c r="D1310" s="4" t="s">
        <v>1825</v>
      </c>
      <c r="E1310" s="4" t="s">
        <v>1927</v>
      </c>
      <c r="F1310" s="4">
        <v>4</v>
      </c>
      <c r="G1310" s="4">
        <v>693.16</v>
      </c>
      <c r="H1310" s="4">
        <v>0.05</v>
      </c>
      <c r="I1310" s="4" t="s">
        <v>1998</v>
      </c>
      <c r="J1310" s="10">
        <v>2634.0079999999998</v>
      </c>
      <c r="K1310" s="4" t="str">
        <f t="shared" si="140"/>
        <v>18-01-2024</v>
      </c>
      <c r="L1310" s="4" t="str">
        <f>TEXT(Sales_Fact!$B1310,"mmm")</f>
        <v>Jan</v>
      </c>
      <c r="M1310" s="4">
        <f t="shared" si="141"/>
        <v>4</v>
      </c>
      <c r="N1310" s="10">
        <f t="shared" si="142"/>
        <v>693.16</v>
      </c>
      <c r="O1310" s="10">
        <f t="shared" si="143"/>
        <v>2634.0079999999998</v>
      </c>
      <c r="P1310" s="10">
        <f t="shared" si="144"/>
        <v>2772.64</v>
      </c>
      <c r="Q1310" s="3">
        <f t="shared" si="145"/>
        <v>5.0000000000000024E-2</v>
      </c>
      <c r="R1310" s="4" t="str">
        <f>IF(Sales_Fact!$O1310&gt;1000,"High","Low")</f>
        <v>High</v>
      </c>
      <c r="S1310" s="4" t="str">
        <f>VLOOKUP(C1310,Customer_Dim!$A:$N,9,FALSE())</f>
        <v>Jacob Hopkins</v>
      </c>
      <c r="T1310" s="4" t="str">
        <f>VLOOKUP(D1310,Product_Dim!$A:$M,3,FALSE())</f>
        <v>Sports</v>
      </c>
      <c r="U1310" s="11" t="str">
        <f>VLOOKUP(D1310,Product_Dim!$A:$M,2,FALSE())</f>
        <v>Shin Guards – Adult</v>
      </c>
      <c r="V1310" s="11" t="str">
        <f>VLOOKUP(E1310,Store_Dim!$A:$E,3,FALSE())</f>
        <v>South</v>
      </c>
      <c r="W1310" s="11" t="str">
        <f>VLOOKUP(C1310,Customer_Dim!$A:$N,13,FALSE())</f>
        <v>Platinum</v>
      </c>
      <c r="X1310" s="11" t="str">
        <f t="shared" si="146"/>
        <v>High</v>
      </c>
    </row>
    <row r="1311" spans="1:24" ht="15.75" customHeight="1">
      <c r="A1311" s="4" t="s">
        <v>3307</v>
      </c>
      <c r="B1311" s="9">
        <v>45744</v>
      </c>
      <c r="C1311" s="4" t="s">
        <v>1434</v>
      </c>
      <c r="D1311" s="4" t="s">
        <v>1855</v>
      </c>
      <c r="E1311" s="4" t="s">
        <v>1947</v>
      </c>
      <c r="F1311" s="4">
        <v>1</v>
      </c>
      <c r="G1311" s="4">
        <v>995.52</v>
      </c>
      <c r="H1311" s="4">
        <v>0.22</v>
      </c>
      <c r="I1311" s="4" t="s">
        <v>1998</v>
      </c>
      <c r="J1311" s="10">
        <v>776.50559999999996</v>
      </c>
      <c r="K1311" s="4" t="str">
        <f t="shared" si="140"/>
        <v>28-03-2025</v>
      </c>
      <c r="L1311" s="4" t="str">
        <f>TEXT(Sales_Fact!$B1311,"mmm")</f>
        <v>Mar</v>
      </c>
      <c r="M1311" s="4">
        <f t="shared" si="141"/>
        <v>1</v>
      </c>
      <c r="N1311" s="10">
        <f t="shared" si="142"/>
        <v>995.52</v>
      </c>
      <c r="O1311" s="10">
        <f t="shared" si="143"/>
        <v>776.50559999999996</v>
      </c>
      <c r="P1311" s="10">
        <f t="shared" si="144"/>
        <v>995.52</v>
      </c>
      <c r="Q1311" s="3">
        <f t="shared" si="145"/>
        <v>0.22000000000000003</v>
      </c>
      <c r="R1311" s="4" t="str">
        <f>IF(Sales_Fact!$O1311&gt;1000,"High","Low")</f>
        <v>Low</v>
      </c>
      <c r="S1311" s="4" t="str">
        <f>VLOOKUP(C1311,Customer_Dim!$A:$N,9,FALSE())</f>
        <v>Tyler Weber</v>
      </c>
      <c r="T1311" s="4" t="str">
        <f>VLOOKUP(D1311,Product_Dim!$A:$M,3,FALSE())</f>
        <v>Beauty</v>
      </c>
      <c r="U1311" s="11" t="str">
        <f>VLOOKUP(D1311,Product_Dim!$A:$M,2,FALSE())</f>
        <v>Hydrating Face Cleanser</v>
      </c>
      <c r="V1311" s="11" t="str">
        <f>VLOOKUP(E1311,Store_Dim!$A:$E,3,FALSE())</f>
        <v>East</v>
      </c>
      <c r="W1311" s="11" t="str">
        <f>VLOOKUP(C1311,Customer_Dim!$A:$N,13,FALSE())</f>
        <v>Gold</v>
      </c>
      <c r="X1311" s="11" t="str">
        <f t="shared" si="146"/>
        <v>Low</v>
      </c>
    </row>
    <row r="1312" spans="1:24" ht="15.75" customHeight="1">
      <c r="A1312" s="4" t="s">
        <v>3308</v>
      </c>
      <c r="B1312" s="9">
        <v>45535</v>
      </c>
      <c r="C1312" s="4" t="s">
        <v>453</v>
      </c>
      <c r="D1312" s="4" t="s">
        <v>1608</v>
      </c>
      <c r="E1312" s="4" t="s">
        <v>1968</v>
      </c>
      <c r="F1312" s="4">
        <v>4</v>
      </c>
      <c r="G1312" s="4">
        <v>241.32</v>
      </c>
      <c r="H1312" s="4">
        <v>0.28999999999999998</v>
      </c>
      <c r="I1312" s="4" t="s">
        <v>2004</v>
      </c>
      <c r="J1312" s="10">
        <v>685.34879999999998</v>
      </c>
      <c r="K1312" s="4" t="str">
        <f t="shared" si="140"/>
        <v>31-08-2024</v>
      </c>
      <c r="L1312" s="4" t="str">
        <f>TEXT(Sales_Fact!$B1312,"mmm")</f>
        <v>Aug</v>
      </c>
      <c r="M1312" s="4">
        <f t="shared" si="141"/>
        <v>4</v>
      </c>
      <c r="N1312" s="10">
        <f t="shared" si="142"/>
        <v>241.32</v>
      </c>
      <c r="O1312" s="10">
        <f t="shared" si="143"/>
        <v>685.34879999999998</v>
      </c>
      <c r="P1312" s="10">
        <f t="shared" si="144"/>
        <v>965.28</v>
      </c>
      <c r="Q1312" s="3">
        <f t="shared" si="145"/>
        <v>0.28999999999999998</v>
      </c>
      <c r="R1312" s="4" t="str">
        <f>IF(Sales_Fact!$O1312&gt;1000,"High","Low")</f>
        <v>Low</v>
      </c>
      <c r="S1312" s="4" t="str">
        <f>VLOOKUP(C1312,Customer_Dim!$A:$N,9,FALSE())</f>
        <v>Keith Miller</v>
      </c>
      <c r="T1312" s="4" t="str">
        <f>VLOOKUP(D1312,Product_Dim!$A:$M,3,FALSE())</f>
        <v>Home</v>
      </c>
      <c r="U1312" s="11" t="str">
        <f>VLOOKUP(D1312,Product_Dim!$A:$M,2,FALSE())</f>
        <v>LED Table Lamp</v>
      </c>
      <c r="V1312" s="11" t="str">
        <f>VLOOKUP(E1312,Store_Dim!$A:$E,3,FALSE())</f>
        <v>East</v>
      </c>
      <c r="W1312" s="11" t="str">
        <f>VLOOKUP(C1312,Customer_Dim!$A:$N,13,FALSE())</f>
        <v>Platinum</v>
      </c>
      <c r="X1312" s="11" t="str">
        <f t="shared" si="146"/>
        <v>High</v>
      </c>
    </row>
    <row r="1313" spans="1:24" ht="15.75" customHeight="1">
      <c r="A1313" s="4" t="s">
        <v>3309</v>
      </c>
      <c r="B1313" s="9">
        <v>45240</v>
      </c>
      <c r="C1313" s="4" t="s">
        <v>795</v>
      </c>
      <c r="D1313" s="4" t="s">
        <v>1840</v>
      </c>
      <c r="E1313" s="4" t="s">
        <v>1915</v>
      </c>
      <c r="F1313" s="4">
        <v>3</v>
      </c>
      <c r="G1313" s="4">
        <v>636.03</v>
      </c>
      <c r="H1313" s="4">
        <v>0.06</v>
      </c>
      <c r="I1313" s="4" t="s">
        <v>2004</v>
      </c>
      <c r="J1313" s="10">
        <v>1793.6045999999999</v>
      </c>
      <c r="K1313" s="4" t="str">
        <f t="shared" si="140"/>
        <v>10-11-2023</v>
      </c>
      <c r="L1313" s="4" t="str">
        <f>TEXT(Sales_Fact!$B1313,"mmm")</f>
        <v>Nov</v>
      </c>
      <c r="M1313" s="4">
        <f t="shared" si="141"/>
        <v>3</v>
      </c>
      <c r="N1313" s="10">
        <f t="shared" si="142"/>
        <v>636.03</v>
      </c>
      <c r="O1313" s="10">
        <f t="shared" si="143"/>
        <v>1793.6045999999999</v>
      </c>
      <c r="P1313" s="10">
        <f t="shared" si="144"/>
        <v>1908.09</v>
      </c>
      <c r="Q1313" s="3">
        <f t="shared" si="145"/>
        <v>6.0000000000000019E-2</v>
      </c>
      <c r="R1313" s="4" t="str">
        <f>IF(Sales_Fact!$O1313&gt;1000,"High","Low")</f>
        <v>High</v>
      </c>
      <c r="S1313" s="4" t="str">
        <f>VLOOKUP(C1313,Customer_Dim!$A:$N,9,FALSE())</f>
        <v>Maria Hill</v>
      </c>
      <c r="T1313" s="4" t="str">
        <f>VLOOKUP(D1313,Product_Dim!$A:$M,3,FALSE())</f>
        <v>Home</v>
      </c>
      <c r="U1313" s="11" t="str">
        <f>VLOOKUP(D1313,Product_Dim!$A:$M,2,FALSE())</f>
        <v>Essential Oil Diffuser</v>
      </c>
      <c r="V1313" s="11" t="str">
        <f>VLOOKUP(E1313,Store_Dim!$A:$E,3,FALSE())</f>
        <v>North</v>
      </c>
      <c r="W1313" s="11" t="str">
        <f>VLOOKUP(C1313,Customer_Dim!$A:$N,13,FALSE())</f>
        <v>Platinum</v>
      </c>
      <c r="X1313" s="11" t="str">
        <f t="shared" si="146"/>
        <v>Low</v>
      </c>
    </row>
    <row r="1314" spans="1:24" ht="15.75" customHeight="1">
      <c r="A1314" s="4" t="s">
        <v>3310</v>
      </c>
      <c r="B1314" s="9">
        <v>45378</v>
      </c>
      <c r="C1314" s="4" t="s">
        <v>647</v>
      </c>
      <c r="D1314" s="4" t="s">
        <v>1700</v>
      </c>
      <c r="E1314" s="4" t="s">
        <v>1955</v>
      </c>
      <c r="F1314" s="4">
        <v>4</v>
      </c>
      <c r="G1314" s="4">
        <v>735.32</v>
      </c>
      <c r="H1314" s="4">
        <v>0.06</v>
      </c>
      <c r="I1314" s="4" t="s">
        <v>2004</v>
      </c>
      <c r="J1314" s="10">
        <v>2764.8031999999998</v>
      </c>
      <c r="K1314" s="4" t="str">
        <f t="shared" si="140"/>
        <v>27-03-2024</v>
      </c>
      <c r="L1314" s="4" t="str">
        <f>TEXT(Sales_Fact!$B1314,"mmm")</f>
        <v>Mar</v>
      </c>
      <c r="M1314" s="4">
        <f t="shared" si="141"/>
        <v>4</v>
      </c>
      <c r="N1314" s="10">
        <f t="shared" si="142"/>
        <v>735.32</v>
      </c>
      <c r="O1314" s="10">
        <f t="shared" si="143"/>
        <v>2764.8031999999998</v>
      </c>
      <c r="P1314" s="10">
        <f t="shared" si="144"/>
        <v>2941.28</v>
      </c>
      <c r="Q1314" s="3">
        <f t="shared" si="145"/>
        <v>6.0000000000000123E-2</v>
      </c>
      <c r="R1314" s="4" t="str">
        <f>IF(Sales_Fact!$O1314&gt;1000,"High","Low")</f>
        <v>High</v>
      </c>
      <c r="S1314" s="4" t="str">
        <f>VLOOKUP(C1314,Customer_Dim!$A:$N,9,FALSE())</f>
        <v>Daniel Austin</v>
      </c>
      <c r="T1314" s="4" t="str">
        <f>VLOOKUP(D1314,Product_Dim!$A:$M,3,FALSE())</f>
        <v>Home</v>
      </c>
      <c r="U1314" s="11" t="str">
        <f>VLOOKUP(D1314,Product_Dim!$A:$M,2,FALSE())</f>
        <v>Modern Wall Clock</v>
      </c>
      <c r="V1314" s="11" t="str">
        <f>VLOOKUP(E1314,Store_Dim!$A:$E,3,FALSE())</f>
        <v>East</v>
      </c>
      <c r="W1314" s="11" t="str">
        <f>VLOOKUP(C1314,Customer_Dim!$A:$N,13,FALSE())</f>
        <v>Gold</v>
      </c>
      <c r="X1314" s="11" t="str">
        <f t="shared" si="146"/>
        <v>High</v>
      </c>
    </row>
    <row r="1315" spans="1:24" ht="15.75" customHeight="1">
      <c r="A1315" s="4" t="s">
        <v>3311</v>
      </c>
      <c r="B1315" s="9">
        <v>45275</v>
      </c>
      <c r="C1315" s="4" t="s">
        <v>365</v>
      </c>
      <c r="D1315" s="4" t="s">
        <v>1595</v>
      </c>
      <c r="E1315" s="4" t="s">
        <v>1971</v>
      </c>
      <c r="F1315" s="4">
        <v>4</v>
      </c>
      <c r="G1315" s="4">
        <v>603.30999999999995</v>
      </c>
      <c r="H1315" s="4">
        <v>0.15</v>
      </c>
      <c r="I1315" s="4" t="s">
        <v>1996</v>
      </c>
      <c r="J1315" s="10">
        <v>2051.2539999999999</v>
      </c>
      <c r="K1315" s="4" t="str">
        <f t="shared" si="140"/>
        <v>15-12-2023</v>
      </c>
      <c r="L1315" s="4" t="str">
        <f>TEXT(Sales_Fact!$B1315,"mmm")</f>
        <v>Dec</v>
      </c>
      <c r="M1315" s="4">
        <f t="shared" si="141"/>
        <v>4</v>
      </c>
      <c r="N1315" s="10">
        <f t="shared" si="142"/>
        <v>603.30999999999995</v>
      </c>
      <c r="O1315" s="10">
        <f t="shared" si="143"/>
        <v>2051.2539999999999</v>
      </c>
      <c r="P1315" s="10">
        <f t="shared" si="144"/>
        <v>2413.2399999999998</v>
      </c>
      <c r="Q1315" s="3">
        <f t="shared" si="145"/>
        <v>0.14999999999999997</v>
      </c>
      <c r="R1315" s="4" t="str">
        <f>IF(Sales_Fact!$O1315&gt;1000,"High","Low")</f>
        <v>High</v>
      </c>
      <c r="S1315" s="4" t="str">
        <f>VLOOKUP(C1315,Customer_Dim!$A:$N,9,FALSE())</f>
        <v>Samantha Walker</v>
      </c>
      <c r="T1315" s="4" t="str">
        <f>VLOOKUP(D1315,Product_Dim!$A:$M,3,FALSE())</f>
        <v>Clothing</v>
      </c>
      <c r="U1315" s="11" t="str">
        <f>VLOOKUP(D1315,Product_Dim!$A:$M,2,FALSE())</f>
        <v>Women's Yoga Pants</v>
      </c>
      <c r="V1315" s="11" t="str">
        <f>VLOOKUP(E1315,Store_Dim!$A:$E,3,FALSE())</f>
        <v>East</v>
      </c>
      <c r="W1315" s="11" t="str">
        <f>VLOOKUP(C1315,Customer_Dim!$A:$N,13,FALSE())</f>
        <v>Platinum</v>
      </c>
      <c r="X1315" s="11" t="str">
        <f t="shared" si="146"/>
        <v>High</v>
      </c>
    </row>
    <row r="1316" spans="1:24" ht="15.75" customHeight="1">
      <c r="A1316" s="4" t="s">
        <v>3312</v>
      </c>
      <c r="B1316" s="9">
        <v>45427</v>
      </c>
      <c r="C1316" s="4" t="s">
        <v>296</v>
      </c>
      <c r="D1316" s="4" t="s">
        <v>1873</v>
      </c>
      <c r="E1316" s="4" t="s">
        <v>1947</v>
      </c>
      <c r="F1316" s="4">
        <v>3</v>
      </c>
      <c r="G1316" s="4">
        <v>437.96</v>
      </c>
      <c r="H1316" s="4">
        <v>0.27</v>
      </c>
      <c r="I1316" s="4" t="s">
        <v>2004</v>
      </c>
      <c r="J1316" s="10">
        <v>959.13239999999996</v>
      </c>
      <c r="K1316" s="4" t="str">
        <f t="shared" si="140"/>
        <v>15-05-2024</v>
      </c>
      <c r="L1316" s="4" t="str">
        <f>TEXT(Sales_Fact!$B1316,"mmm")</f>
        <v>May</v>
      </c>
      <c r="M1316" s="4">
        <f t="shared" si="141"/>
        <v>3</v>
      </c>
      <c r="N1316" s="10">
        <f t="shared" si="142"/>
        <v>437.96</v>
      </c>
      <c r="O1316" s="10">
        <f t="shared" si="143"/>
        <v>959.13239999999985</v>
      </c>
      <c r="P1316" s="10">
        <f t="shared" si="144"/>
        <v>1313.8799999999999</v>
      </c>
      <c r="Q1316" s="3">
        <f t="shared" si="145"/>
        <v>0.27000000000000007</v>
      </c>
      <c r="R1316" s="4" t="str">
        <f>IF(Sales_Fact!$O1316&gt;1000,"High","Low")</f>
        <v>Low</v>
      </c>
      <c r="S1316" s="4" t="str">
        <f>VLOOKUP(C1316,Customer_Dim!$A:$N,9,FALSE())</f>
        <v>Rhonda Morales</v>
      </c>
      <c r="T1316" s="4" t="str">
        <f>VLOOKUP(D1316,Product_Dim!$A:$M,3,FALSE())</f>
        <v>Beauty</v>
      </c>
      <c r="U1316" s="11" t="str">
        <f>VLOOKUP(D1316,Product_Dim!$A:$M,2,FALSE())</f>
        <v>Face Foundation Kit</v>
      </c>
      <c r="V1316" s="11" t="str">
        <f>VLOOKUP(E1316,Store_Dim!$A:$E,3,FALSE())</f>
        <v>East</v>
      </c>
      <c r="W1316" s="11" t="str">
        <f>VLOOKUP(C1316,Customer_Dim!$A:$N,13,FALSE())</f>
        <v>Gold</v>
      </c>
      <c r="X1316" s="11" t="str">
        <f t="shared" si="146"/>
        <v>Low</v>
      </c>
    </row>
    <row r="1317" spans="1:24" ht="15.75" customHeight="1">
      <c r="A1317" s="4" t="s">
        <v>3313</v>
      </c>
      <c r="B1317" s="9">
        <v>45322</v>
      </c>
      <c r="C1317" s="4" t="s">
        <v>703</v>
      </c>
      <c r="D1317" s="4" t="s">
        <v>1703</v>
      </c>
      <c r="E1317" s="4" t="s">
        <v>1927</v>
      </c>
      <c r="F1317" s="4">
        <v>2</v>
      </c>
      <c r="G1317" s="4">
        <v>56.91</v>
      </c>
      <c r="H1317" s="4">
        <v>0.08</v>
      </c>
      <c r="I1317" s="4" t="s">
        <v>2004</v>
      </c>
      <c r="J1317" s="10">
        <v>104.7144</v>
      </c>
      <c r="K1317" s="4" t="str">
        <f t="shared" si="140"/>
        <v>31-01-2024</v>
      </c>
      <c r="L1317" s="4" t="str">
        <f>TEXT(Sales_Fact!$B1317,"mmm")</f>
        <v>Jan</v>
      </c>
      <c r="M1317" s="4">
        <f t="shared" si="141"/>
        <v>2</v>
      </c>
      <c r="N1317" s="10">
        <f t="shared" si="142"/>
        <v>56.91</v>
      </c>
      <c r="O1317" s="10">
        <f t="shared" si="143"/>
        <v>104.7144</v>
      </c>
      <c r="P1317" s="10">
        <f t="shared" si="144"/>
        <v>113.82</v>
      </c>
      <c r="Q1317" s="3">
        <f t="shared" si="145"/>
        <v>7.999999999999996E-2</v>
      </c>
      <c r="R1317" s="4" t="str">
        <f>IF(Sales_Fact!$O1317&gt;1000,"High","Low")</f>
        <v>Low</v>
      </c>
      <c r="S1317" s="4" t="str">
        <f>VLOOKUP(C1317,Customer_Dim!$A:$N,9,FALSE())</f>
        <v>John Perez</v>
      </c>
      <c r="T1317" s="4" t="str">
        <f>VLOOKUP(D1317,Product_Dim!$A:$M,3,FALSE())</f>
        <v>Electronics</v>
      </c>
      <c r="U1317" s="11" t="str">
        <f>VLOOKUP(D1317,Product_Dim!$A:$M,2,FALSE())</f>
        <v>Gaming Mechanical Keyboard</v>
      </c>
      <c r="V1317" s="11" t="str">
        <f>VLOOKUP(E1317,Store_Dim!$A:$E,3,FALSE())</f>
        <v>South</v>
      </c>
      <c r="W1317" s="11" t="str">
        <f>VLOOKUP(C1317,Customer_Dim!$A:$N,13,FALSE())</f>
        <v>Platinum</v>
      </c>
      <c r="X1317" s="11" t="str">
        <f t="shared" si="146"/>
        <v>Low</v>
      </c>
    </row>
    <row r="1318" spans="1:24" ht="15.75" customHeight="1">
      <c r="A1318" s="4" t="s">
        <v>3314</v>
      </c>
      <c r="B1318" s="9">
        <v>45266</v>
      </c>
      <c r="C1318" s="4" t="s">
        <v>1078</v>
      </c>
      <c r="D1318" s="4" t="s">
        <v>1834</v>
      </c>
      <c r="E1318" s="4" t="s">
        <v>1934</v>
      </c>
      <c r="F1318" s="4">
        <v>1</v>
      </c>
      <c r="G1318" s="4">
        <v>141.79</v>
      </c>
      <c r="H1318" s="4">
        <v>0.1</v>
      </c>
      <c r="I1318" s="4" t="s">
        <v>1996</v>
      </c>
      <c r="J1318" s="10">
        <v>127.611</v>
      </c>
      <c r="K1318" s="4" t="str">
        <f t="shared" si="140"/>
        <v>06-12-2023</v>
      </c>
      <c r="L1318" s="4" t="str">
        <f>TEXT(Sales_Fact!$B1318,"mmm")</f>
        <v>Dec</v>
      </c>
      <c r="M1318" s="4">
        <f t="shared" si="141"/>
        <v>1</v>
      </c>
      <c r="N1318" s="10">
        <f t="shared" si="142"/>
        <v>141.79</v>
      </c>
      <c r="O1318" s="10">
        <f t="shared" si="143"/>
        <v>127.61099999999999</v>
      </c>
      <c r="P1318" s="10">
        <f t="shared" si="144"/>
        <v>141.79</v>
      </c>
      <c r="Q1318" s="3">
        <f t="shared" si="145"/>
        <v>0.10000000000000002</v>
      </c>
      <c r="R1318" s="4" t="str">
        <f>IF(Sales_Fact!$O1318&gt;1000,"High","Low")</f>
        <v>Low</v>
      </c>
      <c r="S1318" s="4" t="str">
        <f>VLOOKUP(C1318,Customer_Dim!$A:$N,9,FALSE())</f>
        <v>Mr. Christopher Sims</v>
      </c>
      <c r="T1318" s="4" t="str">
        <f>VLOOKUP(D1318,Product_Dim!$A:$M,3,FALSE())</f>
        <v>Electronics</v>
      </c>
      <c r="U1318" s="11" t="str">
        <f>VLOOKUP(D1318,Product_Dim!$A:$M,2,FALSE())</f>
        <v>Wireless Mouse</v>
      </c>
      <c r="V1318" s="11" t="str">
        <f>VLOOKUP(E1318,Store_Dim!$A:$E,3,FALSE())</f>
        <v>East</v>
      </c>
      <c r="W1318" s="11" t="str">
        <f>VLOOKUP(C1318,Customer_Dim!$A:$N,13,FALSE())</f>
        <v>Silver</v>
      </c>
      <c r="X1318" s="11" t="str">
        <f t="shared" si="146"/>
        <v>Low</v>
      </c>
    </row>
    <row r="1319" spans="1:24" ht="15.75" customHeight="1">
      <c r="A1319" s="4" t="s">
        <v>3315</v>
      </c>
      <c r="B1319" s="9">
        <v>45302</v>
      </c>
      <c r="C1319" s="4" t="s">
        <v>1516</v>
      </c>
      <c r="D1319" s="4" t="s">
        <v>1617</v>
      </c>
      <c r="E1319" s="4" t="s">
        <v>1959</v>
      </c>
      <c r="F1319" s="4">
        <v>4</v>
      </c>
      <c r="G1319" s="4">
        <v>355.14</v>
      </c>
      <c r="H1319" s="4">
        <v>0.16</v>
      </c>
      <c r="I1319" s="4" t="s">
        <v>2004</v>
      </c>
      <c r="J1319" s="10">
        <v>1193.2704000000001</v>
      </c>
      <c r="K1319" s="4" t="str">
        <f t="shared" si="140"/>
        <v>11-01-2024</v>
      </c>
      <c r="L1319" s="4" t="str">
        <f>TEXT(Sales_Fact!$B1319,"mmm")</f>
        <v>Jan</v>
      </c>
      <c r="M1319" s="4">
        <f t="shared" si="141"/>
        <v>4</v>
      </c>
      <c r="N1319" s="10">
        <f t="shared" si="142"/>
        <v>355.14</v>
      </c>
      <c r="O1319" s="10">
        <f t="shared" si="143"/>
        <v>1193.2703999999999</v>
      </c>
      <c r="P1319" s="10">
        <f t="shared" si="144"/>
        <v>1420.56</v>
      </c>
      <c r="Q1319" s="3">
        <f t="shared" si="145"/>
        <v>0.16000000000000006</v>
      </c>
      <c r="R1319" s="4" t="str">
        <f>IF(Sales_Fact!$O1319&gt;1000,"High","Low")</f>
        <v>High</v>
      </c>
      <c r="S1319" s="4" t="str">
        <f>VLOOKUP(C1319,Customer_Dim!$A:$N,9,FALSE())</f>
        <v>Sarah Smith</v>
      </c>
      <c r="T1319" s="4" t="str">
        <f>VLOOKUP(D1319,Product_Dim!$A:$M,3,FALSE())</f>
        <v>Sports</v>
      </c>
      <c r="U1319" s="11" t="str">
        <f>VLOOKUP(D1319,Product_Dim!$A:$M,2,FALSE())</f>
        <v>Adjustable Dumbbell Set</v>
      </c>
      <c r="V1319" s="11" t="str">
        <f>VLOOKUP(E1319,Store_Dim!$A:$E,3,FALSE())</f>
        <v>North</v>
      </c>
      <c r="W1319" s="11" t="str">
        <f>VLOOKUP(C1319,Customer_Dim!$A:$N,13,FALSE())</f>
        <v>Gold</v>
      </c>
      <c r="X1319" s="11" t="str">
        <f t="shared" si="146"/>
        <v>High</v>
      </c>
    </row>
    <row r="1320" spans="1:24" ht="15.75" customHeight="1">
      <c r="A1320" s="4" t="s">
        <v>3316</v>
      </c>
      <c r="B1320" s="9">
        <v>45907</v>
      </c>
      <c r="C1320" s="4" t="s">
        <v>712</v>
      </c>
      <c r="D1320" s="4" t="s">
        <v>1716</v>
      </c>
      <c r="E1320" s="4" t="s">
        <v>1934</v>
      </c>
      <c r="F1320" s="4">
        <v>4</v>
      </c>
      <c r="G1320" s="4">
        <v>960.38</v>
      </c>
      <c r="H1320" s="4">
        <v>0.15</v>
      </c>
      <c r="I1320" s="4" t="s">
        <v>2004</v>
      </c>
      <c r="J1320" s="10">
        <v>3265.2919999999999</v>
      </c>
      <c r="K1320" s="4" t="str">
        <f t="shared" si="140"/>
        <v>07-09-2025</v>
      </c>
      <c r="L1320" s="4" t="str">
        <f>TEXT(Sales_Fact!$B1320,"mmm")</f>
        <v>Sep</v>
      </c>
      <c r="M1320" s="4">
        <f t="shared" si="141"/>
        <v>4</v>
      </c>
      <c r="N1320" s="10">
        <f t="shared" si="142"/>
        <v>960.38</v>
      </c>
      <c r="O1320" s="10">
        <f t="shared" si="143"/>
        <v>3265.2919999999999</v>
      </c>
      <c r="P1320" s="10">
        <f t="shared" si="144"/>
        <v>3841.52</v>
      </c>
      <c r="Q1320" s="3">
        <f t="shared" si="145"/>
        <v>0.15000000000000002</v>
      </c>
      <c r="R1320" s="4" t="str">
        <f>IF(Sales_Fact!$O1320&gt;1000,"High","Low")</f>
        <v>High</v>
      </c>
      <c r="S1320" s="4" t="str">
        <f>VLOOKUP(C1320,Customer_Dim!$A:$N,9,FALSE())</f>
        <v>Rodney Huffman</v>
      </c>
      <c r="T1320" s="4" t="str">
        <f>VLOOKUP(D1320,Product_Dim!$A:$M,3,FALSE())</f>
        <v>Sports</v>
      </c>
      <c r="U1320" s="11" t="str">
        <f>VLOOKUP(D1320,Product_Dim!$A:$M,2,FALSE())</f>
        <v>Sports Water Hydration Pack</v>
      </c>
      <c r="V1320" s="11" t="str">
        <f>VLOOKUP(E1320,Store_Dim!$A:$E,3,FALSE())</f>
        <v>East</v>
      </c>
      <c r="W1320" s="11" t="str">
        <f>VLOOKUP(C1320,Customer_Dim!$A:$N,13,FALSE())</f>
        <v>Silver</v>
      </c>
      <c r="X1320" s="11" t="str">
        <f t="shared" si="146"/>
        <v>High</v>
      </c>
    </row>
    <row r="1321" spans="1:24" ht="15.75" customHeight="1">
      <c r="A1321" s="4" t="s">
        <v>3317</v>
      </c>
      <c r="B1321" s="9">
        <v>45433</v>
      </c>
      <c r="C1321" s="4" t="s">
        <v>1333</v>
      </c>
      <c r="D1321" s="4" t="s">
        <v>1813</v>
      </c>
      <c r="E1321" s="4" t="s">
        <v>1962</v>
      </c>
      <c r="F1321" s="4">
        <v>3</v>
      </c>
      <c r="G1321" s="4">
        <v>847.21</v>
      </c>
      <c r="H1321" s="4">
        <v>0.06</v>
      </c>
      <c r="I1321" s="4" t="s">
        <v>1998</v>
      </c>
      <c r="J1321" s="10">
        <v>2389.1322</v>
      </c>
      <c r="K1321" s="4" t="str">
        <f t="shared" si="140"/>
        <v>21-05-2024</v>
      </c>
      <c r="L1321" s="4" t="str">
        <f>TEXT(Sales_Fact!$B1321,"mmm")</f>
        <v>May</v>
      </c>
      <c r="M1321" s="4">
        <f t="shared" si="141"/>
        <v>3</v>
      </c>
      <c r="N1321" s="10">
        <f t="shared" si="142"/>
        <v>847.21</v>
      </c>
      <c r="O1321" s="10">
        <f t="shared" si="143"/>
        <v>2389.1322</v>
      </c>
      <c r="P1321" s="10">
        <f t="shared" si="144"/>
        <v>2541.63</v>
      </c>
      <c r="Q1321" s="3">
        <f t="shared" si="145"/>
        <v>6.0000000000000032E-2</v>
      </c>
      <c r="R1321" s="4" t="str">
        <f>IF(Sales_Fact!$O1321&gt;1000,"High","Low")</f>
        <v>High</v>
      </c>
      <c r="S1321" s="4" t="str">
        <f>VLOOKUP(C1321,Customer_Dim!$A:$N,9,FALSE())</f>
        <v>Dr. Tamara White Md</v>
      </c>
      <c r="T1321" s="4" t="str">
        <f>VLOOKUP(D1321,Product_Dim!$A:$M,3,FALSE())</f>
        <v>Clothing</v>
      </c>
      <c r="U1321" s="11" t="str">
        <f>VLOOKUP(D1321,Product_Dim!$A:$M,2,FALSE())</f>
        <v>Men's Sports Shorts</v>
      </c>
      <c r="V1321" s="11" t="str">
        <f>VLOOKUP(E1321,Store_Dim!$A:$E,3,FALSE())</f>
        <v>West</v>
      </c>
      <c r="W1321" s="11" t="str">
        <f>VLOOKUP(C1321,Customer_Dim!$A:$N,13,FALSE())</f>
        <v>Bronze</v>
      </c>
      <c r="X1321" s="11" t="str">
        <f t="shared" si="146"/>
        <v>Low</v>
      </c>
    </row>
    <row r="1322" spans="1:24" ht="15.75" customHeight="1">
      <c r="A1322" s="4" t="s">
        <v>3318</v>
      </c>
      <c r="B1322" s="9">
        <v>45892</v>
      </c>
      <c r="C1322" s="4" t="s">
        <v>265</v>
      </c>
      <c r="D1322" s="4" t="s">
        <v>1846</v>
      </c>
      <c r="E1322" s="4" t="s">
        <v>1947</v>
      </c>
      <c r="F1322" s="4">
        <v>4</v>
      </c>
      <c r="G1322" s="4">
        <v>773.81</v>
      </c>
      <c r="H1322" s="4">
        <v>0.08</v>
      </c>
      <c r="I1322" s="4" t="s">
        <v>2004</v>
      </c>
      <c r="J1322" s="10">
        <v>2847.6208000000001</v>
      </c>
      <c r="K1322" s="4" t="str">
        <f t="shared" si="140"/>
        <v>23-08-2025</v>
      </c>
      <c r="L1322" s="4" t="str">
        <f>TEXT(Sales_Fact!$B1322,"mmm")</f>
        <v>Aug</v>
      </c>
      <c r="M1322" s="4">
        <f t="shared" si="141"/>
        <v>4</v>
      </c>
      <c r="N1322" s="10">
        <f t="shared" si="142"/>
        <v>773.81</v>
      </c>
      <c r="O1322" s="10">
        <f t="shared" si="143"/>
        <v>2847.6208000000001</v>
      </c>
      <c r="P1322" s="10">
        <f t="shared" si="144"/>
        <v>3095.24</v>
      </c>
      <c r="Q1322" s="3">
        <f t="shared" si="145"/>
        <v>7.9999999999999891E-2</v>
      </c>
      <c r="R1322" s="4" t="str">
        <f>IF(Sales_Fact!$O1322&gt;1000,"High","Low")</f>
        <v>High</v>
      </c>
      <c r="S1322" s="4" t="str">
        <f>VLOOKUP(C1322,Customer_Dim!$A:$N,9,FALSE())</f>
        <v>Cody Diaz</v>
      </c>
      <c r="T1322" s="4" t="str">
        <f>VLOOKUP(D1322,Product_Dim!$A:$M,3,FALSE())</f>
        <v>Home</v>
      </c>
      <c r="U1322" s="11" t="str">
        <f>VLOOKUP(D1322,Product_Dim!$A:$M,2,FALSE())</f>
        <v>Wall-Mounted Spice Rack</v>
      </c>
      <c r="V1322" s="11" t="str">
        <f>VLOOKUP(E1322,Store_Dim!$A:$E,3,FALSE())</f>
        <v>East</v>
      </c>
      <c r="W1322" s="11" t="str">
        <f>VLOOKUP(C1322,Customer_Dim!$A:$N,13,FALSE())</f>
        <v>Silver</v>
      </c>
      <c r="X1322" s="11" t="str">
        <f t="shared" si="146"/>
        <v>High</v>
      </c>
    </row>
    <row r="1323" spans="1:24" ht="15.75" customHeight="1">
      <c r="A1323" s="4" t="s">
        <v>3319</v>
      </c>
      <c r="B1323" s="9">
        <v>45780</v>
      </c>
      <c r="C1323" s="4" t="s">
        <v>23</v>
      </c>
      <c r="D1323" s="4" t="s">
        <v>1794</v>
      </c>
      <c r="E1323" s="4" t="s">
        <v>1962</v>
      </c>
      <c r="F1323" s="4">
        <v>1</v>
      </c>
      <c r="G1323" s="4">
        <v>664.71</v>
      </c>
      <c r="H1323" s="4">
        <v>0.1</v>
      </c>
      <c r="I1323" s="4" t="s">
        <v>1998</v>
      </c>
      <c r="J1323" s="10">
        <v>598.23900000000003</v>
      </c>
      <c r="K1323" s="4" t="str">
        <f t="shared" si="140"/>
        <v>03-05-2025</v>
      </c>
      <c r="L1323" s="4" t="str">
        <f>TEXT(Sales_Fact!$B1323,"mmm")</f>
        <v>May</v>
      </c>
      <c r="M1323" s="4">
        <f t="shared" si="141"/>
        <v>1</v>
      </c>
      <c r="N1323" s="10">
        <f t="shared" si="142"/>
        <v>664.71</v>
      </c>
      <c r="O1323" s="10">
        <f t="shared" si="143"/>
        <v>598.23900000000003</v>
      </c>
      <c r="P1323" s="10">
        <f t="shared" si="144"/>
        <v>664.71</v>
      </c>
      <c r="Q1323" s="3">
        <f t="shared" si="145"/>
        <v>0.1</v>
      </c>
      <c r="R1323" s="4" t="str">
        <f>IF(Sales_Fact!$O1323&gt;1000,"High","Low")</f>
        <v>Low</v>
      </c>
      <c r="S1323" s="4" t="str">
        <f>VLOOKUP(C1323,Customer_Dim!$A:$N,9,FALSE())</f>
        <v>Sheena Bonilla</v>
      </c>
      <c r="T1323" s="4" t="str">
        <f>VLOOKUP(D1323,Product_Dim!$A:$M,3,FALSE())</f>
        <v>Beauty</v>
      </c>
      <c r="U1323" s="11" t="str">
        <f>VLOOKUP(D1323,Product_Dim!$A:$M,2,FALSE())</f>
        <v>Organic Sunscreen Lotion</v>
      </c>
      <c r="V1323" s="11" t="str">
        <f>VLOOKUP(E1323,Store_Dim!$A:$E,3,FALSE())</f>
        <v>West</v>
      </c>
      <c r="W1323" s="11" t="str">
        <f>VLOOKUP(C1323,Customer_Dim!$A:$N,13,FALSE())</f>
        <v>Standard</v>
      </c>
      <c r="X1323" s="11" t="str">
        <f t="shared" si="146"/>
        <v>Low</v>
      </c>
    </row>
    <row r="1324" spans="1:24" ht="15.75" customHeight="1">
      <c r="A1324" s="4" t="s">
        <v>3320</v>
      </c>
      <c r="B1324" s="9">
        <v>45233</v>
      </c>
      <c r="C1324" s="4" t="s">
        <v>1117</v>
      </c>
      <c r="D1324" s="4" t="s">
        <v>1712</v>
      </c>
      <c r="E1324" s="4" t="s">
        <v>1937</v>
      </c>
      <c r="F1324" s="4">
        <v>4</v>
      </c>
      <c r="G1324" s="4">
        <v>482.06</v>
      </c>
      <c r="H1324" s="4">
        <v>7.0000000000000007E-2</v>
      </c>
      <c r="I1324" s="4" t="s">
        <v>1998</v>
      </c>
      <c r="J1324" s="10">
        <v>1793.2632000000001</v>
      </c>
      <c r="K1324" s="4" t="str">
        <f t="shared" si="140"/>
        <v>03-11-2023</v>
      </c>
      <c r="L1324" s="4" t="str">
        <f>TEXT(Sales_Fact!$B1324,"mmm")</f>
        <v>Nov</v>
      </c>
      <c r="M1324" s="4">
        <f t="shared" si="141"/>
        <v>4</v>
      </c>
      <c r="N1324" s="10">
        <f t="shared" si="142"/>
        <v>482.06</v>
      </c>
      <c r="O1324" s="10">
        <f t="shared" si="143"/>
        <v>1793.2631999999999</v>
      </c>
      <c r="P1324" s="10">
        <f t="shared" si="144"/>
        <v>1928.24</v>
      </c>
      <c r="Q1324" s="3">
        <f t="shared" si="145"/>
        <v>7.0000000000000076E-2</v>
      </c>
      <c r="R1324" s="4" t="str">
        <f>IF(Sales_Fact!$O1324&gt;1000,"High","Low")</f>
        <v>High</v>
      </c>
      <c r="S1324" s="4" t="str">
        <f>VLOOKUP(C1324,Customer_Dim!$A:$N,9,FALSE())</f>
        <v>Justin Mason Dds</v>
      </c>
      <c r="T1324" s="4" t="str">
        <f>VLOOKUP(D1324,Product_Dim!$A:$M,3,FALSE())</f>
        <v>Clothing</v>
      </c>
      <c r="U1324" s="11" t="str">
        <f>VLOOKUP(D1324,Product_Dim!$A:$M,2,FALSE())</f>
        <v>Men's Casual Sneakers</v>
      </c>
      <c r="V1324" s="11" t="str">
        <f>VLOOKUP(E1324,Store_Dim!$A:$E,3,FALSE())</f>
        <v>South</v>
      </c>
      <c r="W1324" s="11" t="str">
        <f>VLOOKUP(C1324,Customer_Dim!$A:$N,13,FALSE())</f>
        <v>Gold</v>
      </c>
      <c r="X1324" s="11" t="str">
        <f t="shared" si="146"/>
        <v>High</v>
      </c>
    </row>
    <row r="1325" spans="1:24" ht="15.75" customHeight="1">
      <c r="A1325" s="4" t="s">
        <v>3321</v>
      </c>
      <c r="B1325" s="9">
        <v>45264</v>
      </c>
      <c r="C1325" s="4" t="s">
        <v>1366</v>
      </c>
      <c r="D1325" s="4" t="s">
        <v>1888</v>
      </c>
      <c r="E1325" s="4" t="s">
        <v>1924</v>
      </c>
      <c r="F1325" s="4">
        <v>2</v>
      </c>
      <c r="G1325" s="4">
        <v>600.73</v>
      </c>
      <c r="H1325" s="4">
        <v>0.08</v>
      </c>
      <c r="I1325" s="4" t="s">
        <v>1996</v>
      </c>
      <c r="J1325" s="10">
        <v>1105.3432</v>
      </c>
      <c r="K1325" s="4" t="str">
        <f t="shared" si="140"/>
        <v>04-12-2023</v>
      </c>
      <c r="L1325" s="4" t="str">
        <f>TEXT(Sales_Fact!$B1325,"mmm")</f>
        <v>Dec</v>
      </c>
      <c r="M1325" s="4">
        <f t="shared" si="141"/>
        <v>2</v>
      </c>
      <c r="N1325" s="10">
        <f t="shared" si="142"/>
        <v>600.73</v>
      </c>
      <c r="O1325" s="10">
        <f t="shared" si="143"/>
        <v>1105.3432</v>
      </c>
      <c r="P1325" s="10">
        <f t="shared" si="144"/>
        <v>1201.46</v>
      </c>
      <c r="Q1325" s="3">
        <f t="shared" si="145"/>
        <v>0.08</v>
      </c>
      <c r="R1325" s="4" t="str">
        <f>IF(Sales_Fact!$O1325&gt;1000,"High","Low")</f>
        <v>High</v>
      </c>
      <c r="S1325" s="4" t="str">
        <f>VLOOKUP(C1325,Customer_Dim!$A:$N,9,FALSE())</f>
        <v>John Smith</v>
      </c>
      <c r="T1325" s="4" t="str">
        <f>VLOOKUP(D1325,Product_Dim!$A:$M,3,FALSE())</f>
        <v>Beauty</v>
      </c>
      <c r="U1325" s="11" t="str">
        <f>VLOOKUP(D1325,Product_Dim!$A:$M,2,FALSE())</f>
        <v>Vitamin E Body Lotion</v>
      </c>
      <c r="V1325" s="11" t="str">
        <f>VLOOKUP(E1325,Store_Dim!$A:$E,3,FALSE())</f>
        <v>North</v>
      </c>
      <c r="W1325" s="11" t="str">
        <f>VLOOKUP(C1325,Customer_Dim!$A:$N,13,FALSE())</f>
        <v>Platinum</v>
      </c>
      <c r="X1325" s="11" t="str">
        <f t="shared" si="146"/>
        <v>Low</v>
      </c>
    </row>
    <row r="1326" spans="1:24" ht="15.75" customHeight="1">
      <c r="A1326" s="4" t="s">
        <v>3322</v>
      </c>
      <c r="B1326" s="9">
        <v>45742</v>
      </c>
      <c r="C1326" s="4" t="s">
        <v>342</v>
      </c>
      <c r="D1326" s="4" t="s">
        <v>1776</v>
      </c>
      <c r="E1326" s="4" t="s">
        <v>1924</v>
      </c>
      <c r="F1326" s="4">
        <v>4</v>
      </c>
      <c r="G1326" s="4">
        <v>995.55</v>
      </c>
      <c r="H1326" s="4">
        <v>0.19</v>
      </c>
      <c r="I1326" s="4" t="s">
        <v>1998</v>
      </c>
      <c r="J1326" s="10">
        <v>3225.5819999999999</v>
      </c>
      <c r="K1326" s="4" t="str">
        <f t="shared" si="140"/>
        <v>26-03-2025</v>
      </c>
      <c r="L1326" s="4" t="str">
        <f>TEXT(Sales_Fact!$B1326,"mmm")</f>
        <v>Mar</v>
      </c>
      <c r="M1326" s="4">
        <f t="shared" si="141"/>
        <v>4</v>
      </c>
      <c r="N1326" s="10">
        <f t="shared" si="142"/>
        <v>995.55</v>
      </c>
      <c r="O1326" s="10">
        <f t="shared" si="143"/>
        <v>3225.5819999999999</v>
      </c>
      <c r="P1326" s="10">
        <f t="shared" si="144"/>
        <v>3982.2</v>
      </c>
      <c r="Q1326" s="3">
        <f t="shared" si="145"/>
        <v>0.19</v>
      </c>
      <c r="R1326" s="4" t="str">
        <f>IF(Sales_Fact!$O1326&gt;1000,"High","Low")</f>
        <v>High</v>
      </c>
      <c r="S1326" s="4" t="str">
        <f>VLOOKUP(C1326,Customer_Dim!$A:$N,9,FALSE())</f>
        <v>Jamie Yoder</v>
      </c>
      <c r="T1326" s="4" t="str">
        <f>VLOOKUP(D1326,Product_Dim!$A:$M,3,FALSE())</f>
        <v>Sports</v>
      </c>
      <c r="U1326" s="11" t="str">
        <f>VLOOKUP(D1326,Product_Dim!$A:$M,2,FALSE())</f>
        <v>Foam Roller</v>
      </c>
      <c r="V1326" s="11" t="str">
        <f>VLOOKUP(E1326,Store_Dim!$A:$E,3,FALSE())</f>
        <v>North</v>
      </c>
      <c r="W1326" s="11" t="str">
        <f>VLOOKUP(C1326,Customer_Dim!$A:$N,13,FALSE())</f>
        <v>Platinum</v>
      </c>
      <c r="X1326" s="11" t="str">
        <f t="shared" si="146"/>
        <v>High</v>
      </c>
    </row>
    <row r="1327" spans="1:24" ht="15.75" customHeight="1">
      <c r="A1327" s="4" t="s">
        <v>3323</v>
      </c>
      <c r="B1327" s="9">
        <v>45478</v>
      </c>
      <c r="C1327" s="4" t="s">
        <v>502</v>
      </c>
      <c r="D1327" s="4" t="s">
        <v>1885</v>
      </c>
      <c r="E1327" s="4" t="s">
        <v>1955</v>
      </c>
      <c r="F1327" s="4">
        <v>2</v>
      </c>
      <c r="G1327" s="4">
        <v>153.84</v>
      </c>
      <c r="H1327" s="4">
        <v>0.27</v>
      </c>
      <c r="I1327" s="4" t="s">
        <v>1998</v>
      </c>
      <c r="J1327" s="10">
        <v>224.60640000000001</v>
      </c>
      <c r="K1327" s="4" t="str">
        <f t="shared" si="140"/>
        <v>05-07-2024</v>
      </c>
      <c r="L1327" s="4" t="str">
        <f>TEXT(Sales_Fact!$B1327,"mmm")</f>
        <v>Jul</v>
      </c>
      <c r="M1327" s="4">
        <f t="shared" si="141"/>
        <v>2</v>
      </c>
      <c r="N1327" s="10">
        <f t="shared" si="142"/>
        <v>153.84</v>
      </c>
      <c r="O1327" s="10">
        <f t="shared" si="143"/>
        <v>224.60640000000001</v>
      </c>
      <c r="P1327" s="10">
        <f t="shared" si="144"/>
        <v>307.68</v>
      </c>
      <c r="Q1327" s="3">
        <f t="shared" si="145"/>
        <v>0.27</v>
      </c>
      <c r="R1327" s="4" t="str">
        <f>IF(Sales_Fact!$O1327&gt;1000,"High","Low")</f>
        <v>Low</v>
      </c>
      <c r="S1327" s="4" t="str">
        <f>VLOOKUP(C1327,Customer_Dim!$A:$N,9,FALSE())</f>
        <v>Cristian Wright</v>
      </c>
      <c r="T1327" s="4" t="str">
        <f>VLOOKUP(D1327,Product_Dim!$A:$M,3,FALSE())</f>
        <v>Electronics</v>
      </c>
      <c r="U1327" s="11" t="str">
        <f>VLOOKUP(D1327,Product_Dim!$A:$M,2,FALSE())</f>
        <v>USB-C Laptop Charger</v>
      </c>
      <c r="V1327" s="11" t="str">
        <f>VLOOKUP(E1327,Store_Dim!$A:$E,3,FALSE())</f>
        <v>East</v>
      </c>
      <c r="W1327" s="11" t="str">
        <f>VLOOKUP(C1327,Customer_Dim!$A:$N,13,FALSE())</f>
        <v>Bronze</v>
      </c>
      <c r="X1327" s="11" t="str">
        <f t="shared" si="146"/>
        <v>Low</v>
      </c>
    </row>
    <row r="1328" spans="1:24" ht="15.75" customHeight="1">
      <c r="A1328" s="4" t="s">
        <v>3324</v>
      </c>
      <c r="B1328" s="9">
        <v>45789</v>
      </c>
      <c r="C1328" s="4" t="s">
        <v>538</v>
      </c>
      <c r="D1328" s="4" t="s">
        <v>1840</v>
      </c>
      <c r="E1328" s="4" t="s">
        <v>1934</v>
      </c>
      <c r="F1328" s="4">
        <v>3</v>
      </c>
      <c r="G1328" s="4">
        <v>362.11</v>
      </c>
      <c r="H1328" s="4">
        <v>0.23</v>
      </c>
      <c r="I1328" s="4" t="s">
        <v>2004</v>
      </c>
      <c r="J1328" s="10">
        <v>836.47410000000002</v>
      </c>
      <c r="K1328" s="4" t="str">
        <f t="shared" si="140"/>
        <v>12-05-2025</v>
      </c>
      <c r="L1328" s="4" t="str">
        <f>TEXT(Sales_Fact!$B1328,"mmm")</f>
        <v>May</v>
      </c>
      <c r="M1328" s="4">
        <f t="shared" si="141"/>
        <v>3</v>
      </c>
      <c r="N1328" s="10">
        <f t="shared" si="142"/>
        <v>362.11</v>
      </c>
      <c r="O1328" s="10">
        <f t="shared" si="143"/>
        <v>836.47409999999991</v>
      </c>
      <c r="P1328" s="10">
        <f t="shared" si="144"/>
        <v>1086.33</v>
      </c>
      <c r="Q1328" s="3">
        <f t="shared" si="145"/>
        <v>0.23000000000000004</v>
      </c>
      <c r="R1328" s="4" t="str">
        <f>IF(Sales_Fact!$O1328&gt;1000,"High","Low")</f>
        <v>Low</v>
      </c>
      <c r="S1328" s="4" t="str">
        <f>VLOOKUP(C1328,Customer_Dim!$A:$N,9,FALSE())</f>
        <v>Joseph Faulkner</v>
      </c>
      <c r="T1328" s="4" t="str">
        <f>VLOOKUP(D1328,Product_Dim!$A:$M,3,FALSE())</f>
        <v>Home</v>
      </c>
      <c r="U1328" s="11" t="str">
        <f>VLOOKUP(D1328,Product_Dim!$A:$M,2,FALSE())</f>
        <v>Essential Oil Diffuser</v>
      </c>
      <c r="V1328" s="11" t="str">
        <f>VLOOKUP(E1328,Store_Dim!$A:$E,3,FALSE())</f>
        <v>East</v>
      </c>
      <c r="W1328" s="11" t="str">
        <f>VLOOKUP(C1328,Customer_Dim!$A:$N,13,FALSE())</f>
        <v>Bronze</v>
      </c>
      <c r="X1328" s="11" t="str">
        <f t="shared" si="146"/>
        <v>Low</v>
      </c>
    </row>
    <row r="1329" spans="1:24" ht="15.75" customHeight="1">
      <c r="A1329" s="4" t="s">
        <v>3325</v>
      </c>
      <c r="B1329" s="9">
        <v>45561</v>
      </c>
      <c r="C1329" s="4" t="s">
        <v>1484</v>
      </c>
      <c r="D1329" s="4" t="s">
        <v>1732</v>
      </c>
      <c r="E1329" s="4" t="s">
        <v>1940</v>
      </c>
      <c r="F1329" s="4">
        <v>3</v>
      </c>
      <c r="G1329" s="4">
        <v>112.26</v>
      </c>
      <c r="H1329" s="4">
        <v>0.11</v>
      </c>
      <c r="I1329" s="4" t="s">
        <v>1996</v>
      </c>
      <c r="J1329" s="10">
        <v>299.73419999999999</v>
      </c>
      <c r="K1329" s="4" t="str">
        <f t="shared" si="140"/>
        <v>26-09-2024</v>
      </c>
      <c r="L1329" s="4" t="str">
        <f>TEXT(Sales_Fact!$B1329,"mmm")</f>
        <v>Sep</v>
      </c>
      <c r="M1329" s="4">
        <f t="shared" si="141"/>
        <v>3</v>
      </c>
      <c r="N1329" s="10">
        <f t="shared" si="142"/>
        <v>112.26</v>
      </c>
      <c r="O1329" s="10">
        <f t="shared" si="143"/>
        <v>299.73420000000004</v>
      </c>
      <c r="P1329" s="10">
        <f t="shared" si="144"/>
        <v>336.78000000000003</v>
      </c>
      <c r="Q1329" s="3">
        <f t="shared" si="145"/>
        <v>0.10999999999999995</v>
      </c>
      <c r="R1329" s="4" t="str">
        <f>IF(Sales_Fact!$O1329&gt;1000,"High","Low")</f>
        <v>Low</v>
      </c>
      <c r="S1329" s="4" t="str">
        <f>VLOOKUP(C1329,Customer_Dim!$A:$N,9,FALSE())</f>
        <v>Philip Mendoza</v>
      </c>
      <c r="T1329" s="4" t="str">
        <f>VLOOKUP(D1329,Product_Dim!$A:$M,3,FALSE())</f>
        <v>Electronics</v>
      </c>
      <c r="U1329" s="11" t="str">
        <f>VLOOKUP(D1329,Product_Dim!$A:$M,2,FALSE())</f>
        <v>USB External Hard Drive</v>
      </c>
      <c r="V1329" s="11" t="str">
        <f>VLOOKUP(E1329,Store_Dim!$A:$E,3,FALSE())</f>
        <v>West</v>
      </c>
      <c r="W1329" s="11" t="str">
        <f>VLOOKUP(C1329,Customer_Dim!$A:$N,13,FALSE())</f>
        <v>Silver</v>
      </c>
      <c r="X1329" s="11" t="str">
        <f t="shared" si="146"/>
        <v>Low</v>
      </c>
    </row>
    <row r="1330" spans="1:24" ht="15.75" customHeight="1">
      <c r="A1330" s="4" t="s">
        <v>3326</v>
      </c>
      <c r="B1330" s="9">
        <v>45378</v>
      </c>
      <c r="C1330" s="4" t="s">
        <v>688</v>
      </c>
      <c r="D1330" s="4" t="s">
        <v>1888</v>
      </c>
      <c r="E1330" s="4" t="s">
        <v>1971</v>
      </c>
      <c r="F1330" s="4">
        <v>2</v>
      </c>
      <c r="G1330" s="4">
        <v>962.81</v>
      </c>
      <c r="H1330" s="4">
        <v>0.06</v>
      </c>
      <c r="I1330" s="4" t="s">
        <v>2004</v>
      </c>
      <c r="J1330" s="10">
        <v>1810.0827999999999</v>
      </c>
      <c r="K1330" s="4" t="str">
        <f t="shared" si="140"/>
        <v>27-03-2024</v>
      </c>
      <c r="L1330" s="4" t="str">
        <f>TEXT(Sales_Fact!$B1330,"mmm")</f>
        <v>Mar</v>
      </c>
      <c r="M1330" s="4">
        <f t="shared" si="141"/>
        <v>2</v>
      </c>
      <c r="N1330" s="10">
        <f t="shared" si="142"/>
        <v>962.81</v>
      </c>
      <c r="O1330" s="10">
        <f t="shared" si="143"/>
        <v>1810.0827999999999</v>
      </c>
      <c r="P1330" s="10">
        <f t="shared" si="144"/>
        <v>1925.62</v>
      </c>
      <c r="Q1330" s="3">
        <f t="shared" si="145"/>
        <v>0.06</v>
      </c>
      <c r="R1330" s="4" t="str">
        <f>IF(Sales_Fact!$O1330&gt;1000,"High","Low")</f>
        <v>High</v>
      </c>
      <c r="S1330" s="4" t="str">
        <f>VLOOKUP(C1330,Customer_Dim!$A:$N,9,FALSE())</f>
        <v>Sarah Brady</v>
      </c>
      <c r="T1330" s="4" t="str">
        <f>VLOOKUP(D1330,Product_Dim!$A:$M,3,FALSE())</f>
        <v>Beauty</v>
      </c>
      <c r="U1330" s="11" t="str">
        <f>VLOOKUP(D1330,Product_Dim!$A:$M,2,FALSE())</f>
        <v>Vitamin E Body Lotion</v>
      </c>
      <c r="V1330" s="11" t="str">
        <f>VLOOKUP(E1330,Store_Dim!$A:$E,3,FALSE())</f>
        <v>East</v>
      </c>
      <c r="W1330" s="11" t="str">
        <f>VLOOKUP(C1330,Customer_Dim!$A:$N,13,FALSE())</f>
        <v>Platinum</v>
      </c>
      <c r="X1330" s="11" t="str">
        <f t="shared" si="146"/>
        <v>Low</v>
      </c>
    </row>
    <row r="1331" spans="1:24" ht="15.75" customHeight="1">
      <c r="A1331" s="4" t="s">
        <v>3327</v>
      </c>
      <c r="B1331" s="9">
        <v>45308</v>
      </c>
      <c r="C1331" s="4" t="s">
        <v>718</v>
      </c>
      <c r="D1331" s="4" t="s">
        <v>1661</v>
      </c>
      <c r="E1331" s="4" t="s">
        <v>1910</v>
      </c>
      <c r="F1331" s="4">
        <v>4</v>
      </c>
      <c r="G1331" s="4">
        <v>276.23</v>
      </c>
      <c r="H1331" s="4">
        <v>0.12</v>
      </c>
      <c r="I1331" s="4" t="s">
        <v>1996</v>
      </c>
      <c r="J1331" s="10">
        <v>972.32960000000003</v>
      </c>
      <c r="K1331" s="4" t="str">
        <f t="shared" si="140"/>
        <v>17-01-2024</v>
      </c>
      <c r="L1331" s="4" t="str">
        <f>TEXT(Sales_Fact!$B1331,"mmm")</f>
        <v>Jan</v>
      </c>
      <c r="M1331" s="4">
        <f t="shared" si="141"/>
        <v>4</v>
      </c>
      <c r="N1331" s="10">
        <f t="shared" si="142"/>
        <v>276.23</v>
      </c>
      <c r="O1331" s="10">
        <f t="shared" si="143"/>
        <v>972.32960000000003</v>
      </c>
      <c r="P1331" s="10">
        <f t="shared" si="144"/>
        <v>1104.92</v>
      </c>
      <c r="Q1331" s="3">
        <f t="shared" si="145"/>
        <v>0.12000000000000004</v>
      </c>
      <c r="R1331" s="4" t="str">
        <f>IF(Sales_Fact!$O1331&gt;1000,"High","Low")</f>
        <v>Low</v>
      </c>
      <c r="S1331" s="4" t="str">
        <f>VLOOKUP(C1331,Customer_Dim!$A:$N,9,FALSE())</f>
        <v>Stuart Johnson</v>
      </c>
      <c r="T1331" s="4" t="str">
        <f>VLOOKUP(D1331,Product_Dim!$A:$M,3,FALSE())</f>
        <v>Home</v>
      </c>
      <c r="U1331" s="11" t="str">
        <f>VLOOKUP(D1331,Product_Dim!$A:$M,2,FALSE())</f>
        <v>Multi-Purpose Storage Box</v>
      </c>
      <c r="V1331" s="11" t="str">
        <f>VLOOKUP(E1331,Store_Dim!$A:$E,3,FALSE())</f>
        <v>East</v>
      </c>
      <c r="W1331" s="11" t="str">
        <f>VLOOKUP(C1331,Customer_Dim!$A:$N,13,FALSE())</f>
        <v>Platinum</v>
      </c>
      <c r="X1331" s="11" t="str">
        <f t="shared" si="146"/>
        <v>High</v>
      </c>
    </row>
    <row r="1332" spans="1:24" ht="15.75" customHeight="1">
      <c r="A1332" s="4" t="s">
        <v>3328</v>
      </c>
      <c r="B1332" s="9">
        <v>45407</v>
      </c>
      <c r="C1332" s="4" t="s">
        <v>91</v>
      </c>
      <c r="D1332" s="4" t="s">
        <v>1651</v>
      </c>
      <c r="E1332" s="4" t="s">
        <v>1957</v>
      </c>
      <c r="F1332" s="4">
        <v>3</v>
      </c>
      <c r="G1332" s="4">
        <v>991.37</v>
      </c>
      <c r="H1332" s="4">
        <v>0.1</v>
      </c>
      <c r="I1332" s="4" t="s">
        <v>1998</v>
      </c>
      <c r="J1332" s="10">
        <v>2676.6990000000001</v>
      </c>
      <c r="K1332" s="4" t="str">
        <f t="shared" si="140"/>
        <v>25-04-2024</v>
      </c>
      <c r="L1332" s="4" t="str">
        <f>TEXT(Sales_Fact!$B1332,"mmm")</f>
        <v>Apr</v>
      </c>
      <c r="M1332" s="4">
        <f t="shared" si="141"/>
        <v>3</v>
      </c>
      <c r="N1332" s="10">
        <f t="shared" si="142"/>
        <v>991.37</v>
      </c>
      <c r="O1332" s="10">
        <f t="shared" si="143"/>
        <v>2676.6990000000001</v>
      </c>
      <c r="P1332" s="10">
        <f t="shared" si="144"/>
        <v>2974.11</v>
      </c>
      <c r="Q1332" s="3">
        <f t="shared" si="145"/>
        <v>0.10000000000000002</v>
      </c>
      <c r="R1332" s="4" t="str">
        <f>IF(Sales_Fact!$O1332&gt;1000,"High","Low")</f>
        <v>High</v>
      </c>
      <c r="S1332" s="4" t="str">
        <f>VLOOKUP(C1332,Customer_Dim!$A:$N,9,FALSE())</f>
        <v>Laura Alvarez</v>
      </c>
      <c r="T1332" s="4" t="str">
        <f>VLOOKUP(D1332,Product_Dim!$A:$M,3,FALSE())</f>
        <v>Clothing</v>
      </c>
      <c r="U1332" s="11" t="str">
        <f>VLOOKUP(D1332,Product_Dim!$A:$M,2,FALSE())</f>
        <v>Women's Denim Jeans</v>
      </c>
      <c r="V1332" s="11" t="str">
        <f>VLOOKUP(E1332,Store_Dim!$A:$E,3,FALSE())</f>
        <v>South</v>
      </c>
      <c r="W1332" s="11" t="str">
        <f>VLOOKUP(C1332,Customer_Dim!$A:$N,13,FALSE())</f>
        <v>Platinum</v>
      </c>
      <c r="X1332" s="11" t="str">
        <f t="shared" si="146"/>
        <v>Low</v>
      </c>
    </row>
    <row r="1333" spans="1:24" ht="15.75" customHeight="1">
      <c r="A1333" s="4" t="s">
        <v>3329</v>
      </c>
      <c r="B1333" s="9">
        <v>45929</v>
      </c>
      <c r="C1333" s="4" t="s">
        <v>583</v>
      </c>
      <c r="D1333" s="4" t="s">
        <v>1661</v>
      </c>
      <c r="E1333" s="4" t="s">
        <v>1955</v>
      </c>
      <c r="F1333" s="4">
        <v>3</v>
      </c>
      <c r="G1333" s="4">
        <v>977.47</v>
      </c>
      <c r="H1333" s="4">
        <v>0.05</v>
      </c>
      <c r="I1333" s="4" t="s">
        <v>1996</v>
      </c>
      <c r="J1333" s="10">
        <v>2785.7894999999999</v>
      </c>
      <c r="K1333" s="4" t="str">
        <f t="shared" si="140"/>
        <v>29-09-2025</v>
      </c>
      <c r="L1333" s="4" t="str">
        <f>TEXT(Sales_Fact!$B1333,"mmm")</f>
        <v>Sep</v>
      </c>
      <c r="M1333" s="4">
        <f t="shared" si="141"/>
        <v>3</v>
      </c>
      <c r="N1333" s="10">
        <f t="shared" si="142"/>
        <v>977.47</v>
      </c>
      <c r="O1333" s="10">
        <f t="shared" si="143"/>
        <v>2785.7894999999999</v>
      </c>
      <c r="P1333" s="10">
        <f t="shared" si="144"/>
        <v>2932.41</v>
      </c>
      <c r="Q1333" s="3">
        <f t="shared" si="145"/>
        <v>0.05</v>
      </c>
      <c r="R1333" s="4" t="str">
        <f>IF(Sales_Fact!$O1333&gt;1000,"High","Low")</f>
        <v>High</v>
      </c>
      <c r="S1333" s="4" t="str">
        <f>VLOOKUP(C1333,Customer_Dim!$A:$N,9,FALSE())</f>
        <v>Daniel Contreras</v>
      </c>
      <c r="T1333" s="4" t="str">
        <f>VLOOKUP(D1333,Product_Dim!$A:$M,3,FALSE())</f>
        <v>Home</v>
      </c>
      <c r="U1333" s="11" t="str">
        <f>VLOOKUP(D1333,Product_Dim!$A:$M,2,FALSE())</f>
        <v>Multi-Purpose Storage Box</v>
      </c>
      <c r="V1333" s="11" t="str">
        <f>VLOOKUP(E1333,Store_Dim!$A:$E,3,FALSE())</f>
        <v>East</v>
      </c>
      <c r="W1333" s="11" t="str">
        <f>VLOOKUP(C1333,Customer_Dim!$A:$N,13,FALSE())</f>
        <v>Platinum</v>
      </c>
      <c r="X1333" s="11" t="str">
        <f t="shared" si="146"/>
        <v>Low</v>
      </c>
    </row>
    <row r="1334" spans="1:24" ht="15.75" customHeight="1">
      <c r="A1334" s="4" t="s">
        <v>3330</v>
      </c>
      <c r="B1334" s="9">
        <v>45844</v>
      </c>
      <c r="C1334" s="4" t="s">
        <v>697</v>
      </c>
      <c r="D1334" s="4" t="s">
        <v>1888</v>
      </c>
      <c r="E1334" s="4" t="s">
        <v>1952</v>
      </c>
      <c r="F1334" s="4">
        <v>2</v>
      </c>
      <c r="G1334" s="4">
        <v>308.7</v>
      </c>
      <c r="H1334" s="4">
        <v>0.2</v>
      </c>
      <c r="I1334" s="4" t="s">
        <v>1998</v>
      </c>
      <c r="J1334" s="10">
        <v>493.92</v>
      </c>
      <c r="K1334" s="4" t="str">
        <f t="shared" si="140"/>
        <v>06-07-2025</v>
      </c>
      <c r="L1334" s="4" t="str">
        <f>TEXT(Sales_Fact!$B1334,"mmm")</f>
        <v>Jul</v>
      </c>
      <c r="M1334" s="4">
        <f t="shared" si="141"/>
        <v>2</v>
      </c>
      <c r="N1334" s="10">
        <f t="shared" si="142"/>
        <v>308.7</v>
      </c>
      <c r="O1334" s="10">
        <f t="shared" si="143"/>
        <v>493.92</v>
      </c>
      <c r="P1334" s="10">
        <f t="shared" si="144"/>
        <v>617.4</v>
      </c>
      <c r="Q1334" s="3">
        <f t="shared" si="145"/>
        <v>0.19999999999999996</v>
      </c>
      <c r="R1334" s="4" t="str">
        <f>IF(Sales_Fact!$O1334&gt;1000,"High","Low")</f>
        <v>Low</v>
      </c>
      <c r="S1334" s="4" t="str">
        <f>VLOOKUP(C1334,Customer_Dim!$A:$N,9,FALSE())</f>
        <v>Ronald Jones</v>
      </c>
      <c r="T1334" s="4" t="str">
        <f>VLOOKUP(D1334,Product_Dim!$A:$M,3,FALSE())</f>
        <v>Beauty</v>
      </c>
      <c r="U1334" s="11" t="str">
        <f>VLOOKUP(D1334,Product_Dim!$A:$M,2,FALSE())</f>
        <v>Vitamin E Body Lotion</v>
      </c>
      <c r="V1334" s="11" t="str">
        <f>VLOOKUP(E1334,Store_Dim!$A:$E,3,FALSE())</f>
        <v>North</v>
      </c>
      <c r="W1334" s="11" t="str">
        <f>VLOOKUP(C1334,Customer_Dim!$A:$N,13,FALSE())</f>
        <v>Silver</v>
      </c>
      <c r="X1334" s="11" t="str">
        <f t="shared" si="146"/>
        <v>Low</v>
      </c>
    </row>
    <row r="1335" spans="1:24" ht="15.75" customHeight="1">
      <c r="A1335" s="4" t="s">
        <v>3331</v>
      </c>
      <c r="B1335" s="9">
        <v>45579</v>
      </c>
      <c r="C1335" s="4" t="s">
        <v>168</v>
      </c>
      <c r="D1335" s="4" t="s">
        <v>1603</v>
      </c>
      <c r="E1335" s="4" t="s">
        <v>1962</v>
      </c>
      <c r="F1335" s="4">
        <v>2</v>
      </c>
      <c r="G1335" s="4">
        <v>733.87</v>
      </c>
      <c r="H1335" s="4">
        <v>0.1</v>
      </c>
      <c r="I1335" s="4" t="s">
        <v>1998</v>
      </c>
      <c r="J1335" s="10">
        <v>1320.9659999999999</v>
      </c>
      <c r="K1335" s="4" t="str">
        <f t="shared" si="140"/>
        <v>14-10-2024</v>
      </c>
      <c r="L1335" s="4" t="str">
        <f>TEXT(Sales_Fact!$B1335,"mmm")</f>
        <v>Oct</v>
      </c>
      <c r="M1335" s="4">
        <f t="shared" si="141"/>
        <v>2</v>
      </c>
      <c r="N1335" s="10">
        <f t="shared" si="142"/>
        <v>733.87</v>
      </c>
      <c r="O1335" s="10">
        <f t="shared" si="143"/>
        <v>1320.9660000000001</v>
      </c>
      <c r="P1335" s="10">
        <f t="shared" si="144"/>
        <v>1467.74</v>
      </c>
      <c r="Q1335" s="3">
        <f t="shared" si="145"/>
        <v>9.9999999999999922E-2</v>
      </c>
      <c r="R1335" s="4" t="str">
        <f>IF(Sales_Fact!$O1335&gt;1000,"High","Low")</f>
        <v>High</v>
      </c>
      <c r="S1335" s="4" t="str">
        <f>VLOOKUP(C1335,Customer_Dim!$A:$N,9,FALSE())</f>
        <v>Christopher Carter</v>
      </c>
      <c r="T1335" s="4" t="str">
        <f>VLOOKUP(D1335,Product_Dim!$A:$M,3,FALSE())</f>
        <v>Beauty</v>
      </c>
      <c r="U1335" s="11" t="str">
        <f>VLOOKUP(D1335,Product_Dim!$A:$M,2,FALSE())</f>
        <v>Herbal Face Moisturizer</v>
      </c>
      <c r="V1335" s="11" t="str">
        <f>VLOOKUP(E1335,Store_Dim!$A:$E,3,FALSE())</f>
        <v>West</v>
      </c>
      <c r="W1335" s="11" t="str">
        <f>VLOOKUP(C1335,Customer_Dim!$A:$N,13,FALSE())</f>
        <v>Standard</v>
      </c>
      <c r="X1335" s="11" t="str">
        <f t="shared" si="146"/>
        <v>Low</v>
      </c>
    </row>
    <row r="1336" spans="1:24" ht="15.75" customHeight="1">
      <c r="A1336" s="4" t="s">
        <v>3332</v>
      </c>
      <c r="B1336" s="9">
        <v>45297</v>
      </c>
      <c r="C1336" s="4" t="s">
        <v>1545</v>
      </c>
      <c r="D1336" s="4" t="s">
        <v>1782</v>
      </c>
      <c r="E1336" s="4" t="s">
        <v>1931</v>
      </c>
      <c r="F1336" s="4">
        <v>3</v>
      </c>
      <c r="G1336" s="4">
        <v>745.3</v>
      </c>
      <c r="H1336" s="4">
        <v>0.18</v>
      </c>
      <c r="I1336" s="4" t="s">
        <v>1996</v>
      </c>
      <c r="J1336" s="10">
        <v>1833.4380000000001</v>
      </c>
      <c r="K1336" s="4" t="str">
        <f t="shared" si="140"/>
        <v>06-01-2024</v>
      </c>
      <c r="L1336" s="4" t="str">
        <f>TEXT(Sales_Fact!$B1336,"mmm")</f>
        <v>Jan</v>
      </c>
      <c r="M1336" s="4">
        <f t="shared" si="141"/>
        <v>3</v>
      </c>
      <c r="N1336" s="10">
        <f t="shared" si="142"/>
        <v>745.3</v>
      </c>
      <c r="O1336" s="10">
        <f t="shared" si="143"/>
        <v>1833.4379999999999</v>
      </c>
      <c r="P1336" s="10">
        <f t="shared" si="144"/>
        <v>2235.8999999999996</v>
      </c>
      <c r="Q1336" s="3">
        <f t="shared" si="145"/>
        <v>0.17999999999999991</v>
      </c>
      <c r="R1336" s="4" t="str">
        <f>IF(Sales_Fact!$O1336&gt;1000,"High","Low")</f>
        <v>High</v>
      </c>
      <c r="S1336" s="4" t="str">
        <f>VLOOKUP(C1336,Customer_Dim!$A:$N,9,FALSE())</f>
        <v>Amanda Powell</v>
      </c>
      <c r="T1336" s="4" t="str">
        <f>VLOOKUP(D1336,Product_Dim!$A:$M,3,FALSE())</f>
        <v>Beauty</v>
      </c>
      <c r="U1336" s="11" t="str">
        <f>VLOOKUP(D1336,Product_Dim!$A:$M,2,FALSE())</f>
        <v>Men's Hair Styling Gel</v>
      </c>
      <c r="V1336" s="11" t="str">
        <f>VLOOKUP(E1336,Store_Dim!$A:$E,3,FALSE())</f>
        <v>North</v>
      </c>
      <c r="W1336" s="11" t="str">
        <f>VLOOKUP(C1336,Customer_Dim!$A:$N,13,FALSE())</f>
        <v>Silver</v>
      </c>
      <c r="X1336" s="11" t="str">
        <f t="shared" si="146"/>
        <v>Low</v>
      </c>
    </row>
    <row r="1337" spans="1:24" ht="15.75" customHeight="1">
      <c r="A1337" s="4" t="s">
        <v>3333</v>
      </c>
      <c r="B1337" s="9">
        <v>45486</v>
      </c>
      <c r="C1337" s="4" t="s">
        <v>285</v>
      </c>
      <c r="D1337" s="4" t="s">
        <v>1678</v>
      </c>
      <c r="E1337" s="4" t="s">
        <v>1971</v>
      </c>
      <c r="F1337" s="4">
        <v>2</v>
      </c>
      <c r="G1337" s="4">
        <v>873.86</v>
      </c>
      <c r="H1337" s="4">
        <v>7.0000000000000007E-2</v>
      </c>
      <c r="I1337" s="4" t="s">
        <v>2004</v>
      </c>
      <c r="J1337" s="10">
        <v>1625.3796</v>
      </c>
      <c r="K1337" s="4" t="str">
        <f t="shared" si="140"/>
        <v>13-07-2024</v>
      </c>
      <c r="L1337" s="4" t="str">
        <f>TEXT(Sales_Fact!$B1337,"mmm")</f>
        <v>Jul</v>
      </c>
      <c r="M1337" s="4">
        <f t="shared" si="141"/>
        <v>2</v>
      </c>
      <c r="N1337" s="10">
        <f t="shared" si="142"/>
        <v>873.86</v>
      </c>
      <c r="O1337" s="10">
        <f t="shared" si="143"/>
        <v>1625.3796</v>
      </c>
      <c r="P1337" s="10">
        <f t="shared" si="144"/>
        <v>1747.72</v>
      </c>
      <c r="Q1337" s="3">
        <f t="shared" si="145"/>
        <v>7.0000000000000021E-2</v>
      </c>
      <c r="R1337" s="4" t="str">
        <f>IF(Sales_Fact!$O1337&gt;1000,"High","Low")</f>
        <v>High</v>
      </c>
      <c r="S1337" s="4" t="str">
        <f>VLOOKUP(C1337,Customer_Dim!$A:$N,9,FALSE())</f>
        <v>Tonya Burch</v>
      </c>
      <c r="T1337" s="4" t="str">
        <f>VLOOKUP(D1337,Product_Dim!$A:$M,3,FALSE())</f>
        <v>Electronics</v>
      </c>
      <c r="U1337" s="11" t="str">
        <f>VLOOKUP(D1337,Product_Dim!$A:$M,2,FALSE())</f>
        <v>Wireless Bluetooth Speaker</v>
      </c>
      <c r="V1337" s="11" t="str">
        <f>VLOOKUP(E1337,Store_Dim!$A:$E,3,FALSE())</f>
        <v>East</v>
      </c>
      <c r="W1337" s="11" t="str">
        <f>VLOOKUP(C1337,Customer_Dim!$A:$N,13,FALSE())</f>
        <v>Gold</v>
      </c>
      <c r="X1337" s="11" t="str">
        <f t="shared" si="146"/>
        <v>Low</v>
      </c>
    </row>
    <row r="1338" spans="1:24" ht="15.75" customHeight="1">
      <c r="A1338" s="4" t="s">
        <v>3334</v>
      </c>
      <c r="B1338" s="9">
        <v>45227</v>
      </c>
      <c r="C1338" s="4" t="s">
        <v>362</v>
      </c>
      <c r="D1338" s="4" t="s">
        <v>1654</v>
      </c>
      <c r="E1338" s="4" t="s">
        <v>1962</v>
      </c>
      <c r="F1338" s="4">
        <v>2</v>
      </c>
      <c r="G1338" s="4">
        <v>22.47</v>
      </c>
      <c r="H1338" s="4">
        <v>0.22</v>
      </c>
      <c r="I1338" s="4" t="s">
        <v>1998</v>
      </c>
      <c r="J1338" s="10">
        <v>35.053199999999997</v>
      </c>
      <c r="K1338" s="4" t="str">
        <f t="shared" si="140"/>
        <v>28-10-2023</v>
      </c>
      <c r="L1338" s="4" t="str">
        <f>TEXT(Sales_Fact!$B1338,"mmm")</f>
        <v>Oct</v>
      </c>
      <c r="M1338" s="4">
        <f t="shared" si="141"/>
        <v>2</v>
      </c>
      <c r="N1338" s="10">
        <f t="shared" si="142"/>
        <v>22.47</v>
      </c>
      <c r="O1338" s="10">
        <f t="shared" si="143"/>
        <v>35.053199999999997</v>
      </c>
      <c r="P1338" s="10">
        <f t="shared" si="144"/>
        <v>44.94</v>
      </c>
      <c r="Q1338" s="3">
        <f t="shared" si="145"/>
        <v>0.22000000000000003</v>
      </c>
      <c r="R1338" s="4" t="str">
        <f>IF(Sales_Fact!$O1338&gt;1000,"High","Low")</f>
        <v>Low</v>
      </c>
      <c r="S1338" s="4" t="str">
        <f>VLOOKUP(C1338,Customer_Dim!$A:$N,9,FALSE())</f>
        <v>Amy Fowler</v>
      </c>
      <c r="T1338" s="4" t="str">
        <f>VLOOKUP(D1338,Product_Dim!$A:$M,3,FALSE())</f>
        <v>Sports</v>
      </c>
      <c r="U1338" s="11" t="str">
        <f>VLOOKUP(D1338,Product_Dim!$A:$M,2,FALSE())</f>
        <v>Knee Support Brace</v>
      </c>
      <c r="V1338" s="11" t="str">
        <f>VLOOKUP(E1338,Store_Dim!$A:$E,3,FALSE())</f>
        <v>West</v>
      </c>
      <c r="W1338" s="11" t="str">
        <f>VLOOKUP(C1338,Customer_Dim!$A:$N,13,FALSE())</f>
        <v>Platinum</v>
      </c>
      <c r="X1338" s="11" t="str">
        <f t="shared" si="146"/>
        <v>Low</v>
      </c>
    </row>
    <row r="1339" spans="1:24" ht="15.75" customHeight="1">
      <c r="A1339" s="4" t="s">
        <v>3335</v>
      </c>
      <c r="B1339" s="9">
        <v>45380</v>
      </c>
      <c r="C1339" s="4" t="s">
        <v>1120</v>
      </c>
      <c r="D1339" s="4" t="s">
        <v>1776</v>
      </c>
      <c r="E1339" s="4" t="s">
        <v>1955</v>
      </c>
      <c r="F1339" s="4">
        <v>4</v>
      </c>
      <c r="G1339" s="4">
        <v>651.36</v>
      </c>
      <c r="H1339" s="4">
        <v>0.13</v>
      </c>
      <c r="I1339" s="4" t="s">
        <v>1996</v>
      </c>
      <c r="J1339" s="10">
        <v>2266.7328000000002</v>
      </c>
      <c r="K1339" s="4" t="str">
        <f t="shared" si="140"/>
        <v>29-03-2024</v>
      </c>
      <c r="L1339" s="4" t="str">
        <f>TEXT(Sales_Fact!$B1339,"mmm")</f>
        <v>Mar</v>
      </c>
      <c r="M1339" s="4">
        <f t="shared" si="141"/>
        <v>4</v>
      </c>
      <c r="N1339" s="10">
        <f t="shared" si="142"/>
        <v>651.36</v>
      </c>
      <c r="O1339" s="10">
        <f t="shared" si="143"/>
        <v>2266.7328000000002</v>
      </c>
      <c r="P1339" s="10">
        <f t="shared" si="144"/>
        <v>2605.44</v>
      </c>
      <c r="Q1339" s="3">
        <f t="shared" si="145"/>
        <v>0.12999999999999992</v>
      </c>
      <c r="R1339" s="4" t="str">
        <f>IF(Sales_Fact!$O1339&gt;1000,"High","Low")</f>
        <v>High</v>
      </c>
      <c r="S1339" s="4" t="str">
        <f>VLOOKUP(C1339,Customer_Dim!$A:$N,9,FALSE())</f>
        <v>Sherry Cabrera</v>
      </c>
      <c r="T1339" s="4" t="str">
        <f>VLOOKUP(D1339,Product_Dim!$A:$M,3,FALSE())</f>
        <v>Sports</v>
      </c>
      <c r="U1339" s="11" t="str">
        <f>VLOOKUP(D1339,Product_Dim!$A:$M,2,FALSE())</f>
        <v>Foam Roller</v>
      </c>
      <c r="V1339" s="11" t="str">
        <f>VLOOKUP(E1339,Store_Dim!$A:$E,3,FALSE())</f>
        <v>East</v>
      </c>
      <c r="W1339" s="11" t="str">
        <f>VLOOKUP(C1339,Customer_Dim!$A:$N,13,FALSE())</f>
        <v>Silver</v>
      </c>
      <c r="X1339" s="11" t="str">
        <f t="shared" si="146"/>
        <v>High</v>
      </c>
    </row>
    <row r="1340" spans="1:24" ht="15.75" customHeight="1">
      <c r="A1340" s="4" t="s">
        <v>3336</v>
      </c>
      <c r="B1340" s="9">
        <v>45817</v>
      </c>
      <c r="C1340" s="4" t="s">
        <v>965</v>
      </c>
      <c r="D1340" s="4" t="s">
        <v>1636</v>
      </c>
      <c r="E1340" s="4" t="s">
        <v>1947</v>
      </c>
      <c r="F1340" s="4">
        <v>1</v>
      </c>
      <c r="G1340" s="4">
        <v>753.39</v>
      </c>
      <c r="H1340" s="4">
        <v>0.04</v>
      </c>
      <c r="I1340" s="4" t="s">
        <v>2004</v>
      </c>
      <c r="J1340" s="10">
        <v>723.25440000000003</v>
      </c>
      <c r="K1340" s="4" t="str">
        <f t="shared" si="140"/>
        <v>09-06-2025</v>
      </c>
      <c r="L1340" s="4" t="str">
        <f>TEXT(Sales_Fact!$B1340,"mmm")</f>
        <v>Jun</v>
      </c>
      <c r="M1340" s="4">
        <f t="shared" si="141"/>
        <v>1</v>
      </c>
      <c r="N1340" s="10">
        <f t="shared" si="142"/>
        <v>753.39</v>
      </c>
      <c r="O1340" s="10">
        <f t="shared" si="143"/>
        <v>723.25439999999992</v>
      </c>
      <c r="P1340" s="10">
        <f t="shared" si="144"/>
        <v>753.39</v>
      </c>
      <c r="Q1340" s="3">
        <f t="shared" si="145"/>
        <v>4.0000000000000091E-2</v>
      </c>
      <c r="R1340" s="4" t="str">
        <f>IF(Sales_Fact!$O1340&gt;1000,"High","Low")</f>
        <v>Low</v>
      </c>
      <c r="S1340" s="4" t="str">
        <f>VLOOKUP(C1340,Customer_Dim!$A:$N,9,FALSE())</f>
        <v>Jared Moran</v>
      </c>
      <c r="T1340" s="4" t="str">
        <f>VLOOKUP(D1340,Product_Dim!$A:$M,3,FALSE())</f>
        <v>Home</v>
      </c>
      <c r="U1340" s="11" t="str">
        <f>VLOOKUP(D1340,Product_Dim!$A:$M,2,FALSE())</f>
        <v>Decorative Wall Mirror</v>
      </c>
      <c r="V1340" s="11" t="str">
        <f>VLOOKUP(E1340,Store_Dim!$A:$E,3,FALSE())</f>
        <v>East</v>
      </c>
      <c r="W1340" s="11" t="str">
        <f>VLOOKUP(C1340,Customer_Dim!$A:$N,13,FALSE())</f>
        <v>Bronze</v>
      </c>
      <c r="X1340" s="11" t="str">
        <f t="shared" si="146"/>
        <v>Low</v>
      </c>
    </row>
    <row r="1341" spans="1:24" ht="15.75" customHeight="1">
      <c r="A1341" s="4" t="s">
        <v>3337</v>
      </c>
      <c r="B1341" s="9">
        <v>45576</v>
      </c>
      <c r="C1341" s="4" t="s">
        <v>682</v>
      </c>
      <c r="D1341" s="4" t="s">
        <v>1819</v>
      </c>
      <c r="E1341" s="4" t="s">
        <v>1952</v>
      </c>
      <c r="F1341" s="4">
        <v>4</v>
      </c>
      <c r="G1341" s="4">
        <v>849.17</v>
      </c>
      <c r="H1341" s="4">
        <v>0.12</v>
      </c>
      <c r="I1341" s="4" t="s">
        <v>2004</v>
      </c>
      <c r="J1341" s="10">
        <v>2989.0783999999999</v>
      </c>
      <c r="K1341" s="4" t="str">
        <f t="shared" si="140"/>
        <v>11-10-2024</v>
      </c>
      <c r="L1341" s="4" t="str">
        <f>TEXT(Sales_Fact!$B1341,"mmm")</f>
        <v>Oct</v>
      </c>
      <c r="M1341" s="4">
        <f t="shared" si="141"/>
        <v>4</v>
      </c>
      <c r="N1341" s="10">
        <f t="shared" si="142"/>
        <v>849.17</v>
      </c>
      <c r="O1341" s="10">
        <f t="shared" si="143"/>
        <v>2989.0783999999999</v>
      </c>
      <c r="P1341" s="10">
        <f t="shared" si="144"/>
        <v>3396.68</v>
      </c>
      <c r="Q1341" s="3">
        <f t="shared" si="145"/>
        <v>0.12</v>
      </c>
      <c r="R1341" s="4" t="str">
        <f>IF(Sales_Fact!$O1341&gt;1000,"High","Low")</f>
        <v>High</v>
      </c>
      <c r="S1341" s="4" t="str">
        <f>VLOOKUP(C1341,Customer_Dim!$A:$N,9,FALSE())</f>
        <v>Mary Boyd</v>
      </c>
      <c r="T1341" s="4" t="str">
        <f>VLOOKUP(D1341,Product_Dim!$A:$M,3,FALSE())</f>
        <v>Beauty</v>
      </c>
      <c r="U1341" s="11" t="str">
        <f>VLOOKUP(D1341,Product_Dim!$A:$M,2,FALSE())</f>
        <v>Hair Repair Oil Treatment</v>
      </c>
      <c r="V1341" s="11" t="str">
        <f>VLOOKUP(E1341,Store_Dim!$A:$E,3,FALSE())</f>
        <v>North</v>
      </c>
      <c r="W1341" s="11" t="str">
        <f>VLOOKUP(C1341,Customer_Dim!$A:$N,13,FALSE())</f>
        <v>Bronze</v>
      </c>
      <c r="X1341" s="11" t="str">
        <f t="shared" si="146"/>
        <v>High</v>
      </c>
    </row>
    <row r="1342" spans="1:24" ht="15.75" customHeight="1">
      <c r="A1342" s="4" t="s">
        <v>3338</v>
      </c>
      <c r="B1342" s="9">
        <v>45495</v>
      </c>
      <c r="C1342" s="4" t="s">
        <v>1213</v>
      </c>
      <c r="D1342" s="4" t="s">
        <v>1658</v>
      </c>
      <c r="E1342" s="4" t="s">
        <v>1910</v>
      </c>
      <c r="F1342" s="4">
        <v>4</v>
      </c>
      <c r="G1342" s="4">
        <v>585.45000000000005</v>
      </c>
      <c r="H1342" s="4">
        <v>0.25</v>
      </c>
      <c r="I1342" s="4" t="s">
        <v>2004</v>
      </c>
      <c r="J1342" s="10">
        <v>1756.35</v>
      </c>
      <c r="K1342" s="4" t="str">
        <f t="shared" si="140"/>
        <v>22-07-2024</v>
      </c>
      <c r="L1342" s="4" t="str">
        <f>TEXT(Sales_Fact!$B1342,"mmm")</f>
        <v>Jul</v>
      </c>
      <c r="M1342" s="4">
        <f t="shared" si="141"/>
        <v>4</v>
      </c>
      <c r="N1342" s="10">
        <f t="shared" si="142"/>
        <v>585.45000000000005</v>
      </c>
      <c r="O1342" s="10">
        <f t="shared" si="143"/>
        <v>1756.3500000000001</v>
      </c>
      <c r="P1342" s="10">
        <f t="shared" si="144"/>
        <v>2341.8000000000002</v>
      </c>
      <c r="Q1342" s="3">
        <f t="shared" si="145"/>
        <v>0.25</v>
      </c>
      <c r="R1342" s="4" t="str">
        <f>IF(Sales_Fact!$O1342&gt;1000,"High","Low")</f>
        <v>High</v>
      </c>
      <c r="S1342" s="4" t="str">
        <f>VLOOKUP(C1342,Customer_Dim!$A:$N,9,FALSE())</f>
        <v>Tanya Lopez</v>
      </c>
      <c r="T1342" s="4" t="str">
        <f>VLOOKUP(D1342,Product_Dim!$A:$M,3,FALSE())</f>
        <v>Sports</v>
      </c>
      <c r="U1342" s="11" t="str">
        <f>VLOOKUP(D1342,Product_Dim!$A:$M,2,FALSE())</f>
        <v>Outdoor Sports Water Bottle</v>
      </c>
      <c r="V1342" s="11" t="str">
        <f>VLOOKUP(E1342,Store_Dim!$A:$E,3,FALSE())</f>
        <v>East</v>
      </c>
      <c r="W1342" s="11" t="str">
        <f>VLOOKUP(C1342,Customer_Dim!$A:$N,13,FALSE())</f>
        <v>Gold</v>
      </c>
      <c r="X1342" s="11" t="str">
        <f t="shared" si="146"/>
        <v>High</v>
      </c>
    </row>
    <row r="1343" spans="1:24" ht="15.75" customHeight="1">
      <c r="A1343" s="4" t="s">
        <v>3339</v>
      </c>
      <c r="B1343" s="9">
        <v>45628</v>
      </c>
      <c r="C1343" s="4" t="s">
        <v>1495</v>
      </c>
      <c r="D1343" s="4" t="s">
        <v>1831</v>
      </c>
      <c r="E1343" s="4" t="s">
        <v>1962</v>
      </c>
      <c r="F1343" s="4">
        <v>1</v>
      </c>
      <c r="G1343" s="4">
        <v>745.15</v>
      </c>
      <c r="H1343" s="4">
        <v>0.25</v>
      </c>
      <c r="I1343" s="4" t="s">
        <v>2004</v>
      </c>
      <c r="J1343" s="10">
        <v>558.86249999999995</v>
      </c>
      <c r="K1343" s="4" t="str">
        <f t="shared" si="140"/>
        <v>02-12-2024</v>
      </c>
      <c r="L1343" s="4" t="str">
        <f>TEXT(Sales_Fact!$B1343,"mmm")</f>
        <v>Dec</v>
      </c>
      <c r="M1343" s="4">
        <f t="shared" si="141"/>
        <v>1</v>
      </c>
      <c r="N1343" s="10">
        <f t="shared" si="142"/>
        <v>745.15</v>
      </c>
      <c r="O1343" s="10">
        <f t="shared" si="143"/>
        <v>558.86249999999995</v>
      </c>
      <c r="P1343" s="10">
        <f t="shared" si="144"/>
        <v>745.15</v>
      </c>
      <c r="Q1343" s="3">
        <f t="shared" si="145"/>
        <v>0.25000000000000006</v>
      </c>
      <c r="R1343" s="4" t="str">
        <f>IF(Sales_Fact!$O1343&gt;1000,"High","Low")</f>
        <v>Low</v>
      </c>
      <c r="S1343" s="4" t="str">
        <f>VLOOKUP(C1343,Customer_Dim!$A:$N,9,FALSE())</f>
        <v>Elizabeth Foster</v>
      </c>
      <c r="T1343" s="4" t="str">
        <f>VLOOKUP(D1343,Product_Dim!$A:$M,3,FALSE())</f>
        <v>Clothing</v>
      </c>
      <c r="U1343" s="11" t="str">
        <f>VLOOKUP(D1343,Product_Dim!$A:$M,2,FALSE())</f>
        <v>Women's Ankle Boots</v>
      </c>
      <c r="V1343" s="11" t="str">
        <f>VLOOKUP(E1343,Store_Dim!$A:$E,3,FALSE())</f>
        <v>West</v>
      </c>
      <c r="W1343" s="11" t="str">
        <f>VLOOKUP(C1343,Customer_Dim!$A:$N,13,FALSE())</f>
        <v>Gold</v>
      </c>
      <c r="X1343" s="11" t="str">
        <f t="shared" si="146"/>
        <v>Low</v>
      </c>
    </row>
    <row r="1344" spans="1:24" ht="15.75" customHeight="1">
      <c r="A1344" s="4" t="s">
        <v>3340</v>
      </c>
      <c r="B1344" s="9">
        <v>45244</v>
      </c>
      <c r="C1344" s="4" t="s">
        <v>212</v>
      </c>
      <c r="D1344" s="4" t="s">
        <v>1903</v>
      </c>
      <c r="E1344" s="4" t="s">
        <v>1919</v>
      </c>
      <c r="F1344" s="4">
        <v>1</v>
      </c>
      <c r="G1344" s="4">
        <v>848.69</v>
      </c>
      <c r="H1344" s="4">
        <v>0.04</v>
      </c>
      <c r="I1344" s="4" t="s">
        <v>2004</v>
      </c>
      <c r="J1344" s="10">
        <v>814.74239999999998</v>
      </c>
      <c r="K1344" s="4" t="str">
        <f t="shared" si="140"/>
        <v>14-11-2023</v>
      </c>
      <c r="L1344" s="4" t="str">
        <f>TEXT(Sales_Fact!$B1344,"mmm")</f>
        <v>Nov</v>
      </c>
      <c r="M1344" s="4">
        <f t="shared" si="141"/>
        <v>1</v>
      </c>
      <c r="N1344" s="10">
        <f t="shared" si="142"/>
        <v>848.69</v>
      </c>
      <c r="O1344" s="10">
        <f t="shared" si="143"/>
        <v>814.74239999999998</v>
      </c>
      <c r="P1344" s="10">
        <f t="shared" si="144"/>
        <v>848.69</v>
      </c>
      <c r="Q1344" s="3">
        <f t="shared" si="145"/>
        <v>4.0000000000000091E-2</v>
      </c>
      <c r="R1344" s="4" t="str">
        <f>IF(Sales_Fact!$O1344&gt;1000,"High","Low")</f>
        <v>Low</v>
      </c>
      <c r="S1344" s="4" t="str">
        <f>VLOOKUP(C1344,Customer_Dim!$A:$N,9,FALSE())</f>
        <v>Matthew Hunter Jr.</v>
      </c>
      <c r="T1344" s="4" t="str">
        <f>VLOOKUP(D1344,Product_Dim!$A:$M,3,FALSE())</f>
        <v>Home</v>
      </c>
      <c r="U1344" s="11" t="str">
        <f>VLOOKUP(D1344,Product_Dim!$A:$M,2,FALSE())</f>
        <v>Stainless Steel Cookware Set</v>
      </c>
      <c r="V1344" s="11" t="str">
        <f>VLOOKUP(E1344,Store_Dim!$A:$E,3,FALSE())</f>
        <v>South</v>
      </c>
      <c r="W1344" s="11" t="str">
        <f>VLOOKUP(C1344,Customer_Dim!$A:$N,13,FALSE())</f>
        <v>Gold</v>
      </c>
      <c r="X1344" s="11" t="str">
        <f t="shared" si="146"/>
        <v>Low</v>
      </c>
    </row>
    <row r="1345" spans="1:24" ht="15.75" customHeight="1">
      <c r="A1345" s="4" t="s">
        <v>3341</v>
      </c>
      <c r="B1345" s="9">
        <v>45336</v>
      </c>
      <c r="C1345" s="4" t="s">
        <v>1312</v>
      </c>
      <c r="D1345" s="4" t="s">
        <v>1816</v>
      </c>
      <c r="E1345" s="4" t="s">
        <v>1957</v>
      </c>
      <c r="F1345" s="4">
        <v>2</v>
      </c>
      <c r="G1345" s="4">
        <v>247.67</v>
      </c>
      <c r="H1345" s="4">
        <v>0.1</v>
      </c>
      <c r="I1345" s="4" t="s">
        <v>1998</v>
      </c>
      <c r="J1345" s="10">
        <v>445.80599999999998</v>
      </c>
      <c r="K1345" s="4" t="str">
        <f t="shared" si="140"/>
        <v>14-02-2024</v>
      </c>
      <c r="L1345" s="4" t="str">
        <f>TEXT(Sales_Fact!$B1345,"mmm")</f>
        <v>Feb</v>
      </c>
      <c r="M1345" s="4">
        <f t="shared" si="141"/>
        <v>2</v>
      </c>
      <c r="N1345" s="10">
        <f t="shared" si="142"/>
        <v>247.67</v>
      </c>
      <c r="O1345" s="10">
        <f t="shared" si="143"/>
        <v>445.80599999999998</v>
      </c>
      <c r="P1345" s="10">
        <f t="shared" si="144"/>
        <v>495.34</v>
      </c>
      <c r="Q1345" s="3">
        <f t="shared" si="145"/>
        <v>9.9999999999999992E-2</v>
      </c>
      <c r="R1345" s="4" t="str">
        <f>IF(Sales_Fact!$O1345&gt;1000,"High","Low")</f>
        <v>Low</v>
      </c>
      <c r="S1345" s="4" t="str">
        <f>VLOOKUP(C1345,Customer_Dim!$A:$N,9,FALSE())</f>
        <v>Megan Ryan</v>
      </c>
      <c r="T1345" s="4" t="str">
        <f>VLOOKUP(D1345,Product_Dim!$A:$M,3,FALSE())</f>
        <v>Home</v>
      </c>
      <c r="U1345" s="11" t="str">
        <f>VLOOKUP(D1345,Product_Dim!$A:$M,2,FALSE())</f>
        <v>Kitchen Storage Rack</v>
      </c>
      <c r="V1345" s="11" t="str">
        <f>VLOOKUP(E1345,Store_Dim!$A:$E,3,FALSE())</f>
        <v>South</v>
      </c>
      <c r="W1345" s="11" t="str">
        <f>VLOOKUP(C1345,Customer_Dim!$A:$N,13,FALSE())</f>
        <v>Bronze</v>
      </c>
      <c r="X1345" s="11" t="str">
        <f t="shared" si="146"/>
        <v>Low</v>
      </c>
    </row>
    <row r="1346" spans="1:24" ht="15.75" customHeight="1">
      <c r="A1346" s="4" t="s">
        <v>3342</v>
      </c>
      <c r="B1346" s="9">
        <v>45465</v>
      </c>
      <c r="C1346" s="4" t="s">
        <v>174</v>
      </c>
      <c r="D1346" s="4" t="s">
        <v>1828</v>
      </c>
      <c r="E1346" s="4" t="s">
        <v>1924</v>
      </c>
      <c r="F1346" s="4">
        <v>3</v>
      </c>
      <c r="G1346" s="4">
        <v>220.51</v>
      </c>
      <c r="H1346" s="4">
        <v>0.02</v>
      </c>
      <c r="I1346" s="4" t="s">
        <v>1998</v>
      </c>
      <c r="J1346" s="10">
        <v>648.29939999999999</v>
      </c>
      <c r="K1346" s="4" t="str">
        <f t="shared" ref="K1346:K1409" si="147">TEXT(B1346,"dd-mm-yyyy")</f>
        <v>22-06-2024</v>
      </c>
      <c r="L1346" s="4" t="str">
        <f>TEXT(Sales_Fact!$B1346,"mmm")</f>
        <v>Jun</v>
      </c>
      <c r="M1346" s="4">
        <f t="shared" ref="M1346:M1409" si="148">IF(ISBLANK(F1346),1,F1346)</f>
        <v>3</v>
      </c>
      <c r="N1346" s="10">
        <f t="shared" ref="N1346:N1409" si="149">ROUNDUP(IF(ISBLANK(G1346),AVERAGE(C:C,G1346,G:G),G1346),2)</f>
        <v>220.51</v>
      </c>
      <c r="O1346" s="10">
        <f t="shared" ref="O1346:O1409" si="150">M1346*N1346*(1-H1346)</f>
        <v>648.29939999999999</v>
      </c>
      <c r="P1346" s="10">
        <f t="shared" ref="P1346:P1409" si="151">M1346*N1346</f>
        <v>661.53</v>
      </c>
      <c r="Q1346" s="3">
        <f t="shared" ref="Q1346:Q1409" si="152">(P1346-O1346)/P1346</f>
        <v>1.9999999999999973E-2</v>
      </c>
      <c r="R1346" s="4" t="str">
        <f>IF(Sales_Fact!$O1346&gt;1000,"High","Low")</f>
        <v>Low</v>
      </c>
      <c r="S1346" s="4" t="str">
        <f>VLOOKUP(C1346,Customer_Dim!$A:$N,9,FALSE())</f>
        <v>Tonya Reynolds</v>
      </c>
      <c r="T1346" s="4" t="str">
        <f>VLOOKUP(D1346,Product_Dim!$A:$M,3,FALSE())</f>
        <v>Electronics</v>
      </c>
      <c r="U1346" s="11" t="str">
        <f>VLOOKUP(D1346,Product_Dim!$A:$M,2,FALSE())</f>
        <v>Bluetooth Car Audio System</v>
      </c>
      <c r="V1346" s="11" t="str">
        <f>VLOOKUP(E1346,Store_Dim!$A:$E,3,FALSE())</f>
        <v>North</v>
      </c>
      <c r="W1346" s="11" t="str">
        <f>VLOOKUP(C1346,Customer_Dim!$A:$N,13,FALSE())</f>
        <v>Gold</v>
      </c>
      <c r="X1346" s="11" t="str">
        <f t="shared" ref="X1346:X1409" si="153">IF(F1346&gt;3,"High","Low")</f>
        <v>Low</v>
      </c>
    </row>
    <row r="1347" spans="1:24" ht="15.75" customHeight="1">
      <c r="A1347" s="4" t="s">
        <v>3343</v>
      </c>
      <c r="B1347" s="9">
        <v>45837</v>
      </c>
      <c r="C1347" s="4" t="s">
        <v>1057</v>
      </c>
      <c r="D1347" s="4" t="s">
        <v>1640</v>
      </c>
      <c r="E1347" s="4" t="s">
        <v>1962</v>
      </c>
      <c r="F1347" s="4">
        <v>4</v>
      </c>
      <c r="G1347" s="4">
        <v>370.63</v>
      </c>
      <c r="H1347" s="4">
        <v>0.08</v>
      </c>
      <c r="I1347" s="4" t="s">
        <v>1996</v>
      </c>
      <c r="J1347" s="10">
        <v>1363.9184</v>
      </c>
      <c r="K1347" s="4" t="str">
        <f t="shared" si="147"/>
        <v>29-06-2025</v>
      </c>
      <c r="L1347" s="4" t="str">
        <f>TEXT(Sales_Fact!$B1347,"mmm")</f>
        <v>Jun</v>
      </c>
      <c r="M1347" s="4">
        <f t="shared" si="148"/>
        <v>4</v>
      </c>
      <c r="N1347" s="10">
        <f t="shared" si="149"/>
        <v>370.63</v>
      </c>
      <c r="O1347" s="10">
        <f t="shared" si="150"/>
        <v>1363.9184</v>
      </c>
      <c r="P1347" s="10">
        <f t="shared" si="151"/>
        <v>1482.52</v>
      </c>
      <c r="Q1347" s="3">
        <f t="shared" si="152"/>
        <v>7.9999999999999974E-2</v>
      </c>
      <c r="R1347" s="4" t="str">
        <f>IF(Sales_Fact!$O1347&gt;1000,"High","Low")</f>
        <v>High</v>
      </c>
      <c r="S1347" s="4" t="str">
        <f>VLOOKUP(C1347,Customer_Dim!$A:$N,9,FALSE())</f>
        <v>Reginald Willis</v>
      </c>
      <c r="T1347" s="4" t="str">
        <f>VLOOKUP(D1347,Product_Dim!$A:$M,3,FALSE())</f>
        <v>Electronics</v>
      </c>
      <c r="U1347" s="11" t="str">
        <f>VLOOKUP(D1347,Product_Dim!$A:$M,2,FALSE())</f>
        <v>4K Home Projector</v>
      </c>
      <c r="V1347" s="11" t="str">
        <f>VLOOKUP(E1347,Store_Dim!$A:$E,3,FALSE())</f>
        <v>West</v>
      </c>
      <c r="W1347" s="11" t="str">
        <f>VLOOKUP(C1347,Customer_Dim!$A:$N,13,FALSE())</f>
        <v>Bronze</v>
      </c>
      <c r="X1347" s="11" t="str">
        <f t="shared" si="153"/>
        <v>High</v>
      </c>
    </row>
    <row r="1348" spans="1:24" ht="15.75" customHeight="1">
      <c r="A1348" s="4" t="s">
        <v>3344</v>
      </c>
      <c r="B1348" s="9">
        <v>45241</v>
      </c>
      <c r="C1348" s="4" t="s">
        <v>982</v>
      </c>
      <c r="D1348" s="4" t="s">
        <v>1668</v>
      </c>
      <c r="E1348" s="4" t="s">
        <v>1940</v>
      </c>
      <c r="F1348" s="4">
        <v>3</v>
      </c>
      <c r="G1348" s="4">
        <v>342.47</v>
      </c>
      <c r="H1348" s="4">
        <v>0.08</v>
      </c>
      <c r="I1348" s="4" t="s">
        <v>1998</v>
      </c>
      <c r="J1348" s="10">
        <v>945.21720000000005</v>
      </c>
      <c r="K1348" s="4" t="str">
        <f t="shared" si="147"/>
        <v>11-11-2023</v>
      </c>
      <c r="L1348" s="4" t="str">
        <f>TEXT(Sales_Fact!$B1348,"mmm")</f>
        <v>Nov</v>
      </c>
      <c r="M1348" s="4">
        <f t="shared" si="148"/>
        <v>3</v>
      </c>
      <c r="N1348" s="10">
        <f t="shared" si="149"/>
        <v>342.47</v>
      </c>
      <c r="O1348" s="10">
        <f t="shared" si="150"/>
        <v>945.21720000000016</v>
      </c>
      <c r="P1348" s="10">
        <f t="shared" si="151"/>
        <v>1027.4100000000001</v>
      </c>
      <c r="Q1348" s="3">
        <f t="shared" si="152"/>
        <v>7.9999999999999918E-2</v>
      </c>
      <c r="R1348" s="4" t="str">
        <f>IF(Sales_Fact!$O1348&gt;1000,"High","Low")</f>
        <v>Low</v>
      </c>
      <c r="S1348" s="4" t="str">
        <f>VLOOKUP(C1348,Customer_Dim!$A:$N,9,FALSE())</f>
        <v>Edward Cole</v>
      </c>
      <c r="T1348" s="4" t="str">
        <f>VLOOKUP(D1348,Product_Dim!$A:$M,3,FALSE())</f>
        <v>Clothing</v>
      </c>
      <c r="U1348" s="11" t="str">
        <f>VLOOKUP(D1348,Product_Dim!$A:$M,2,FALSE())</f>
        <v>Men's Formal Shirt</v>
      </c>
      <c r="V1348" s="11" t="str">
        <f>VLOOKUP(E1348,Store_Dim!$A:$E,3,FALSE())</f>
        <v>West</v>
      </c>
      <c r="W1348" s="11" t="str">
        <f>VLOOKUP(C1348,Customer_Dim!$A:$N,13,FALSE())</f>
        <v>Gold</v>
      </c>
      <c r="X1348" s="11" t="str">
        <f t="shared" si="153"/>
        <v>Low</v>
      </c>
    </row>
    <row r="1349" spans="1:24" ht="15.75" customHeight="1">
      <c r="A1349" s="4" t="s">
        <v>3345</v>
      </c>
      <c r="B1349" s="9">
        <v>45706</v>
      </c>
      <c r="C1349" s="4" t="s">
        <v>1249</v>
      </c>
      <c r="D1349" s="4" t="s">
        <v>1687</v>
      </c>
      <c r="E1349" s="4" t="s">
        <v>1971</v>
      </c>
      <c r="F1349" s="4">
        <v>4</v>
      </c>
      <c r="G1349" s="4">
        <v>349.84</v>
      </c>
      <c r="H1349" s="4">
        <v>0.11</v>
      </c>
      <c r="I1349" s="4" t="s">
        <v>1996</v>
      </c>
      <c r="J1349" s="10">
        <v>1245.4304</v>
      </c>
      <c r="K1349" s="4" t="str">
        <f t="shared" si="147"/>
        <v>18-02-2025</v>
      </c>
      <c r="L1349" s="4" t="str">
        <f>TEXT(Sales_Fact!$B1349,"mmm")</f>
        <v>Feb</v>
      </c>
      <c r="M1349" s="4">
        <f t="shared" si="148"/>
        <v>4</v>
      </c>
      <c r="N1349" s="10">
        <f t="shared" si="149"/>
        <v>349.84</v>
      </c>
      <c r="O1349" s="10">
        <f t="shared" si="150"/>
        <v>1245.4304</v>
      </c>
      <c r="P1349" s="10">
        <f t="shared" si="151"/>
        <v>1399.36</v>
      </c>
      <c r="Q1349" s="3">
        <f t="shared" si="152"/>
        <v>0.10999999999999996</v>
      </c>
      <c r="R1349" s="4" t="str">
        <f>IF(Sales_Fact!$O1349&gt;1000,"High","Low")</f>
        <v>High</v>
      </c>
      <c r="S1349" s="4" t="str">
        <f>VLOOKUP(C1349,Customer_Dim!$A:$N,9,FALSE())</f>
        <v>Heidi Tyler</v>
      </c>
      <c r="T1349" s="4" t="str">
        <f>VLOOKUP(D1349,Product_Dim!$A:$M,3,FALSE())</f>
        <v>Home</v>
      </c>
      <c r="U1349" s="11" t="str">
        <f>VLOOKUP(D1349,Product_Dim!$A:$M,2,FALSE())</f>
        <v>Fabric Sofa Throw Blanket</v>
      </c>
      <c r="V1349" s="11" t="str">
        <f>VLOOKUP(E1349,Store_Dim!$A:$E,3,FALSE())</f>
        <v>East</v>
      </c>
      <c r="W1349" s="11" t="str">
        <f>VLOOKUP(C1349,Customer_Dim!$A:$N,13,FALSE())</f>
        <v>Bronze</v>
      </c>
      <c r="X1349" s="11" t="str">
        <f t="shared" si="153"/>
        <v>High</v>
      </c>
    </row>
    <row r="1350" spans="1:24" ht="15.75" customHeight="1">
      <c r="A1350" s="4" t="s">
        <v>3346</v>
      </c>
      <c r="B1350" s="9">
        <v>45823</v>
      </c>
      <c r="C1350" s="4" t="s">
        <v>189</v>
      </c>
      <c r="D1350" s="4" t="s">
        <v>1719</v>
      </c>
      <c r="E1350" s="4" t="s">
        <v>1952</v>
      </c>
      <c r="F1350" s="4">
        <v>1</v>
      </c>
      <c r="G1350" s="4">
        <v>770.87</v>
      </c>
      <c r="H1350" s="4">
        <v>0.1</v>
      </c>
      <c r="I1350" s="4" t="s">
        <v>2004</v>
      </c>
      <c r="J1350" s="10">
        <v>693.78300000000002</v>
      </c>
      <c r="K1350" s="4" t="str">
        <f t="shared" si="147"/>
        <v>15-06-2025</v>
      </c>
      <c r="L1350" s="4" t="str">
        <f>TEXT(Sales_Fact!$B1350,"mmm")</f>
        <v>Jun</v>
      </c>
      <c r="M1350" s="4">
        <f t="shared" si="148"/>
        <v>1</v>
      </c>
      <c r="N1350" s="10">
        <f t="shared" si="149"/>
        <v>770.87</v>
      </c>
      <c r="O1350" s="10">
        <f t="shared" si="150"/>
        <v>693.78300000000002</v>
      </c>
      <c r="P1350" s="10">
        <f t="shared" si="151"/>
        <v>770.87</v>
      </c>
      <c r="Q1350" s="3">
        <f t="shared" si="152"/>
        <v>9.9999999999999992E-2</v>
      </c>
      <c r="R1350" s="4" t="str">
        <f>IF(Sales_Fact!$O1350&gt;1000,"High","Low")</f>
        <v>Low</v>
      </c>
      <c r="S1350" s="4" t="str">
        <f>VLOOKUP(C1350,Customer_Dim!$A:$N,9,FALSE())</f>
        <v>Joseph Snow</v>
      </c>
      <c r="T1350" s="4" t="str">
        <f>VLOOKUP(D1350,Product_Dim!$A:$M,3,FALSE())</f>
        <v>Electronics</v>
      </c>
      <c r="U1350" s="11" t="str">
        <f>VLOOKUP(D1350,Product_Dim!$A:$M,2,FALSE())</f>
        <v>Portable Power Bank</v>
      </c>
      <c r="V1350" s="11" t="str">
        <f>VLOOKUP(E1350,Store_Dim!$A:$E,3,FALSE())</f>
        <v>North</v>
      </c>
      <c r="W1350" s="11" t="str">
        <f>VLOOKUP(C1350,Customer_Dim!$A:$N,13,FALSE())</f>
        <v>Gold</v>
      </c>
      <c r="X1350" s="11" t="str">
        <f t="shared" si="153"/>
        <v>Low</v>
      </c>
    </row>
    <row r="1351" spans="1:24" ht="15.75" customHeight="1">
      <c r="A1351" s="4" t="s">
        <v>3347</v>
      </c>
      <c r="B1351" s="9">
        <v>45518</v>
      </c>
      <c r="C1351" s="4" t="s">
        <v>1504</v>
      </c>
      <c r="D1351" s="4" t="s">
        <v>1903</v>
      </c>
      <c r="E1351" s="4" t="s">
        <v>1965</v>
      </c>
      <c r="F1351" s="4">
        <v>3</v>
      </c>
      <c r="G1351" s="4">
        <v>507.33</v>
      </c>
      <c r="H1351" s="4">
        <v>0.06</v>
      </c>
      <c r="I1351" s="4" t="s">
        <v>1998</v>
      </c>
      <c r="J1351" s="10">
        <v>1430.6705999999999</v>
      </c>
      <c r="K1351" s="4" t="str">
        <f t="shared" si="147"/>
        <v>14-08-2024</v>
      </c>
      <c r="L1351" s="4" t="str">
        <f>TEXT(Sales_Fact!$B1351,"mmm")</f>
        <v>Aug</v>
      </c>
      <c r="M1351" s="4">
        <f t="shared" si="148"/>
        <v>3</v>
      </c>
      <c r="N1351" s="10">
        <f t="shared" si="149"/>
        <v>507.33</v>
      </c>
      <c r="O1351" s="10">
        <f t="shared" si="150"/>
        <v>1430.6705999999999</v>
      </c>
      <c r="P1351" s="10">
        <f t="shared" si="151"/>
        <v>1521.99</v>
      </c>
      <c r="Q1351" s="3">
        <f t="shared" si="152"/>
        <v>6.000000000000006E-2</v>
      </c>
      <c r="R1351" s="4" t="str">
        <f>IF(Sales_Fact!$O1351&gt;1000,"High","Low")</f>
        <v>High</v>
      </c>
      <c r="S1351" s="4" t="str">
        <f>VLOOKUP(C1351,Customer_Dim!$A:$N,9,FALSE())</f>
        <v>Dylan Gutierrez</v>
      </c>
      <c r="T1351" s="4" t="str">
        <f>VLOOKUP(D1351,Product_Dim!$A:$M,3,FALSE())</f>
        <v>Home</v>
      </c>
      <c r="U1351" s="11" t="str">
        <f>VLOOKUP(D1351,Product_Dim!$A:$M,2,FALSE())</f>
        <v>Stainless Steel Cookware Set</v>
      </c>
      <c r="V1351" s="11" t="str">
        <f>VLOOKUP(E1351,Store_Dim!$A:$E,3,FALSE())</f>
        <v>North</v>
      </c>
      <c r="W1351" s="11" t="str">
        <f>VLOOKUP(C1351,Customer_Dim!$A:$N,13,FALSE())</f>
        <v>Bronze</v>
      </c>
      <c r="X1351" s="11" t="str">
        <f t="shared" si="153"/>
        <v>Low</v>
      </c>
    </row>
    <row r="1352" spans="1:24" ht="15.75" customHeight="1">
      <c r="A1352" s="4" t="s">
        <v>3348</v>
      </c>
      <c r="B1352" s="9">
        <v>45863</v>
      </c>
      <c r="C1352" s="4" t="s">
        <v>635</v>
      </c>
      <c r="D1352" s="4" t="s">
        <v>1803</v>
      </c>
      <c r="E1352" s="4" t="s">
        <v>1944</v>
      </c>
      <c r="F1352" s="4">
        <v>1</v>
      </c>
      <c r="G1352" s="4">
        <v>87.78</v>
      </c>
      <c r="H1352" s="4">
        <v>0.06</v>
      </c>
      <c r="I1352" s="4" t="s">
        <v>1996</v>
      </c>
      <c r="J1352" s="10">
        <v>82.513199999999998</v>
      </c>
      <c r="K1352" s="4" t="str">
        <f t="shared" si="147"/>
        <v>25-07-2025</v>
      </c>
      <c r="L1352" s="4" t="str">
        <f>TEXT(Sales_Fact!$B1352,"mmm")</f>
        <v>Jul</v>
      </c>
      <c r="M1352" s="4">
        <f t="shared" si="148"/>
        <v>1</v>
      </c>
      <c r="N1352" s="10">
        <f t="shared" si="149"/>
        <v>87.78</v>
      </c>
      <c r="O1352" s="10">
        <f t="shared" si="150"/>
        <v>82.513199999999998</v>
      </c>
      <c r="P1352" s="10">
        <f t="shared" si="151"/>
        <v>87.78</v>
      </c>
      <c r="Q1352" s="3">
        <f t="shared" si="152"/>
        <v>6.0000000000000039E-2</v>
      </c>
      <c r="R1352" s="4" t="str">
        <f>IF(Sales_Fact!$O1352&gt;1000,"High","Low")</f>
        <v>Low</v>
      </c>
      <c r="S1352" s="4" t="str">
        <f>VLOOKUP(C1352,Customer_Dim!$A:$N,9,FALSE())</f>
        <v>Brent Rivas</v>
      </c>
      <c r="T1352" s="4" t="str">
        <f>VLOOKUP(D1352,Product_Dim!$A:$M,3,FALSE())</f>
        <v>Beauty</v>
      </c>
      <c r="U1352" s="11" t="str">
        <f>VLOOKUP(D1352,Product_Dim!$A:$M,2,FALSE())</f>
        <v>Women's Hair Dryer Brush</v>
      </c>
      <c r="V1352" s="11" t="str">
        <f>VLOOKUP(E1352,Store_Dim!$A:$E,3,FALSE())</f>
        <v>South</v>
      </c>
      <c r="W1352" s="11" t="str">
        <f>VLOOKUP(C1352,Customer_Dim!$A:$N,13,FALSE())</f>
        <v>Platinum</v>
      </c>
      <c r="X1352" s="11" t="str">
        <f t="shared" si="153"/>
        <v>Low</v>
      </c>
    </row>
    <row r="1353" spans="1:24" ht="15.75" customHeight="1">
      <c r="A1353" s="4" t="s">
        <v>3349</v>
      </c>
      <c r="B1353" s="9">
        <v>45666</v>
      </c>
      <c r="C1353" s="4" t="s">
        <v>55</v>
      </c>
      <c r="D1353" s="4" t="s">
        <v>1885</v>
      </c>
      <c r="E1353" s="4" t="s">
        <v>1927</v>
      </c>
      <c r="F1353" s="4">
        <v>2</v>
      </c>
      <c r="G1353" s="4">
        <v>772.24</v>
      </c>
      <c r="H1353" s="4">
        <v>0.22</v>
      </c>
      <c r="I1353" s="4" t="s">
        <v>1996</v>
      </c>
      <c r="J1353" s="10">
        <v>1204.6944000000001</v>
      </c>
      <c r="K1353" s="4" t="str">
        <f t="shared" si="147"/>
        <v>09-01-2025</v>
      </c>
      <c r="L1353" s="4" t="str">
        <f>TEXT(Sales_Fact!$B1353,"mmm")</f>
        <v>Jan</v>
      </c>
      <c r="M1353" s="4">
        <f t="shared" si="148"/>
        <v>2</v>
      </c>
      <c r="N1353" s="10">
        <f t="shared" si="149"/>
        <v>772.24</v>
      </c>
      <c r="O1353" s="10">
        <f t="shared" si="150"/>
        <v>1204.6944000000001</v>
      </c>
      <c r="P1353" s="10">
        <f t="shared" si="151"/>
        <v>1544.48</v>
      </c>
      <c r="Q1353" s="3">
        <f t="shared" si="152"/>
        <v>0.21999999999999995</v>
      </c>
      <c r="R1353" s="4" t="str">
        <f>IF(Sales_Fact!$O1353&gt;1000,"High","Low")</f>
        <v>High</v>
      </c>
      <c r="S1353" s="4" t="str">
        <f>VLOOKUP(C1353,Customer_Dim!$A:$N,9,FALSE())</f>
        <v>Amber Jackson</v>
      </c>
      <c r="T1353" s="4" t="str">
        <f>VLOOKUP(D1353,Product_Dim!$A:$M,3,FALSE())</f>
        <v>Electronics</v>
      </c>
      <c r="U1353" s="11" t="str">
        <f>VLOOKUP(D1353,Product_Dim!$A:$M,2,FALSE())</f>
        <v>USB-C Laptop Charger</v>
      </c>
      <c r="V1353" s="11" t="str">
        <f>VLOOKUP(E1353,Store_Dim!$A:$E,3,FALSE())</f>
        <v>South</v>
      </c>
      <c r="W1353" s="11" t="str">
        <f>VLOOKUP(C1353,Customer_Dim!$A:$N,13,FALSE())</f>
        <v>Platinum</v>
      </c>
      <c r="X1353" s="11" t="str">
        <f t="shared" si="153"/>
        <v>Low</v>
      </c>
    </row>
    <row r="1354" spans="1:24" ht="15.75" customHeight="1">
      <c r="A1354" s="4" t="s">
        <v>3350</v>
      </c>
      <c r="B1354" s="9">
        <v>45813</v>
      </c>
      <c r="C1354" s="4" t="s">
        <v>202</v>
      </c>
      <c r="D1354" s="4" t="s">
        <v>1816</v>
      </c>
      <c r="E1354" s="4" t="s">
        <v>1957</v>
      </c>
      <c r="F1354" s="4">
        <v>1</v>
      </c>
      <c r="G1354" s="4">
        <v>108.27</v>
      </c>
      <c r="H1354" s="4">
        <v>0.1</v>
      </c>
      <c r="I1354" s="4" t="s">
        <v>2004</v>
      </c>
      <c r="J1354" s="10">
        <v>97.442999999999998</v>
      </c>
      <c r="K1354" s="4" t="str">
        <f t="shared" si="147"/>
        <v>05-06-2025</v>
      </c>
      <c r="L1354" s="4" t="str">
        <f>TEXT(Sales_Fact!$B1354,"mmm")</f>
        <v>Jun</v>
      </c>
      <c r="M1354" s="4">
        <f t="shared" si="148"/>
        <v>1</v>
      </c>
      <c r="N1354" s="10">
        <f t="shared" si="149"/>
        <v>108.27</v>
      </c>
      <c r="O1354" s="10">
        <f t="shared" si="150"/>
        <v>97.442999999999998</v>
      </c>
      <c r="P1354" s="10">
        <f t="shared" si="151"/>
        <v>108.27</v>
      </c>
      <c r="Q1354" s="3">
        <f t="shared" si="152"/>
        <v>9.9999999999999992E-2</v>
      </c>
      <c r="R1354" s="4" t="str">
        <f>IF(Sales_Fact!$O1354&gt;1000,"High","Low")</f>
        <v>Low</v>
      </c>
      <c r="S1354" s="4" t="str">
        <f>VLOOKUP(C1354,Customer_Dim!$A:$N,9,FALSE())</f>
        <v>Gina Knight</v>
      </c>
      <c r="T1354" s="4" t="str">
        <f>VLOOKUP(D1354,Product_Dim!$A:$M,3,FALSE())</f>
        <v>Home</v>
      </c>
      <c r="U1354" s="11" t="str">
        <f>VLOOKUP(D1354,Product_Dim!$A:$M,2,FALSE())</f>
        <v>Kitchen Storage Rack</v>
      </c>
      <c r="V1354" s="11" t="str">
        <f>VLOOKUP(E1354,Store_Dim!$A:$E,3,FALSE())</f>
        <v>South</v>
      </c>
      <c r="W1354" s="11" t="str">
        <f>VLOOKUP(C1354,Customer_Dim!$A:$N,13,FALSE())</f>
        <v>Silver</v>
      </c>
      <c r="X1354" s="11" t="str">
        <f t="shared" si="153"/>
        <v>Low</v>
      </c>
    </row>
    <row r="1355" spans="1:24" ht="15.75" customHeight="1">
      <c r="A1355" s="4" t="s">
        <v>3351</v>
      </c>
      <c r="B1355" s="9">
        <v>45633</v>
      </c>
      <c r="C1355" s="4" t="s">
        <v>1117</v>
      </c>
      <c r="D1355" s="4" t="s">
        <v>1716</v>
      </c>
      <c r="E1355" s="4" t="s">
        <v>1965</v>
      </c>
      <c r="F1355" s="4">
        <v>2</v>
      </c>
      <c r="G1355" s="4">
        <v>839.24</v>
      </c>
      <c r="H1355" s="4">
        <v>0.21</v>
      </c>
      <c r="I1355" s="4" t="s">
        <v>1998</v>
      </c>
      <c r="J1355" s="10">
        <v>1325.9992</v>
      </c>
      <c r="K1355" s="4" t="str">
        <f t="shared" si="147"/>
        <v>07-12-2024</v>
      </c>
      <c r="L1355" s="4" t="str">
        <f>TEXT(Sales_Fact!$B1355,"mmm")</f>
        <v>Dec</v>
      </c>
      <c r="M1355" s="4">
        <f t="shared" si="148"/>
        <v>2</v>
      </c>
      <c r="N1355" s="10">
        <f t="shared" si="149"/>
        <v>839.24</v>
      </c>
      <c r="O1355" s="10">
        <f t="shared" si="150"/>
        <v>1325.9992</v>
      </c>
      <c r="P1355" s="10">
        <f t="shared" si="151"/>
        <v>1678.48</v>
      </c>
      <c r="Q1355" s="3">
        <f t="shared" si="152"/>
        <v>0.21000000000000002</v>
      </c>
      <c r="R1355" s="4" t="str">
        <f>IF(Sales_Fact!$O1355&gt;1000,"High","Low")</f>
        <v>High</v>
      </c>
      <c r="S1355" s="4" t="str">
        <f>VLOOKUP(C1355,Customer_Dim!$A:$N,9,FALSE())</f>
        <v>Justin Mason Dds</v>
      </c>
      <c r="T1355" s="4" t="str">
        <f>VLOOKUP(D1355,Product_Dim!$A:$M,3,FALSE())</f>
        <v>Sports</v>
      </c>
      <c r="U1355" s="11" t="str">
        <f>VLOOKUP(D1355,Product_Dim!$A:$M,2,FALSE())</f>
        <v>Sports Water Hydration Pack</v>
      </c>
      <c r="V1355" s="11" t="str">
        <f>VLOOKUP(E1355,Store_Dim!$A:$E,3,FALSE())</f>
        <v>North</v>
      </c>
      <c r="W1355" s="11" t="str">
        <f>VLOOKUP(C1355,Customer_Dim!$A:$N,13,FALSE())</f>
        <v>Gold</v>
      </c>
      <c r="X1355" s="11" t="str">
        <f t="shared" si="153"/>
        <v>Low</v>
      </c>
    </row>
    <row r="1356" spans="1:24" ht="15.75" customHeight="1">
      <c r="A1356" s="4" t="s">
        <v>3352</v>
      </c>
      <c r="B1356" s="9">
        <v>45331</v>
      </c>
      <c r="C1356" s="4" t="s">
        <v>1225</v>
      </c>
      <c r="D1356" s="4" t="s">
        <v>1779</v>
      </c>
      <c r="E1356" s="4" t="s">
        <v>1947</v>
      </c>
      <c r="F1356" s="4">
        <v>2</v>
      </c>
      <c r="G1356" s="4">
        <v>466.27</v>
      </c>
      <c r="H1356" s="4">
        <v>0.11</v>
      </c>
      <c r="I1356" s="4" t="s">
        <v>1998</v>
      </c>
      <c r="J1356" s="10">
        <v>829.9606</v>
      </c>
      <c r="K1356" s="4" t="str">
        <f t="shared" si="147"/>
        <v>09-02-2024</v>
      </c>
      <c r="L1356" s="4" t="str">
        <f>TEXT(Sales_Fact!$B1356,"mmm")</f>
        <v>Feb</v>
      </c>
      <c r="M1356" s="4">
        <f t="shared" si="148"/>
        <v>2</v>
      </c>
      <c r="N1356" s="10">
        <f t="shared" si="149"/>
        <v>466.27</v>
      </c>
      <c r="O1356" s="10">
        <f t="shared" si="150"/>
        <v>829.9606</v>
      </c>
      <c r="P1356" s="10">
        <f t="shared" si="151"/>
        <v>932.54</v>
      </c>
      <c r="Q1356" s="3">
        <f t="shared" si="152"/>
        <v>0.10999999999999997</v>
      </c>
      <c r="R1356" s="4" t="str">
        <f>IF(Sales_Fact!$O1356&gt;1000,"High","Low")</f>
        <v>Low</v>
      </c>
      <c r="S1356" s="4" t="str">
        <f>VLOOKUP(C1356,Customer_Dim!$A:$N,9,FALSE())</f>
        <v>Kristine Higgins</v>
      </c>
      <c r="T1356" s="4" t="str">
        <f>VLOOKUP(D1356,Product_Dim!$A:$M,3,FALSE())</f>
        <v>Clothing</v>
      </c>
      <c r="U1356" s="11" t="str">
        <f>VLOOKUP(D1356,Product_Dim!$A:$M,2,FALSE())</f>
        <v>Womens Cotton Scarf</v>
      </c>
      <c r="V1356" s="11" t="str">
        <f>VLOOKUP(E1356,Store_Dim!$A:$E,3,FALSE())</f>
        <v>East</v>
      </c>
      <c r="W1356" s="11" t="str">
        <f>VLOOKUP(C1356,Customer_Dim!$A:$N,13,FALSE())</f>
        <v>Silver</v>
      </c>
      <c r="X1356" s="11" t="str">
        <f t="shared" si="153"/>
        <v>Low</v>
      </c>
    </row>
    <row r="1357" spans="1:24" ht="15.75" customHeight="1">
      <c r="A1357" s="4" t="s">
        <v>3353</v>
      </c>
      <c r="B1357" s="9">
        <v>45942</v>
      </c>
      <c r="C1357" s="4" t="s">
        <v>1269</v>
      </c>
      <c r="D1357" s="4" t="s">
        <v>1791</v>
      </c>
      <c r="E1357" s="4" t="s">
        <v>1957</v>
      </c>
      <c r="F1357" s="4">
        <v>3</v>
      </c>
      <c r="G1357" s="4">
        <v>969.83</v>
      </c>
      <c r="H1357" s="4">
        <v>0.02</v>
      </c>
      <c r="I1357" s="4" t="s">
        <v>1996</v>
      </c>
      <c r="J1357" s="10">
        <v>2851.3002000000001</v>
      </c>
      <c r="K1357" s="4" t="str">
        <f t="shared" si="147"/>
        <v>12-10-2025</v>
      </c>
      <c r="L1357" s="4" t="str">
        <f>TEXT(Sales_Fact!$B1357,"mmm")</f>
        <v>Oct</v>
      </c>
      <c r="M1357" s="4">
        <f t="shared" si="148"/>
        <v>3</v>
      </c>
      <c r="N1357" s="10">
        <f t="shared" si="149"/>
        <v>969.83</v>
      </c>
      <c r="O1357" s="10">
        <f t="shared" si="150"/>
        <v>2851.3002000000001</v>
      </c>
      <c r="P1357" s="10">
        <f t="shared" si="151"/>
        <v>2909.4900000000002</v>
      </c>
      <c r="Q1357" s="3">
        <f t="shared" si="152"/>
        <v>2.0000000000000035E-2</v>
      </c>
      <c r="R1357" s="4" t="str">
        <f>IF(Sales_Fact!$O1357&gt;1000,"High","Low")</f>
        <v>High</v>
      </c>
      <c r="S1357" s="4" t="str">
        <f>VLOOKUP(C1357,Customer_Dim!$A:$N,9,FALSE())</f>
        <v>Jennifer Johnson</v>
      </c>
      <c r="T1357" s="4" t="str">
        <f>VLOOKUP(D1357,Product_Dim!$A:$M,3,FALSE())</f>
        <v>Electronics</v>
      </c>
      <c r="U1357" s="11" t="str">
        <f>VLOOKUP(D1357,Product_Dim!$A:$M,2,FALSE())</f>
        <v>Laptop Cooling Pad</v>
      </c>
      <c r="V1357" s="11" t="str">
        <f>VLOOKUP(E1357,Store_Dim!$A:$E,3,FALSE())</f>
        <v>South</v>
      </c>
      <c r="W1357" s="11" t="str">
        <f>VLOOKUP(C1357,Customer_Dim!$A:$N,13,FALSE())</f>
        <v>Bronze</v>
      </c>
      <c r="X1357" s="11" t="str">
        <f t="shared" si="153"/>
        <v>Low</v>
      </c>
    </row>
    <row r="1358" spans="1:24" ht="15.75" customHeight="1">
      <c r="A1358" s="4" t="s">
        <v>3354</v>
      </c>
      <c r="B1358" s="9">
        <v>45824</v>
      </c>
      <c r="C1358" s="4" t="s">
        <v>1324</v>
      </c>
      <c r="D1358" s="4" t="s">
        <v>1879</v>
      </c>
      <c r="E1358" s="4" t="s">
        <v>1971</v>
      </c>
      <c r="F1358" s="4">
        <v>2</v>
      </c>
      <c r="G1358" s="4">
        <v>782.11</v>
      </c>
      <c r="H1358" s="4">
        <v>0.17</v>
      </c>
      <c r="I1358" s="4" t="s">
        <v>1998</v>
      </c>
      <c r="J1358" s="10">
        <v>1298.3026</v>
      </c>
      <c r="K1358" s="4" t="str">
        <f t="shared" si="147"/>
        <v>16-06-2025</v>
      </c>
      <c r="L1358" s="4" t="str">
        <f>TEXT(Sales_Fact!$B1358,"mmm")</f>
        <v>Jun</v>
      </c>
      <c r="M1358" s="4">
        <f t="shared" si="148"/>
        <v>2</v>
      </c>
      <c r="N1358" s="10">
        <f t="shared" si="149"/>
        <v>782.11</v>
      </c>
      <c r="O1358" s="10">
        <f t="shared" si="150"/>
        <v>1298.3026</v>
      </c>
      <c r="P1358" s="10">
        <f t="shared" si="151"/>
        <v>1564.22</v>
      </c>
      <c r="Q1358" s="3">
        <f t="shared" si="152"/>
        <v>0.17</v>
      </c>
      <c r="R1358" s="4" t="str">
        <f>IF(Sales_Fact!$O1358&gt;1000,"High","Low")</f>
        <v>High</v>
      </c>
      <c r="S1358" s="4" t="str">
        <f>VLOOKUP(C1358,Customer_Dim!$A:$N,9,FALSE())</f>
        <v>Karen King</v>
      </c>
      <c r="T1358" s="4" t="str">
        <f>VLOOKUP(D1358,Product_Dim!$A:$M,3,FALSE())</f>
        <v>Clothing</v>
      </c>
      <c r="U1358" s="11" t="str">
        <f>VLOOKUP(D1358,Product_Dim!$A:$M,2,FALSE())</f>
        <v>Women's High Heels</v>
      </c>
      <c r="V1358" s="11" t="str">
        <f>VLOOKUP(E1358,Store_Dim!$A:$E,3,FALSE())</f>
        <v>East</v>
      </c>
      <c r="W1358" s="11" t="str">
        <f>VLOOKUP(C1358,Customer_Dim!$A:$N,13,FALSE())</f>
        <v>Bronze</v>
      </c>
      <c r="X1358" s="11" t="str">
        <f t="shared" si="153"/>
        <v>Low</v>
      </c>
    </row>
    <row r="1359" spans="1:24" ht="15.75" customHeight="1">
      <c r="A1359" s="4" t="s">
        <v>3355</v>
      </c>
      <c r="B1359" s="9">
        <v>45649</v>
      </c>
      <c r="C1359" s="4" t="s">
        <v>1081</v>
      </c>
      <c r="D1359" s="4" t="s">
        <v>1687</v>
      </c>
      <c r="E1359" s="4" t="s">
        <v>1944</v>
      </c>
      <c r="F1359" s="4">
        <v>2</v>
      </c>
      <c r="G1359" s="4">
        <v>915.15</v>
      </c>
      <c r="H1359" s="4">
        <v>0.16</v>
      </c>
      <c r="I1359" s="4" t="s">
        <v>1998</v>
      </c>
      <c r="J1359" s="10">
        <v>1537.452</v>
      </c>
      <c r="K1359" s="4" t="str">
        <f t="shared" si="147"/>
        <v>23-12-2024</v>
      </c>
      <c r="L1359" s="4" t="str">
        <f>TEXT(Sales_Fact!$B1359,"mmm")</f>
        <v>Dec</v>
      </c>
      <c r="M1359" s="4">
        <f t="shared" si="148"/>
        <v>2</v>
      </c>
      <c r="N1359" s="10">
        <f t="shared" si="149"/>
        <v>915.15</v>
      </c>
      <c r="O1359" s="10">
        <f t="shared" si="150"/>
        <v>1537.452</v>
      </c>
      <c r="P1359" s="10">
        <f t="shared" si="151"/>
        <v>1830.3</v>
      </c>
      <c r="Q1359" s="3">
        <f t="shared" si="152"/>
        <v>0.15999999999999998</v>
      </c>
      <c r="R1359" s="4" t="str">
        <f>IF(Sales_Fact!$O1359&gt;1000,"High","Low")</f>
        <v>High</v>
      </c>
      <c r="S1359" s="4" t="str">
        <f>VLOOKUP(C1359,Customer_Dim!$A:$N,9,FALSE())</f>
        <v>Jennifer Woods</v>
      </c>
      <c r="T1359" s="4" t="str">
        <f>VLOOKUP(D1359,Product_Dim!$A:$M,3,FALSE())</f>
        <v>Home</v>
      </c>
      <c r="U1359" s="11" t="str">
        <f>VLOOKUP(D1359,Product_Dim!$A:$M,2,FALSE())</f>
        <v>Fabric Sofa Throw Blanket</v>
      </c>
      <c r="V1359" s="11" t="str">
        <f>VLOOKUP(E1359,Store_Dim!$A:$E,3,FALSE())</f>
        <v>South</v>
      </c>
      <c r="W1359" s="11" t="str">
        <f>VLOOKUP(C1359,Customer_Dim!$A:$N,13,FALSE())</f>
        <v>Platinum</v>
      </c>
      <c r="X1359" s="11" t="str">
        <f t="shared" si="153"/>
        <v>Low</v>
      </c>
    </row>
    <row r="1360" spans="1:24" ht="15.75" customHeight="1">
      <c r="A1360" s="4" t="s">
        <v>3356</v>
      </c>
      <c r="B1360" s="9">
        <v>45921</v>
      </c>
      <c r="C1360" s="4" t="s">
        <v>1424</v>
      </c>
      <c r="D1360" s="4" t="s">
        <v>1723</v>
      </c>
      <c r="E1360" s="4" t="s">
        <v>1950</v>
      </c>
      <c r="F1360" s="4">
        <v>2</v>
      </c>
      <c r="G1360" s="4">
        <v>74.63</v>
      </c>
      <c r="H1360" s="4">
        <v>0.01</v>
      </c>
      <c r="I1360" s="4" t="s">
        <v>1998</v>
      </c>
      <c r="J1360" s="10">
        <v>147.76740000000001</v>
      </c>
      <c r="K1360" s="4" t="str">
        <f t="shared" si="147"/>
        <v>21-09-2025</v>
      </c>
      <c r="L1360" s="4" t="str">
        <f>TEXT(Sales_Fact!$B1360,"mmm")</f>
        <v>Sep</v>
      </c>
      <c r="M1360" s="4">
        <f t="shared" si="148"/>
        <v>2</v>
      </c>
      <c r="N1360" s="10">
        <f t="shared" si="149"/>
        <v>74.63</v>
      </c>
      <c r="O1360" s="10">
        <f t="shared" si="150"/>
        <v>147.76739999999998</v>
      </c>
      <c r="P1360" s="10">
        <f t="shared" si="151"/>
        <v>149.26</v>
      </c>
      <c r="Q1360" s="3">
        <f t="shared" si="152"/>
        <v>1.0000000000000068E-2</v>
      </c>
      <c r="R1360" s="4" t="str">
        <f>IF(Sales_Fact!$O1360&gt;1000,"High","Low")</f>
        <v>Low</v>
      </c>
      <c r="S1360" s="4" t="str">
        <f>VLOOKUP(C1360,Customer_Dim!$A:$N,9,FALSE())</f>
        <v>Ashley Roberts</v>
      </c>
      <c r="T1360" s="4" t="str">
        <f>VLOOKUP(D1360,Product_Dim!$A:$M,3,FALSE())</f>
        <v>Electronics</v>
      </c>
      <c r="U1360" s="11" t="str">
        <f>VLOOKUP(D1360,Product_Dim!$A:$M,2,FALSE())</f>
        <v>Noise-Canceling Headphones</v>
      </c>
      <c r="V1360" s="11" t="str">
        <f>VLOOKUP(E1360,Store_Dim!$A:$E,3,FALSE())</f>
        <v>South</v>
      </c>
      <c r="W1360" s="11" t="str">
        <f>VLOOKUP(C1360,Customer_Dim!$A:$N,13,FALSE())</f>
        <v>Gold</v>
      </c>
      <c r="X1360" s="11" t="str">
        <f t="shared" si="153"/>
        <v>Low</v>
      </c>
    </row>
    <row r="1361" spans="1:24" ht="15.75" customHeight="1">
      <c r="A1361" s="4" t="s">
        <v>3357</v>
      </c>
      <c r="B1361" s="9">
        <v>45909</v>
      </c>
      <c r="C1361" s="4" t="s">
        <v>181</v>
      </c>
      <c r="D1361" s="4" t="s">
        <v>1861</v>
      </c>
      <c r="E1361" s="4" t="s">
        <v>1934</v>
      </c>
      <c r="F1361" s="4">
        <v>3</v>
      </c>
      <c r="G1361" s="4">
        <v>522.78</v>
      </c>
      <c r="H1361" s="4">
        <v>0.25</v>
      </c>
      <c r="I1361" s="4" t="s">
        <v>1998</v>
      </c>
      <c r="J1361" s="10">
        <v>1176.2550000000001</v>
      </c>
      <c r="K1361" s="4" t="str">
        <f t="shared" si="147"/>
        <v>09-09-2025</v>
      </c>
      <c r="L1361" s="4" t="str">
        <f>TEXT(Sales_Fact!$B1361,"mmm")</f>
        <v>Sep</v>
      </c>
      <c r="M1361" s="4">
        <f t="shared" si="148"/>
        <v>3</v>
      </c>
      <c r="N1361" s="10">
        <f t="shared" si="149"/>
        <v>522.78</v>
      </c>
      <c r="O1361" s="10">
        <f t="shared" si="150"/>
        <v>1176.2549999999999</v>
      </c>
      <c r="P1361" s="10">
        <f t="shared" si="151"/>
        <v>1568.34</v>
      </c>
      <c r="Q1361" s="3">
        <f t="shared" si="152"/>
        <v>0.25000000000000006</v>
      </c>
      <c r="R1361" s="4" t="str">
        <f>IF(Sales_Fact!$O1361&gt;1000,"High","Low")</f>
        <v>High</v>
      </c>
      <c r="S1361" s="4" t="str">
        <f>VLOOKUP(C1361,Customer_Dim!$A:$N,9,FALSE())</f>
        <v>James Gibbs</v>
      </c>
      <c r="T1361" s="4" t="str">
        <f>VLOOKUP(D1361,Product_Dim!$A:$M,3,FALSE())</f>
        <v>Clothing</v>
      </c>
      <c r="U1361" s="11" t="str">
        <f>VLOOKUP(D1361,Product_Dim!$A:$M,2,FALSE())</f>
        <v>Women's Beanie Hat</v>
      </c>
      <c r="V1361" s="11" t="str">
        <f>VLOOKUP(E1361,Store_Dim!$A:$E,3,FALSE())</f>
        <v>East</v>
      </c>
      <c r="W1361" s="11" t="str">
        <f>VLOOKUP(C1361,Customer_Dim!$A:$N,13,FALSE())</f>
        <v>Platinum</v>
      </c>
      <c r="X1361" s="11" t="str">
        <f t="shared" si="153"/>
        <v>Low</v>
      </c>
    </row>
    <row r="1362" spans="1:24" ht="15.75" customHeight="1">
      <c r="A1362" s="4" t="s">
        <v>3358</v>
      </c>
      <c r="B1362" s="9">
        <v>45853</v>
      </c>
      <c r="C1362" s="4" t="s">
        <v>1090</v>
      </c>
      <c r="D1362" s="4" t="s">
        <v>1633</v>
      </c>
      <c r="E1362" s="4" t="s">
        <v>1959</v>
      </c>
      <c r="F1362" s="4">
        <v>1</v>
      </c>
      <c r="G1362" s="4">
        <v>206.45</v>
      </c>
      <c r="H1362" s="4">
        <v>0.15</v>
      </c>
      <c r="I1362" s="4" t="s">
        <v>1998</v>
      </c>
      <c r="J1362" s="10">
        <v>175.48249999999999</v>
      </c>
      <c r="K1362" s="4" t="str">
        <f t="shared" si="147"/>
        <v>15-07-2025</v>
      </c>
      <c r="L1362" s="4" t="str">
        <f>TEXT(Sales_Fact!$B1362,"mmm")</f>
        <v>Jul</v>
      </c>
      <c r="M1362" s="4">
        <f t="shared" si="148"/>
        <v>1</v>
      </c>
      <c r="N1362" s="10">
        <f t="shared" si="149"/>
        <v>206.45</v>
      </c>
      <c r="O1362" s="10">
        <f t="shared" si="150"/>
        <v>175.48249999999999</v>
      </c>
      <c r="P1362" s="10">
        <f t="shared" si="151"/>
        <v>206.45</v>
      </c>
      <c r="Q1362" s="3">
        <f t="shared" si="152"/>
        <v>0.15000000000000002</v>
      </c>
      <c r="R1362" s="4" t="str">
        <f>IF(Sales_Fact!$O1362&gt;1000,"High","Low")</f>
        <v>Low</v>
      </c>
      <c r="S1362" s="4" t="str">
        <f>VLOOKUP(C1362,Customer_Dim!$A:$N,9,FALSE())</f>
        <v>Jasmine Snyder</v>
      </c>
      <c r="T1362" s="4" t="str">
        <f>VLOOKUP(D1362,Product_Dim!$A:$M,3,FALSE())</f>
        <v>Electronics</v>
      </c>
      <c r="U1362" s="11" t="str">
        <f>VLOOKUP(D1362,Product_Dim!$A:$M,2,FALSE())</f>
        <v>USB-C Fast Charger</v>
      </c>
      <c r="V1362" s="11" t="str">
        <f>VLOOKUP(E1362,Store_Dim!$A:$E,3,FALSE())</f>
        <v>North</v>
      </c>
      <c r="W1362" s="11" t="str">
        <f>VLOOKUP(C1362,Customer_Dim!$A:$N,13,FALSE())</f>
        <v>Silver</v>
      </c>
      <c r="X1362" s="11" t="str">
        <f t="shared" si="153"/>
        <v>Low</v>
      </c>
    </row>
    <row r="1363" spans="1:24" ht="15.75" customHeight="1">
      <c r="A1363" s="4" t="s">
        <v>3359</v>
      </c>
      <c r="B1363" s="9">
        <v>45580</v>
      </c>
      <c r="C1363" s="4" t="s">
        <v>514</v>
      </c>
      <c r="D1363" s="4" t="s">
        <v>1813</v>
      </c>
      <c r="E1363" s="4" t="s">
        <v>1931</v>
      </c>
      <c r="F1363" s="4">
        <v>1</v>
      </c>
      <c r="G1363" s="4">
        <v>815.53</v>
      </c>
      <c r="H1363" s="4">
        <v>0.3</v>
      </c>
      <c r="I1363" s="4" t="s">
        <v>1998</v>
      </c>
      <c r="J1363" s="10">
        <v>570.87099999999998</v>
      </c>
      <c r="K1363" s="4" t="str">
        <f t="shared" si="147"/>
        <v>15-10-2024</v>
      </c>
      <c r="L1363" s="4" t="str">
        <f>TEXT(Sales_Fact!$B1363,"mmm")</f>
        <v>Oct</v>
      </c>
      <c r="M1363" s="4">
        <f t="shared" si="148"/>
        <v>1</v>
      </c>
      <c r="N1363" s="10">
        <f t="shared" si="149"/>
        <v>815.53</v>
      </c>
      <c r="O1363" s="10">
        <f t="shared" si="150"/>
        <v>570.87099999999998</v>
      </c>
      <c r="P1363" s="10">
        <f t="shared" si="151"/>
        <v>815.53</v>
      </c>
      <c r="Q1363" s="3">
        <f t="shared" si="152"/>
        <v>0.3</v>
      </c>
      <c r="R1363" s="4" t="str">
        <f>IF(Sales_Fact!$O1363&gt;1000,"High","Low")</f>
        <v>Low</v>
      </c>
      <c r="S1363" s="4" t="str">
        <f>VLOOKUP(C1363,Customer_Dim!$A:$N,9,FALSE())</f>
        <v>Cameron Simpson</v>
      </c>
      <c r="T1363" s="4" t="str">
        <f>VLOOKUP(D1363,Product_Dim!$A:$M,3,FALSE())</f>
        <v>Clothing</v>
      </c>
      <c r="U1363" s="11" t="str">
        <f>VLOOKUP(D1363,Product_Dim!$A:$M,2,FALSE())</f>
        <v>Men's Sports Shorts</v>
      </c>
      <c r="V1363" s="11" t="str">
        <f>VLOOKUP(E1363,Store_Dim!$A:$E,3,FALSE())</f>
        <v>North</v>
      </c>
      <c r="W1363" s="11" t="str">
        <f>VLOOKUP(C1363,Customer_Dim!$A:$N,13,FALSE())</f>
        <v>Platinum</v>
      </c>
      <c r="X1363" s="11" t="str">
        <f t="shared" si="153"/>
        <v>Low</v>
      </c>
    </row>
    <row r="1364" spans="1:24" ht="15.75" customHeight="1">
      <c r="A1364" s="4" t="s">
        <v>3360</v>
      </c>
      <c r="B1364" s="9">
        <v>45220</v>
      </c>
      <c r="C1364" s="4" t="s">
        <v>168</v>
      </c>
      <c r="D1364" s="4" t="s">
        <v>1843</v>
      </c>
      <c r="E1364" s="4" t="s">
        <v>1955</v>
      </c>
      <c r="F1364" s="4">
        <v>1</v>
      </c>
      <c r="G1364" s="4">
        <v>823.61</v>
      </c>
      <c r="H1364" s="4">
        <v>0.28000000000000003</v>
      </c>
      <c r="I1364" s="4" t="s">
        <v>2004</v>
      </c>
      <c r="J1364" s="10">
        <v>592.99919999999997</v>
      </c>
      <c r="K1364" s="4" t="str">
        <f t="shared" si="147"/>
        <v>21-10-2023</v>
      </c>
      <c r="L1364" s="4" t="str">
        <f>TEXT(Sales_Fact!$B1364,"mmm")</f>
        <v>Oct</v>
      </c>
      <c r="M1364" s="4">
        <f t="shared" si="148"/>
        <v>1</v>
      </c>
      <c r="N1364" s="10">
        <f t="shared" si="149"/>
        <v>823.61</v>
      </c>
      <c r="O1364" s="10">
        <f t="shared" si="150"/>
        <v>592.99919999999997</v>
      </c>
      <c r="P1364" s="10">
        <f t="shared" si="151"/>
        <v>823.61</v>
      </c>
      <c r="Q1364" s="3">
        <f t="shared" si="152"/>
        <v>0.28000000000000003</v>
      </c>
      <c r="R1364" s="4" t="str">
        <f>IF(Sales_Fact!$O1364&gt;1000,"High","Low")</f>
        <v>Low</v>
      </c>
      <c r="S1364" s="4" t="str">
        <f>VLOOKUP(C1364,Customer_Dim!$A:$N,9,FALSE())</f>
        <v>Christopher Carter</v>
      </c>
      <c r="T1364" s="4" t="str">
        <f>VLOOKUP(D1364,Product_Dim!$A:$M,3,FALSE())</f>
        <v>Home</v>
      </c>
      <c r="U1364" s="11" t="str">
        <f>VLOOKUP(D1364,Product_Dim!$A:$M,2,FALSE())</f>
        <v>Decorative Lamp Shade</v>
      </c>
      <c r="V1364" s="11" t="str">
        <f>VLOOKUP(E1364,Store_Dim!$A:$E,3,FALSE())</f>
        <v>East</v>
      </c>
      <c r="W1364" s="11" t="str">
        <f>VLOOKUP(C1364,Customer_Dim!$A:$N,13,FALSE())</f>
        <v>Standard</v>
      </c>
      <c r="X1364" s="11" t="str">
        <f t="shared" si="153"/>
        <v>Low</v>
      </c>
    </row>
    <row r="1365" spans="1:24" ht="15.75" customHeight="1">
      <c r="A1365" s="4" t="s">
        <v>3361</v>
      </c>
      <c r="B1365" s="9">
        <v>45807</v>
      </c>
      <c r="C1365" s="4" t="s">
        <v>1501</v>
      </c>
      <c r="D1365" s="4" t="s">
        <v>1867</v>
      </c>
      <c r="E1365" s="4" t="s">
        <v>1944</v>
      </c>
      <c r="F1365" s="4">
        <v>2</v>
      </c>
      <c r="G1365" s="4">
        <v>209.96</v>
      </c>
      <c r="H1365" s="4">
        <v>0</v>
      </c>
      <c r="I1365" s="4" t="s">
        <v>1996</v>
      </c>
      <c r="J1365" s="10">
        <v>419.92</v>
      </c>
      <c r="K1365" s="4" t="str">
        <f t="shared" si="147"/>
        <v>30-05-2025</v>
      </c>
      <c r="L1365" s="4" t="str">
        <f>TEXT(Sales_Fact!$B1365,"mmm")</f>
        <v>May</v>
      </c>
      <c r="M1365" s="4">
        <f t="shared" si="148"/>
        <v>2</v>
      </c>
      <c r="N1365" s="10">
        <f t="shared" si="149"/>
        <v>209.96</v>
      </c>
      <c r="O1365" s="10">
        <f t="shared" si="150"/>
        <v>419.92</v>
      </c>
      <c r="P1365" s="10">
        <f t="shared" si="151"/>
        <v>419.92</v>
      </c>
      <c r="Q1365" s="3">
        <f t="shared" si="152"/>
        <v>0</v>
      </c>
      <c r="R1365" s="4" t="str">
        <f>IF(Sales_Fact!$O1365&gt;1000,"High","Low")</f>
        <v>Low</v>
      </c>
      <c r="S1365" s="4" t="str">
        <f>VLOOKUP(C1365,Customer_Dim!$A:$N,9,FALSE())</f>
        <v>Earl Smith Dds</v>
      </c>
      <c r="T1365" s="4" t="str">
        <f>VLOOKUP(D1365,Product_Dim!$A:$M,3,FALSE())</f>
        <v>Home</v>
      </c>
      <c r="U1365" s="11" t="str">
        <f>VLOOKUP(D1365,Product_Dim!$A:$M,2,FALSE())</f>
        <v>LED Bedside Lamp</v>
      </c>
      <c r="V1365" s="11" t="str">
        <f>VLOOKUP(E1365,Store_Dim!$A:$E,3,FALSE())</f>
        <v>South</v>
      </c>
      <c r="W1365" s="11" t="str">
        <f>VLOOKUP(C1365,Customer_Dim!$A:$N,13,FALSE())</f>
        <v>Gold</v>
      </c>
      <c r="X1365" s="11" t="str">
        <f t="shared" si="153"/>
        <v>Low</v>
      </c>
    </row>
    <row r="1366" spans="1:24" ht="15.75" customHeight="1">
      <c r="A1366" s="4" t="s">
        <v>3362</v>
      </c>
      <c r="B1366" s="9">
        <v>45462</v>
      </c>
      <c r="C1366" s="4" t="s">
        <v>604</v>
      </c>
      <c r="D1366" s="4" t="s">
        <v>1578</v>
      </c>
      <c r="E1366" s="4" t="s">
        <v>1962</v>
      </c>
      <c r="F1366" s="4">
        <v>4</v>
      </c>
      <c r="G1366" s="4">
        <v>897.93</v>
      </c>
      <c r="H1366" s="4">
        <v>0.05</v>
      </c>
      <c r="I1366" s="4" t="s">
        <v>2004</v>
      </c>
      <c r="J1366" s="10">
        <v>3412.134</v>
      </c>
      <c r="K1366" s="4" t="str">
        <f t="shared" si="147"/>
        <v>19-06-2024</v>
      </c>
      <c r="L1366" s="4" t="str">
        <f>TEXT(Sales_Fact!$B1366,"mmm")</f>
        <v>Jun</v>
      </c>
      <c r="M1366" s="4">
        <f t="shared" si="148"/>
        <v>4</v>
      </c>
      <c r="N1366" s="10">
        <f t="shared" si="149"/>
        <v>897.93</v>
      </c>
      <c r="O1366" s="10">
        <f t="shared" si="150"/>
        <v>3412.1339999999996</v>
      </c>
      <c r="P1366" s="10">
        <f t="shared" si="151"/>
        <v>3591.72</v>
      </c>
      <c r="Q1366" s="3">
        <f t="shared" si="152"/>
        <v>5.0000000000000072E-2</v>
      </c>
      <c r="R1366" s="4" t="str">
        <f>IF(Sales_Fact!$O1366&gt;1000,"High","Low")</f>
        <v>High</v>
      </c>
      <c r="S1366" s="4" t="str">
        <f>VLOOKUP(C1366,Customer_Dim!$A:$N,9,FALSE())</f>
        <v>Michelle Rogers</v>
      </c>
      <c r="T1366" s="4" t="str">
        <f>VLOOKUP(D1366,Product_Dim!$A:$M,3,FALSE())</f>
        <v>Electronics</v>
      </c>
      <c r="U1366" s="11" t="str">
        <f>VLOOKUP(D1366,Product_Dim!$A:$M,2,FALSE())</f>
        <v>Brother Laser Printer</v>
      </c>
      <c r="V1366" s="11" t="str">
        <f>VLOOKUP(E1366,Store_Dim!$A:$E,3,FALSE())</f>
        <v>West</v>
      </c>
      <c r="W1366" s="11" t="str">
        <f>VLOOKUP(C1366,Customer_Dim!$A:$N,13,FALSE())</f>
        <v>Platinum</v>
      </c>
      <c r="X1366" s="11" t="str">
        <f t="shared" si="153"/>
        <v>High</v>
      </c>
    </row>
    <row r="1367" spans="1:24" ht="15.75" customHeight="1">
      <c r="A1367" s="4" t="s">
        <v>3363</v>
      </c>
      <c r="B1367" s="9">
        <v>45646</v>
      </c>
      <c r="C1367" s="4" t="s">
        <v>623</v>
      </c>
      <c r="D1367" s="4" t="s">
        <v>1794</v>
      </c>
      <c r="E1367" s="4" t="s">
        <v>1910</v>
      </c>
      <c r="F1367" s="4">
        <v>4</v>
      </c>
      <c r="G1367" s="4">
        <v>925.95</v>
      </c>
      <c r="H1367" s="4">
        <v>0.16</v>
      </c>
      <c r="I1367" s="4" t="s">
        <v>2004</v>
      </c>
      <c r="J1367" s="10">
        <v>3111.192</v>
      </c>
      <c r="K1367" s="4" t="str">
        <f t="shared" si="147"/>
        <v>20-12-2024</v>
      </c>
      <c r="L1367" s="4" t="str">
        <f>TEXT(Sales_Fact!$B1367,"mmm")</f>
        <v>Dec</v>
      </c>
      <c r="M1367" s="4">
        <f t="shared" si="148"/>
        <v>4</v>
      </c>
      <c r="N1367" s="10">
        <f t="shared" si="149"/>
        <v>925.95</v>
      </c>
      <c r="O1367" s="10">
        <f t="shared" si="150"/>
        <v>3111.192</v>
      </c>
      <c r="P1367" s="10">
        <f t="shared" si="151"/>
        <v>3703.8</v>
      </c>
      <c r="Q1367" s="3">
        <f t="shared" si="152"/>
        <v>0.16000000000000003</v>
      </c>
      <c r="R1367" s="4" t="str">
        <f>IF(Sales_Fact!$O1367&gt;1000,"High","Low")</f>
        <v>High</v>
      </c>
      <c r="S1367" s="4" t="str">
        <f>VLOOKUP(C1367,Customer_Dim!$A:$N,9,FALSE())</f>
        <v>Erin Ward</v>
      </c>
      <c r="T1367" s="4" t="str">
        <f>VLOOKUP(D1367,Product_Dim!$A:$M,3,FALSE())</f>
        <v>Beauty</v>
      </c>
      <c r="U1367" s="11" t="str">
        <f>VLOOKUP(D1367,Product_Dim!$A:$M,2,FALSE())</f>
        <v>Organic Sunscreen Lotion</v>
      </c>
      <c r="V1367" s="11" t="str">
        <f>VLOOKUP(E1367,Store_Dim!$A:$E,3,FALSE())</f>
        <v>East</v>
      </c>
      <c r="W1367" s="11" t="str">
        <f>VLOOKUP(C1367,Customer_Dim!$A:$N,13,FALSE())</f>
        <v>Bronze</v>
      </c>
      <c r="X1367" s="11" t="str">
        <f t="shared" si="153"/>
        <v>High</v>
      </c>
    </row>
    <row r="1368" spans="1:24" ht="15.75" customHeight="1">
      <c r="A1368" s="4" t="s">
        <v>3364</v>
      </c>
      <c r="B1368" s="9">
        <v>45520</v>
      </c>
      <c r="C1368" s="4" t="s">
        <v>325</v>
      </c>
      <c r="D1368" s="4" t="s">
        <v>1758</v>
      </c>
      <c r="E1368" s="4" t="s">
        <v>1934</v>
      </c>
      <c r="F1368" s="4">
        <v>2</v>
      </c>
      <c r="G1368" s="4">
        <v>573.09</v>
      </c>
      <c r="H1368" s="4">
        <v>0.03</v>
      </c>
      <c r="I1368" s="4" t="s">
        <v>2004</v>
      </c>
      <c r="J1368" s="10">
        <v>1111.7945999999999</v>
      </c>
      <c r="K1368" s="4" t="str">
        <f t="shared" si="147"/>
        <v>16-08-2024</v>
      </c>
      <c r="L1368" s="4" t="str">
        <f>TEXT(Sales_Fact!$B1368,"mmm")</f>
        <v>Aug</v>
      </c>
      <c r="M1368" s="4">
        <f t="shared" si="148"/>
        <v>2</v>
      </c>
      <c r="N1368" s="10">
        <f t="shared" si="149"/>
        <v>573.09</v>
      </c>
      <c r="O1368" s="10">
        <f t="shared" si="150"/>
        <v>1111.7945999999999</v>
      </c>
      <c r="P1368" s="10">
        <f t="shared" si="151"/>
        <v>1146.18</v>
      </c>
      <c r="Q1368" s="3">
        <f t="shared" si="152"/>
        <v>3.00000000000001E-2</v>
      </c>
      <c r="R1368" s="4" t="str">
        <f>IF(Sales_Fact!$O1368&gt;1000,"High","Low")</f>
        <v>High</v>
      </c>
      <c r="S1368" s="4" t="str">
        <f>VLOOKUP(C1368,Customer_Dim!$A:$N,9,FALSE())</f>
        <v>Christy Hoffman</v>
      </c>
      <c r="T1368" s="4" t="str">
        <f>VLOOKUP(D1368,Product_Dim!$A:$M,3,FALSE())</f>
        <v>Electronics</v>
      </c>
      <c r="U1368" s="11" t="str">
        <f>VLOOKUP(D1368,Product_Dim!$A:$M,2,FALSE())</f>
        <v>HDMI Cable – 2m</v>
      </c>
      <c r="V1368" s="11" t="str">
        <f>VLOOKUP(E1368,Store_Dim!$A:$E,3,FALSE())</f>
        <v>East</v>
      </c>
      <c r="W1368" s="11" t="str">
        <f>VLOOKUP(C1368,Customer_Dim!$A:$N,13,FALSE())</f>
        <v>Platinum</v>
      </c>
      <c r="X1368" s="11" t="str">
        <f t="shared" si="153"/>
        <v>Low</v>
      </c>
    </row>
    <row r="1369" spans="1:24" ht="15.75" customHeight="1">
      <c r="A1369" s="4" t="s">
        <v>3365</v>
      </c>
      <c r="B1369" s="9">
        <v>45731</v>
      </c>
      <c r="C1369" s="4" t="s">
        <v>629</v>
      </c>
      <c r="D1369" s="4" t="s">
        <v>1608</v>
      </c>
      <c r="E1369" s="4" t="s">
        <v>1927</v>
      </c>
      <c r="F1369" s="4">
        <v>4</v>
      </c>
      <c r="G1369" s="4">
        <v>149.83000000000001</v>
      </c>
      <c r="H1369" s="4">
        <v>0.02</v>
      </c>
      <c r="I1369" s="4" t="s">
        <v>1996</v>
      </c>
      <c r="J1369" s="10">
        <v>587.33360000000005</v>
      </c>
      <c r="K1369" s="4" t="str">
        <f t="shared" si="147"/>
        <v>15-03-2025</v>
      </c>
      <c r="L1369" s="4" t="str">
        <f>TEXT(Sales_Fact!$B1369,"mmm")</f>
        <v>Mar</v>
      </c>
      <c r="M1369" s="4">
        <f t="shared" si="148"/>
        <v>4</v>
      </c>
      <c r="N1369" s="10">
        <f t="shared" si="149"/>
        <v>149.83000000000001</v>
      </c>
      <c r="O1369" s="10">
        <f t="shared" si="150"/>
        <v>587.33360000000005</v>
      </c>
      <c r="P1369" s="10">
        <f t="shared" si="151"/>
        <v>599.32000000000005</v>
      </c>
      <c r="Q1369" s="3">
        <f t="shared" si="152"/>
        <v>2.0000000000000004E-2</v>
      </c>
      <c r="R1369" s="4" t="str">
        <f>IF(Sales_Fact!$O1369&gt;1000,"High","Low")</f>
        <v>Low</v>
      </c>
      <c r="S1369" s="4" t="str">
        <f>VLOOKUP(C1369,Customer_Dim!$A:$N,9,FALSE())</f>
        <v>Mario Jacobs</v>
      </c>
      <c r="T1369" s="4" t="str">
        <f>VLOOKUP(D1369,Product_Dim!$A:$M,3,FALSE())</f>
        <v>Home</v>
      </c>
      <c r="U1369" s="11" t="str">
        <f>VLOOKUP(D1369,Product_Dim!$A:$M,2,FALSE())</f>
        <v>LED Table Lamp</v>
      </c>
      <c r="V1369" s="11" t="str">
        <f>VLOOKUP(E1369,Store_Dim!$A:$E,3,FALSE())</f>
        <v>South</v>
      </c>
      <c r="W1369" s="11" t="str">
        <f>VLOOKUP(C1369,Customer_Dim!$A:$N,13,FALSE())</f>
        <v>Platinum</v>
      </c>
      <c r="X1369" s="11" t="str">
        <f t="shared" si="153"/>
        <v>High</v>
      </c>
    </row>
    <row r="1370" spans="1:24" ht="15.75" customHeight="1">
      <c r="A1370" s="4" t="s">
        <v>3366</v>
      </c>
      <c r="B1370" s="9">
        <v>45677</v>
      </c>
      <c r="C1370" s="4" t="s">
        <v>325</v>
      </c>
      <c r="D1370" s="4" t="s">
        <v>1700</v>
      </c>
      <c r="E1370" s="4" t="s">
        <v>1965</v>
      </c>
      <c r="F1370" s="4"/>
      <c r="G1370" s="4">
        <v>863.11</v>
      </c>
      <c r="H1370" s="4">
        <v>0.28000000000000003</v>
      </c>
      <c r="I1370" s="4" t="s">
        <v>1998</v>
      </c>
      <c r="J1370" s="10">
        <v>1864.3176000000001</v>
      </c>
      <c r="K1370" s="4" t="str">
        <f t="shared" si="147"/>
        <v>20-01-2025</v>
      </c>
      <c r="L1370" s="4" t="str">
        <f>TEXT(Sales_Fact!$B1370,"mmm")</f>
        <v>Jan</v>
      </c>
      <c r="M1370" s="4">
        <f t="shared" si="148"/>
        <v>1</v>
      </c>
      <c r="N1370" s="10">
        <f t="shared" si="149"/>
        <v>863.11</v>
      </c>
      <c r="O1370" s="10">
        <f t="shared" si="150"/>
        <v>621.43920000000003</v>
      </c>
      <c r="P1370" s="10">
        <f t="shared" si="151"/>
        <v>863.11</v>
      </c>
      <c r="Q1370" s="3">
        <f t="shared" si="152"/>
        <v>0.27999999999999997</v>
      </c>
      <c r="R1370" s="4" t="str">
        <f>IF(Sales_Fact!$O1370&gt;1000,"High","Low")</f>
        <v>Low</v>
      </c>
      <c r="S1370" s="4" t="str">
        <f>VLOOKUP(C1370,Customer_Dim!$A:$N,9,FALSE())</f>
        <v>Christy Hoffman</v>
      </c>
      <c r="T1370" s="4" t="str">
        <f>VLOOKUP(D1370,Product_Dim!$A:$M,3,FALSE())</f>
        <v>Home</v>
      </c>
      <c r="U1370" s="11" t="str">
        <f>VLOOKUP(D1370,Product_Dim!$A:$M,2,FALSE())</f>
        <v>Modern Wall Clock</v>
      </c>
      <c r="V1370" s="11" t="str">
        <f>VLOOKUP(E1370,Store_Dim!$A:$E,3,FALSE())</f>
        <v>North</v>
      </c>
      <c r="W1370" s="11" t="str">
        <f>VLOOKUP(C1370,Customer_Dim!$A:$N,13,FALSE())</f>
        <v>Platinum</v>
      </c>
      <c r="X1370" s="11" t="str">
        <f t="shared" si="153"/>
        <v>Low</v>
      </c>
    </row>
    <row r="1371" spans="1:24" ht="15.75" customHeight="1">
      <c r="A1371" s="4" t="s">
        <v>3367</v>
      </c>
      <c r="B1371" s="9">
        <v>45445</v>
      </c>
      <c r="C1371" s="4" t="s">
        <v>29</v>
      </c>
      <c r="D1371" s="4" t="s">
        <v>1758</v>
      </c>
      <c r="E1371" s="4" t="s">
        <v>1957</v>
      </c>
      <c r="F1371" s="4">
        <v>3</v>
      </c>
      <c r="G1371" s="4">
        <v>287.70999999999998</v>
      </c>
      <c r="H1371" s="4">
        <v>0.03</v>
      </c>
      <c r="I1371" s="4" t="s">
        <v>2004</v>
      </c>
      <c r="J1371" s="10">
        <v>837.23609999999996</v>
      </c>
      <c r="K1371" s="4" t="str">
        <f t="shared" si="147"/>
        <v>02-06-2024</v>
      </c>
      <c r="L1371" s="4" t="str">
        <f>TEXT(Sales_Fact!$B1371,"mmm")</f>
        <v>Jun</v>
      </c>
      <c r="M1371" s="4">
        <f t="shared" si="148"/>
        <v>3</v>
      </c>
      <c r="N1371" s="10">
        <f t="shared" si="149"/>
        <v>287.70999999999998</v>
      </c>
      <c r="O1371" s="10">
        <f t="shared" si="150"/>
        <v>837.23609999999985</v>
      </c>
      <c r="P1371" s="10">
        <f t="shared" si="151"/>
        <v>863.12999999999988</v>
      </c>
      <c r="Q1371" s="3">
        <f t="shared" si="152"/>
        <v>3.0000000000000041E-2</v>
      </c>
      <c r="R1371" s="4" t="str">
        <f>IF(Sales_Fact!$O1371&gt;1000,"High","Low")</f>
        <v>Low</v>
      </c>
      <c r="S1371" s="4" t="str">
        <f>VLOOKUP(C1371,Customer_Dim!$A:$N,9,FALSE())</f>
        <v>Eugene Nelson</v>
      </c>
      <c r="T1371" s="4" t="str">
        <f>VLOOKUP(D1371,Product_Dim!$A:$M,3,FALSE())</f>
        <v>Electronics</v>
      </c>
      <c r="U1371" s="11" t="str">
        <f>VLOOKUP(D1371,Product_Dim!$A:$M,2,FALSE())</f>
        <v>HDMI Cable – 2m</v>
      </c>
      <c r="V1371" s="11" t="str">
        <f>VLOOKUP(E1371,Store_Dim!$A:$E,3,FALSE())</f>
        <v>South</v>
      </c>
      <c r="W1371" s="11" t="str">
        <f>VLOOKUP(C1371,Customer_Dim!$A:$N,13,FALSE())</f>
        <v>Platinum</v>
      </c>
      <c r="X1371" s="11" t="str">
        <f t="shared" si="153"/>
        <v>Low</v>
      </c>
    </row>
    <row r="1372" spans="1:24" ht="15.75" customHeight="1">
      <c r="A1372" s="4" t="s">
        <v>3368</v>
      </c>
      <c r="B1372" s="9">
        <v>45860</v>
      </c>
      <c r="C1372" s="4" t="s">
        <v>359</v>
      </c>
      <c r="D1372" s="4" t="s">
        <v>1806</v>
      </c>
      <c r="E1372" s="4" t="s">
        <v>1934</v>
      </c>
      <c r="F1372" s="4">
        <v>2</v>
      </c>
      <c r="G1372" s="4">
        <v>849.8</v>
      </c>
      <c r="H1372" s="4">
        <v>0.06</v>
      </c>
      <c r="I1372" s="4" t="s">
        <v>2004</v>
      </c>
      <c r="J1372" s="10">
        <v>1597.624</v>
      </c>
      <c r="K1372" s="4" t="str">
        <f t="shared" si="147"/>
        <v>22-07-2025</v>
      </c>
      <c r="L1372" s="4" t="str">
        <f>TEXT(Sales_Fact!$B1372,"mmm")</f>
        <v>Jul</v>
      </c>
      <c r="M1372" s="4">
        <f t="shared" si="148"/>
        <v>2</v>
      </c>
      <c r="N1372" s="10">
        <f t="shared" si="149"/>
        <v>849.8</v>
      </c>
      <c r="O1372" s="10">
        <f t="shared" si="150"/>
        <v>1597.6239999999998</v>
      </c>
      <c r="P1372" s="10">
        <f t="shared" si="151"/>
        <v>1699.6</v>
      </c>
      <c r="Q1372" s="3">
        <f t="shared" si="152"/>
        <v>6.0000000000000067E-2</v>
      </c>
      <c r="R1372" s="4" t="str">
        <f>IF(Sales_Fact!$O1372&gt;1000,"High","Low")</f>
        <v>High</v>
      </c>
      <c r="S1372" s="4" t="str">
        <f>VLOOKUP(C1372,Customer_Dim!$A:$N,9,FALSE())</f>
        <v>David Patterson</v>
      </c>
      <c r="T1372" s="4" t="str">
        <f>VLOOKUP(D1372,Product_Dim!$A:$M,3,FALSE())</f>
        <v>Electronics</v>
      </c>
      <c r="U1372" s="11" t="str">
        <f>VLOOKUP(D1372,Product_Dim!$A:$M,2,FALSE())</f>
        <v>Smart LED Light Strip</v>
      </c>
      <c r="V1372" s="11" t="str">
        <f>VLOOKUP(E1372,Store_Dim!$A:$E,3,FALSE())</f>
        <v>East</v>
      </c>
      <c r="W1372" s="11" t="str">
        <f>VLOOKUP(C1372,Customer_Dim!$A:$N,13,FALSE())</f>
        <v>Gold</v>
      </c>
      <c r="X1372" s="11" t="str">
        <f t="shared" si="153"/>
        <v>Low</v>
      </c>
    </row>
    <row r="1373" spans="1:24" ht="15.75" customHeight="1">
      <c r="A1373" s="4" t="s">
        <v>3369</v>
      </c>
      <c r="B1373" s="9">
        <v>45725</v>
      </c>
      <c r="C1373" s="4" t="s">
        <v>95</v>
      </c>
      <c r="D1373" s="4" t="s">
        <v>1726</v>
      </c>
      <c r="E1373" s="4" t="s">
        <v>1924</v>
      </c>
      <c r="F1373" s="4">
        <v>3</v>
      </c>
      <c r="G1373" s="4">
        <v>482.58</v>
      </c>
      <c r="H1373" s="4">
        <v>0.28000000000000003</v>
      </c>
      <c r="I1373" s="4" t="s">
        <v>1998</v>
      </c>
      <c r="J1373" s="10">
        <v>1042.3728000000001</v>
      </c>
      <c r="K1373" s="4" t="str">
        <f t="shared" si="147"/>
        <v>09-03-2025</v>
      </c>
      <c r="L1373" s="4" t="str">
        <f>TEXT(Sales_Fact!$B1373,"mmm")</f>
        <v>Mar</v>
      </c>
      <c r="M1373" s="4">
        <f t="shared" si="148"/>
        <v>3</v>
      </c>
      <c r="N1373" s="10">
        <f t="shared" si="149"/>
        <v>482.58</v>
      </c>
      <c r="O1373" s="10">
        <f t="shared" si="150"/>
        <v>1042.3727999999999</v>
      </c>
      <c r="P1373" s="10">
        <f t="shared" si="151"/>
        <v>1447.74</v>
      </c>
      <c r="Q1373" s="3">
        <f t="shared" si="152"/>
        <v>0.28000000000000008</v>
      </c>
      <c r="R1373" s="4" t="str">
        <f>IF(Sales_Fact!$O1373&gt;1000,"High","Low")</f>
        <v>High</v>
      </c>
      <c r="S1373" s="4" t="str">
        <f>VLOOKUP(C1373,Customer_Dim!$A:$N,9,FALSE())</f>
        <v>John Scott</v>
      </c>
      <c r="T1373" s="4" t="str">
        <f>VLOOKUP(D1373,Product_Dim!$A:$M,3,FALSE())</f>
        <v>Sports</v>
      </c>
      <c r="U1373" s="11" t="str">
        <f>VLOOKUP(D1373,Product_Dim!$A:$M,2,FALSE())</f>
        <v>Yoga Exercise Mat</v>
      </c>
      <c r="V1373" s="11" t="str">
        <f>VLOOKUP(E1373,Store_Dim!$A:$E,3,FALSE())</f>
        <v>North</v>
      </c>
      <c r="W1373" s="11" t="str">
        <f>VLOOKUP(C1373,Customer_Dim!$A:$N,13,FALSE())</f>
        <v>Bronze</v>
      </c>
      <c r="X1373" s="11" t="str">
        <f t="shared" si="153"/>
        <v>Low</v>
      </c>
    </row>
    <row r="1374" spans="1:24" ht="15.75" customHeight="1">
      <c r="A1374" s="4" t="s">
        <v>3370</v>
      </c>
      <c r="B1374" s="9">
        <v>45699</v>
      </c>
      <c r="C1374" s="4" t="s">
        <v>420</v>
      </c>
      <c r="D1374" s="4" t="s">
        <v>1782</v>
      </c>
      <c r="E1374" s="4" t="s">
        <v>1919</v>
      </c>
      <c r="F1374" s="4">
        <v>2</v>
      </c>
      <c r="G1374" s="4">
        <v>64.7</v>
      </c>
      <c r="H1374" s="4">
        <v>0</v>
      </c>
      <c r="I1374" s="4" t="s">
        <v>1996</v>
      </c>
      <c r="J1374" s="10">
        <v>129.4</v>
      </c>
      <c r="K1374" s="4" t="str">
        <f t="shared" si="147"/>
        <v>11-02-2025</v>
      </c>
      <c r="L1374" s="4" t="str">
        <f>TEXT(Sales_Fact!$B1374,"mmm")</f>
        <v>Feb</v>
      </c>
      <c r="M1374" s="4">
        <f t="shared" si="148"/>
        <v>2</v>
      </c>
      <c r="N1374" s="10">
        <f t="shared" si="149"/>
        <v>64.7</v>
      </c>
      <c r="O1374" s="10">
        <f t="shared" si="150"/>
        <v>129.4</v>
      </c>
      <c r="P1374" s="10">
        <f t="shared" si="151"/>
        <v>129.4</v>
      </c>
      <c r="Q1374" s="3">
        <f t="shared" si="152"/>
        <v>0</v>
      </c>
      <c r="R1374" s="4" t="str">
        <f>IF(Sales_Fact!$O1374&gt;1000,"High","Low")</f>
        <v>Low</v>
      </c>
      <c r="S1374" s="4" t="str">
        <f>VLOOKUP(C1374,Customer_Dim!$A:$N,9,FALSE())</f>
        <v>Ryan Hernandez</v>
      </c>
      <c r="T1374" s="4" t="str">
        <f>VLOOKUP(D1374,Product_Dim!$A:$M,3,FALSE())</f>
        <v>Beauty</v>
      </c>
      <c r="U1374" s="11" t="str">
        <f>VLOOKUP(D1374,Product_Dim!$A:$M,2,FALSE())</f>
        <v>Men's Hair Styling Gel</v>
      </c>
      <c r="V1374" s="11" t="str">
        <f>VLOOKUP(E1374,Store_Dim!$A:$E,3,FALSE())</f>
        <v>South</v>
      </c>
      <c r="W1374" s="11" t="str">
        <f>VLOOKUP(C1374,Customer_Dim!$A:$N,13,FALSE())</f>
        <v>Bronze</v>
      </c>
      <c r="X1374" s="11" t="str">
        <f t="shared" si="153"/>
        <v>Low</v>
      </c>
    </row>
    <row r="1375" spans="1:24" ht="15.75" customHeight="1">
      <c r="A1375" s="4" t="s">
        <v>3371</v>
      </c>
      <c r="B1375" s="9">
        <v>45266</v>
      </c>
      <c r="C1375" s="4" t="s">
        <v>523</v>
      </c>
      <c r="D1375" s="4" t="s">
        <v>1599</v>
      </c>
      <c r="E1375" s="4" t="s">
        <v>1931</v>
      </c>
      <c r="F1375" s="4">
        <v>3</v>
      </c>
      <c r="G1375" s="4">
        <v>589.83000000000004</v>
      </c>
      <c r="H1375" s="4">
        <v>0.26</v>
      </c>
      <c r="I1375" s="4" t="s">
        <v>1996</v>
      </c>
      <c r="J1375" s="10">
        <v>1309.4226000000001</v>
      </c>
      <c r="K1375" s="4" t="str">
        <f t="shared" si="147"/>
        <v>06-12-2023</v>
      </c>
      <c r="L1375" s="4" t="str">
        <f>TEXT(Sales_Fact!$B1375,"mmm")</f>
        <v>Dec</v>
      </c>
      <c r="M1375" s="4">
        <f t="shared" si="148"/>
        <v>3</v>
      </c>
      <c r="N1375" s="10">
        <f t="shared" si="149"/>
        <v>589.83000000000004</v>
      </c>
      <c r="O1375" s="10">
        <f t="shared" si="150"/>
        <v>1309.4226000000001</v>
      </c>
      <c r="P1375" s="10">
        <f t="shared" si="151"/>
        <v>1769.4900000000002</v>
      </c>
      <c r="Q1375" s="3">
        <f t="shared" si="152"/>
        <v>0.26000000000000006</v>
      </c>
      <c r="R1375" s="4" t="str">
        <f>IF(Sales_Fact!$O1375&gt;1000,"High","Low")</f>
        <v>High</v>
      </c>
      <c r="S1375" s="4" t="str">
        <f>VLOOKUP(C1375,Customer_Dim!$A:$N,9,FALSE())</f>
        <v>Theresa Campbell</v>
      </c>
      <c r="T1375" s="4" t="str">
        <f>VLOOKUP(D1375,Product_Dim!$A:$M,3,FALSE())</f>
        <v>Clothing</v>
      </c>
      <c r="U1375" s="11" t="str">
        <f>VLOOKUP(D1375,Product_Dim!$A:$M,2,FALSE())</f>
        <v>Men's Leather Belt</v>
      </c>
      <c r="V1375" s="11" t="str">
        <f>VLOOKUP(E1375,Store_Dim!$A:$E,3,FALSE())</f>
        <v>North</v>
      </c>
      <c r="W1375" s="11" t="str">
        <f>VLOOKUP(C1375,Customer_Dim!$A:$N,13,FALSE())</f>
        <v>Bronze</v>
      </c>
      <c r="X1375" s="11" t="str">
        <f t="shared" si="153"/>
        <v>Low</v>
      </c>
    </row>
    <row r="1376" spans="1:24" ht="15.75" customHeight="1">
      <c r="A1376" s="4" t="s">
        <v>3372</v>
      </c>
      <c r="B1376" s="9">
        <v>45889</v>
      </c>
      <c r="C1376" s="4" t="s">
        <v>942</v>
      </c>
      <c r="D1376" s="4" t="s">
        <v>1592</v>
      </c>
      <c r="E1376" s="4" t="s">
        <v>1944</v>
      </c>
      <c r="F1376" s="4">
        <v>4</v>
      </c>
      <c r="G1376" s="4">
        <v>758.49</v>
      </c>
      <c r="H1376" s="4">
        <v>0.16</v>
      </c>
      <c r="I1376" s="4" t="s">
        <v>2004</v>
      </c>
      <c r="J1376" s="10">
        <v>2548.5264000000002</v>
      </c>
      <c r="K1376" s="4" t="str">
        <f t="shared" si="147"/>
        <v>20-08-2025</v>
      </c>
      <c r="L1376" s="4" t="str">
        <f>TEXT(Sales_Fact!$B1376,"mmm")</f>
        <v>Aug</v>
      </c>
      <c r="M1376" s="4">
        <f t="shared" si="148"/>
        <v>4</v>
      </c>
      <c r="N1376" s="10">
        <f t="shared" si="149"/>
        <v>758.49</v>
      </c>
      <c r="O1376" s="10">
        <f t="shared" si="150"/>
        <v>2548.5263999999997</v>
      </c>
      <c r="P1376" s="10">
        <f t="shared" si="151"/>
        <v>3033.96</v>
      </c>
      <c r="Q1376" s="3">
        <f t="shared" si="152"/>
        <v>0.16000000000000009</v>
      </c>
      <c r="R1376" s="4" t="str">
        <f>IF(Sales_Fact!$O1376&gt;1000,"High","Low")</f>
        <v>High</v>
      </c>
      <c r="S1376" s="4" t="str">
        <f>VLOOKUP(C1376,Customer_Dim!$A:$N,9,FALSE())</f>
        <v>Misty Ferguson</v>
      </c>
      <c r="T1376" s="4" t="str">
        <f>VLOOKUP(D1376,Product_Dim!$A:$M,3,FALSE())</f>
        <v>Clothing</v>
      </c>
      <c r="U1376" s="11" t="str">
        <f>VLOOKUP(D1376,Product_Dim!$A:$M,2,FALSE())</f>
        <v>Men's Running Jacket</v>
      </c>
      <c r="V1376" s="11" t="str">
        <f>VLOOKUP(E1376,Store_Dim!$A:$E,3,FALSE())</f>
        <v>South</v>
      </c>
      <c r="W1376" s="11" t="str">
        <f>VLOOKUP(C1376,Customer_Dim!$A:$N,13,FALSE())</f>
        <v>Gold</v>
      </c>
      <c r="X1376" s="11" t="str">
        <f t="shared" si="153"/>
        <v>High</v>
      </c>
    </row>
    <row r="1377" spans="1:24" ht="15.75" customHeight="1">
      <c r="A1377" s="4" t="s">
        <v>3373</v>
      </c>
      <c r="B1377" s="9">
        <v>45555</v>
      </c>
      <c r="C1377" s="4" t="s">
        <v>223</v>
      </c>
      <c r="D1377" s="4" t="s">
        <v>1712</v>
      </c>
      <c r="E1377" s="4" t="s">
        <v>1952</v>
      </c>
      <c r="F1377" s="4">
        <v>4</v>
      </c>
      <c r="G1377" s="4">
        <v>747.56</v>
      </c>
      <c r="H1377" s="4">
        <v>0.09</v>
      </c>
      <c r="I1377" s="4" t="s">
        <v>2004</v>
      </c>
      <c r="J1377" s="10">
        <v>2721.1183999999998</v>
      </c>
      <c r="K1377" s="4" t="str">
        <f t="shared" si="147"/>
        <v>20-09-2024</v>
      </c>
      <c r="L1377" s="4" t="str">
        <f>TEXT(Sales_Fact!$B1377,"mmm")</f>
        <v>Sep</v>
      </c>
      <c r="M1377" s="4">
        <f t="shared" si="148"/>
        <v>4</v>
      </c>
      <c r="N1377" s="10">
        <f t="shared" si="149"/>
        <v>747.56</v>
      </c>
      <c r="O1377" s="10">
        <f t="shared" si="150"/>
        <v>2721.1183999999998</v>
      </c>
      <c r="P1377" s="10">
        <f t="shared" si="151"/>
        <v>2990.24</v>
      </c>
      <c r="Q1377" s="3">
        <f t="shared" si="152"/>
        <v>8.9999999999999983E-2</v>
      </c>
      <c r="R1377" s="4" t="str">
        <f>IF(Sales_Fact!$O1377&gt;1000,"High","Low")</f>
        <v>High</v>
      </c>
      <c r="S1377" s="4" t="str">
        <f>VLOOKUP(C1377,Customer_Dim!$A:$N,9,FALSE())</f>
        <v>Sharon Brown</v>
      </c>
      <c r="T1377" s="4" t="str">
        <f>VLOOKUP(D1377,Product_Dim!$A:$M,3,FALSE())</f>
        <v>Clothing</v>
      </c>
      <c r="U1377" s="11" t="str">
        <f>VLOOKUP(D1377,Product_Dim!$A:$M,2,FALSE())</f>
        <v>Men's Casual Sneakers</v>
      </c>
      <c r="V1377" s="11" t="str">
        <f>VLOOKUP(E1377,Store_Dim!$A:$E,3,FALSE())</f>
        <v>North</v>
      </c>
      <c r="W1377" s="11" t="str">
        <f>VLOOKUP(C1377,Customer_Dim!$A:$N,13,FALSE())</f>
        <v>Gold</v>
      </c>
      <c r="X1377" s="11" t="str">
        <f t="shared" si="153"/>
        <v>High</v>
      </c>
    </row>
    <row r="1378" spans="1:24" ht="15.75" customHeight="1">
      <c r="A1378" s="4" t="s">
        <v>3374</v>
      </c>
      <c r="B1378" s="9">
        <v>45813</v>
      </c>
      <c r="C1378" s="4" t="s">
        <v>837</v>
      </c>
      <c r="D1378" s="4" t="s">
        <v>1723</v>
      </c>
      <c r="E1378" s="4" t="s">
        <v>1965</v>
      </c>
      <c r="F1378" s="4">
        <v>3</v>
      </c>
      <c r="G1378" s="4">
        <v>551.22</v>
      </c>
      <c r="H1378" s="4">
        <v>0.12</v>
      </c>
      <c r="I1378" s="4" t="s">
        <v>1998</v>
      </c>
      <c r="J1378" s="10">
        <v>1455.2208000000001</v>
      </c>
      <c r="K1378" s="4" t="str">
        <f t="shared" si="147"/>
        <v>05-06-2025</v>
      </c>
      <c r="L1378" s="4" t="str">
        <f>TEXT(Sales_Fact!$B1378,"mmm")</f>
        <v>Jun</v>
      </c>
      <c r="M1378" s="4">
        <f t="shared" si="148"/>
        <v>3</v>
      </c>
      <c r="N1378" s="10">
        <f t="shared" si="149"/>
        <v>551.22</v>
      </c>
      <c r="O1378" s="10">
        <f t="shared" si="150"/>
        <v>1455.2208000000001</v>
      </c>
      <c r="P1378" s="10">
        <f t="shared" si="151"/>
        <v>1653.66</v>
      </c>
      <c r="Q1378" s="3">
        <f t="shared" si="152"/>
        <v>0.12000000000000001</v>
      </c>
      <c r="R1378" s="4" t="str">
        <f>IF(Sales_Fact!$O1378&gt;1000,"High","Low")</f>
        <v>High</v>
      </c>
      <c r="S1378" s="4" t="str">
        <f>VLOOKUP(C1378,Customer_Dim!$A:$N,9,FALSE())</f>
        <v>Dr. Ashley Yates Md</v>
      </c>
      <c r="T1378" s="4" t="str">
        <f>VLOOKUP(D1378,Product_Dim!$A:$M,3,FALSE())</f>
        <v>Electronics</v>
      </c>
      <c r="U1378" s="11" t="str">
        <f>VLOOKUP(D1378,Product_Dim!$A:$M,2,FALSE())</f>
        <v>Noise-Canceling Headphones</v>
      </c>
      <c r="V1378" s="11" t="str">
        <f>VLOOKUP(E1378,Store_Dim!$A:$E,3,FALSE())</f>
        <v>North</v>
      </c>
      <c r="W1378" s="11" t="str">
        <f>VLOOKUP(C1378,Customer_Dim!$A:$N,13,FALSE())</f>
        <v>Bronze</v>
      </c>
      <c r="X1378" s="11" t="str">
        <f t="shared" si="153"/>
        <v>Low</v>
      </c>
    </row>
    <row r="1379" spans="1:24" ht="15.75" customHeight="1">
      <c r="A1379" s="4" t="s">
        <v>3375</v>
      </c>
      <c r="B1379" s="9">
        <v>45811</v>
      </c>
      <c r="C1379" s="4" t="s">
        <v>556</v>
      </c>
      <c r="D1379" s="4" t="s">
        <v>1813</v>
      </c>
      <c r="E1379" s="4" t="s">
        <v>1957</v>
      </c>
      <c r="F1379" s="4">
        <v>2</v>
      </c>
      <c r="G1379" s="4">
        <v>527.05999999999995</v>
      </c>
      <c r="H1379" s="4">
        <v>0.17</v>
      </c>
      <c r="I1379" s="4" t="s">
        <v>1998</v>
      </c>
      <c r="J1379" s="10">
        <v>874.91959999999995</v>
      </c>
      <c r="K1379" s="4" t="str">
        <f t="shared" si="147"/>
        <v>03-06-2025</v>
      </c>
      <c r="L1379" s="4" t="str">
        <f>TEXT(Sales_Fact!$B1379,"mmm")</f>
        <v>Jun</v>
      </c>
      <c r="M1379" s="4">
        <f t="shared" si="148"/>
        <v>2</v>
      </c>
      <c r="N1379" s="10">
        <f t="shared" si="149"/>
        <v>527.05999999999995</v>
      </c>
      <c r="O1379" s="10">
        <f t="shared" si="150"/>
        <v>874.91959999999983</v>
      </c>
      <c r="P1379" s="10">
        <f t="shared" si="151"/>
        <v>1054.1199999999999</v>
      </c>
      <c r="Q1379" s="3">
        <f t="shared" si="152"/>
        <v>0.17000000000000007</v>
      </c>
      <c r="R1379" s="4" t="str">
        <f>IF(Sales_Fact!$O1379&gt;1000,"High","Low")</f>
        <v>Low</v>
      </c>
      <c r="S1379" s="4" t="str">
        <f>VLOOKUP(C1379,Customer_Dim!$A:$N,9,FALSE())</f>
        <v>Brian Choi</v>
      </c>
      <c r="T1379" s="4" t="str">
        <f>VLOOKUP(D1379,Product_Dim!$A:$M,3,FALSE())</f>
        <v>Clothing</v>
      </c>
      <c r="U1379" s="11" t="str">
        <f>VLOOKUP(D1379,Product_Dim!$A:$M,2,FALSE())</f>
        <v>Men's Sports Shorts</v>
      </c>
      <c r="V1379" s="11" t="str">
        <f>VLOOKUP(E1379,Store_Dim!$A:$E,3,FALSE())</f>
        <v>South</v>
      </c>
      <c r="W1379" s="11" t="str">
        <f>VLOOKUP(C1379,Customer_Dim!$A:$N,13,FALSE())</f>
        <v>Gold</v>
      </c>
      <c r="X1379" s="11" t="str">
        <f t="shared" si="153"/>
        <v>Low</v>
      </c>
    </row>
    <row r="1380" spans="1:24" ht="15.75" customHeight="1">
      <c r="A1380" s="4" t="s">
        <v>3376</v>
      </c>
      <c r="B1380" s="9">
        <v>45670</v>
      </c>
      <c r="C1380" s="4" t="s">
        <v>371</v>
      </c>
      <c r="D1380" s="4" t="s">
        <v>1791</v>
      </c>
      <c r="E1380" s="4" t="s">
        <v>1931</v>
      </c>
      <c r="F1380" s="4">
        <v>4</v>
      </c>
      <c r="G1380" s="4">
        <v>875.41</v>
      </c>
      <c r="H1380" s="4">
        <v>0.27</v>
      </c>
      <c r="I1380" s="4" t="s">
        <v>1996</v>
      </c>
      <c r="J1380" s="10">
        <v>2556.1972000000001</v>
      </c>
      <c r="K1380" s="4" t="str">
        <f t="shared" si="147"/>
        <v>13-01-2025</v>
      </c>
      <c r="L1380" s="4" t="str">
        <f>TEXT(Sales_Fact!$B1380,"mmm")</f>
        <v>Jan</v>
      </c>
      <c r="M1380" s="4">
        <f t="shared" si="148"/>
        <v>4</v>
      </c>
      <c r="N1380" s="10">
        <f t="shared" si="149"/>
        <v>875.41</v>
      </c>
      <c r="O1380" s="10">
        <f t="shared" si="150"/>
        <v>2556.1972000000001</v>
      </c>
      <c r="P1380" s="10">
        <f t="shared" si="151"/>
        <v>3501.64</v>
      </c>
      <c r="Q1380" s="3">
        <f t="shared" si="152"/>
        <v>0.26999999999999996</v>
      </c>
      <c r="R1380" s="4" t="str">
        <f>IF(Sales_Fact!$O1380&gt;1000,"High","Low")</f>
        <v>High</v>
      </c>
      <c r="S1380" s="4" t="str">
        <f>VLOOKUP(C1380,Customer_Dim!$A:$N,9,FALSE())</f>
        <v>Brittney Morgan</v>
      </c>
      <c r="T1380" s="4" t="str">
        <f>VLOOKUP(D1380,Product_Dim!$A:$M,3,FALSE())</f>
        <v>Electronics</v>
      </c>
      <c r="U1380" s="11" t="str">
        <f>VLOOKUP(D1380,Product_Dim!$A:$M,2,FALSE())</f>
        <v>Laptop Cooling Pad</v>
      </c>
      <c r="V1380" s="11" t="str">
        <f>VLOOKUP(E1380,Store_Dim!$A:$E,3,FALSE())</f>
        <v>North</v>
      </c>
      <c r="W1380" s="11" t="str">
        <f>VLOOKUP(C1380,Customer_Dim!$A:$N,13,FALSE())</f>
        <v>Gold</v>
      </c>
      <c r="X1380" s="11" t="str">
        <f t="shared" si="153"/>
        <v>High</v>
      </c>
    </row>
    <row r="1381" spans="1:24" ht="15.75" customHeight="1">
      <c r="A1381" s="4" t="s">
        <v>3377</v>
      </c>
      <c r="B1381" s="9">
        <v>45538</v>
      </c>
      <c r="C1381" s="4" t="s">
        <v>688</v>
      </c>
      <c r="D1381" s="4" t="s">
        <v>1732</v>
      </c>
      <c r="E1381" s="4" t="s">
        <v>1952</v>
      </c>
      <c r="F1381" s="4">
        <v>2</v>
      </c>
      <c r="G1381" s="4">
        <v>209.32</v>
      </c>
      <c r="H1381" s="4">
        <v>0.23</v>
      </c>
      <c r="I1381" s="4" t="s">
        <v>2004</v>
      </c>
      <c r="J1381" s="10">
        <v>322.3528</v>
      </c>
      <c r="K1381" s="4" t="str">
        <f t="shared" si="147"/>
        <v>03-09-2024</v>
      </c>
      <c r="L1381" s="4" t="str">
        <f>TEXT(Sales_Fact!$B1381,"mmm")</f>
        <v>Sep</v>
      </c>
      <c r="M1381" s="4">
        <f t="shared" si="148"/>
        <v>2</v>
      </c>
      <c r="N1381" s="10">
        <f t="shared" si="149"/>
        <v>209.32</v>
      </c>
      <c r="O1381" s="10">
        <f t="shared" si="150"/>
        <v>322.3528</v>
      </c>
      <c r="P1381" s="10">
        <f t="shared" si="151"/>
        <v>418.64</v>
      </c>
      <c r="Q1381" s="3">
        <f t="shared" si="152"/>
        <v>0.22999999999999998</v>
      </c>
      <c r="R1381" s="4" t="str">
        <f>IF(Sales_Fact!$O1381&gt;1000,"High","Low")</f>
        <v>Low</v>
      </c>
      <c r="S1381" s="4" t="str">
        <f>VLOOKUP(C1381,Customer_Dim!$A:$N,9,FALSE())</f>
        <v>Sarah Brady</v>
      </c>
      <c r="T1381" s="4" t="str">
        <f>VLOOKUP(D1381,Product_Dim!$A:$M,3,FALSE())</f>
        <v>Electronics</v>
      </c>
      <c r="U1381" s="11" t="str">
        <f>VLOOKUP(D1381,Product_Dim!$A:$M,2,FALSE())</f>
        <v>USB External Hard Drive</v>
      </c>
      <c r="V1381" s="11" t="str">
        <f>VLOOKUP(E1381,Store_Dim!$A:$E,3,FALSE())</f>
        <v>North</v>
      </c>
      <c r="W1381" s="11" t="str">
        <f>VLOOKUP(C1381,Customer_Dim!$A:$N,13,FALSE())</f>
        <v>Platinum</v>
      </c>
      <c r="X1381" s="11" t="str">
        <f t="shared" si="153"/>
        <v>Low</v>
      </c>
    </row>
    <row r="1382" spans="1:24" ht="15.75" customHeight="1">
      <c r="A1382" s="4" t="s">
        <v>3378</v>
      </c>
      <c r="B1382" s="9">
        <v>45736</v>
      </c>
      <c r="C1382" s="4" t="s">
        <v>59</v>
      </c>
      <c r="D1382" s="4" t="s">
        <v>1861</v>
      </c>
      <c r="E1382" s="4" t="s">
        <v>1910</v>
      </c>
      <c r="F1382" s="4">
        <v>2</v>
      </c>
      <c r="G1382" s="4">
        <v>226.43</v>
      </c>
      <c r="H1382" s="4">
        <v>0.03</v>
      </c>
      <c r="I1382" s="4" t="s">
        <v>1996</v>
      </c>
      <c r="J1382" s="10">
        <v>439.27420000000001</v>
      </c>
      <c r="K1382" s="4" t="str">
        <f t="shared" si="147"/>
        <v>20-03-2025</v>
      </c>
      <c r="L1382" s="4" t="str">
        <f>TEXT(Sales_Fact!$B1382,"mmm")</f>
        <v>Mar</v>
      </c>
      <c r="M1382" s="4">
        <f t="shared" si="148"/>
        <v>2</v>
      </c>
      <c r="N1382" s="10">
        <f t="shared" si="149"/>
        <v>226.43</v>
      </c>
      <c r="O1382" s="10">
        <f t="shared" si="150"/>
        <v>439.27420000000001</v>
      </c>
      <c r="P1382" s="10">
        <f t="shared" si="151"/>
        <v>452.86</v>
      </c>
      <c r="Q1382" s="3">
        <f t="shared" si="152"/>
        <v>3.0000000000000013E-2</v>
      </c>
      <c r="R1382" s="4" t="str">
        <f>IF(Sales_Fact!$O1382&gt;1000,"High","Low")</f>
        <v>Low</v>
      </c>
      <c r="S1382" s="4" t="str">
        <f>VLOOKUP(C1382,Customer_Dim!$A:$N,9,FALSE())</f>
        <v>Daniel Boyd</v>
      </c>
      <c r="T1382" s="4" t="str">
        <f>VLOOKUP(D1382,Product_Dim!$A:$M,3,FALSE())</f>
        <v>Clothing</v>
      </c>
      <c r="U1382" s="11" t="str">
        <f>VLOOKUP(D1382,Product_Dim!$A:$M,2,FALSE())</f>
        <v>Women's Beanie Hat</v>
      </c>
      <c r="V1382" s="11" t="str">
        <f>VLOOKUP(E1382,Store_Dim!$A:$E,3,FALSE())</f>
        <v>East</v>
      </c>
      <c r="W1382" s="11" t="str">
        <f>VLOOKUP(C1382,Customer_Dim!$A:$N,13,FALSE())</f>
        <v>Bronze</v>
      </c>
      <c r="X1382" s="11" t="str">
        <f t="shared" si="153"/>
        <v>Low</v>
      </c>
    </row>
    <row r="1383" spans="1:24" ht="15.75" customHeight="1">
      <c r="A1383" s="4" t="s">
        <v>3379</v>
      </c>
      <c r="B1383" s="9">
        <v>45480</v>
      </c>
      <c r="C1383" s="4" t="s">
        <v>162</v>
      </c>
      <c r="D1383" s="4" t="s">
        <v>1843</v>
      </c>
      <c r="E1383" s="4" t="s">
        <v>1931</v>
      </c>
      <c r="F1383" s="4">
        <v>2</v>
      </c>
      <c r="G1383" s="4">
        <v>285.39</v>
      </c>
      <c r="H1383" s="4">
        <v>0.1</v>
      </c>
      <c r="I1383" s="4" t="s">
        <v>1996</v>
      </c>
      <c r="J1383" s="10">
        <v>513.702</v>
      </c>
      <c r="K1383" s="4" t="str">
        <f t="shared" si="147"/>
        <v>07-07-2024</v>
      </c>
      <c r="L1383" s="4" t="str">
        <f>TEXT(Sales_Fact!$B1383,"mmm")</f>
        <v>Jul</v>
      </c>
      <c r="M1383" s="4">
        <f t="shared" si="148"/>
        <v>2</v>
      </c>
      <c r="N1383" s="10">
        <f t="shared" si="149"/>
        <v>285.39</v>
      </c>
      <c r="O1383" s="10">
        <f t="shared" si="150"/>
        <v>513.702</v>
      </c>
      <c r="P1383" s="10">
        <f t="shared" si="151"/>
        <v>570.78</v>
      </c>
      <c r="Q1383" s="3">
        <f t="shared" si="152"/>
        <v>9.9999999999999964E-2</v>
      </c>
      <c r="R1383" s="4" t="str">
        <f>IF(Sales_Fact!$O1383&gt;1000,"High","Low")</f>
        <v>Low</v>
      </c>
      <c r="S1383" s="4" t="str">
        <f>VLOOKUP(C1383,Customer_Dim!$A:$N,9,FALSE())</f>
        <v>Rachel Myers</v>
      </c>
      <c r="T1383" s="4" t="str">
        <f>VLOOKUP(D1383,Product_Dim!$A:$M,3,FALSE())</f>
        <v>Home</v>
      </c>
      <c r="U1383" s="11" t="str">
        <f>VLOOKUP(D1383,Product_Dim!$A:$M,2,FALSE())</f>
        <v>Decorative Lamp Shade</v>
      </c>
      <c r="V1383" s="11" t="str">
        <f>VLOOKUP(E1383,Store_Dim!$A:$E,3,FALSE())</f>
        <v>North</v>
      </c>
      <c r="W1383" s="11" t="str">
        <f>VLOOKUP(C1383,Customer_Dim!$A:$N,13,FALSE())</f>
        <v>Silver</v>
      </c>
      <c r="X1383" s="11" t="str">
        <f t="shared" si="153"/>
        <v>Low</v>
      </c>
    </row>
    <row r="1384" spans="1:24" ht="15.75" customHeight="1">
      <c r="A1384" s="4" t="s">
        <v>3380</v>
      </c>
      <c r="B1384" s="9">
        <v>45929</v>
      </c>
      <c r="C1384" s="4" t="s">
        <v>1078</v>
      </c>
      <c r="D1384" s="4" t="s">
        <v>1626</v>
      </c>
      <c r="E1384" s="4" t="s">
        <v>1959</v>
      </c>
      <c r="F1384" s="4">
        <v>2</v>
      </c>
      <c r="G1384" s="4">
        <v>298.01</v>
      </c>
      <c r="H1384" s="4">
        <v>0.05</v>
      </c>
      <c r="I1384" s="4" t="s">
        <v>1996</v>
      </c>
      <c r="J1384" s="10">
        <v>566.21900000000005</v>
      </c>
      <c r="K1384" s="4" t="str">
        <f t="shared" si="147"/>
        <v>29-09-2025</v>
      </c>
      <c r="L1384" s="4" t="str">
        <f>TEXT(Sales_Fact!$B1384,"mmm")</f>
        <v>Sep</v>
      </c>
      <c r="M1384" s="4">
        <f t="shared" si="148"/>
        <v>2</v>
      </c>
      <c r="N1384" s="10">
        <f t="shared" si="149"/>
        <v>298.01</v>
      </c>
      <c r="O1384" s="10">
        <f t="shared" si="150"/>
        <v>566.21899999999994</v>
      </c>
      <c r="P1384" s="10">
        <f t="shared" si="151"/>
        <v>596.02</v>
      </c>
      <c r="Q1384" s="3">
        <f t="shared" si="152"/>
        <v>5.0000000000000079E-2</v>
      </c>
      <c r="R1384" s="4" t="str">
        <f>IF(Sales_Fact!$O1384&gt;1000,"High","Low")</f>
        <v>Low</v>
      </c>
      <c r="S1384" s="4" t="str">
        <f>VLOOKUP(C1384,Customer_Dim!$A:$N,9,FALSE())</f>
        <v>Mr. Christopher Sims</v>
      </c>
      <c r="T1384" s="4" t="str">
        <f>VLOOKUP(D1384,Product_Dim!$A:$M,3,FALSE())</f>
        <v>Electronics</v>
      </c>
      <c r="U1384" s="11" t="str">
        <f>VLOOKUP(D1384,Product_Dim!$A:$M,2,FALSE())</f>
        <v>HD Smart TV Stick</v>
      </c>
      <c r="V1384" s="11" t="str">
        <f>VLOOKUP(E1384,Store_Dim!$A:$E,3,FALSE())</f>
        <v>North</v>
      </c>
      <c r="W1384" s="11" t="str">
        <f>VLOOKUP(C1384,Customer_Dim!$A:$N,13,FALSE())</f>
        <v>Silver</v>
      </c>
      <c r="X1384" s="11" t="str">
        <f t="shared" si="153"/>
        <v>Low</v>
      </c>
    </row>
    <row r="1385" spans="1:24" ht="15.75" customHeight="1">
      <c r="A1385" s="4" t="s">
        <v>3381</v>
      </c>
      <c r="B1385" s="9">
        <v>45626</v>
      </c>
      <c r="C1385" s="4" t="s">
        <v>556</v>
      </c>
      <c r="D1385" s="4" t="s">
        <v>1723</v>
      </c>
      <c r="E1385" s="4" t="s">
        <v>1927</v>
      </c>
      <c r="F1385" s="4">
        <v>4</v>
      </c>
      <c r="G1385" s="4">
        <v>753.49</v>
      </c>
      <c r="H1385" s="4">
        <v>0.26</v>
      </c>
      <c r="I1385" s="4" t="s">
        <v>2004</v>
      </c>
      <c r="J1385" s="10">
        <v>2230.3303999999998</v>
      </c>
      <c r="K1385" s="4" t="str">
        <f t="shared" si="147"/>
        <v>30-11-2024</v>
      </c>
      <c r="L1385" s="4" t="str">
        <f>TEXT(Sales_Fact!$B1385,"mmm")</f>
        <v>Nov</v>
      </c>
      <c r="M1385" s="4">
        <f t="shared" si="148"/>
        <v>4</v>
      </c>
      <c r="N1385" s="10">
        <f t="shared" si="149"/>
        <v>753.49</v>
      </c>
      <c r="O1385" s="10">
        <f t="shared" si="150"/>
        <v>2230.3303999999998</v>
      </c>
      <c r="P1385" s="10">
        <f t="shared" si="151"/>
        <v>3013.96</v>
      </c>
      <c r="Q1385" s="3">
        <f t="shared" si="152"/>
        <v>0.26000000000000006</v>
      </c>
      <c r="R1385" s="4" t="str">
        <f>IF(Sales_Fact!$O1385&gt;1000,"High","Low")</f>
        <v>High</v>
      </c>
      <c r="S1385" s="4" t="str">
        <f>VLOOKUP(C1385,Customer_Dim!$A:$N,9,FALSE())</f>
        <v>Brian Choi</v>
      </c>
      <c r="T1385" s="4" t="str">
        <f>VLOOKUP(D1385,Product_Dim!$A:$M,3,FALSE())</f>
        <v>Electronics</v>
      </c>
      <c r="U1385" s="11" t="str">
        <f>VLOOKUP(D1385,Product_Dim!$A:$M,2,FALSE())</f>
        <v>Noise-Canceling Headphones</v>
      </c>
      <c r="V1385" s="11" t="str">
        <f>VLOOKUP(E1385,Store_Dim!$A:$E,3,FALSE())</f>
        <v>South</v>
      </c>
      <c r="W1385" s="11" t="str">
        <f>VLOOKUP(C1385,Customer_Dim!$A:$N,13,FALSE())</f>
        <v>Gold</v>
      </c>
      <c r="X1385" s="11" t="str">
        <f t="shared" si="153"/>
        <v>High</v>
      </c>
    </row>
    <row r="1386" spans="1:24" ht="15.75" customHeight="1">
      <c r="A1386" s="4" t="s">
        <v>3382</v>
      </c>
      <c r="B1386" s="9">
        <v>45460</v>
      </c>
      <c r="C1386" s="4" t="s">
        <v>1530</v>
      </c>
      <c r="D1386" s="4" t="s">
        <v>1840</v>
      </c>
      <c r="E1386" s="4" t="s">
        <v>1952</v>
      </c>
      <c r="F1386" s="4">
        <v>2</v>
      </c>
      <c r="G1386" s="4">
        <v>130.38999999999999</v>
      </c>
      <c r="H1386" s="4">
        <v>0.17</v>
      </c>
      <c r="I1386" s="4" t="s">
        <v>1998</v>
      </c>
      <c r="J1386" s="10">
        <v>216.44739999999999</v>
      </c>
      <c r="K1386" s="4" t="str">
        <f t="shared" si="147"/>
        <v>17-06-2024</v>
      </c>
      <c r="L1386" s="4" t="str">
        <f>TEXT(Sales_Fact!$B1386,"mmm")</f>
        <v>Jun</v>
      </c>
      <c r="M1386" s="4">
        <f t="shared" si="148"/>
        <v>2</v>
      </c>
      <c r="N1386" s="10">
        <f t="shared" si="149"/>
        <v>130.38999999999999</v>
      </c>
      <c r="O1386" s="10">
        <f t="shared" si="150"/>
        <v>216.44739999999996</v>
      </c>
      <c r="P1386" s="10">
        <f t="shared" si="151"/>
        <v>260.77999999999997</v>
      </c>
      <c r="Q1386" s="3">
        <f t="shared" si="152"/>
        <v>0.17000000000000007</v>
      </c>
      <c r="R1386" s="4" t="str">
        <f>IF(Sales_Fact!$O1386&gt;1000,"High","Low")</f>
        <v>Low</v>
      </c>
      <c r="S1386" s="4" t="str">
        <f>VLOOKUP(C1386,Customer_Dim!$A:$N,9,FALSE())</f>
        <v>Zachary Andrade</v>
      </c>
      <c r="T1386" s="4" t="str">
        <f>VLOOKUP(D1386,Product_Dim!$A:$M,3,FALSE())</f>
        <v>Home</v>
      </c>
      <c r="U1386" s="11" t="str">
        <f>VLOOKUP(D1386,Product_Dim!$A:$M,2,FALSE())</f>
        <v>Essential Oil Diffuser</v>
      </c>
      <c r="V1386" s="11" t="str">
        <f>VLOOKUP(E1386,Store_Dim!$A:$E,3,FALSE())</f>
        <v>North</v>
      </c>
      <c r="W1386" s="11" t="str">
        <f>VLOOKUP(C1386,Customer_Dim!$A:$N,13,FALSE())</f>
        <v>Platinum</v>
      </c>
      <c r="X1386" s="11" t="str">
        <f t="shared" si="153"/>
        <v>Low</v>
      </c>
    </row>
    <row r="1387" spans="1:24" ht="15.75" customHeight="1">
      <c r="A1387" s="4" t="s">
        <v>3383</v>
      </c>
      <c r="B1387" s="9">
        <v>45709</v>
      </c>
      <c r="C1387" s="4" t="s">
        <v>1111</v>
      </c>
      <c r="D1387" s="4" t="s">
        <v>1665</v>
      </c>
      <c r="E1387" s="4" t="s">
        <v>1944</v>
      </c>
      <c r="F1387" s="4">
        <v>4</v>
      </c>
      <c r="G1387" s="4">
        <v>164.02</v>
      </c>
      <c r="H1387" s="4">
        <v>0.01</v>
      </c>
      <c r="I1387" s="4" t="s">
        <v>1998</v>
      </c>
      <c r="J1387" s="10">
        <v>649.51919999999996</v>
      </c>
      <c r="K1387" s="4" t="str">
        <f t="shared" si="147"/>
        <v>21-02-2025</v>
      </c>
      <c r="L1387" s="4" t="str">
        <f>TEXT(Sales_Fact!$B1387,"mmm")</f>
        <v>Feb</v>
      </c>
      <c r="M1387" s="4">
        <f t="shared" si="148"/>
        <v>4</v>
      </c>
      <c r="N1387" s="10">
        <f t="shared" si="149"/>
        <v>164.02</v>
      </c>
      <c r="O1387" s="10">
        <f t="shared" si="150"/>
        <v>649.51920000000007</v>
      </c>
      <c r="P1387" s="10">
        <f t="shared" si="151"/>
        <v>656.08</v>
      </c>
      <c r="Q1387" s="3">
        <f t="shared" si="152"/>
        <v>9.9999999999999568E-3</v>
      </c>
      <c r="R1387" s="4" t="str">
        <f>IF(Sales_Fact!$O1387&gt;1000,"High","Low")</f>
        <v>Low</v>
      </c>
      <c r="S1387" s="4" t="str">
        <f>VLOOKUP(C1387,Customer_Dim!$A:$N,9,FALSE())</f>
        <v>Daniel Nelson</v>
      </c>
      <c r="T1387" s="4" t="str">
        <f>VLOOKUP(D1387,Product_Dim!$A:$M,3,FALSE())</f>
        <v>Sports</v>
      </c>
      <c r="U1387" s="11" t="str">
        <f>VLOOKUP(D1387,Product_Dim!$A:$M,2,FALSE())</f>
        <v>Carbon Fiber Tennis Racket</v>
      </c>
      <c r="V1387" s="11" t="str">
        <f>VLOOKUP(E1387,Store_Dim!$A:$E,3,FALSE())</f>
        <v>South</v>
      </c>
      <c r="W1387" s="11" t="str">
        <f>VLOOKUP(C1387,Customer_Dim!$A:$N,13,FALSE())</f>
        <v>Bronze</v>
      </c>
      <c r="X1387" s="11" t="str">
        <f t="shared" si="153"/>
        <v>High</v>
      </c>
    </row>
    <row r="1388" spans="1:24" ht="15.75" customHeight="1">
      <c r="A1388" s="4" t="s">
        <v>3384</v>
      </c>
      <c r="B1388" s="9">
        <v>45551</v>
      </c>
      <c r="C1388" s="4" t="s">
        <v>571</v>
      </c>
      <c r="D1388" s="4" t="s">
        <v>1687</v>
      </c>
      <c r="E1388" s="4" t="s">
        <v>1927</v>
      </c>
      <c r="F1388" s="4">
        <v>2</v>
      </c>
      <c r="G1388" s="4">
        <v>527.51</v>
      </c>
      <c r="H1388" s="4">
        <v>0.18</v>
      </c>
      <c r="I1388" s="4" t="s">
        <v>1998</v>
      </c>
      <c r="J1388" s="10">
        <v>865.1164</v>
      </c>
      <c r="K1388" s="4" t="str">
        <f t="shared" si="147"/>
        <v>16-09-2024</v>
      </c>
      <c r="L1388" s="4" t="str">
        <f>TEXT(Sales_Fact!$B1388,"mmm")</f>
        <v>Sep</v>
      </c>
      <c r="M1388" s="4">
        <f t="shared" si="148"/>
        <v>2</v>
      </c>
      <c r="N1388" s="10">
        <f t="shared" si="149"/>
        <v>527.51</v>
      </c>
      <c r="O1388" s="10">
        <f t="shared" si="150"/>
        <v>865.1164</v>
      </c>
      <c r="P1388" s="10">
        <f t="shared" si="151"/>
        <v>1055.02</v>
      </c>
      <c r="Q1388" s="3">
        <f t="shared" si="152"/>
        <v>0.18</v>
      </c>
      <c r="R1388" s="4" t="str">
        <f>IF(Sales_Fact!$O1388&gt;1000,"High","Low")</f>
        <v>Low</v>
      </c>
      <c r="S1388" s="4" t="str">
        <f>VLOOKUP(C1388,Customer_Dim!$A:$N,9,FALSE())</f>
        <v>Daniel Rivas</v>
      </c>
      <c r="T1388" s="4" t="str">
        <f>VLOOKUP(D1388,Product_Dim!$A:$M,3,FALSE())</f>
        <v>Home</v>
      </c>
      <c r="U1388" s="11" t="str">
        <f>VLOOKUP(D1388,Product_Dim!$A:$M,2,FALSE())</f>
        <v>Fabric Sofa Throw Blanket</v>
      </c>
      <c r="V1388" s="11" t="str">
        <f>VLOOKUP(E1388,Store_Dim!$A:$E,3,FALSE())</f>
        <v>South</v>
      </c>
      <c r="W1388" s="11" t="str">
        <f>VLOOKUP(C1388,Customer_Dim!$A:$N,13,FALSE())</f>
        <v>Silver</v>
      </c>
      <c r="X1388" s="11" t="str">
        <f t="shared" si="153"/>
        <v>Low</v>
      </c>
    </row>
    <row r="1389" spans="1:24" ht="15.75" customHeight="1">
      <c r="A1389" s="4" t="s">
        <v>3385</v>
      </c>
      <c r="B1389" s="9">
        <v>45939</v>
      </c>
      <c r="C1389" s="4" t="s">
        <v>837</v>
      </c>
      <c r="D1389" s="4" t="s">
        <v>1776</v>
      </c>
      <c r="E1389" s="4" t="s">
        <v>1955</v>
      </c>
      <c r="F1389" s="4">
        <v>3</v>
      </c>
      <c r="G1389" s="4">
        <v>628.17999999999995</v>
      </c>
      <c r="H1389" s="4">
        <v>0.26</v>
      </c>
      <c r="I1389" s="4" t="s">
        <v>1996</v>
      </c>
      <c r="J1389" s="10">
        <v>1394.5596</v>
      </c>
      <c r="K1389" s="4" t="str">
        <f t="shared" si="147"/>
        <v>09-10-2025</v>
      </c>
      <c r="L1389" s="4" t="str">
        <f>TEXT(Sales_Fact!$B1389,"mmm")</f>
        <v>Oct</v>
      </c>
      <c r="M1389" s="4">
        <f t="shared" si="148"/>
        <v>3</v>
      </c>
      <c r="N1389" s="10">
        <f t="shared" si="149"/>
        <v>628.17999999999995</v>
      </c>
      <c r="O1389" s="10">
        <f t="shared" si="150"/>
        <v>1394.5596</v>
      </c>
      <c r="P1389" s="10">
        <f t="shared" si="151"/>
        <v>1884.54</v>
      </c>
      <c r="Q1389" s="3">
        <f t="shared" si="152"/>
        <v>0.25999999999999995</v>
      </c>
      <c r="R1389" s="4" t="str">
        <f>IF(Sales_Fact!$O1389&gt;1000,"High","Low")</f>
        <v>High</v>
      </c>
      <c r="S1389" s="4" t="str">
        <f>VLOOKUP(C1389,Customer_Dim!$A:$N,9,FALSE())</f>
        <v>Dr. Ashley Yates Md</v>
      </c>
      <c r="T1389" s="4" t="str">
        <f>VLOOKUP(D1389,Product_Dim!$A:$M,3,FALSE())</f>
        <v>Sports</v>
      </c>
      <c r="U1389" s="11" t="str">
        <f>VLOOKUP(D1389,Product_Dim!$A:$M,2,FALSE())</f>
        <v>Foam Roller</v>
      </c>
      <c r="V1389" s="11" t="str">
        <f>VLOOKUP(E1389,Store_Dim!$A:$E,3,FALSE())</f>
        <v>East</v>
      </c>
      <c r="W1389" s="11" t="str">
        <f>VLOOKUP(C1389,Customer_Dim!$A:$N,13,FALSE())</f>
        <v>Bronze</v>
      </c>
      <c r="X1389" s="11" t="str">
        <f t="shared" si="153"/>
        <v>Low</v>
      </c>
    </row>
    <row r="1390" spans="1:24" ht="15.75" customHeight="1">
      <c r="A1390" s="4" t="s">
        <v>3386</v>
      </c>
      <c r="B1390" s="9">
        <v>45553</v>
      </c>
      <c r="C1390" s="4" t="s">
        <v>885</v>
      </c>
      <c r="D1390" s="4" t="s">
        <v>1773</v>
      </c>
      <c r="E1390" s="4" t="s">
        <v>1924</v>
      </c>
      <c r="F1390" s="4">
        <v>1</v>
      </c>
      <c r="G1390" s="4">
        <v>862.31</v>
      </c>
      <c r="H1390" s="4">
        <v>0.06</v>
      </c>
      <c r="I1390" s="4" t="s">
        <v>1996</v>
      </c>
      <c r="J1390" s="10">
        <v>810.57140000000004</v>
      </c>
      <c r="K1390" s="4" t="str">
        <f t="shared" si="147"/>
        <v>18-09-2024</v>
      </c>
      <c r="L1390" s="4" t="str">
        <f>TEXT(Sales_Fact!$B1390,"mmm")</f>
        <v>Sep</v>
      </c>
      <c r="M1390" s="4">
        <f t="shared" si="148"/>
        <v>1</v>
      </c>
      <c r="N1390" s="10">
        <f t="shared" si="149"/>
        <v>862.31</v>
      </c>
      <c r="O1390" s="10">
        <f t="shared" si="150"/>
        <v>810.57139999999993</v>
      </c>
      <c r="P1390" s="10">
        <f t="shared" si="151"/>
        <v>862.31</v>
      </c>
      <c r="Q1390" s="3">
        <f t="shared" si="152"/>
        <v>6.0000000000000026E-2</v>
      </c>
      <c r="R1390" s="4" t="str">
        <f>IF(Sales_Fact!$O1390&gt;1000,"High","Low")</f>
        <v>Low</v>
      </c>
      <c r="S1390" s="4" t="str">
        <f>VLOOKUP(C1390,Customer_Dim!$A:$N,9,FALSE())</f>
        <v>Tyrone Olson</v>
      </c>
      <c r="T1390" s="4" t="str">
        <f>VLOOKUP(D1390,Product_Dim!$A:$M,3,FALSE())</f>
        <v>Home</v>
      </c>
      <c r="U1390" s="11" t="str">
        <f>VLOOKUP(D1390,Product_Dim!$A:$M,2,FALSE())</f>
        <v>Premium Blanket Throw</v>
      </c>
      <c r="V1390" s="11" t="str">
        <f>VLOOKUP(E1390,Store_Dim!$A:$E,3,FALSE())</f>
        <v>North</v>
      </c>
      <c r="W1390" s="11" t="str">
        <f>VLOOKUP(C1390,Customer_Dim!$A:$N,13,FALSE())</f>
        <v>Silver</v>
      </c>
      <c r="X1390" s="11" t="str">
        <f t="shared" si="153"/>
        <v>Low</v>
      </c>
    </row>
    <row r="1391" spans="1:24" ht="15.75" customHeight="1">
      <c r="A1391" s="4" t="s">
        <v>3387</v>
      </c>
      <c r="B1391" s="9">
        <v>45806</v>
      </c>
      <c r="C1391" s="4" t="s">
        <v>282</v>
      </c>
      <c r="D1391" s="4" t="s">
        <v>1855</v>
      </c>
      <c r="E1391" s="4" t="s">
        <v>1957</v>
      </c>
      <c r="F1391" s="4">
        <v>2</v>
      </c>
      <c r="G1391" s="4">
        <v>541.39</v>
      </c>
      <c r="H1391" s="4">
        <v>0.03</v>
      </c>
      <c r="I1391" s="4" t="s">
        <v>2004</v>
      </c>
      <c r="J1391" s="10">
        <v>1050.2965999999999</v>
      </c>
      <c r="K1391" s="4" t="str">
        <f t="shared" si="147"/>
        <v>29-05-2025</v>
      </c>
      <c r="L1391" s="4" t="str">
        <f>TEXT(Sales_Fact!$B1391,"mmm")</f>
        <v>May</v>
      </c>
      <c r="M1391" s="4">
        <f t="shared" si="148"/>
        <v>2</v>
      </c>
      <c r="N1391" s="10">
        <f t="shared" si="149"/>
        <v>541.39</v>
      </c>
      <c r="O1391" s="10">
        <f t="shared" si="150"/>
        <v>1050.2965999999999</v>
      </c>
      <c r="P1391" s="10">
        <f t="shared" si="151"/>
        <v>1082.78</v>
      </c>
      <c r="Q1391" s="3">
        <f t="shared" si="152"/>
        <v>3.0000000000000068E-2</v>
      </c>
      <c r="R1391" s="4" t="str">
        <f>IF(Sales_Fact!$O1391&gt;1000,"High","Low")</f>
        <v>High</v>
      </c>
      <c r="S1391" s="4" t="str">
        <f>VLOOKUP(C1391,Customer_Dim!$A:$N,9,FALSE())</f>
        <v>Andrea Perez</v>
      </c>
      <c r="T1391" s="4" t="str">
        <f>VLOOKUP(D1391,Product_Dim!$A:$M,3,FALSE())</f>
        <v>Beauty</v>
      </c>
      <c r="U1391" s="11" t="str">
        <f>VLOOKUP(D1391,Product_Dim!$A:$M,2,FALSE())</f>
        <v>Hydrating Face Cleanser</v>
      </c>
      <c r="V1391" s="11" t="str">
        <f>VLOOKUP(E1391,Store_Dim!$A:$E,3,FALSE())</f>
        <v>South</v>
      </c>
      <c r="W1391" s="11" t="str">
        <f>VLOOKUP(C1391,Customer_Dim!$A:$N,13,FALSE())</f>
        <v>Gold</v>
      </c>
      <c r="X1391" s="11" t="str">
        <f t="shared" si="153"/>
        <v>Low</v>
      </c>
    </row>
    <row r="1392" spans="1:24" ht="15.75" customHeight="1">
      <c r="A1392" s="4" t="s">
        <v>3388</v>
      </c>
      <c r="B1392" s="9">
        <v>45606</v>
      </c>
      <c r="C1392" s="4" t="s">
        <v>1478</v>
      </c>
      <c r="D1392" s="4" t="s">
        <v>1782</v>
      </c>
      <c r="E1392" s="4" t="s">
        <v>1940</v>
      </c>
      <c r="F1392" s="4">
        <v>4</v>
      </c>
      <c r="G1392" s="4">
        <v>288.60000000000002</v>
      </c>
      <c r="H1392" s="4">
        <v>0.09</v>
      </c>
      <c r="I1392" s="4" t="s">
        <v>1998</v>
      </c>
      <c r="J1392" s="10">
        <v>1050.5039999999999</v>
      </c>
      <c r="K1392" s="4" t="str">
        <f t="shared" si="147"/>
        <v>10-11-2024</v>
      </c>
      <c r="L1392" s="4" t="str">
        <f>TEXT(Sales_Fact!$B1392,"mmm")</f>
        <v>Nov</v>
      </c>
      <c r="M1392" s="4">
        <f t="shared" si="148"/>
        <v>4</v>
      </c>
      <c r="N1392" s="10">
        <f t="shared" si="149"/>
        <v>288.60000000000002</v>
      </c>
      <c r="O1392" s="10">
        <f t="shared" si="150"/>
        <v>1050.5040000000001</v>
      </c>
      <c r="P1392" s="10">
        <f t="shared" si="151"/>
        <v>1154.4000000000001</v>
      </c>
      <c r="Q1392" s="3">
        <f t="shared" si="152"/>
        <v>8.9999999999999955E-2</v>
      </c>
      <c r="R1392" s="4" t="str">
        <f>IF(Sales_Fact!$O1392&gt;1000,"High","Low")</f>
        <v>High</v>
      </c>
      <c r="S1392" s="4" t="str">
        <f>VLOOKUP(C1392,Customer_Dim!$A:$N,9,FALSE())</f>
        <v>Manuel Fisher</v>
      </c>
      <c r="T1392" s="4" t="str">
        <f>VLOOKUP(D1392,Product_Dim!$A:$M,3,FALSE())</f>
        <v>Beauty</v>
      </c>
      <c r="U1392" s="11" t="str">
        <f>VLOOKUP(D1392,Product_Dim!$A:$M,2,FALSE())</f>
        <v>Men's Hair Styling Gel</v>
      </c>
      <c r="V1392" s="11" t="str">
        <f>VLOOKUP(E1392,Store_Dim!$A:$E,3,FALSE())</f>
        <v>West</v>
      </c>
      <c r="W1392" s="11" t="str">
        <f>VLOOKUP(C1392,Customer_Dim!$A:$N,13,FALSE())</f>
        <v>Gold</v>
      </c>
      <c r="X1392" s="11" t="str">
        <f t="shared" si="153"/>
        <v>High</v>
      </c>
    </row>
    <row r="1393" spans="1:24" ht="15.75" customHeight="1">
      <c r="A1393" s="4" t="s">
        <v>3389</v>
      </c>
      <c r="B1393" s="9">
        <v>45811</v>
      </c>
      <c r="C1393" s="4" t="s">
        <v>1498</v>
      </c>
      <c r="D1393" s="4" t="s">
        <v>1834</v>
      </c>
      <c r="E1393" s="4" t="s">
        <v>1962</v>
      </c>
      <c r="F1393" s="4">
        <v>3</v>
      </c>
      <c r="G1393" s="4">
        <v>761.8</v>
      </c>
      <c r="H1393" s="4">
        <v>0.06</v>
      </c>
      <c r="I1393" s="4" t="s">
        <v>2004</v>
      </c>
      <c r="J1393" s="10">
        <v>2148.2759999999998</v>
      </c>
      <c r="K1393" s="4" t="str">
        <f t="shared" si="147"/>
        <v>03-06-2025</v>
      </c>
      <c r="L1393" s="4" t="str">
        <f>TEXT(Sales_Fact!$B1393,"mmm")</f>
        <v>Jun</v>
      </c>
      <c r="M1393" s="4">
        <f t="shared" si="148"/>
        <v>3</v>
      </c>
      <c r="N1393" s="10">
        <f t="shared" si="149"/>
        <v>761.8</v>
      </c>
      <c r="O1393" s="10">
        <f t="shared" si="150"/>
        <v>2148.2759999999994</v>
      </c>
      <c r="P1393" s="10">
        <f t="shared" si="151"/>
        <v>2285.3999999999996</v>
      </c>
      <c r="Q1393" s="3">
        <f t="shared" si="152"/>
        <v>6.0000000000000123E-2</v>
      </c>
      <c r="R1393" s="4" t="str">
        <f>IF(Sales_Fact!$O1393&gt;1000,"High","Low")</f>
        <v>High</v>
      </c>
      <c r="S1393" s="4" t="str">
        <f>VLOOKUP(C1393,Customer_Dim!$A:$N,9,FALSE())</f>
        <v>Andrea Harris</v>
      </c>
      <c r="T1393" s="4" t="str">
        <f>VLOOKUP(D1393,Product_Dim!$A:$M,3,FALSE())</f>
        <v>Electronics</v>
      </c>
      <c r="U1393" s="11" t="str">
        <f>VLOOKUP(D1393,Product_Dim!$A:$M,2,FALSE())</f>
        <v>Wireless Mouse</v>
      </c>
      <c r="V1393" s="11" t="str">
        <f>VLOOKUP(E1393,Store_Dim!$A:$E,3,FALSE())</f>
        <v>West</v>
      </c>
      <c r="W1393" s="11" t="str">
        <f>VLOOKUP(C1393,Customer_Dim!$A:$N,13,FALSE())</f>
        <v>Platinum</v>
      </c>
      <c r="X1393" s="11" t="str">
        <f t="shared" si="153"/>
        <v>Low</v>
      </c>
    </row>
    <row r="1394" spans="1:24" ht="15.75" customHeight="1">
      <c r="A1394" s="4" t="s">
        <v>3390</v>
      </c>
      <c r="B1394" s="9">
        <v>45508</v>
      </c>
      <c r="C1394" s="4" t="s">
        <v>1339</v>
      </c>
      <c r="D1394" s="4" t="s">
        <v>1751</v>
      </c>
      <c r="E1394" s="4" t="s">
        <v>1919</v>
      </c>
      <c r="F1394" s="4">
        <v>4</v>
      </c>
      <c r="G1394" s="4">
        <v>829.36</v>
      </c>
      <c r="H1394" s="4">
        <v>0.11</v>
      </c>
      <c r="I1394" s="4" t="s">
        <v>1998</v>
      </c>
      <c r="J1394" s="10">
        <v>2952.5216</v>
      </c>
      <c r="K1394" s="4" t="str">
        <f t="shared" si="147"/>
        <v>04-08-2024</v>
      </c>
      <c r="L1394" s="4" t="str">
        <f>TEXT(Sales_Fact!$B1394,"mmm")</f>
        <v>Aug</v>
      </c>
      <c r="M1394" s="4">
        <f t="shared" si="148"/>
        <v>4</v>
      </c>
      <c r="N1394" s="10">
        <f t="shared" si="149"/>
        <v>829.36</v>
      </c>
      <c r="O1394" s="10">
        <f t="shared" si="150"/>
        <v>2952.5216</v>
      </c>
      <c r="P1394" s="10">
        <f t="shared" si="151"/>
        <v>3317.44</v>
      </c>
      <c r="Q1394" s="3">
        <f t="shared" si="152"/>
        <v>0.11</v>
      </c>
      <c r="R1394" s="4" t="str">
        <f>IF(Sales_Fact!$O1394&gt;1000,"High","Low")</f>
        <v>High</v>
      </c>
      <c r="S1394" s="4" t="str">
        <f>VLOOKUP(C1394,Customer_Dim!$A:$N,9,FALSE())</f>
        <v>Brittany Edwards Dds</v>
      </c>
      <c r="T1394" s="4" t="str">
        <f>VLOOKUP(D1394,Product_Dim!$A:$M,3,FALSE())</f>
        <v>Beauty</v>
      </c>
      <c r="U1394" s="11" t="str">
        <f>VLOOKUP(D1394,Product_Dim!$A:$M,2,FALSE())</f>
        <v>Men's Roll-On Perfume</v>
      </c>
      <c r="V1394" s="11" t="str">
        <f>VLOOKUP(E1394,Store_Dim!$A:$E,3,FALSE())</f>
        <v>South</v>
      </c>
      <c r="W1394" s="11" t="str">
        <f>VLOOKUP(C1394,Customer_Dim!$A:$N,13,FALSE())</f>
        <v>Platinum</v>
      </c>
      <c r="X1394" s="11" t="str">
        <f t="shared" si="153"/>
        <v>High</v>
      </c>
    </row>
    <row r="1395" spans="1:24" ht="15.75" customHeight="1">
      <c r="A1395" s="4" t="s">
        <v>3391</v>
      </c>
      <c r="B1395" s="9">
        <v>45460</v>
      </c>
      <c r="C1395" s="4" t="s">
        <v>1286</v>
      </c>
      <c r="D1395" s="4" t="s">
        <v>1668</v>
      </c>
      <c r="E1395" s="4" t="s">
        <v>1962</v>
      </c>
      <c r="F1395" s="4">
        <v>2</v>
      </c>
      <c r="G1395" s="4">
        <v>425.06</v>
      </c>
      <c r="H1395" s="4">
        <v>0.09</v>
      </c>
      <c r="I1395" s="4" t="s">
        <v>1998</v>
      </c>
      <c r="J1395" s="10">
        <v>773.60919999999999</v>
      </c>
      <c r="K1395" s="4" t="str">
        <f t="shared" si="147"/>
        <v>17-06-2024</v>
      </c>
      <c r="L1395" s="4" t="str">
        <f>TEXT(Sales_Fact!$B1395,"mmm")</f>
        <v>Jun</v>
      </c>
      <c r="M1395" s="4">
        <f t="shared" si="148"/>
        <v>2</v>
      </c>
      <c r="N1395" s="10">
        <f t="shared" si="149"/>
        <v>425.06</v>
      </c>
      <c r="O1395" s="10">
        <f t="shared" si="150"/>
        <v>773.60919999999999</v>
      </c>
      <c r="P1395" s="10">
        <f t="shared" si="151"/>
        <v>850.12</v>
      </c>
      <c r="Q1395" s="3">
        <f t="shared" si="152"/>
        <v>9.0000000000000024E-2</v>
      </c>
      <c r="R1395" s="4" t="str">
        <f>IF(Sales_Fact!$O1395&gt;1000,"High","Low")</f>
        <v>Low</v>
      </c>
      <c r="S1395" s="4" t="str">
        <f>VLOOKUP(C1395,Customer_Dim!$A:$N,9,FALSE())</f>
        <v>David Ross</v>
      </c>
      <c r="T1395" s="4" t="str">
        <f>VLOOKUP(D1395,Product_Dim!$A:$M,3,FALSE())</f>
        <v>Clothing</v>
      </c>
      <c r="U1395" s="11" t="str">
        <f>VLOOKUP(D1395,Product_Dim!$A:$M,2,FALSE())</f>
        <v>Men's Formal Shirt</v>
      </c>
      <c r="V1395" s="11" t="str">
        <f>VLOOKUP(E1395,Store_Dim!$A:$E,3,FALSE())</f>
        <v>West</v>
      </c>
      <c r="W1395" s="11" t="str">
        <f>VLOOKUP(C1395,Customer_Dim!$A:$N,13,FALSE())</f>
        <v>Silver</v>
      </c>
      <c r="X1395" s="11" t="str">
        <f t="shared" si="153"/>
        <v>Low</v>
      </c>
    </row>
    <row r="1396" spans="1:24" ht="15.75" customHeight="1">
      <c r="A1396" s="4" t="s">
        <v>3392</v>
      </c>
      <c r="B1396" s="9">
        <v>45311</v>
      </c>
      <c r="C1396" s="4" t="s">
        <v>460</v>
      </c>
      <c r="D1396" s="4" t="s">
        <v>1770</v>
      </c>
      <c r="E1396" s="4" t="s">
        <v>1910</v>
      </c>
      <c r="F1396" s="4">
        <v>2</v>
      </c>
      <c r="G1396" s="4">
        <v>911.14</v>
      </c>
      <c r="H1396" s="4">
        <v>0.1</v>
      </c>
      <c r="I1396" s="4" t="s">
        <v>1996</v>
      </c>
      <c r="J1396" s="10">
        <v>1640.0519999999999</v>
      </c>
      <c r="K1396" s="4" t="str">
        <f t="shared" si="147"/>
        <v>20-01-2024</v>
      </c>
      <c r="L1396" s="4" t="str">
        <f>TEXT(Sales_Fact!$B1396,"mmm")</f>
        <v>Jan</v>
      </c>
      <c r="M1396" s="4">
        <f t="shared" si="148"/>
        <v>2</v>
      </c>
      <c r="N1396" s="10">
        <f t="shared" si="149"/>
        <v>911.14</v>
      </c>
      <c r="O1396" s="10">
        <f t="shared" si="150"/>
        <v>1640.0519999999999</v>
      </c>
      <c r="P1396" s="10">
        <f t="shared" si="151"/>
        <v>1822.28</v>
      </c>
      <c r="Q1396" s="3">
        <f t="shared" si="152"/>
        <v>0.10000000000000003</v>
      </c>
      <c r="R1396" s="4" t="str">
        <f>IF(Sales_Fact!$O1396&gt;1000,"High","Low")</f>
        <v>High</v>
      </c>
      <c r="S1396" s="4" t="str">
        <f>VLOOKUP(C1396,Customer_Dim!$A:$N,9,FALSE())</f>
        <v>John Mcknight</v>
      </c>
      <c r="T1396" s="4" t="str">
        <f>VLOOKUP(D1396,Product_Dim!$A:$M,3,FALSE())</f>
        <v>Home</v>
      </c>
      <c r="U1396" s="11" t="str">
        <f>VLOOKUP(D1396,Product_Dim!$A:$M,2,FALSE())</f>
        <v>Ceramic Plant Pot</v>
      </c>
      <c r="V1396" s="11" t="str">
        <f>VLOOKUP(E1396,Store_Dim!$A:$E,3,FALSE())</f>
        <v>East</v>
      </c>
      <c r="W1396" s="11" t="str">
        <f>VLOOKUP(C1396,Customer_Dim!$A:$N,13,FALSE())</f>
        <v>Platinum</v>
      </c>
      <c r="X1396" s="11" t="str">
        <f t="shared" si="153"/>
        <v>Low</v>
      </c>
    </row>
    <row r="1397" spans="1:24" ht="15.75" customHeight="1">
      <c r="A1397" s="4" t="s">
        <v>3393</v>
      </c>
      <c r="B1397" s="9">
        <v>45906</v>
      </c>
      <c r="C1397" s="4" t="s">
        <v>325</v>
      </c>
      <c r="D1397" s="4" t="s">
        <v>1809</v>
      </c>
      <c r="E1397" s="4" t="s">
        <v>1940</v>
      </c>
      <c r="F1397" s="4">
        <v>3</v>
      </c>
      <c r="G1397" s="4">
        <v>811.96</v>
      </c>
      <c r="H1397" s="4">
        <v>0.28999999999999998</v>
      </c>
      <c r="I1397" s="4" t="s">
        <v>1996</v>
      </c>
      <c r="J1397" s="10">
        <v>1729.4748</v>
      </c>
      <c r="K1397" s="4" t="str">
        <f t="shared" si="147"/>
        <v>06-09-2025</v>
      </c>
      <c r="L1397" s="4" t="str">
        <f>TEXT(Sales_Fact!$B1397,"mmm")</f>
        <v>Sep</v>
      </c>
      <c r="M1397" s="4">
        <f t="shared" si="148"/>
        <v>3</v>
      </c>
      <c r="N1397" s="10">
        <f t="shared" si="149"/>
        <v>811.96</v>
      </c>
      <c r="O1397" s="10">
        <f t="shared" si="150"/>
        <v>1729.4748</v>
      </c>
      <c r="P1397" s="10">
        <f t="shared" si="151"/>
        <v>2435.88</v>
      </c>
      <c r="Q1397" s="3">
        <f t="shared" si="152"/>
        <v>0.29000000000000004</v>
      </c>
      <c r="R1397" s="4" t="str">
        <f>IF(Sales_Fact!$O1397&gt;1000,"High","Low")</f>
        <v>High</v>
      </c>
      <c r="S1397" s="4" t="str">
        <f>VLOOKUP(C1397,Customer_Dim!$A:$N,9,FALSE())</f>
        <v>Christy Hoffman</v>
      </c>
      <c r="T1397" s="4" t="str">
        <f>VLOOKUP(D1397,Product_Dim!$A:$M,3,FALSE())</f>
        <v>Home</v>
      </c>
      <c r="U1397" s="11" t="str">
        <f>VLOOKUP(D1397,Product_Dim!$A:$M,2,FALSE())</f>
        <v>Wooden Nightstand</v>
      </c>
      <c r="V1397" s="11" t="str">
        <f>VLOOKUP(E1397,Store_Dim!$A:$E,3,FALSE())</f>
        <v>West</v>
      </c>
      <c r="W1397" s="11" t="str">
        <f>VLOOKUP(C1397,Customer_Dim!$A:$N,13,FALSE())</f>
        <v>Platinum</v>
      </c>
      <c r="X1397" s="11" t="str">
        <f t="shared" si="153"/>
        <v>Low</v>
      </c>
    </row>
    <row r="1398" spans="1:24" ht="15.75" customHeight="1">
      <c r="A1398" s="4" t="s">
        <v>3394</v>
      </c>
      <c r="B1398" s="9">
        <v>45380</v>
      </c>
      <c r="C1398" s="4" t="s">
        <v>897</v>
      </c>
      <c r="D1398" s="4" t="s">
        <v>1693</v>
      </c>
      <c r="E1398" s="4" t="s">
        <v>1947</v>
      </c>
      <c r="F1398" s="4">
        <v>2</v>
      </c>
      <c r="G1398" s="4">
        <v>780.05</v>
      </c>
      <c r="H1398" s="4">
        <v>0.12</v>
      </c>
      <c r="I1398" s="4" t="s">
        <v>2004</v>
      </c>
      <c r="J1398" s="10">
        <v>1372.8879999999999</v>
      </c>
      <c r="K1398" s="4" t="str">
        <f t="shared" si="147"/>
        <v>29-03-2024</v>
      </c>
      <c r="L1398" s="4" t="str">
        <f>TEXT(Sales_Fact!$B1398,"mmm")</f>
        <v>Mar</v>
      </c>
      <c r="M1398" s="4">
        <f t="shared" si="148"/>
        <v>2</v>
      </c>
      <c r="N1398" s="10">
        <f t="shared" si="149"/>
        <v>780.05</v>
      </c>
      <c r="O1398" s="10">
        <f t="shared" si="150"/>
        <v>1372.8879999999999</v>
      </c>
      <c r="P1398" s="10">
        <f t="shared" si="151"/>
        <v>1560.1</v>
      </c>
      <c r="Q1398" s="3">
        <f t="shared" si="152"/>
        <v>0.12</v>
      </c>
      <c r="R1398" s="4" t="str">
        <f>IF(Sales_Fact!$O1398&gt;1000,"High","Low")</f>
        <v>High</v>
      </c>
      <c r="S1398" s="4" t="str">
        <f>VLOOKUP(C1398,Customer_Dim!$A:$N,9,FALSE())</f>
        <v>Samantha Robinson</v>
      </c>
      <c r="T1398" s="4" t="str">
        <f>VLOOKUP(D1398,Product_Dim!$A:$M,3,FALSE())</f>
        <v>Sports</v>
      </c>
      <c r="U1398" s="11" t="str">
        <f>VLOOKUP(D1398,Product_Dim!$A:$M,2,FALSE())</f>
        <v>Basketball</v>
      </c>
      <c r="V1398" s="11" t="str">
        <f>VLOOKUP(E1398,Store_Dim!$A:$E,3,FALSE())</f>
        <v>East</v>
      </c>
      <c r="W1398" s="11" t="str">
        <f>VLOOKUP(C1398,Customer_Dim!$A:$N,13,FALSE())</f>
        <v>Bronze</v>
      </c>
      <c r="X1398" s="11" t="str">
        <f t="shared" si="153"/>
        <v>Low</v>
      </c>
    </row>
    <row r="1399" spans="1:24" ht="15.75" customHeight="1">
      <c r="A1399" s="4" t="s">
        <v>3395</v>
      </c>
      <c r="B1399" s="9">
        <v>45527</v>
      </c>
      <c r="C1399" s="4" t="s">
        <v>724</v>
      </c>
      <c r="D1399" s="4" t="s">
        <v>1697</v>
      </c>
      <c r="E1399" s="4" t="s">
        <v>1944</v>
      </c>
      <c r="F1399" s="4">
        <v>4</v>
      </c>
      <c r="G1399" s="4">
        <v>315.95</v>
      </c>
      <c r="H1399" s="4">
        <v>0.19</v>
      </c>
      <c r="I1399" s="4" t="s">
        <v>2004</v>
      </c>
      <c r="J1399" s="10">
        <v>1023.678</v>
      </c>
      <c r="K1399" s="4" t="str">
        <f t="shared" si="147"/>
        <v>23-08-2024</v>
      </c>
      <c r="L1399" s="4" t="str">
        <f>TEXT(Sales_Fact!$B1399,"mmm")</f>
        <v>Aug</v>
      </c>
      <c r="M1399" s="4">
        <f t="shared" si="148"/>
        <v>4</v>
      </c>
      <c r="N1399" s="10">
        <f t="shared" si="149"/>
        <v>315.95</v>
      </c>
      <c r="O1399" s="10">
        <f t="shared" si="150"/>
        <v>1023.678</v>
      </c>
      <c r="P1399" s="10">
        <f t="shared" si="151"/>
        <v>1263.8</v>
      </c>
      <c r="Q1399" s="3">
        <f t="shared" si="152"/>
        <v>0.18999999999999997</v>
      </c>
      <c r="R1399" s="4" t="str">
        <f>IF(Sales_Fact!$O1399&gt;1000,"High","Low")</f>
        <v>High</v>
      </c>
      <c r="S1399" s="4" t="str">
        <f>VLOOKUP(C1399,Customer_Dim!$A:$N,9,FALSE())</f>
        <v>Steve Medina</v>
      </c>
      <c r="T1399" s="4" t="str">
        <f>VLOOKUP(D1399,Product_Dim!$A:$M,3,FALSE())</f>
        <v>Beauty</v>
      </c>
      <c r="U1399" s="11" t="str">
        <f>VLOOKUP(D1399,Product_Dim!$A:$M,2,FALSE())</f>
        <v>Vitamin C Face Serum</v>
      </c>
      <c r="V1399" s="11" t="str">
        <f>VLOOKUP(E1399,Store_Dim!$A:$E,3,FALSE())</f>
        <v>South</v>
      </c>
      <c r="W1399" s="11" t="str">
        <f>VLOOKUP(C1399,Customer_Dim!$A:$N,13,FALSE())</f>
        <v>Gold</v>
      </c>
      <c r="X1399" s="11" t="str">
        <f t="shared" si="153"/>
        <v>High</v>
      </c>
    </row>
    <row r="1400" spans="1:24" ht="15.75" customHeight="1">
      <c r="A1400" s="4" t="s">
        <v>3396</v>
      </c>
      <c r="B1400" s="9">
        <v>45796</v>
      </c>
      <c r="C1400" s="4" t="s">
        <v>765</v>
      </c>
      <c r="D1400" s="4" t="s">
        <v>1761</v>
      </c>
      <c r="E1400" s="4" t="s">
        <v>1944</v>
      </c>
      <c r="F1400" s="4">
        <v>2</v>
      </c>
      <c r="G1400" s="4">
        <v>810.17</v>
      </c>
      <c r="H1400" s="4">
        <v>0.27</v>
      </c>
      <c r="I1400" s="4" t="s">
        <v>1996</v>
      </c>
      <c r="J1400" s="10">
        <v>1182.8481999999999</v>
      </c>
      <c r="K1400" s="4" t="str">
        <f t="shared" si="147"/>
        <v>19-05-2025</v>
      </c>
      <c r="L1400" s="4" t="str">
        <f>TEXT(Sales_Fact!$B1400,"mmm")</f>
        <v>May</v>
      </c>
      <c r="M1400" s="4">
        <f t="shared" si="148"/>
        <v>2</v>
      </c>
      <c r="N1400" s="10">
        <f t="shared" si="149"/>
        <v>810.17</v>
      </c>
      <c r="O1400" s="10">
        <f t="shared" si="150"/>
        <v>1182.8481999999999</v>
      </c>
      <c r="P1400" s="10">
        <f t="shared" si="151"/>
        <v>1620.34</v>
      </c>
      <c r="Q1400" s="3">
        <f t="shared" si="152"/>
        <v>0.27</v>
      </c>
      <c r="R1400" s="4" t="str">
        <f>IF(Sales_Fact!$O1400&gt;1000,"High","Low")</f>
        <v>High</v>
      </c>
      <c r="S1400" s="4" t="str">
        <f>VLOOKUP(C1400,Customer_Dim!$A:$N,9,FALSE())</f>
        <v>Tanner Thompson</v>
      </c>
      <c r="T1400" s="4" t="str">
        <f>VLOOKUP(D1400,Product_Dim!$A:$M,3,FALSE())</f>
        <v>Sports</v>
      </c>
      <c r="U1400" s="11" t="str">
        <f>VLOOKUP(D1400,Product_Dim!$A:$M,2,FALSE())</f>
        <v>Rugby Ball</v>
      </c>
      <c r="V1400" s="11" t="str">
        <f>VLOOKUP(E1400,Store_Dim!$A:$E,3,FALSE())</f>
        <v>South</v>
      </c>
      <c r="W1400" s="11" t="str">
        <f>VLOOKUP(C1400,Customer_Dim!$A:$N,13,FALSE())</f>
        <v>Bronze</v>
      </c>
      <c r="X1400" s="11" t="str">
        <f t="shared" si="153"/>
        <v>Low</v>
      </c>
    </row>
    <row r="1401" spans="1:24" ht="15.75" customHeight="1">
      <c r="A1401" s="4" t="s">
        <v>3397</v>
      </c>
      <c r="B1401" s="9">
        <v>45389</v>
      </c>
      <c r="C1401" s="4" t="s">
        <v>694</v>
      </c>
      <c r="D1401" s="4" t="s">
        <v>1858</v>
      </c>
      <c r="E1401" s="4" t="s">
        <v>1927</v>
      </c>
      <c r="F1401" s="4">
        <v>3</v>
      </c>
      <c r="G1401" s="4">
        <v>505.01</v>
      </c>
      <c r="H1401" s="4">
        <v>0.02</v>
      </c>
      <c r="I1401" s="4" t="s">
        <v>1998</v>
      </c>
      <c r="J1401" s="10">
        <v>1484.7293999999999</v>
      </c>
      <c r="K1401" s="4" t="str">
        <f t="shared" si="147"/>
        <v>07-04-2024</v>
      </c>
      <c r="L1401" s="4" t="str">
        <f>TEXT(Sales_Fact!$B1401,"mmm")</f>
        <v>Apr</v>
      </c>
      <c r="M1401" s="4">
        <f t="shared" si="148"/>
        <v>3</v>
      </c>
      <c r="N1401" s="10">
        <f t="shared" si="149"/>
        <v>505.01</v>
      </c>
      <c r="O1401" s="10">
        <f t="shared" si="150"/>
        <v>1484.7293999999999</v>
      </c>
      <c r="P1401" s="10">
        <f t="shared" si="151"/>
        <v>1515.03</v>
      </c>
      <c r="Q1401" s="3">
        <f t="shared" si="152"/>
        <v>2.0000000000000021E-2</v>
      </c>
      <c r="R1401" s="4" t="str">
        <f>IF(Sales_Fact!$O1401&gt;1000,"High","Low")</f>
        <v>High</v>
      </c>
      <c r="S1401" s="4" t="str">
        <f>VLOOKUP(C1401,Customer_Dim!$A:$N,9,FALSE())</f>
        <v>Michelle Carpenter</v>
      </c>
      <c r="T1401" s="4" t="str">
        <f>VLOOKUP(D1401,Product_Dim!$A:$M,3,FALSE())</f>
        <v>Home</v>
      </c>
      <c r="U1401" s="11" t="str">
        <f>VLOOKUP(D1401,Product_Dim!$A:$M,2,FALSE())</f>
        <v>Wooden Bookshelf</v>
      </c>
      <c r="V1401" s="11" t="str">
        <f>VLOOKUP(E1401,Store_Dim!$A:$E,3,FALSE())</f>
        <v>South</v>
      </c>
      <c r="W1401" s="11" t="str">
        <f>VLOOKUP(C1401,Customer_Dim!$A:$N,13,FALSE())</f>
        <v>Gold</v>
      </c>
      <c r="X1401" s="11" t="str">
        <f t="shared" si="153"/>
        <v>Low</v>
      </c>
    </row>
    <row r="1402" spans="1:24" ht="15.75" customHeight="1">
      <c r="A1402" s="4" t="s">
        <v>3398</v>
      </c>
      <c r="B1402" s="9">
        <v>45315</v>
      </c>
      <c r="C1402" s="4" t="s">
        <v>1469</v>
      </c>
      <c r="D1402" s="4" t="s">
        <v>1822</v>
      </c>
      <c r="E1402" s="4" t="s">
        <v>1965</v>
      </c>
      <c r="F1402" s="4">
        <v>2</v>
      </c>
      <c r="G1402" s="4">
        <v>736.75</v>
      </c>
      <c r="H1402" s="4">
        <v>0.18</v>
      </c>
      <c r="I1402" s="4" t="s">
        <v>1996</v>
      </c>
      <c r="J1402" s="10">
        <v>1208.27</v>
      </c>
      <c r="K1402" s="4" t="str">
        <f t="shared" si="147"/>
        <v>24-01-2024</v>
      </c>
      <c r="L1402" s="4" t="str">
        <f>TEXT(Sales_Fact!$B1402,"mmm")</f>
        <v>Jan</v>
      </c>
      <c r="M1402" s="4">
        <f t="shared" si="148"/>
        <v>2</v>
      </c>
      <c r="N1402" s="10">
        <f t="shared" si="149"/>
        <v>736.75</v>
      </c>
      <c r="O1402" s="10">
        <f t="shared" si="150"/>
        <v>1208.27</v>
      </c>
      <c r="P1402" s="10">
        <f t="shared" si="151"/>
        <v>1473.5</v>
      </c>
      <c r="Q1402" s="3">
        <f t="shared" si="152"/>
        <v>0.18000000000000002</v>
      </c>
      <c r="R1402" s="4" t="str">
        <f>IF(Sales_Fact!$O1402&gt;1000,"High","Low")</f>
        <v>High</v>
      </c>
      <c r="S1402" s="4" t="str">
        <f>VLOOKUP(C1402,Customer_Dim!$A:$N,9,FALSE())</f>
        <v>Michael Foley</v>
      </c>
      <c r="T1402" s="4" t="str">
        <f>VLOOKUP(D1402,Product_Dim!$A:$M,3,FALSE())</f>
        <v>Sports</v>
      </c>
      <c r="U1402" s="11" t="str">
        <f>VLOOKUP(D1402,Product_Dim!$A:$M,2,FALSE())</f>
        <v>Professional Jump Rope</v>
      </c>
      <c r="V1402" s="11" t="str">
        <f>VLOOKUP(E1402,Store_Dim!$A:$E,3,FALSE())</f>
        <v>North</v>
      </c>
      <c r="W1402" s="11" t="str">
        <f>VLOOKUP(C1402,Customer_Dim!$A:$N,13,FALSE())</f>
        <v>Gold</v>
      </c>
      <c r="X1402" s="11" t="str">
        <f t="shared" si="153"/>
        <v>Low</v>
      </c>
    </row>
    <row r="1403" spans="1:24" ht="15.75" customHeight="1">
      <c r="A1403" s="4" t="s">
        <v>3399</v>
      </c>
      <c r="B1403" s="9">
        <v>45570</v>
      </c>
      <c r="C1403" s="4" t="s">
        <v>279</v>
      </c>
      <c r="D1403" s="4" t="s">
        <v>1840</v>
      </c>
      <c r="E1403" s="4" t="s">
        <v>1962</v>
      </c>
      <c r="F1403" s="4">
        <v>1</v>
      </c>
      <c r="G1403" s="4">
        <v>418.69</v>
      </c>
      <c r="H1403" s="4">
        <v>0.06</v>
      </c>
      <c r="I1403" s="4" t="s">
        <v>1998</v>
      </c>
      <c r="J1403" s="10">
        <v>393.5686</v>
      </c>
      <c r="K1403" s="4" t="str">
        <f t="shared" si="147"/>
        <v>05-10-2024</v>
      </c>
      <c r="L1403" s="4" t="str">
        <f>TEXT(Sales_Fact!$B1403,"mmm")</f>
        <v>Oct</v>
      </c>
      <c r="M1403" s="4">
        <f t="shared" si="148"/>
        <v>1</v>
      </c>
      <c r="N1403" s="10">
        <f t="shared" si="149"/>
        <v>418.69</v>
      </c>
      <c r="O1403" s="10">
        <f t="shared" si="150"/>
        <v>393.5686</v>
      </c>
      <c r="P1403" s="10">
        <f t="shared" si="151"/>
        <v>418.69</v>
      </c>
      <c r="Q1403" s="3">
        <f t="shared" si="152"/>
        <v>5.9999999999999984E-2</v>
      </c>
      <c r="R1403" s="4" t="str">
        <f>IF(Sales_Fact!$O1403&gt;1000,"High","Low")</f>
        <v>Low</v>
      </c>
      <c r="S1403" s="4" t="str">
        <f>VLOOKUP(C1403,Customer_Dim!$A:$N,9,FALSE())</f>
        <v>Eric Singh</v>
      </c>
      <c r="T1403" s="4" t="str">
        <f>VLOOKUP(D1403,Product_Dim!$A:$M,3,FALSE())</f>
        <v>Home</v>
      </c>
      <c r="U1403" s="11" t="str">
        <f>VLOOKUP(D1403,Product_Dim!$A:$M,2,FALSE())</f>
        <v>Essential Oil Diffuser</v>
      </c>
      <c r="V1403" s="11" t="str">
        <f>VLOOKUP(E1403,Store_Dim!$A:$E,3,FALSE())</f>
        <v>West</v>
      </c>
      <c r="W1403" s="11" t="str">
        <f>VLOOKUP(C1403,Customer_Dim!$A:$N,13,FALSE())</f>
        <v>Gold</v>
      </c>
      <c r="X1403" s="11" t="str">
        <f t="shared" si="153"/>
        <v>Low</v>
      </c>
    </row>
    <row r="1404" spans="1:24" ht="15.75" customHeight="1">
      <c r="A1404" s="4" t="s">
        <v>3400</v>
      </c>
      <c r="B1404" s="9">
        <v>45311</v>
      </c>
      <c r="C1404" s="4" t="s">
        <v>135</v>
      </c>
      <c r="D1404" s="4" t="s">
        <v>1837</v>
      </c>
      <c r="E1404" s="4" t="s">
        <v>1944</v>
      </c>
      <c r="F1404" s="4">
        <v>4</v>
      </c>
      <c r="G1404" s="4">
        <v>700.31</v>
      </c>
      <c r="H1404" s="4">
        <v>0.2</v>
      </c>
      <c r="I1404" s="4" t="s">
        <v>1998</v>
      </c>
      <c r="J1404" s="10">
        <v>2240.9920000000002</v>
      </c>
      <c r="K1404" s="4" t="str">
        <f t="shared" si="147"/>
        <v>20-01-2024</v>
      </c>
      <c r="L1404" s="4" t="str">
        <f>TEXT(Sales_Fact!$B1404,"mmm")</f>
        <v>Jan</v>
      </c>
      <c r="M1404" s="4">
        <f t="shared" si="148"/>
        <v>4</v>
      </c>
      <c r="N1404" s="10">
        <f t="shared" si="149"/>
        <v>700.31</v>
      </c>
      <c r="O1404" s="10">
        <f t="shared" si="150"/>
        <v>2240.9919999999997</v>
      </c>
      <c r="P1404" s="10">
        <f t="shared" si="151"/>
        <v>2801.24</v>
      </c>
      <c r="Q1404" s="3">
        <f t="shared" si="152"/>
        <v>0.20000000000000004</v>
      </c>
      <c r="R1404" s="4" t="str">
        <f>IF(Sales_Fact!$O1404&gt;1000,"High","Low")</f>
        <v>High</v>
      </c>
      <c r="S1404" s="4" t="str">
        <f>VLOOKUP(C1404,Customer_Dim!$A:$N,9,FALSE())</f>
        <v>Leslie Johnson</v>
      </c>
      <c r="T1404" s="4" t="str">
        <f>VLOOKUP(D1404,Product_Dim!$A:$M,3,FALSE())</f>
        <v>Electronics</v>
      </c>
      <c r="U1404" s="11" t="str">
        <f>VLOOKUP(D1404,Product_Dim!$A:$M,2,FALSE())</f>
        <v>WiFi Mesh Router</v>
      </c>
      <c r="V1404" s="11" t="str">
        <f>VLOOKUP(E1404,Store_Dim!$A:$E,3,FALSE())</f>
        <v>South</v>
      </c>
      <c r="W1404" s="11" t="str">
        <f>VLOOKUP(C1404,Customer_Dim!$A:$N,13,FALSE())</f>
        <v>Standard</v>
      </c>
      <c r="X1404" s="11" t="str">
        <f t="shared" si="153"/>
        <v>High</v>
      </c>
    </row>
    <row r="1405" spans="1:24" ht="15.75" customHeight="1">
      <c r="A1405" s="4" t="s">
        <v>3401</v>
      </c>
      <c r="B1405" s="9">
        <v>45270</v>
      </c>
      <c r="C1405" s="4" t="s">
        <v>466</v>
      </c>
      <c r="D1405" s="4" t="s">
        <v>1879</v>
      </c>
      <c r="E1405" s="4" t="s">
        <v>1950</v>
      </c>
      <c r="F1405" s="4">
        <v>4</v>
      </c>
      <c r="G1405" s="4">
        <v>202.46</v>
      </c>
      <c r="H1405" s="4">
        <v>0.24</v>
      </c>
      <c r="I1405" s="4" t="s">
        <v>1996</v>
      </c>
      <c r="J1405" s="10">
        <v>615.47839999999997</v>
      </c>
      <c r="K1405" s="4" t="str">
        <f t="shared" si="147"/>
        <v>10-12-2023</v>
      </c>
      <c r="L1405" s="4" t="str">
        <f>TEXT(Sales_Fact!$B1405,"mmm")</f>
        <v>Dec</v>
      </c>
      <c r="M1405" s="4">
        <f t="shared" si="148"/>
        <v>4</v>
      </c>
      <c r="N1405" s="10">
        <f t="shared" si="149"/>
        <v>202.46</v>
      </c>
      <c r="O1405" s="10">
        <f t="shared" si="150"/>
        <v>615.47840000000008</v>
      </c>
      <c r="P1405" s="10">
        <f t="shared" si="151"/>
        <v>809.84</v>
      </c>
      <c r="Q1405" s="3">
        <f t="shared" si="152"/>
        <v>0.23999999999999994</v>
      </c>
      <c r="R1405" s="4" t="str">
        <f>IF(Sales_Fact!$O1405&gt;1000,"High","Low")</f>
        <v>Low</v>
      </c>
      <c r="S1405" s="4" t="str">
        <f>VLOOKUP(C1405,Customer_Dim!$A:$N,9,FALSE())</f>
        <v>Jessica Mitchell</v>
      </c>
      <c r="T1405" s="4" t="str">
        <f>VLOOKUP(D1405,Product_Dim!$A:$M,3,FALSE())</f>
        <v>Clothing</v>
      </c>
      <c r="U1405" s="11" t="str">
        <f>VLOOKUP(D1405,Product_Dim!$A:$M,2,FALSE())</f>
        <v>Women's High Heels</v>
      </c>
      <c r="V1405" s="11" t="str">
        <f>VLOOKUP(E1405,Store_Dim!$A:$E,3,FALSE())</f>
        <v>South</v>
      </c>
      <c r="W1405" s="11" t="str">
        <f>VLOOKUP(C1405,Customer_Dim!$A:$N,13,FALSE())</f>
        <v>Silver</v>
      </c>
      <c r="X1405" s="11" t="str">
        <f t="shared" si="153"/>
        <v>High</v>
      </c>
    </row>
    <row r="1406" spans="1:24" ht="15.75" customHeight="1">
      <c r="A1406" s="4" t="s">
        <v>3402</v>
      </c>
      <c r="B1406" s="9">
        <v>45279</v>
      </c>
      <c r="C1406" s="4" t="s">
        <v>874</v>
      </c>
      <c r="D1406" s="4" t="s">
        <v>1867</v>
      </c>
      <c r="E1406" s="4" t="s">
        <v>1915</v>
      </c>
      <c r="F1406" s="4">
        <v>2</v>
      </c>
      <c r="G1406" s="4">
        <v>291.83999999999997</v>
      </c>
      <c r="H1406" s="4">
        <v>0.25</v>
      </c>
      <c r="I1406" s="4" t="s">
        <v>1998</v>
      </c>
      <c r="J1406" s="10">
        <v>437.76</v>
      </c>
      <c r="K1406" s="4" t="str">
        <f t="shared" si="147"/>
        <v>19-12-2023</v>
      </c>
      <c r="L1406" s="4" t="str">
        <f>TEXT(Sales_Fact!$B1406,"mmm")</f>
        <v>Dec</v>
      </c>
      <c r="M1406" s="4">
        <f t="shared" si="148"/>
        <v>2</v>
      </c>
      <c r="N1406" s="10">
        <f t="shared" si="149"/>
        <v>291.83999999999997</v>
      </c>
      <c r="O1406" s="10">
        <f t="shared" si="150"/>
        <v>437.76</v>
      </c>
      <c r="P1406" s="10">
        <f t="shared" si="151"/>
        <v>583.67999999999995</v>
      </c>
      <c r="Q1406" s="3">
        <f t="shared" si="152"/>
        <v>0.24999999999999994</v>
      </c>
      <c r="R1406" s="4" t="str">
        <f>IF(Sales_Fact!$O1406&gt;1000,"High","Low")</f>
        <v>Low</v>
      </c>
      <c r="S1406" s="4" t="str">
        <f>VLOOKUP(C1406,Customer_Dim!$A:$N,9,FALSE())</f>
        <v>Tracy Kelly</v>
      </c>
      <c r="T1406" s="4" t="str">
        <f>VLOOKUP(D1406,Product_Dim!$A:$M,3,FALSE())</f>
        <v>Home</v>
      </c>
      <c r="U1406" s="11" t="str">
        <f>VLOOKUP(D1406,Product_Dim!$A:$M,2,FALSE())</f>
        <v>LED Bedside Lamp</v>
      </c>
      <c r="V1406" s="11" t="str">
        <f>VLOOKUP(E1406,Store_Dim!$A:$E,3,FALSE())</f>
        <v>North</v>
      </c>
      <c r="W1406" s="11" t="str">
        <f>VLOOKUP(C1406,Customer_Dim!$A:$N,13,FALSE())</f>
        <v>Silver</v>
      </c>
      <c r="X1406" s="11" t="str">
        <f t="shared" si="153"/>
        <v>Low</v>
      </c>
    </row>
    <row r="1407" spans="1:24" ht="15.75" customHeight="1">
      <c r="A1407" s="4" t="s">
        <v>3403</v>
      </c>
      <c r="B1407" s="9">
        <v>45252</v>
      </c>
      <c r="C1407" s="4" t="s">
        <v>568</v>
      </c>
      <c r="D1407" s="4" t="s">
        <v>1897</v>
      </c>
      <c r="E1407" s="4" t="s">
        <v>1931</v>
      </c>
      <c r="F1407" s="4">
        <v>2</v>
      </c>
      <c r="G1407" s="4">
        <v>261.48</v>
      </c>
      <c r="H1407" s="4">
        <v>0.17</v>
      </c>
      <c r="I1407" s="4" t="s">
        <v>1996</v>
      </c>
      <c r="J1407" s="10">
        <v>434.05680000000001</v>
      </c>
      <c r="K1407" s="4" t="str">
        <f t="shared" si="147"/>
        <v>22-11-2023</v>
      </c>
      <c r="L1407" s="4" t="str">
        <f>TEXT(Sales_Fact!$B1407,"mmm")</f>
        <v>Nov</v>
      </c>
      <c r="M1407" s="4">
        <f t="shared" si="148"/>
        <v>2</v>
      </c>
      <c r="N1407" s="10">
        <f t="shared" si="149"/>
        <v>261.48</v>
      </c>
      <c r="O1407" s="10">
        <f t="shared" si="150"/>
        <v>434.05680000000001</v>
      </c>
      <c r="P1407" s="10">
        <f t="shared" si="151"/>
        <v>522.96</v>
      </c>
      <c r="Q1407" s="3">
        <f t="shared" si="152"/>
        <v>0.17000000000000004</v>
      </c>
      <c r="R1407" s="4" t="str">
        <f>IF(Sales_Fact!$O1407&gt;1000,"High","Low")</f>
        <v>Low</v>
      </c>
      <c r="S1407" s="4" t="str">
        <f>VLOOKUP(C1407,Customer_Dim!$A:$N,9,FALSE())</f>
        <v>Joseph Jones</v>
      </c>
      <c r="T1407" s="4" t="str">
        <f>VLOOKUP(D1407,Product_Dim!$A:$M,3,FALSE())</f>
        <v>Sports</v>
      </c>
      <c r="U1407" s="11" t="str">
        <f>VLOOKUP(D1407,Product_Dim!$A:$M,2,FALSE())</f>
        <v>Cricket Bat</v>
      </c>
      <c r="V1407" s="11" t="str">
        <f>VLOOKUP(E1407,Store_Dim!$A:$E,3,FALSE())</f>
        <v>North</v>
      </c>
      <c r="W1407" s="11" t="str">
        <f>VLOOKUP(C1407,Customer_Dim!$A:$N,13,FALSE())</f>
        <v>Bronze</v>
      </c>
      <c r="X1407" s="11" t="str">
        <f t="shared" si="153"/>
        <v>Low</v>
      </c>
    </row>
    <row r="1408" spans="1:24" ht="15.75" customHeight="1">
      <c r="A1408" s="4" t="s">
        <v>3404</v>
      </c>
      <c r="B1408" s="9">
        <v>45938</v>
      </c>
      <c r="C1408" s="4" t="s">
        <v>976</v>
      </c>
      <c r="D1408" s="4" t="s">
        <v>1709</v>
      </c>
      <c r="E1408" s="4" t="s">
        <v>1957</v>
      </c>
      <c r="F1408" s="4">
        <v>1</v>
      </c>
      <c r="G1408" s="4">
        <v>850.83</v>
      </c>
      <c r="H1408" s="4">
        <v>0.28000000000000003</v>
      </c>
      <c r="I1408" s="4" t="s">
        <v>1998</v>
      </c>
      <c r="J1408" s="10">
        <v>612.59760000000006</v>
      </c>
      <c r="K1408" s="4" t="str">
        <f t="shared" si="147"/>
        <v>08-10-2025</v>
      </c>
      <c r="L1408" s="4" t="str">
        <f>TEXT(Sales_Fact!$B1408,"mmm")</f>
        <v>Oct</v>
      </c>
      <c r="M1408" s="4">
        <f t="shared" si="148"/>
        <v>1</v>
      </c>
      <c r="N1408" s="10">
        <f t="shared" si="149"/>
        <v>850.83</v>
      </c>
      <c r="O1408" s="10">
        <f t="shared" si="150"/>
        <v>612.59760000000006</v>
      </c>
      <c r="P1408" s="10">
        <f t="shared" si="151"/>
        <v>850.83</v>
      </c>
      <c r="Q1408" s="3">
        <f t="shared" si="152"/>
        <v>0.27999999999999997</v>
      </c>
      <c r="R1408" s="4" t="str">
        <f>IF(Sales_Fact!$O1408&gt;1000,"High","Low")</f>
        <v>Low</v>
      </c>
      <c r="S1408" s="4" t="str">
        <f>VLOOKUP(C1408,Customer_Dim!$A:$N,9,FALSE())</f>
        <v>Matthew Avery</v>
      </c>
      <c r="T1408" s="4" t="str">
        <f>VLOOKUP(D1408,Product_Dim!$A:$M,3,FALSE())</f>
        <v>Clothing</v>
      </c>
      <c r="U1408" s="11" t="str">
        <f>VLOOKUP(D1408,Product_Dim!$A:$M,2,FALSE())</f>
        <v>Women's Summer Dress</v>
      </c>
      <c r="V1408" s="11" t="str">
        <f>VLOOKUP(E1408,Store_Dim!$A:$E,3,FALSE())</f>
        <v>South</v>
      </c>
      <c r="W1408" s="11" t="str">
        <f>VLOOKUP(C1408,Customer_Dim!$A:$N,13,FALSE())</f>
        <v>Silver</v>
      </c>
      <c r="X1408" s="11" t="str">
        <f t="shared" si="153"/>
        <v>Low</v>
      </c>
    </row>
    <row r="1409" spans="1:24" ht="15.75" customHeight="1">
      <c r="A1409" s="4" t="s">
        <v>3405</v>
      </c>
      <c r="B1409" s="9">
        <v>45711</v>
      </c>
      <c r="C1409" s="4" t="s">
        <v>1289</v>
      </c>
      <c r="D1409" s="4" t="s">
        <v>1741</v>
      </c>
      <c r="E1409" s="4" t="s">
        <v>1944</v>
      </c>
      <c r="F1409" s="4">
        <v>1</v>
      </c>
      <c r="G1409" s="4">
        <v>83.83</v>
      </c>
      <c r="H1409" s="4">
        <v>0.05</v>
      </c>
      <c r="I1409" s="4" t="s">
        <v>1996</v>
      </c>
      <c r="J1409" s="10">
        <v>79.638499999999993</v>
      </c>
      <c r="K1409" s="4" t="str">
        <f t="shared" si="147"/>
        <v>23-02-2025</v>
      </c>
      <c r="L1409" s="4" t="str">
        <f>TEXT(Sales_Fact!$B1409,"mmm")</f>
        <v>Feb</v>
      </c>
      <c r="M1409" s="4">
        <f t="shared" si="148"/>
        <v>1</v>
      </c>
      <c r="N1409" s="10">
        <f t="shared" si="149"/>
        <v>83.83</v>
      </c>
      <c r="O1409" s="10">
        <f t="shared" si="150"/>
        <v>79.638499999999993</v>
      </c>
      <c r="P1409" s="10">
        <f t="shared" si="151"/>
        <v>83.83</v>
      </c>
      <c r="Q1409" s="3">
        <f t="shared" si="152"/>
        <v>5.0000000000000058E-2</v>
      </c>
      <c r="R1409" s="4" t="str">
        <f>IF(Sales_Fact!$O1409&gt;1000,"High","Low")</f>
        <v>Low</v>
      </c>
      <c r="S1409" s="4" t="str">
        <f>VLOOKUP(C1409,Customer_Dim!$A:$N,9,FALSE())</f>
        <v>Eric Wolfe</v>
      </c>
      <c r="T1409" s="4" t="str">
        <f>VLOOKUP(D1409,Product_Dim!$A:$M,3,FALSE())</f>
        <v>Clothing</v>
      </c>
      <c r="U1409" s="11" t="str">
        <f>VLOOKUP(D1409,Product_Dim!$A:$M,2,FALSE())</f>
        <v>Men's Winter Jacket</v>
      </c>
      <c r="V1409" s="11" t="str">
        <f>VLOOKUP(E1409,Store_Dim!$A:$E,3,FALSE())</f>
        <v>South</v>
      </c>
      <c r="W1409" s="11" t="str">
        <f>VLOOKUP(C1409,Customer_Dim!$A:$N,13,FALSE())</f>
        <v>Gold</v>
      </c>
      <c r="X1409" s="11" t="str">
        <f t="shared" si="153"/>
        <v>Low</v>
      </c>
    </row>
    <row r="1410" spans="1:24" ht="15.75" customHeight="1">
      <c r="A1410" s="4" t="s">
        <v>3406</v>
      </c>
      <c r="B1410" s="9">
        <v>45713</v>
      </c>
      <c r="C1410" s="4" t="s">
        <v>55</v>
      </c>
      <c r="D1410" s="4" t="s">
        <v>1870</v>
      </c>
      <c r="E1410" s="4" t="s">
        <v>1962</v>
      </c>
      <c r="F1410" s="4">
        <v>3</v>
      </c>
      <c r="G1410" s="4">
        <v>649.95000000000005</v>
      </c>
      <c r="H1410" s="4">
        <v>0.28000000000000003</v>
      </c>
      <c r="I1410" s="4" t="s">
        <v>2004</v>
      </c>
      <c r="J1410" s="10">
        <v>1403.8920000000001</v>
      </c>
      <c r="K1410" s="4" t="str">
        <f t="shared" ref="K1410:K1473" si="154">TEXT(B1410,"dd-mm-yyyy")</f>
        <v>25-02-2025</v>
      </c>
      <c r="L1410" s="4" t="str">
        <f>TEXT(Sales_Fact!$B1410,"mmm")</f>
        <v>Feb</v>
      </c>
      <c r="M1410" s="4">
        <f t="shared" ref="M1410:M1473" si="155">IF(ISBLANK(F1410),1,F1410)</f>
        <v>3</v>
      </c>
      <c r="N1410" s="10">
        <f t="shared" ref="N1410:N1473" si="156">ROUNDUP(IF(ISBLANK(G1410),AVERAGE(C:C,G1410,G:G),G1410),2)</f>
        <v>649.95000000000005</v>
      </c>
      <c r="O1410" s="10">
        <f t="shared" ref="O1410:O1473" si="157">M1410*N1410*(1-H1410)</f>
        <v>1403.8920000000001</v>
      </c>
      <c r="P1410" s="10">
        <f t="shared" ref="P1410:P1473" si="158">M1410*N1410</f>
        <v>1949.8500000000001</v>
      </c>
      <c r="Q1410" s="3">
        <f t="shared" ref="Q1410:Q1473" si="159">(P1410-O1410)/P1410</f>
        <v>0.28000000000000003</v>
      </c>
      <c r="R1410" s="4" t="str">
        <f>IF(Sales_Fact!$O1410&gt;1000,"High","Low")</f>
        <v>High</v>
      </c>
      <c r="S1410" s="4" t="str">
        <f>VLOOKUP(C1410,Customer_Dim!$A:$N,9,FALSE())</f>
        <v>Amber Jackson</v>
      </c>
      <c r="T1410" s="4" t="str">
        <f>VLOOKUP(D1410,Product_Dim!$A:$M,3,FALSE())</f>
        <v>Sports</v>
      </c>
      <c r="U1410" s="11" t="str">
        <f>VLOOKUP(D1410,Product_Dim!$A:$M,2,FALSE())</f>
        <v>Sports Wrist Sweatbands</v>
      </c>
      <c r="V1410" s="11" t="str">
        <f>VLOOKUP(E1410,Store_Dim!$A:$E,3,FALSE())</f>
        <v>West</v>
      </c>
      <c r="W1410" s="11" t="str">
        <f>VLOOKUP(C1410,Customer_Dim!$A:$N,13,FALSE())</f>
        <v>Platinum</v>
      </c>
      <c r="X1410" s="11" t="str">
        <f t="shared" ref="X1410:X1473" si="160">IF(F1410&gt;3,"High","Low")</f>
        <v>Low</v>
      </c>
    </row>
    <row r="1411" spans="1:24" ht="15.75" customHeight="1">
      <c r="A1411" s="4" t="s">
        <v>3407</v>
      </c>
      <c r="B1411" s="9">
        <v>45565</v>
      </c>
      <c r="C1411" s="4" t="s">
        <v>1174</v>
      </c>
      <c r="D1411" s="4" t="s">
        <v>1825</v>
      </c>
      <c r="E1411" s="4" t="s">
        <v>1934</v>
      </c>
      <c r="F1411" s="4">
        <v>4</v>
      </c>
      <c r="G1411" s="4">
        <v>934.96</v>
      </c>
      <c r="H1411" s="4">
        <v>0.18</v>
      </c>
      <c r="I1411" s="4" t="s">
        <v>1998</v>
      </c>
      <c r="J1411" s="10">
        <v>3066.6687999999999</v>
      </c>
      <c r="K1411" s="4" t="str">
        <f t="shared" si="154"/>
        <v>30-09-2024</v>
      </c>
      <c r="L1411" s="4" t="str">
        <f>TEXT(Sales_Fact!$B1411,"mmm")</f>
        <v>Sep</v>
      </c>
      <c r="M1411" s="4">
        <f t="shared" si="155"/>
        <v>4</v>
      </c>
      <c r="N1411" s="10">
        <f t="shared" si="156"/>
        <v>934.96</v>
      </c>
      <c r="O1411" s="10">
        <f t="shared" si="157"/>
        <v>3066.6688000000004</v>
      </c>
      <c r="P1411" s="10">
        <f t="shared" si="158"/>
        <v>3739.84</v>
      </c>
      <c r="Q1411" s="3">
        <f t="shared" si="159"/>
        <v>0.17999999999999994</v>
      </c>
      <c r="R1411" s="4" t="str">
        <f>IF(Sales_Fact!$O1411&gt;1000,"High","Low")</f>
        <v>High</v>
      </c>
      <c r="S1411" s="4" t="str">
        <f>VLOOKUP(C1411,Customer_Dim!$A:$N,9,FALSE())</f>
        <v>Mallory Allen</v>
      </c>
      <c r="T1411" s="4" t="str">
        <f>VLOOKUP(D1411,Product_Dim!$A:$M,3,FALSE())</f>
        <v>Sports</v>
      </c>
      <c r="U1411" s="11" t="str">
        <f>VLOOKUP(D1411,Product_Dim!$A:$M,2,FALSE())</f>
        <v>Shin Guards – Adult</v>
      </c>
      <c r="V1411" s="11" t="str">
        <f>VLOOKUP(E1411,Store_Dim!$A:$E,3,FALSE())</f>
        <v>East</v>
      </c>
      <c r="W1411" s="11" t="str">
        <f>VLOOKUP(C1411,Customer_Dim!$A:$N,13,FALSE())</f>
        <v>Platinum</v>
      </c>
      <c r="X1411" s="11" t="str">
        <f t="shared" si="160"/>
        <v>High</v>
      </c>
    </row>
    <row r="1412" spans="1:24" ht="15.75" customHeight="1">
      <c r="A1412" s="4" t="s">
        <v>3408</v>
      </c>
      <c r="B1412" s="9">
        <v>45279</v>
      </c>
      <c r="C1412" s="4" t="s">
        <v>697</v>
      </c>
      <c r="D1412" s="4" t="s">
        <v>1648</v>
      </c>
      <c r="E1412" s="4" t="s">
        <v>1957</v>
      </c>
      <c r="F1412" s="4">
        <v>1</v>
      </c>
      <c r="G1412" s="4">
        <v>880.89</v>
      </c>
      <c r="H1412" s="4">
        <v>0.13</v>
      </c>
      <c r="I1412" s="4" t="s">
        <v>2004</v>
      </c>
      <c r="J1412" s="10">
        <v>766.37429999999995</v>
      </c>
      <c r="K1412" s="4" t="str">
        <f t="shared" si="154"/>
        <v>19-12-2023</v>
      </c>
      <c r="L1412" s="4" t="str">
        <f>TEXT(Sales_Fact!$B1412,"mmm")</f>
        <v>Dec</v>
      </c>
      <c r="M1412" s="4">
        <f t="shared" si="155"/>
        <v>1</v>
      </c>
      <c r="N1412" s="10">
        <f t="shared" si="156"/>
        <v>880.89</v>
      </c>
      <c r="O1412" s="10">
        <f t="shared" si="157"/>
        <v>766.37429999999995</v>
      </c>
      <c r="P1412" s="10">
        <f t="shared" si="158"/>
        <v>880.89</v>
      </c>
      <c r="Q1412" s="3">
        <f t="shared" si="159"/>
        <v>0.13000000000000003</v>
      </c>
      <c r="R1412" s="4" t="str">
        <f>IF(Sales_Fact!$O1412&gt;1000,"High","Low")</f>
        <v>Low</v>
      </c>
      <c r="S1412" s="4" t="str">
        <f>VLOOKUP(C1412,Customer_Dim!$A:$N,9,FALSE())</f>
        <v>Ronald Jones</v>
      </c>
      <c r="T1412" s="4" t="str">
        <f>VLOOKUP(D1412,Product_Dim!$A:$M,3,FALSE())</f>
        <v>Sports</v>
      </c>
      <c r="U1412" s="11" t="str">
        <f>VLOOKUP(D1412,Product_Dim!$A:$M,2,FALSE())</f>
        <v>Soccer Training Cone Set</v>
      </c>
      <c r="V1412" s="11" t="str">
        <f>VLOOKUP(E1412,Store_Dim!$A:$E,3,FALSE())</f>
        <v>South</v>
      </c>
      <c r="W1412" s="11" t="str">
        <f>VLOOKUP(C1412,Customer_Dim!$A:$N,13,FALSE())</f>
        <v>Silver</v>
      </c>
      <c r="X1412" s="11" t="str">
        <f t="shared" si="160"/>
        <v>Low</v>
      </c>
    </row>
    <row r="1413" spans="1:24" ht="15.75" customHeight="1">
      <c r="A1413" s="4" t="s">
        <v>3409</v>
      </c>
      <c r="B1413" s="9">
        <v>45614</v>
      </c>
      <c r="C1413" s="4" t="s">
        <v>1498</v>
      </c>
      <c r="D1413" s="4" t="s">
        <v>1900</v>
      </c>
      <c r="E1413" s="4" t="s">
        <v>1940</v>
      </c>
      <c r="F1413" s="4">
        <v>4</v>
      </c>
      <c r="G1413" s="4">
        <v>610.6</v>
      </c>
      <c r="H1413" s="4">
        <v>0.1</v>
      </c>
      <c r="I1413" s="4" t="s">
        <v>1998</v>
      </c>
      <c r="J1413" s="10">
        <v>2198.16</v>
      </c>
      <c r="K1413" s="4" t="str">
        <f t="shared" si="154"/>
        <v>18-11-2024</v>
      </c>
      <c r="L1413" s="4" t="str">
        <f>TEXT(Sales_Fact!$B1413,"mmm")</f>
        <v>Nov</v>
      </c>
      <c r="M1413" s="4">
        <f t="shared" si="155"/>
        <v>4</v>
      </c>
      <c r="N1413" s="10">
        <f t="shared" si="156"/>
        <v>610.6</v>
      </c>
      <c r="O1413" s="10">
        <f t="shared" si="157"/>
        <v>2198.1600000000003</v>
      </c>
      <c r="P1413" s="10">
        <f t="shared" si="158"/>
        <v>2442.4</v>
      </c>
      <c r="Q1413" s="3">
        <f t="shared" si="159"/>
        <v>9.9999999999999908E-2</v>
      </c>
      <c r="R1413" s="4" t="str">
        <f>IF(Sales_Fact!$O1413&gt;1000,"High","Low")</f>
        <v>High</v>
      </c>
      <c r="S1413" s="4" t="str">
        <f>VLOOKUP(C1413,Customer_Dim!$A:$N,9,FALSE())</f>
        <v>Andrea Harris</v>
      </c>
      <c r="T1413" s="4" t="str">
        <f>VLOOKUP(D1413,Product_Dim!$A:$M,3,FALSE())</f>
        <v>Electronics</v>
      </c>
      <c r="U1413" s="11" t="str">
        <f>VLOOKUP(D1413,Product_Dim!$A:$M,2,FALSE())</f>
        <v>Portable Bluetooth Speaker</v>
      </c>
      <c r="V1413" s="11" t="str">
        <f>VLOOKUP(E1413,Store_Dim!$A:$E,3,FALSE())</f>
        <v>West</v>
      </c>
      <c r="W1413" s="11" t="str">
        <f>VLOOKUP(C1413,Customer_Dim!$A:$N,13,FALSE())</f>
        <v>Platinum</v>
      </c>
      <c r="X1413" s="11" t="str">
        <f t="shared" si="160"/>
        <v>High</v>
      </c>
    </row>
    <row r="1414" spans="1:24" ht="15.75" customHeight="1">
      <c r="A1414" s="4" t="s">
        <v>3410</v>
      </c>
      <c r="B1414" s="9">
        <v>45466</v>
      </c>
      <c r="C1414" s="4" t="s">
        <v>63</v>
      </c>
      <c r="D1414" s="4" t="s">
        <v>1690</v>
      </c>
      <c r="E1414" s="4" t="s">
        <v>1950</v>
      </c>
      <c r="F1414" s="4">
        <v>1</v>
      </c>
      <c r="G1414" s="4">
        <v>135.78</v>
      </c>
      <c r="H1414" s="4">
        <v>0.14000000000000001</v>
      </c>
      <c r="I1414" s="4" t="s">
        <v>1998</v>
      </c>
      <c r="J1414" s="10">
        <v>116.77079999999999</v>
      </c>
      <c r="K1414" s="4" t="str">
        <f t="shared" si="154"/>
        <v>23-06-2024</v>
      </c>
      <c r="L1414" s="4" t="str">
        <f>TEXT(Sales_Fact!$B1414,"mmm")</f>
        <v>Jun</v>
      </c>
      <c r="M1414" s="4">
        <f t="shared" si="155"/>
        <v>1</v>
      </c>
      <c r="N1414" s="10">
        <f t="shared" si="156"/>
        <v>135.78</v>
      </c>
      <c r="O1414" s="10">
        <f t="shared" si="157"/>
        <v>116.77079999999999</v>
      </c>
      <c r="P1414" s="10">
        <f t="shared" si="158"/>
        <v>135.78</v>
      </c>
      <c r="Q1414" s="3">
        <f t="shared" si="159"/>
        <v>0.14000000000000004</v>
      </c>
      <c r="R1414" s="4" t="str">
        <f>IF(Sales_Fact!$O1414&gt;1000,"High","Low")</f>
        <v>Low</v>
      </c>
      <c r="S1414" s="4" t="str">
        <f>VLOOKUP(C1414,Customer_Dim!$A:$N,9,FALSE())</f>
        <v>Melissa Howard</v>
      </c>
      <c r="T1414" s="4" t="str">
        <f>VLOOKUP(D1414,Product_Dim!$A:$M,3,FALSE())</f>
        <v>Home</v>
      </c>
      <c r="U1414" s="11" t="str">
        <f>VLOOKUP(D1414,Product_Dim!$A:$M,2,FALSE())</f>
        <v>Stainless Steel Cutlery Set</v>
      </c>
      <c r="V1414" s="11" t="str">
        <f>VLOOKUP(E1414,Store_Dim!$A:$E,3,FALSE())</f>
        <v>South</v>
      </c>
      <c r="W1414" s="11" t="str">
        <f>VLOOKUP(C1414,Customer_Dim!$A:$N,13,FALSE())</f>
        <v>Gold</v>
      </c>
      <c r="X1414" s="11" t="str">
        <f t="shared" si="160"/>
        <v>Low</v>
      </c>
    </row>
    <row r="1415" spans="1:24" ht="15.75" customHeight="1">
      <c r="A1415" s="4" t="s">
        <v>3411</v>
      </c>
      <c r="B1415" s="9">
        <v>45912</v>
      </c>
      <c r="C1415" s="4" t="s">
        <v>296</v>
      </c>
      <c r="D1415" s="4" t="s">
        <v>1684</v>
      </c>
      <c r="E1415" s="4" t="s">
        <v>1968</v>
      </c>
      <c r="F1415" s="4">
        <v>1</v>
      </c>
      <c r="G1415" s="4">
        <v>514.19000000000005</v>
      </c>
      <c r="H1415" s="4">
        <v>0.2</v>
      </c>
      <c r="I1415" s="4" t="s">
        <v>1996</v>
      </c>
      <c r="J1415" s="10">
        <v>411.35199999999998</v>
      </c>
      <c r="K1415" s="4" t="str">
        <f t="shared" si="154"/>
        <v>12-09-2025</v>
      </c>
      <c r="L1415" s="4" t="str">
        <f>TEXT(Sales_Fact!$B1415,"mmm")</f>
        <v>Sep</v>
      </c>
      <c r="M1415" s="4">
        <f t="shared" si="155"/>
        <v>1</v>
      </c>
      <c r="N1415" s="10">
        <f t="shared" si="156"/>
        <v>514.19000000000005</v>
      </c>
      <c r="O1415" s="10">
        <f t="shared" si="157"/>
        <v>411.35200000000009</v>
      </c>
      <c r="P1415" s="10">
        <f t="shared" si="158"/>
        <v>514.19000000000005</v>
      </c>
      <c r="Q1415" s="3">
        <f t="shared" si="159"/>
        <v>0.1999999999999999</v>
      </c>
      <c r="R1415" s="4" t="str">
        <f>IF(Sales_Fact!$O1415&gt;1000,"High","Low")</f>
        <v>Low</v>
      </c>
      <c r="S1415" s="4" t="str">
        <f>VLOOKUP(C1415,Customer_Dim!$A:$N,9,FALSE())</f>
        <v>Rhonda Morales</v>
      </c>
      <c r="T1415" s="4" t="str">
        <f>VLOOKUP(D1415,Product_Dim!$A:$M,3,FALSE())</f>
        <v>Sports</v>
      </c>
      <c r="U1415" s="11" t="str">
        <f>VLOOKUP(D1415,Product_Dim!$A:$M,2,FALSE())</f>
        <v>Sports Stopwatch Timer</v>
      </c>
      <c r="V1415" s="11" t="str">
        <f>VLOOKUP(E1415,Store_Dim!$A:$E,3,FALSE())</f>
        <v>East</v>
      </c>
      <c r="W1415" s="11" t="str">
        <f>VLOOKUP(C1415,Customer_Dim!$A:$N,13,FALSE())</f>
        <v>Gold</v>
      </c>
      <c r="X1415" s="11" t="str">
        <f t="shared" si="160"/>
        <v>Low</v>
      </c>
    </row>
    <row r="1416" spans="1:24" ht="15.75" customHeight="1">
      <c r="A1416" s="4" t="s">
        <v>3412</v>
      </c>
      <c r="B1416" s="9">
        <v>45688</v>
      </c>
      <c r="C1416" s="4" t="s">
        <v>1272</v>
      </c>
      <c r="D1416" s="4" t="s">
        <v>1712</v>
      </c>
      <c r="E1416" s="4" t="s">
        <v>1955</v>
      </c>
      <c r="F1416" s="4">
        <v>1</v>
      </c>
      <c r="G1416" s="4">
        <v>546.20000000000005</v>
      </c>
      <c r="H1416" s="4">
        <v>0.22</v>
      </c>
      <c r="I1416" s="4" t="s">
        <v>1998</v>
      </c>
      <c r="J1416" s="10">
        <v>426.036</v>
      </c>
      <c r="K1416" s="4" t="str">
        <f t="shared" si="154"/>
        <v>31-01-2025</v>
      </c>
      <c r="L1416" s="4" t="str">
        <f>TEXT(Sales_Fact!$B1416,"mmm")</f>
        <v>Jan</v>
      </c>
      <c r="M1416" s="4">
        <f t="shared" si="155"/>
        <v>1</v>
      </c>
      <c r="N1416" s="10">
        <f t="shared" si="156"/>
        <v>546.20000000000005</v>
      </c>
      <c r="O1416" s="10">
        <f t="shared" si="157"/>
        <v>426.03600000000006</v>
      </c>
      <c r="P1416" s="10">
        <f t="shared" si="158"/>
        <v>546.20000000000005</v>
      </c>
      <c r="Q1416" s="3">
        <f t="shared" si="159"/>
        <v>0.21999999999999995</v>
      </c>
      <c r="R1416" s="4" t="str">
        <f>IF(Sales_Fact!$O1416&gt;1000,"High","Low")</f>
        <v>Low</v>
      </c>
      <c r="S1416" s="4" t="str">
        <f>VLOOKUP(C1416,Customer_Dim!$A:$N,9,FALSE())</f>
        <v>John Donaldson</v>
      </c>
      <c r="T1416" s="4" t="str">
        <f>VLOOKUP(D1416,Product_Dim!$A:$M,3,FALSE())</f>
        <v>Clothing</v>
      </c>
      <c r="U1416" s="11" t="str">
        <f>VLOOKUP(D1416,Product_Dim!$A:$M,2,FALSE())</f>
        <v>Men's Casual Sneakers</v>
      </c>
      <c r="V1416" s="11" t="str">
        <f>VLOOKUP(E1416,Store_Dim!$A:$E,3,FALSE())</f>
        <v>East</v>
      </c>
      <c r="W1416" s="11" t="str">
        <f>VLOOKUP(C1416,Customer_Dim!$A:$N,13,FALSE())</f>
        <v>Bronze</v>
      </c>
      <c r="X1416" s="11" t="str">
        <f t="shared" si="160"/>
        <v>Low</v>
      </c>
    </row>
    <row r="1417" spans="1:24" ht="15.75" customHeight="1">
      <c r="A1417" s="4" t="s">
        <v>3413</v>
      </c>
      <c r="B1417" s="9">
        <v>45591</v>
      </c>
      <c r="C1417" s="4" t="s">
        <v>671</v>
      </c>
      <c r="D1417" s="4" t="s">
        <v>1712</v>
      </c>
      <c r="E1417" s="4" t="s">
        <v>1910</v>
      </c>
      <c r="F1417" s="4">
        <v>3</v>
      </c>
      <c r="G1417" s="4">
        <v>416.01</v>
      </c>
      <c r="H1417" s="4">
        <v>0.02</v>
      </c>
      <c r="I1417" s="4" t="s">
        <v>1996</v>
      </c>
      <c r="J1417" s="10">
        <v>1223.0694000000001</v>
      </c>
      <c r="K1417" s="4" t="str">
        <f t="shared" si="154"/>
        <v>26-10-2024</v>
      </c>
      <c r="L1417" s="4" t="str">
        <f>TEXT(Sales_Fact!$B1417,"mmm")</f>
        <v>Oct</v>
      </c>
      <c r="M1417" s="4">
        <f t="shared" si="155"/>
        <v>3</v>
      </c>
      <c r="N1417" s="10">
        <f t="shared" si="156"/>
        <v>416.01</v>
      </c>
      <c r="O1417" s="10">
        <f t="shared" si="157"/>
        <v>1223.0693999999999</v>
      </c>
      <c r="P1417" s="10">
        <f t="shared" si="158"/>
        <v>1248.03</v>
      </c>
      <c r="Q1417" s="3">
        <f t="shared" si="159"/>
        <v>2.0000000000000091E-2</v>
      </c>
      <c r="R1417" s="4" t="str">
        <f>IF(Sales_Fact!$O1417&gt;1000,"High","Low")</f>
        <v>High</v>
      </c>
      <c r="S1417" s="4" t="str">
        <f>VLOOKUP(C1417,Customer_Dim!$A:$N,9,FALSE())</f>
        <v>Andrea Jacobs</v>
      </c>
      <c r="T1417" s="4" t="str">
        <f>VLOOKUP(D1417,Product_Dim!$A:$M,3,FALSE())</f>
        <v>Clothing</v>
      </c>
      <c r="U1417" s="11" t="str">
        <f>VLOOKUP(D1417,Product_Dim!$A:$M,2,FALSE())</f>
        <v>Men's Casual Sneakers</v>
      </c>
      <c r="V1417" s="11" t="str">
        <f>VLOOKUP(E1417,Store_Dim!$A:$E,3,FALSE())</f>
        <v>East</v>
      </c>
      <c r="W1417" s="11" t="str">
        <f>VLOOKUP(C1417,Customer_Dim!$A:$N,13,FALSE())</f>
        <v>Platinum</v>
      </c>
      <c r="X1417" s="11" t="str">
        <f t="shared" si="160"/>
        <v>Low</v>
      </c>
    </row>
    <row r="1418" spans="1:24" ht="15.75" customHeight="1">
      <c r="A1418" s="4" t="s">
        <v>3414</v>
      </c>
      <c r="B1418" s="9">
        <v>45864</v>
      </c>
      <c r="C1418" s="4" t="s">
        <v>1228</v>
      </c>
      <c r="D1418" s="4" t="s">
        <v>1828</v>
      </c>
      <c r="E1418" s="4" t="s">
        <v>1947</v>
      </c>
      <c r="F1418" s="4">
        <v>1</v>
      </c>
      <c r="G1418" s="4">
        <v>30.94</v>
      </c>
      <c r="H1418" s="4">
        <v>0.21</v>
      </c>
      <c r="I1418" s="4" t="s">
        <v>2004</v>
      </c>
      <c r="J1418" s="10">
        <v>24.442599999999999</v>
      </c>
      <c r="K1418" s="4" t="str">
        <f t="shared" si="154"/>
        <v>26-07-2025</v>
      </c>
      <c r="L1418" s="4" t="str">
        <f>TEXT(Sales_Fact!$B1418,"mmm")</f>
        <v>Jul</v>
      </c>
      <c r="M1418" s="4">
        <f t="shared" si="155"/>
        <v>1</v>
      </c>
      <c r="N1418" s="10">
        <f t="shared" si="156"/>
        <v>30.94</v>
      </c>
      <c r="O1418" s="10">
        <f t="shared" si="157"/>
        <v>24.442600000000002</v>
      </c>
      <c r="P1418" s="10">
        <f t="shared" si="158"/>
        <v>30.94</v>
      </c>
      <c r="Q1418" s="3">
        <f t="shared" si="159"/>
        <v>0.20999999999999996</v>
      </c>
      <c r="R1418" s="4" t="str">
        <f>IF(Sales_Fact!$O1418&gt;1000,"High","Low")</f>
        <v>Low</v>
      </c>
      <c r="S1418" s="4" t="str">
        <f>VLOOKUP(C1418,Customer_Dim!$A:$N,9,FALSE())</f>
        <v>Andrew Mason</v>
      </c>
      <c r="T1418" s="4" t="str">
        <f>VLOOKUP(D1418,Product_Dim!$A:$M,3,FALSE())</f>
        <v>Electronics</v>
      </c>
      <c r="U1418" s="11" t="str">
        <f>VLOOKUP(D1418,Product_Dim!$A:$M,2,FALSE())</f>
        <v>Bluetooth Car Audio System</v>
      </c>
      <c r="V1418" s="11" t="str">
        <f>VLOOKUP(E1418,Store_Dim!$A:$E,3,FALSE())</f>
        <v>East</v>
      </c>
      <c r="W1418" s="11" t="str">
        <f>VLOOKUP(C1418,Customer_Dim!$A:$N,13,FALSE())</f>
        <v>Bronze</v>
      </c>
      <c r="X1418" s="11" t="str">
        <f t="shared" si="160"/>
        <v>Low</v>
      </c>
    </row>
    <row r="1419" spans="1:24" ht="15.75" customHeight="1">
      <c r="A1419" s="4" t="s">
        <v>3415</v>
      </c>
      <c r="B1419" s="9">
        <v>45875</v>
      </c>
      <c r="C1419" s="4" t="s">
        <v>679</v>
      </c>
      <c r="D1419" s="4" t="s">
        <v>1779</v>
      </c>
      <c r="E1419" s="4" t="s">
        <v>1962</v>
      </c>
      <c r="F1419" s="4">
        <v>3</v>
      </c>
      <c r="G1419" s="4">
        <v>666.39</v>
      </c>
      <c r="H1419" s="4">
        <v>0.21</v>
      </c>
      <c r="I1419" s="4" t="s">
        <v>2004</v>
      </c>
      <c r="J1419" s="10">
        <v>1579.3443</v>
      </c>
      <c r="K1419" s="4" t="str">
        <f t="shared" si="154"/>
        <v>06-08-2025</v>
      </c>
      <c r="L1419" s="4" t="str">
        <f>TEXT(Sales_Fact!$B1419,"mmm")</f>
        <v>Aug</v>
      </c>
      <c r="M1419" s="4">
        <f t="shared" si="155"/>
        <v>3</v>
      </c>
      <c r="N1419" s="10">
        <f t="shared" si="156"/>
        <v>666.39</v>
      </c>
      <c r="O1419" s="10">
        <f t="shared" si="157"/>
        <v>1579.3443000000002</v>
      </c>
      <c r="P1419" s="10">
        <f t="shared" si="158"/>
        <v>1999.17</v>
      </c>
      <c r="Q1419" s="3">
        <f t="shared" si="159"/>
        <v>0.20999999999999994</v>
      </c>
      <c r="R1419" s="4" t="str">
        <f>IF(Sales_Fact!$O1419&gt;1000,"High","Low")</f>
        <v>High</v>
      </c>
      <c r="S1419" s="4" t="str">
        <f>VLOOKUP(C1419,Customer_Dim!$A:$N,9,FALSE())</f>
        <v>Anna Perez</v>
      </c>
      <c r="T1419" s="4" t="str">
        <f>VLOOKUP(D1419,Product_Dim!$A:$M,3,FALSE())</f>
        <v>Clothing</v>
      </c>
      <c r="U1419" s="11" t="str">
        <f>VLOOKUP(D1419,Product_Dim!$A:$M,2,FALSE())</f>
        <v>Womens Cotton Scarf</v>
      </c>
      <c r="V1419" s="11" t="str">
        <f>VLOOKUP(E1419,Store_Dim!$A:$E,3,FALSE())</f>
        <v>West</v>
      </c>
      <c r="W1419" s="11" t="str">
        <f>VLOOKUP(C1419,Customer_Dim!$A:$N,13,FALSE())</f>
        <v>Platinum</v>
      </c>
      <c r="X1419" s="11" t="str">
        <f t="shared" si="160"/>
        <v>Low</v>
      </c>
    </row>
    <row r="1420" spans="1:24" ht="15.75" customHeight="1">
      <c r="A1420" s="4" t="s">
        <v>3416</v>
      </c>
      <c r="B1420" s="9">
        <v>45797</v>
      </c>
      <c r="C1420" s="4" t="s">
        <v>577</v>
      </c>
      <c r="D1420" s="4" t="s">
        <v>1849</v>
      </c>
      <c r="E1420" s="4" t="s">
        <v>1947</v>
      </c>
      <c r="F1420" s="4">
        <v>2</v>
      </c>
      <c r="G1420" s="4">
        <v>145.26</v>
      </c>
      <c r="H1420" s="4">
        <v>0.19</v>
      </c>
      <c r="I1420" s="4" t="s">
        <v>1998</v>
      </c>
      <c r="J1420" s="10">
        <v>235.3212</v>
      </c>
      <c r="K1420" s="4" t="str">
        <f t="shared" si="154"/>
        <v>20-05-2025</v>
      </c>
      <c r="L1420" s="4" t="str">
        <f>TEXT(Sales_Fact!$B1420,"mmm")</f>
        <v>May</v>
      </c>
      <c r="M1420" s="4">
        <f t="shared" si="155"/>
        <v>2</v>
      </c>
      <c r="N1420" s="10">
        <f t="shared" si="156"/>
        <v>145.26</v>
      </c>
      <c r="O1420" s="10">
        <f t="shared" si="157"/>
        <v>235.3212</v>
      </c>
      <c r="P1420" s="10">
        <f t="shared" si="158"/>
        <v>290.52</v>
      </c>
      <c r="Q1420" s="3">
        <f t="shared" si="159"/>
        <v>0.18999999999999995</v>
      </c>
      <c r="R1420" s="4" t="str">
        <f>IF(Sales_Fact!$O1420&gt;1000,"High","Low")</f>
        <v>Low</v>
      </c>
      <c r="S1420" s="4" t="str">
        <f>VLOOKUP(C1420,Customer_Dim!$A:$N,9,FALSE())</f>
        <v>Patricia Gardner</v>
      </c>
      <c r="T1420" s="4" t="str">
        <f>VLOOKUP(D1420,Product_Dim!$A:$M,3,FALSE())</f>
        <v>Sports</v>
      </c>
      <c r="U1420" s="11" t="str">
        <f>VLOOKUP(D1420,Product_Dim!$A:$M,2,FALSE())</f>
        <v>Badminton Racket Set</v>
      </c>
      <c r="V1420" s="11" t="str">
        <f>VLOOKUP(E1420,Store_Dim!$A:$E,3,FALSE())</f>
        <v>East</v>
      </c>
      <c r="W1420" s="11" t="str">
        <f>VLOOKUP(C1420,Customer_Dim!$A:$N,13,FALSE())</f>
        <v>Silver</v>
      </c>
      <c r="X1420" s="11" t="str">
        <f t="shared" si="160"/>
        <v>Low</v>
      </c>
    </row>
    <row r="1421" spans="1:24" ht="15.75" customHeight="1">
      <c r="A1421" s="4" t="s">
        <v>3417</v>
      </c>
      <c r="B1421" s="9">
        <v>45364</v>
      </c>
      <c r="C1421" s="4" t="s">
        <v>432</v>
      </c>
      <c r="D1421" s="4" t="s">
        <v>1879</v>
      </c>
      <c r="E1421" s="4" t="s">
        <v>1931</v>
      </c>
      <c r="F1421" s="4">
        <v>4</v>
      </c>
      <c r="G1421" s="4">
        <v>940.77</v>
      </c>
      <c r="H1421" s="4">
        <v>0.24</v>
      </c>
      <c r="I1421" s="4" t="s">
        <v>2004</v>
      </c>
      <c r="J1421" s="10">
        <v>2859.9407999999999</v>
      </c>
      <c r="K1421" s="4" t="str">
        <f t="shared" si="154"/>
        <v>13-03-2024</v>
      </c>
      <c r="L1421" s="4" t="str">
        <f>TEXT(Sales_Fact!$B1421,"mmm")</f>
        <v>Mar</v>
      </c>
      <c r="M1421" s="4">
        <f t="shared" si="155"/>
        <v>4</v>
      </c>
      <c r="N1421" s="10">
        <f t="shared" si="156"/>
        <v>940.77</v>
      </c>
      <c r="O1421" s="10">
        <f t="shared" si="157"/>
        <v>2859.9407999999999</v>
      </c>
      <c r="P1421" s="10">
        <f t="shared" si="158"/>
        <v>3763.08</v>
      </c>
      <c r="Q1421" s="3">
        <f t="shared" si="159"/>
        <v>0.24000000000000002</v>
      </c>
      <c r="R1421" s="4" t="str">
        <f>IF(Sales_Fact!$O1421&gt;1000,"High","Low")</f>
        <v>High</v>
      </c>
      <c r="S1421" s="4" t="str">
        <f>VLOOKUP(C1421,Customer_Dim!$A:$N,9,FALSE())</f>
        <v>Earl Allen</v>
      </c>
      <c r="T1421" s="4" t="str">
        <f>VLOOKUP(D1421,Product_Dim!$A:$M,3,FALSE())</f>
        <v>Clothing</v>
      </c>
      <c r="U1421" s="11" t="str">
        <f>VLOOKUP(D1421,Product_Dim!$A:$M,2,FALSE())</f>
        <v>Women's High Heels</v>
      </c>
      <c r="V1421" s="11" t="str">
        <f>VLOOKUP(E1421,Store_Dim!$A:$E,3,FALSE())</f>
        <v>North</v>
      </c>
      <c r="W1421" s="11" t="str">
        <f>VLOOKUP(C1421,Customer_Dim!$A:$N,13,FALSE())</f>
        <v>Platinum</v>
      </c>
      <c r="X1421" s="11" t="str">
        <f t="shared" si="160"/>
        <v>High</v>
      </c>
    </row>
    <row r="1422" spans="1:24" ht="15.75" customHeight="1">
      <c r="A1422" s="4" t="s">
        <v>3418</v>
      </c>
      <c r="B1422" s="9">
        <v>45700</v>
      </c>
      <c r="C1422" s="4" t="s">
        <v>1475</v>
      </c>
      <c r="D1422" s="4" t="s">
        <v>1741</v>
      </c>
      <c r="E1422" s="4" t="s">
        <v>1965</v>
      </c>
      <c r="F1422" s="4">
        <v>1</v>
      </c>
      <c r="G1422" s="4">
        <v>708.88</v>
      </c>
      <c r="H1422" s="4">
        <v>0.09</v>
      </c>
      <c r="I1422" s="4" t="s">
        <v>1996</v>
      </c>
      <c r="J1422" s="10">
        <v>645.08079999999995</v>
      </c>
      <c r="K1422" s="4" t="str">
        <f t="shared" si="154"/>
        <v>12-02-2025</v>
      </c>
      <c r="L1422" s="4" t="str">
        <f>TEXT(Sales_Fact!$B1422,"mmm")</f>
        <v>Feb</v>
      </c>
      <c r="M1422" s="4">
        <f t="shared" si="155"/>
        <v>1</v>
      </c>
      <c r="N1422" s="10">
        <f t="shared" si="156"/>
        <v>708.88</v>
      </c>
      <c r="O1422" s="10">
        <f t="shared" si="157"/>
        <v>645.08080000000007</v>
      </c>
      <c r="P1422" s="10">
        <f t="shared" si="158"/>
        <v>708.88</v>
      </c>
      <c r="Q1422" s="3">
        <f t="shared" si="159"/>
        <v>8.99999999999999E-2</v>
      </c>
      <c r="R1422" s="4" t="str">
        <f>IF(Sales_Fact!$O1422&gt;1000,"High","Low")</f>
        <v>Low</v>
      </c>
      <c r="S1422" s="4" t="str">
        <f>VLOOKUP(C1422,Customer_Dim!$A:$N,9,FALSE())</f>
        <v>James Foster</v>
      </c>
      <c r="T1422" s="4" t="str">
        <f>VLOOKUP(D1422,Product_Dim!$A:$M,3,FALSE())</f>
        <v>Clothing</v>
      </c>
      <c r="U1422" s="11" t="str">
        <f>VLOOKUP(D1422,Product_Dim!$A:$M,2,FALSE())</f>
        <v>Men's Winter Jacket</v>
      </c>
      <c r="V1422" s="11" t="str">
        <f>VLOOKUP(E1422,Store_Dim!$A:$E,3,FALSE())</f>
        <v>North</v>
      </c>
      <c r="W1422" s="11" t="str">
        <f>VLOOKUP(C1422,Customer_Dim!$A:$N,13,FALSE())</f>
        <v>Gold</v>
      </c>
      <c r="X1422" s="11" t="str">
        <f t="shared" si="160"/>
        <v>Low</v>
      </c>
    </row>
    <row r="1423" spans="1:24" ht="15.75" customHeight="1">
      <c r="A1423" s="4" t="s">
        <v>3419</v>
      </c>
      <c r="B1423" s="9">
        <v>45924</v>
      </c>
      <c r="C1423" s="4" t="s">
        <v>997</v>
      </c>
      <c r="D1423" s="4" t="s">
        <v>1690</v>
      </c>
      <c r="E1423" s="4" t="s">
        <v>1919</v>
      </c>
      <c r="F1423" s="4">
        <v>1</v>
      </c>
      <c r="G1423" s="4">
        <v>790.73</v>
      </c>
      <c r="H1423" s="4">
        <v>0.24</v>
      </c>
      <c r="I1423" s="4" t="s">
        <v>1998</v>
      </c>
      <c r="J1423" s="10">
        <v>600.95479999999998</v>
      </c>
      <c r="K1423" s="4" t="str">
        <f t="shared" si="154"/>
        <v>24-09-2025</v>
      </c>
      <c r="L1423" s="4" t="str">
        <f>TEXT(Sales_Fact!$B1423,"mmm")</f>
        <v>Sep</v>
      </c>
      <c r="M1423" s="4">
        <f t="shared" si="155"/>
        <v>1</v>
      </c>
      <c r="N1423" s="10">
        <f t="shared" si="156"/>
        <v>790.73</v>
      </c>
      <c r="O1423" s="10">
        <f t="shared" si="157"/>
        <v>600.95479999999998</v>
      </c>
      <c r="P1423" s="10">
        <f t="shared" si="158"/>
        <v>790.73</v>
      </c>
      <c r="Q1423" s="3">
        <f t="shared" si="159"/>
        <v>0.24000000000000005</v>
      </c>
      <c r="R1423" s="4" t="str">
        <f>IF(Sales_Fact!$O1423&gt;1000,"High","Low")</f>
        <v>Low</v>
      </c>
      <c r="S1423" s="4" t="str">
        <f>VLOOKUP(C1423,Customer_Dim!$A:$N,9,FALSE())</f>
        <v>Brandy Thompson</v>
      </c>
      <c r="T1423" s="4" t="str">
        <f>VLOOKUP(D1423,Product_Dim!$A:$M,3,FALSE())</f>
        <v>Home</v>
      </c>
      <c r="U1423" s="11" t="str">
        <f>VLOOKUP(D1423,Product_Dim!$A:$M,2,FALSE())</f>
        <v>Stainless Steel Cutlery Set</v>
      </c>
      <c r="V1423" s="11" t="str">
        <f>VLOOKUP(E1423,Store_Dim!$A:$E,3,FALSE())</f>
        <v>South</v>
      </c>
      <c r="W1423" s="11" t="str">
        <f>VLOOKUP(C1423,Customer_Dim!$A:$N,13,FALSE())</f>
        <v>Bronze</v>
      </c>
      <c r="X1423" s="11" t="str">
        <f t="shared" si="160"/>
        <v>Low</v>
      </c>
    </row>
    <row r="1424" spans="1:24" ht="15.75" customHeight="1">
      <c r="A1424" s="4" t="s">
        <v>3420</v>
      </c>
      <c r="B1424" s="9">
        <v>45574</v>
      </c>
      <c r="C1424" s="4" t="s">
        <v>1418</v>
      </c>
      <c r="D1424" s="4" t="s">
        <v>1640</v>
      </c>
      <c r="E1424" s="4" t="s">
        <v>1944</v>
      </c>
      <c r="F1424" s="4">
        <v>3</v>
      </c>
      <c r="G1424" s="4">
        <v>635.13</v>
      </c>
      <c r="H1424" s="4">
        <v>0.09</v>
      </c>
      <c r="I1424" s="4" t="s">
        <v>1998</v>
      </c>
      <c r="J1424" s="10">
        <v>1733.9049</v>
      </c>
      <c r="K1424" s="4" t="str">
        <f t="shared" si="154"/>
        <v>09-10-2024</v>
      </c>
      <c r="L1424" s="4" t="str">
        <f>TEXT(Sales_Fact!$B1424,"mmm")</f>
        <v>Oct</v>
      </c>
      <c r="M1424" s="4">
        <f t="shared" si="155"/>
        <v>3</v>
      </c>
      <c r="N1424" s="10">
        <f t="shared" si="156"/>
        <v>635.13</v>
      </c>
      <c r="O1424" s="10">
        <f t="shared" si="157"/>
        <v>1733.9049</v>
      </c>
      <c r="P1424" s="10">
        <f t="shared" si="158"/>
        <v>1905.3899999999999</v>
      </c>
      <c r="Q1424" s="3">
        <f t="shared" si="159"/>
        <v>8.9999999999999941E-2</v>
      </c>
      <c r="R1424" s="4" t="str">
        <f>IF(Sales_Fact!$O1424&gt;1000,"High","Low")</f>
        <v>High</v>
      </c>
      <c r="S1424" s="4" t="str">
        <f>VLOOKUP(C1424,Customer_Dim!$A:$N,9,FALSE())</f>
        <v>William Cortez</v>
      </c>
      <c r="T1424" s="4" t="str">
        <f>VLOOKUP(D1424,Product_Dim!$A:$M,3,FALSE())</f>
        <v>Electronics</v>
      </c>
      <c r="U1424" s="11" t="str">
        <f>VLOOKUP(D1424,Product_Dim!$A:$M,2,FALSE())</f>
        <v>4K Home Projector</v>
      </c>
      <c r="V1424" s="11" t="str">
        <f>VLOOKUP(E1424,Store_Dim!$A:$E,3,FALSE())</f>
        <v>South</v>
      </c>
      <c r="W1424" s="11" t="str">
        <f>VLOOKUP(C1424,Customer_Dim!$A:$N,13,FALSE())</f>
        <v>Bronze</v>
      </c>
      <c r="X1424" s="11" t="str">
        <f t="shared" si="160"/>
        <v>Low</v>
      </c>
    </row>
    <row r="1425" spans="1:24" ht="15.75" customHeight="1">
      <c r="A1425" s="4" t="s">
        <v>3421</v>
      </c>
      <c r="B1425" s="9">
        <v>45218</v>
      </c>
      <c r="C1425" s="4" t="s">
        <v>688</v>
      </c>
      <c r="D1425" s="4" t="s">
        <v>1735</v>
      </c>
      <c r="E1425" s="4" t="s">
        <v>1965</v>
      </c>
      <c r="F1425" s="4">
        <v>1</v>
      </c>
      <c r="G1425" s="4">
        <v>517.13</v>
      </c>
      <c r="H1425" s="4">
        <v>0.28000000000000003</v>
      </c>
      <c r="I1425" s="4" t="s">
        <v>1996</v>
      </c>
      <c r="J1425" s="10">
        <v>372.33359999999999</v>
      </c>
      <c r="K1425" s="4" t="str">
        <f t="shared" si="154"/>
        <v>19-10-2023</v>
      </c>
      <c r="L1425" s="4" t="str">
        <f>TEXT(Sales_Fact!$B1425,"mmm")</f>
        <v>Oct</v>
      </c>
      <c r="M1425" s="4">
        <f t="shared" si="155"/>
        <v>1</v>
      </c>
      <c r="N1425" s="10">
        <f t="shared" si="156"/>
        <v>517.13</v>
      </c>
      <c r="O1425" s="10">
        <f t="shared" si="157"/>
        <v>372.33359999999999</v>
      </c>
      <c r="P1425" s="10">
        <f t="shared" si="158"/>
        <v>517.13</v>
      </c>
      <c r="Q1425" s="3">
        <f t="shared" si="159"/>
        <v>0.28000000000000003</v>
      </c>
      <c r="R1425" s="4" t="str">
        <f>IF(Sales_Fact!$O1425&gt;1000,"High","Low")</f>
        <v>Low</v>
      </c>
      <c r="S1425" s="4" t="str">
        <f>VLOOKUP(C1425,Customer_Dim!$A:$N,9,FALSE())</f>
        <v>Sarah Brady</v>
      </c>
      <c r="T1425" s="4" t="str">
        <f>VLOOKUP(D1425,Product_Dim!$A:$M,3,FALSE())</f>
        <v>Sports</v>
      </c>
      <c r="U1425" s="11" t="str">
        <f>VLOOKUP(D1425,Product_Dim!$A:$M,2,FALSE())</f>
        <v>Adjustable Jump Rope</v>
      </c>
      <c r="V1425" s="11" t="str">
        <f>VLOOKUP(E1425,Store_Dim!$A:$E,3,FALSE())</f>
        <v>North</v>
      </c>
      <c r="W1425" s="11" t="str">
        <f>VLOOKUP(C1425,Customer_Dim!$A:$N,13,FALSE())</f>
        <v>Platinum</v>
      </c>
      <c r="X1425" s="11" t="str">
        <f t="shared" si="160"/>
        <v>Low</v>
      </c>
    </row>
    <row r="1426" spans="1:24" ht="15.75" customHeight="1">
      <c r="A1426" s="4" t="s">
        <v>3422</v>
      </c>
      <c r="B1426" s="9">
        <v>45233</v>
      </c>
      <c r="C1426" s="4" t="s">
        <v>877</v>
      </c>
      <c r="D1426" s="4" t="s">
        <v>1885</v>
      </c>
      <c r="E1426" s="4" t="s">
        <v>1957</v>
      </c>
      <c r="F1426" s="4">
        <v>1</v>
      </c>
      <c r="G1426" s="4">
        <v>744.88</v>
      </c>
      <c r="H1426" s="4">
        <v>0.15</v>
      </c>
      <c r="I1426" s="4" t="s">
        <v>2004</v>
      </c>
      <c r="J1426" s="10">
        <v>633.14800000000002</v>
      </c>
      <c r="K1426" s="4" t="str">
        <f t="shared" si="154"/>
        <v>03-11-2023</v>
      </c>
      <c r="L1426" s="4" t="str">
        <f>TEXT(Sales_Fact!$B1426,"mmm")</f>
        <v>Nov</v>
      </c>
      <c r="M1426" s="4">
        <f t="shared" si="155"/>
        <v>1</v>
      </c>
      <c r="N1426" s="10">
        <f t="shared" si="156"/>
        <v>744.88</v>
      </c>
      <c r="O1426" s="10">
        <f t="shared" si="157"/>
        <v>633.14800000000002</v>
      </c>
      <c r="P1426" s="10">
        <f t="shared" si="158"/>
        <v>744.88</v>
      </c>
      <c r="Q1426" s="3">
        <f t="shared" si="159"/>
        <v>0.14999999999999997</v>
      </c>
      <c r="R1426" s="4" t="str">
        <f>IF(Sales_Fact!$O1426&gt;1000,"High","Low")</f>
        <v>Low</v>
      </c>
      <c r="S1426" s="4" t="str">
        <f>VLOOKUP(C1426,Customer_Dim!$A:$N,9,FALSE())</f>
        <v>Cynthia Payne</v>
      </c>
      <c r="T1426" s="4" t="str">
        <f>VLOOKUP(D1426,Product_Dim!$A:$M,3,FALSE())</f>
        <v>Electronics</v>
      </c>
      <c r="U1426" s="11" t="str">
        <f>VLOOKUP(D1426,Product_Dim!$A:$M,2,FALSE())</f>
        <v>USB-C Laptop Charger</v>
      </c>
      <c r="V1426" s="11" t="str">
        <f>VLOOKUP(E1426,Store_Dim!$A:$E,3,FALSE())</f>
        <v>South</v>
      </c>
      <c r="W1426" s="11" t="str">
        <f>VLOOKUP(C1426,Customer_Dim!$A:$N,13,FALSE())</f>
        <v>Bronze</v>
      </c>
      <c r="X1426" s="11" t="str">
        <f t="shared" si="160"/>
        <v>Low</v>
      </c>
    </row>
    <row r="1427" spans="1:24" ht="15.75" customHeight="1">
      <c r="A1427" s="4" t="s">
        <v>3423</v>
      </c>
      <c r="B1427" s="9">
        <v>45745</v>
      </c>
      <c r="C1427" s="4" t="s">
        <v>629</v>
      </c>
      <c r="D1427" s="4" t="s">
        <v>1684</v>
      </c>
      <c r="E1427" s="4" t="s">
        <v>1915</v>
      </c>
      <c r="F1427" s="4">
        <v>3</v>
      </c>
      <c r="G1427" s="4">
        <v>205.34</v>
      </c>
      <c r="H1427" s="4">
        <v>0.25</v>
      </c>
      <c r="I1427" s="4" t="s">
        <v>1996</v>
      </c>
      <c r="J1427" s="10">
        <v>462.01499999999999</v>
      </c>
      <c r="K1427" s="4" t="str">
        <f t="shared" si="154"/>
        <v>29-03-2025</v>
      </c>
      <c r="L1427" s="4" t="str">
        <f>TEXT(Sales_Fact!$B1427,"mmm")</f>
        <v>Mar</v>
      </c>
      <c r="M1427" s="4">
        <f t="shared" si="155"/>
        <v>3</v>
      </c>
      <c r="N1427" s="10">
        <f t="shared" si="156"/>
        <v>205.34</v>
      </c>
      <c r="O1427" s="10">
        <f t="shared" si="157"/>
        <v>462.01499999999999</v>
      </c>
      <c r="P1427" s="10">
        <f t="shared" si="158"/>
        <v>616.02</v>
      </c>
      <c r="Q1427" s="3">
        <f t="shared" si="159"/>
        <v>0.25</v>
      </c>
      <c r="R1427" s="4" t="str">
        <f>IF(Sales_Fact!$O1427&gt;1000,"High","Low")</f>
        <v>Low</v>
      </c>
      <c r="S1427" s="4" t="str">
        <f>VLOOKUP(C1427,Customer_Dim!$A:$N,9,FALSE())</f>
        <v>Mario Jacobs</v>
      </c>
      <c r="T1427" s="4" t="str">
        <f>VLOOKUP(D1427,Product_Dim!$A:$M,3,FALSE())</f>
        <v>Sports</v>
      </c>
      <c r="U1427" s="11" t="str">
        <f>VLOOKUP(D1427,Product_Dim!$A:$M,2,FALSE())</f>
        <v>Sports Stopwatch Timer</v>
      </c>
      <c r="V1427" s="11" t="str">
        <f>VLOOKUP(E1427,Store_Dim!$A:$E,3,FALSE())</f>
        <v>North</v>
      </c>
      <c r="W1427" s="11" t="str">
        <f>VLOOKUP(C1427,Customer_Dim!$A:$N,13,FALSE())</f>
        <v>Platinum</v>
      </c>
      <c r="X1427" s="11" t="str">
        <f t="shared" si="160"/>
        <v>Low</v>
      </c>
    </row>
    <row r="1428" spans="1:24" ht="15.75" customHeight="1">
      <c r="A1428" s="4" t="s">
        <v>3424</v>
      </c>
      <c r="B1428" s="9">
        <v>45851</v>
      </c>
      <c r="C1428" s="4" t="s">
        <v>1330</v>
      </c>
      <c r="D1428" s="4" t="s">
        <v>1687</v>
      </c>
      <c r="E1428" s="4" t="s">
        <v>1940</v>
      </c>
      <c r="F1428" s="4">
        <v>2</v>
      </c>
      <c r="G1428" s="4">
        <v>756.8</v>
      </c>
      <c r="H1428" s="4">
        <v>0.15</v>
      </c>
      <c r="I1428" s="4" t="s">
        <v>1996</v>
      </c>
      <c r="J1428" s="10">
        <v>1286.56</v>
      </c>
      <c r="K1428" s="4" t="str">
        <f t="shared" si="154"/>
        <v>13-07-2025</v>
      </c>
      <c r="L1428" s="4" t="str">
        <f>TEXT(Sales_Fact!$B1428,"mmm")</f>
        <v>Jul</v>
      </c>
      <c r="M1428" s="4">
        <f t="shared" si="155"/>
        <v>2</v>
      </c>
      <c r="N1428" s="10">
        <f t="shared" si="156"/>
        <v>756.8</v>
      </c>
      <c r="O1428" s="10">
        <f t="shared" si="157"/>
        <v>1286.56</v>
      </c>
      <c r="P1428" s="10">
        <f t="shared" si="158"/>
        <v>1513.6</v>
      </c>
      <c r="Q1428" s="3">
        <f t="shared" si="159"/>
        <v>0.15</v>
      </c>
      <c r="R1428" s="4" t="str">
        <f>IF(Sales_Fact!$O1428&gt;1000,"High","Low")</f>
        <v>High</v>
      </c>
      <c r="S1428" s="4" t="str">
        <f>VLOOKUP(C1428,Customer_Dim!$A:$N,9,FALSE())</f>
        <v>Monica Miller</v>
      </c>
      <c r="T1428" s="4" t="str">
        <f>VLOOKUP(D1428,Product_Dim!$A:$M,3,FALSE())</f>
        <v>Home</v>
      </c>
      <c r="U1428" s="11" t="str">
        <f>VLOOKUP(D1428,Product_Dim!$A:$M,2,FALSE())</f>
        <v>Fabric Sofa Throw Blanket</v>
      </c>
      <c r="V1428" s="11" t="str">
        <f>VLOOKUP(E1428,Store_Dim!$A:$E,3,FALSE())</f>
        <v>West</v>
      </c>
      <c r="W1428" s="11" t="str">
        <f>VLOOKUP(C1428,Customer_Dim!$A:$N,13,FALSE())</f>
        <v>Gold</v>
      </c>
      <c r="X1428" s="11" t="str">
        <f t="shared" si="160"/>
        <v>Low</v>
      </c>
    </row>
    <row r="1429" spans="1:24" ht="15.75" customHeight="1">
      <c r="A1429" s="4" t="s">
        <v>3425</v>
      </c>
      <c r="B1429" s="9">
        <v>45308</v>
      </c>
      <c r="C1429" s="4" t="s">
        <v>193</v>
      </c>
      <c r="D1429" s="4" t="s">
        <v>1661</v>
      </c>
      <c r="E1429" s="4" t="s">
        <v>1947</v>
      </c>
      <c r="F1429" s="4">
        <v>1</v>
      </c>
      <c r="G1429" s="4">
        <v>771.73</v>
      </c>
      <c r="H1429" s="4">
        <v>0.2</v>
      </c>
      <c r="I1429" s="4" t="s">
        <v>1996</v>
      </c>
      <c r="J1429" s="10">
        <v>617.38400000000001</v>
      </c>
      <c r="K1429" s="4" t="str">
        <f t="shared" si="154"/>
        <v>17-01-2024</v>
      </c>
      <c r="L1429" s="4" t="str">
        <f>TEXT(Sales_Fact!$B1429,"mmm")</f>
        <v>Jan</v>
      </c>
      <c r="M1429" s="4">
        <f t="shared" si="155"/>
        <v>1</v>
      </c>
      <c r="N1429" s="10">
        <f t="shared" si="156"/>
        <v>771.73</v>
      </c>
      <c r="O1429" s="10">
        <f t="shared" si="157"/>
        <v>617.38400000000001</v>
      </c>
      <c r="P1429" s="10">
        <f t="shared" si="158"/>
        <v>771.73</v>
      </c>
      <c r="Q1429" s="3">
        <f t="shared" si="159"/>
        <v>0.2</v>
      </c>
      <c r="R1429" s="4" t="str">
        <f>IF(Sales_Fact!$O1429&gt;1000,"High","Low")</f>
        <v>Low</v>
      </c>
      <c r="S1429" s="4" t="str">
        <f>VLOOKUP(C1429,Customer_Dim!$A:$N,9,FALSE())</f>
        <v>Denise Williams</v>
      </c>
      <c r="T1429" s="4" t="str">
        <f>VLOOKUP(D1429,Product_Dim!$A:$M,3,FALSE())</f>
        <v>Home</v>
      </c>
      <c r="U1429" s="11" t="str">
        <f>VLOOKUP(D1429,Product_Dim!$A:$M,2,FALSE())</f>
        <v>Multi-Purpose Storage Box</v>
      </c>
      <c r="V1429" s="11" t="str">
        <f>VLOOKUP(E1429,Store_Dim!$A:$E,3,FALSE())</f>
        <v>East</v>
      </c>
      <c r="W1429" s="11" t="str">
        <f>VLOOKUP(C1429,Customer_Dim!$A:$N,13,FALSE())</f>
        <v>Bronze</v>
      </c>
      <c r="X1429" s="11" t="str">
        <f t="shared" si="160"/>
        <v>Low</v>
      </c>
    </row>
    <row r="1430" spans="1:24" ht="15.75" customHeight="1">
      <c r="A1430" s="4" t="s">
        <v>3426</v>
      </c>
      <c r="B1430" s="9">
        <v>45639</v>
      </c>
      <c r="C1430" s="4" t="s">
        <v>1504</v>
      </c>
      <c r="D1430" s="4" t="s">
        <v>1803</v>
      </c>
      <c r="E1430" s="4" t="s">
        <v>1965</v>
      </c>
      <c r="F1430" s="4">
        <v>1</v>
      </c>
      <c r="G1430" s="4">
        <v>440.19</v>
      </c>
      <c r="H1430" s="4">
        <v>0.03</v>
      </c>
      <c r="I1430" s="4" t="s">
        <v>1998</v>
      </c>
      <c r="J1430" s="10">
        <v>426.98430000000002</v>
      </c>
      <c r="K1430" s="4" t="str">
        <f t="shared" si="154"/>
        <v>13-12-2024</v>
      </c>
      <c r="L1430" s="4" t="str">
        <f>TEXT(Sales_Fact!$B1430,"mmm")</f>
        <v>Dec</v>
      </c>
      <c r="M1430" s="4">
        <f t="shared" si="155"/>
        <v>1</v>
      </c>
      <c r="N1430" s="10">
        <f t="shared" si="156"/>
        <v>440.19</v>
      </c>
      <c r="O1430" s="10">
        <f t="shared" si="157"/>
        <v>426.98429999999996</v>
      </c>
      <c r="P1430" s="10">
        <f t="shared" si="158"/>
        <v>440.19</v>
      </c>
      <c r="Q1430" s="3">
        <f t="shared" si="159"/>
        <v>3.0000000000000082E-2</v>
      </c>
      <c r="R1430" s="4" t="str">
        <f>IF(Sales_Fact!$O1430&gt;1000,"High","Low")</f>
        <v>Low</v>
      </c>
      <c r="S1430" s="4" t="str">
        <f>VLOOKUP(C1430,Customer_Dim!$A:$N,9,FALSE())</f>
        <v>Dylan Gutierrez</v>
      </c>
      <c r="T1430" s="4" t="str">
        <f>VLOOKUP(D1430,Product_Dim!$A:$M,3,FALSE())</f>
        <v>Beauty</v>
      </c>
      <c r="U1430" s="11" t="str">
        <f>VLOOKUP(D1430,Product_Dim!$A:$M,2,FALSE())</f>
        <v>Women's Hair Dryer Brush</v>
      </c>
      <c r="V1430" s="11" t="str">
        <f>VLOOKUP(E1430,Store_Dim!$A:$E,3,FALSE())</f>
        <v>North</v>
      </c>
      <c r="W1430" s="11" t="str">
        <f>VLOOKUP(C1430,Customer_Dim!$A:$N,13,FALSE())</f>
        <v>Bronze</v>
      </c>
      <c r="X1430" s="11" t="str">
        <f t="shared" si="160"/>
        <v>Low</v>
      </c>
    </row>
    <row r="1431" spans="1:24" ht="15.75" customHeight="1">
      <c r="A1431" s="4" t="s">
        <v>3427</v>
      </c>
      <c r="B1431" s="9">
        <v>45919</v>
      </c>
      <c r="C1431" s="4" t="s">
        <v>202</v>
      </c>
      <c r="D1431" s="4" t="s">
        <v>1595</v>
      </c>
      <c r="E1431" s="4" t="s">
        <v>1919</v>
      </c>
      <c r="F1431" s="4">
        <v>2</v>
      </c>
      <c r="G1431" s="4">
        <v>409</v>
      </c>
      <c r="H1431" s="4">
        <v>0.17</v>
      </c>
      <c r="I1431" s="4" t="s">
        <v>1996</v>
      </c>
      <c r="J1431" s="10">
        <v>678.94</v>
      </c>
      <c r="K1431" s="4" t="str">
        <f t="shared" si="154"/>
        <v>19-09-2025</v>
      </c>
      <c r="L1431" s="4" t="str">
        <f>TEXT(Sales_Fact!$B1431,"mmm")</f>
        <v>Sep</v>
      </c>
      <c r="M1431" s="4">
        <f t="shared" si="155"/>
        <v>2</v>
      </c>
      <c r="N1431" s="10">
        <f t="shared" si="156"/>
        <v>409</v>
      </c>
      <c r="O1431" s="10">
        <f t="shared" si="157"/>
        <v>678.93999999999994</v>
      </c>
      <c r="P1431" s="10">
        <f t="shared" si="158"/>
        <v>818</v>
      </c>
      <c r="Q1431" s="3">
        <f t="shared" si="159"/>
        <v>0.17000000000000007</v>
      </c>
      <c r="R1431" s="4" t="str">
        <f>IF(Sales_Fact!$O1431&gt;1000,"High","Low")</f>
        <v>Low</v>
      </c>
      <c r="S1431" s="4" t="str">
        <f>VLOOKUP(C1431,Customer_Dim!$A:$N,9,FALSE())</f>
        <v>Gina Knight</v>
      </c>
      <c r="T1431" s="4" t="str">
        <f>VLOOKUP(D1431,Product_Dim!$A:$M,3,FALSE())</f>
        <v>Clothing</v>
      </c>
      <c r="U1431" s="11" t="str">
        <f>VLOOKUP(D1431,Product_Dim!$A:$M,2,FALSE())</f>
        <v>Women's Yoga Pants</v>
      </c>
      <c r="V1431" s="11" t="str">
        <f>VLOOKUP(E1431,Store_Dim!$A:$E,3,FALSE())</f>
        <v>South</v>
      </c>
      <c r="W1431" s="11" t="str">
        <f>VLOOKUP(C1431,Customer_Dim!$A:$N,13,FALSE())</f>
        <v>Silver</v>
      </c>
      <c r="X1431" s="11" t="str">
        <f t="shared" si="160"/>
        <v>Low</v>
      </c>
    </row>
    <row r="1432" spans="1:24" ht="15.75" customHeight="1">
      <c r="A1432" s="4" t="s">
        <v>3428</v>
      </c>
      <c r="B1432" s="9">
        <v>45333</v>
      </c>
      <c r="C1432" s="4" t="s">
        <v>1105</v>
      </c>
      <c r="D1432" s="4" t="s">
        <v>1716</v>
      </c>
      <c r="E1432" s="4" t="s">
        <v>1971</v>
      </c>
      <c r="F1432" s="4">
        <v>3</v>
      </c>
      <c r="G1432" s="4">
        <v>134.58000000000001</v>
      </c>
      <c r="H1432" s="4">
        <v>0.04</v>
      </c>
      <c r="I1432" s="4" t="s">
        <v>2004</v>
      </c>
      <c r="J1432" s="10">
        <v>387.59039999999999</v>
      </c>
      <c r="K1432" s="4" t="str">
        <f t="shared" si="154"/>
        <v>11-02-2024</v>
      </c>
      <c r="L1432" s="4" t="str">
        <f>TEXT(Sales_Fact!$B1432,"mmm")</f>
        <v>Feb</v>
      </c>
      <c r="M1432" s="4">
        <f t="shared" si="155"/>
        <v>3</v>
      </c>
      <c r="N1432" s="10">
        <f t="shared" si="156"/>
        <v>134.58000000000001</v>
      </c>
      <c r="O1432" s="10">
        <f t="shared" si="157"/>
        <v>387.59039999999999</v>
      </c>
      <c r="P1432" s="10">
        <f t="shared" si="158"/>
        <v>403.74</v>
      </c>
      <c r="Q1432" s="3">
        <f t="shared" si="159"/>
        <v>4.0000000000000049E-2</v>
      </c>
      <c r="R1432" s="4" t="str">
        <f>IF(Sales_Fact!$O1432&gt;1000,"High","Low")</f>
        <v>Low</v>
      </c>
      <c r="S1432" s="4" t="str">
        <f>VLOOKUP(C1432,Customer_Dim!$A:$N,9,FALSE())</f>
        <v>Ryan Moore</v>
      </c>
      <c r="T1432" s="4" t="str">
        <f>VLOOKUP(D1432,Product_Dim!$A:$M,3,FALSE())</f>
        <v>Sports</v>
      </c>
      <c r="U1432" s="11" t="str">
        <f>VLOOKUP(D1432,Product_Dim!$A:$M,2,FALSE())</f>
        <v>Sports Water Hydration Pack</v>
      </c>
      <c r="V1432" s="11" t="str">
        <f>VLOOKUP(E1432,Store_Dim!$A:$E,3,FALSE())</f>
        <v>East</v>
      </c>
      <c r="W1432" s="11" t="str">
        <f>VLOOKUP(C1432,Customer_Dim!$A:$N,13,FALSE())</f>
        <v>Bronze</v>
      </c>
      <c r="X1432" s="11" t="str">
        <f t="shared" si="160"/>
        <v>Low</v>
      </c>
    </row>
    <row r="1433" spans="1:24" ht="15.75" customHeight="1">
      <c r="A1433" s="4" t="s">
        <v>3429</v>
      </c>
      <c r="B1433" s="9">
        <v>45811</v>
      </c>
      <c r="C1433" s="4" t="s">
        <v>1120</v>
      </c>
      <c r="D1433" s="4" t="s">
        <v>1719</v>
      </c>
      <c r="E1433" s="4" t="s">
        <v>1937</v>
      </c>
      <c r="F1433" s="4">
        <v>4</v>
      </c>
      <c r="G1433" s="4">
        <v>284.44</v>
      </c>
      <c r="H1433" s="4">
        <v>0.02</v>
      </c>
      <c r="I1433" s="4" t="s">
        <v>1996</v>
      </c>
      <c r="J1433" s="10">
        <v>1115.0047999999999</v>
      </c>
      <c r="K1433" s="4" t="str">
        <f t="shared" si="154"/>
        <v>03-06-2025</v>
      </c>
      <c r="L1433" s="4" t="str">
        <f>TEXT(Sales_Fact!$B1433,"mmm")</f>
        <v>Jun</v>
      </c>
      <c r="M1433" s="4">
        <f t="shared" si="155"/>
        <v>4</v>
      </c>
      <c r="N1433" s="10">
        <f t="shared" si="156"/>
        <v>284.44</v>
      </c>
      <c r="O1433" s="10">
        <f t="shared" si="157"/>
        <v>1115.0047999999999</v>
      </c>
      <c r="P1433" s="10">
        <f t="shared" si="158"/>
        <v>1137.76</v>
      </c>
      <c r="Q1433" s="3">
        <f t="shared" si="159"/>
        <v>2.0000000000000052E-2</v>
      </c>
      <c r="R1433" s="4" t="str">
        <f>IF(Sales_Fact!$O1433&gt;1000,"High","Low")</f>
        <v>High</v>
      </c>
      <c r="S1433" s="4" t="str">
        <f>VLOOKUP(C1433,Customer_Dim!$A:$N,9,FALSE())</f>
        <v>Sherry Cabrera</v>
      </c>
      <c r="T1433" s="4" t="str">
        <f>VLOOKUP(D1433,Product_Dim!$A:$M,3,FALSE())</f>
        <v>Electronics</v>
      </c>
      <c r="U1433" s="11" t="str">
        <f>VLOOKUP(D1433,Product_Dim!$A:$M,2,FALSE())</f>
        <v>Portable Power Bank</v>
      </c>
      <c r="V1433" s="11" t="str">
        <f>VLOOKUP(E1433,Store_Dim!$A:$E,3,FALSE())</f>
        <v>South</v>
      </c>
      <c r="W1433" s="11" t="str">
        <f>VLOOKUP(C1433,Customer_Dim!$A:$N,13,FALSE())</f>
        <v>Silver</v>
      </c>
      <c r="X1433" s="11" t="str">
        <f t="shared" si="160"/>
        <v>High</v>
      </c>
    </row>
    <row r="1434" spans="1:24" ht="15.75" customHeight="1">
      <c r="A1434" s="4" t="s">
        <v>3430</v>
      </c>
      <c r="B1434" s="9">
        <v>45726</v>
      </c>
      <c r="C1434" s="4" t="s">
        <v>1289</v>
      </c>
      <c r="D1434" s="4" t="s">
        <v>1825</v>
      </c>
      <c r="E1434" s="4" t="s">
        <v>1955</v>
      </c>
      <c r="F1434" s="4">
        <v>4</v>
      </c>
      <c r="G1434" s="4">
        <v>922.69</v>
      </c>
      <c r="H1434" s="4">
        <v>0.16</v>
      </c>
      <c r="I1434" s="4" t="s">
        <v>1996</v>
      </c>
      <c r="J1434" s="10">
        <v>3100.2384000000002</v>
      </c>
      <c r="K1434" s="4" t="str">
        <f t="shared" si="154"/>
        <v>10-03-2025</v>
      </c>
      <c r="L1434" s="4" t="str">
        <f>TEXT(Sales_Fact!$B1434,"mmm")</f>
        <v>Mar</v>
      </c>
      <c r="M1434" s="4">
        <f t="shared" si="155"/>
        <v>4</v>
      </c>
      <c r="N1434" s="10">
        <f t="shared" si="156"/>
        <v>922.69</v>
      </c>
      <c r="O1434" s="10">
        <f t="shared" si="157"/>
        <v>3100.2384000000002</v>
      </c>
      <c r="P1434" s="10">
        <f t="shared" si="158"/>
        <v>3690.76</v>
      </c>
      <c r="Q1434" s="3">
        <f t="shared" si="159"/>
        <v>0.16</v>
      </c>
      <c r="R1434" s="4" t="str">
        <f>IF(Sales_Fact!$O1434&gt;1000,"High","Low")</f>
        <v>High</v>
      </c>
      <c r="S1434" s="4" t="str">
        <f>VLOOKUP(C1434,Customer_Dim!$A:$N,9,FALSE())</f>
        <v>Eric Wolfe</v>
      </c>
      <c r="T1434" s="4" t="str">
        <f>VLOOKUP(D1434,Product_Dim!$A:$M,3,FALSE())</f>
        <v>Sports</v>
      </c>
      <c r="U1434" s="11" t="str">
        <f>VLOOKUP(D1434,Product_Dim!$A:$M,2,FALSE())</f>
        <v>Shin Guards – Adult</v>
      </c>
      <c r="V1434" s="11" t="str">
        <f>VLOOKUP(E1434,Store_Dim!$A:$E,3,FALSE())</f>
        <v>East</v>
      </c>
      <c r="W1434" s="11" t="str">
        <f>VLOOKUP(C1434,Customer_Dim!$A:$N,13,FALSE())</f>
        <v>Gold</v>
      </c>
      <c r="X1434" s="11" t="str">
        <f t="shared" si="160"/>
        <v>High</v>
      </c>
    </row>
    <row r="1435" spans="1:24" ht="15.75" customHeight="1">
      <c r="A1435" s="4" t="s">
        <v>3431</v>
      </c>
      <c r="B1435" s="9">
        <v>45644</v>
      </c>
      <c r="C1435" s="4" t="s">
        <v>903</v>
      </c>
      <c r="D1435" s="4" t="s">
        <v>1709</v>
      </c>
      <c r="E1435" s="4" t="s">
        <v>1934</v>
      </c>
      <c r="F1435" s="4">
        <v>2</v>
      </c>
      <c r="G1435" s="4">
        <v>992.55</v>
      </c>
      <c r="H1435" s="4">
        <v>0.28000000000000003</v>
      </c>
      <c r="I1435" s="4" t="s">
        <v>1996</v>
      </c>
      <c r="J1435" s="10">
        <v>1429.2719999999999</v>
      </c>
      <c r="K1435" s="4" t="str">
        <f t="shared" si="154"/>
        <v>18-12-2024</v>
      </c>
      <c r="L1435" s="4" t="str">
        <f>TEXT(Sales_Fact!$B1435,"mmm")</f>
        <v>Dec</v>
      </c>
      <c r="M1435" s="4">
        <f t="shared" si="155"/>
        <v>2</v>
      </c>
      <c r="N1435" s="10">
        <f t="shared" si="156"/>
        <v>992.55</v>
      </c>
      <c r="O1435" s="10">
        <f t="shared" si="157"/>
        <v>1429.2719999999999</v>
      </c>
      <c r="P1435" s="10">
        <f t="shared" si="158"/>
        <v>1985.1</v>
      </c>
      <c r="Q1435" s="3">
        <f t="shared" si="159"/>
        <v>0.28000000000000003</v>
      </c>
      <c r="R1435" s="4" t="str">
        <f>IF(Sales_Fact!$O1435&gt;1000,"High","Low")</f>
        <v>High</v>
      </c>
      <c r="S1435" s="4" t="str">
        <f>VLOOKUP(C1435,Customer_Dim!$A:$N,9,FALSE())</f>
        <v>Shannon Miller</v>
      </c>
      <c r="T1435" s="4" t="str">
        <f>VLOOKUP(D1435,Product_Dim!$A:$M,3,FALSE())</f>
        <v>Clothing</v>
      </c>
      <c r="U1435" s="11" t="str">
        <f>VLOOKUP(D1435,Product_Dim!$A:$M,2,FALSE())</f>
        <v>Women's Summer Dress</v>
      </c>
      <c r="V1435" s="11" t="str">
        <f>VLOOKUP(E1435,Store_Dim!$A:$E,3,FALSE())</f>
        <v>East</v>
      </c>
      <c r="W1435" s="11" t="str">
        <f>VLOOKUP(C1435,Customer_Dim!$A:$N,13,FALSE())</f>
        <v>Gold</v>
      </c>
      <c r="X1435" s="11" t="str">
        <f t="shared" si="160"/>
        <v>Low</v>
      </c>
    </row>
    <row r="1436" spans="1:24" ht="15.75" customHeight="1">
      <c r="A1436" s="4" t="s">
        <v>3432</v>
      </c>
      <c r="B1436" s="9">
        <v>45607</v>
      </c>
      <c r="C1436" s="4" t="s">
        <v>1333</v>
      </c>
      <c r="D1436" s="4" t="s">
        <v>1661</v>
      </c>
      <c r="E1436" s="4" t="s">
        <v>1962</v>
      </c>
      <c r="F1436" s="4">
        <v>2</v>
      </c>
      <c r="G1436" s="4">
        <v>384.66</v>
      </c>
      <c r="H1436" s="4">
        <v>0.08</v>
      </c>
      <c r="I1436" s="4" t="s">
        <v>2004</v>
      </c>
      <c r="J1436" s="10">
        <v>707.77440000000001</v>
      </c>
      <c r="K1436" s="4" t="str">
        <f t="shared" si="154"/>
        <v>11-11-2024</v>
      </c>
      <c r="L1436" s="4" t="str">
        <f>TEXT(Sales_Fact!$B1436,"mmm")</f>
        <v>Nov</v>
      </c>
      <c r="M1436" s="4">
        <f t="shared" si="155"/>
        <v>2</v>
      </c>
      <c r="N1436" s="10">
        <f t="shared" si="156"/>
        <v>384.66</v>
      </c>
      <c r="O1436" s="10">
        <f t="shared" si="157"/>
        <v>707.77440000000013</v>
      </c>
      <c r="P1436" s="10">
        <f t="shared" si="158"/>
        <v>769.32</v>
      </c>
      <c r="Q1436" s="3">
        <f t="shared" si="159"/>
        <v>7.9999999999999891E-2</v>
      </c>
      <c r="R1436" s="4" t="str">
        <f>IF(Sales_Fact!$O1436&gt;1000,"High","Low")</f>
        <v>Low</v>
      </c>
      <c r="S1436" s="4" t="str">
        <f>VLOOKUP(C1436,Customer_Dim!$A:$N,9,FALSE())</f>
        <v>Dr. Tamara White Md</v>
      </c>
      <c r="T1436" s="4" t="str">
        <f>VLOOKUP(D1436,Product_Dim!$A:$M,3,FALSE())</f>
        <v>Home</v>
      </c>
      <c r="U1436" s="11" t="str">
        <f>VLOOKUP(D1436,Product_Dim!$A:$M,2,FALSE())</f>
        <v>Multi-Purpose Storage Box</v>
      </c>
      <c r="V1436" s="11" t="str">
        <f>VLOOKUP(E1436,Store_Dim!$A:$E,3,FALSE())</f>
        <v>West</v>
      </c>
      <c r="W1436" s="11" t="str">
        <f>VLOOKUP(C1436,Customer_Dim!$A:$N,13,FALSE())</f>
        <v>Bronze</v>
      </c>
      <c r="X1436" s="11" t="str">
        <f t="shared" si="160"/>
        <v>Low</v>
      </c>
    </row>
    <row r="1437" spans="1:24" ht="15.75" customHeight="1">
      <c r="A1437" s="4" t="s">
        <v>3433</v>
      </c>
      <c r="B1437" s="9">
        <v>45371</v>
      </c>
      <c r="C1437" s="4" t="s">
        <v>1327</v>
      </c>
      <c r="D1437" s="4" t="s">
        <v>1873</v>
      </c>
      <c r="E1437" s="4" t="s">
        <v>1968</v>
      </c>
      <c r="F1437" s="4">
        <v>1</v>
      </c>
      <c r="G1437" s="4">
        <v>170.43</v>
      </c>
      <c r="H1437" s="4">
        <v>0.03</v>
      </c>
      <c r="I1437" s="4" t="s">
        <v>1996</v>
      </c>
      <c r="J1437" s="10">
        <v>165.31710000000001</v>
      </c>
      <c r="K1437" s="4" t="str">
        <f t="shared" si="154"/>
        <v>20-03-2024</v>
      </c>
      <c r="L1437" s="4" t="str">
        <f>TEXT(Sales_Fact!$B1437,"mmm")</f>
        <v>Mar</v>
      </c>
      <c r="M1437" s="4">
        <f t="shared" si="155"/>
        <v>1</v>
      </c>
      <c r="N1437" s="10">
        <f t="shared" si="156"/>
        <v>170.43</v>
      </c>
      <c r="O1437" s="10">
        <f t="shared" si="157"/>
        <v>165.31710000000001</v>
      </c>
      <c r="P1437" s="10">
        <f t="shared" si="158"/>
        <v>170.43</v>
      </c>
      <c r="Q1437" s="3">
        <f t="shared" si="159"/>
        <v>2.9999999999999978E-2</v>
      </c>
      <c r="R1437" s="4" t="str">
        <f>IF(Sales_Fact!$O1437&gt;1000,"High","Low")</f>
        <v>Low</v>
      </c>
      <c r="S1437" s="4" t="str">
        <f>VLOOKUP(C1437,Customer_Dim!$A:$N,9,FALSE())</f>
        <v>Luke Parks</v>
      </c>
      <c r="T1437" s="4" t="str">
        <f>VLOOKUP(D1437,Product_Dim!$A:$M,3,FALSE())</f>
        <v>Beauty</v>
      </c>
      <c r="U1437" s="11" t="str">
        <f>VLOOKUP(D1437,Product_Dim!$A:$M,2,FALSE())</f>
        <v>Face Foundation Kit</v>
      </c>
      <c r="V1437" s="11" t="str">
        <f>VLOOKUP(E1437,Store_Dim!$A:$E,3,FALSE())</f>
        <v>East</v>
      </c>
      <c r="W1437" s="11" t="str">
        <f>VLOOKUP(C1437,Customer_Dim!$A:$N,13,FALSE())</f>
        <v>Silver</v>
      </c>
      <c r="X1437" s="11" t="str">
        <f t="shared" si="160"/>
        <v>Low</v>
      </c>
    </row>
    <row r="1438" spans="1:24" ht="15.75" customHeight="1">
      <c r="A1438" s="4" t="s">
        <v>3434</v>
      </c>
      <c r="B1438" s="9">
        <v>45462</v>
      </c>
      <c r="C1438" s="4" t="s">
        <v>749</v>
      </c>
      <c r="D1438" s="4" t="s">
        <v>1822</v>
      </c>
      <c r="E1438" s="4" t="s">
        <v>1919</v>
      </c>
      <c r="F1438" s="4">
        <v>3</v>
      </c>
      <c r="G1438" s="4">
        <v>480.51</v>
      </c>
      <c r="H1438" s="4">
        <v>0.03</v>
      </c>
      <c r="I1438" s="4" t="s">
        <v>1996</v>
      </c>
      <c r="J1438" s="10">
        <v>1398.2841000000001</v>
      </c>
      <c r="K1438" s="4" t="str">
        <f t="shared" si="154"/>
        <v>19-06-2024</v>
      </c>
      <c r="L1438" s="4" t="str">
        <f>TEXT(Sales_Fact!$B1438,"mmm")</f>
        <v>Jun</v>
      </c>
      <c r="M1438" s="4">
        <f t="shared" si="155"/>
        <v>3</v>
      </c>
      <c r="N1438" s="10">
        <f t="shared" si="156"/>
        <v>480.51</v>
      </c>
      <c r="O1438" s="10">
        <f t="shared" si="157"/>
        <v>1398.2840999999999</v>
      </c>
      <c r="P1438" s="10">
        <f t="shared" si="158"/>
        <v>1441.53</v>
      </c>
      <c r="Q1438" s="3">
        <f t="shared" si="159"/>
        <v>3.0000000000000082E-2</v>
      </c>
      <c r="R1438" s="4" t="str">
        <f>IF(Sales_Fact!$O1438&gt;1000,"High","Low")</f>
        <v>High</v>
      </c>
      <c r="S1438" s="4" t="str">
        <f>VLOOKUP(C1438,Customer_Dim!$A:$N,9,FALSE())</f>
        <v>Robert Harris</v>
      </c>
      <c r="T1438" s="4" t="str">
        <f>VLOOKUP(D1438,Product_Dim!$A:$M,3,FALSE())</f>
        <v>Sports</v>
      </c>
      <c r="U1438" s="11" t="str">
        <f>VLOOKUP(D1438,Product_Dim!$A:$M,2,FALSE())</f>
        <v>Professional Jump Rope</v>
      </c>
      <c r="V1438" s="11" t="str">
        <f>VLOOKUP(E1438,Store_Dim!$A:$E,3,FALSE())</f>
        <v>South</v>
      </c>
      <c r="W1438" s="11" t="str">
        <f>VLOOKUP(C1438,Customer_Dim!$A:$N,13,FALSE())</f>
        <v>Platinum</v>
      </c>
      <c r="X1438" s="11" t="str">
        <f t="shared" si="160"/>
        <v>Low</v>
      </c>
    </row>
    <row r="1439" spans="1:24" ht="15.75" customHeight="1">
      <c r="A1439" s="4" t="s">
        <v>3435</v>
      </c>
      <c r="B1439" s="9">
        <v>45632</v>
      </c>
      <c r="C1439" s="4" t="s">
        <v>547</v>
      </c>
      <c r="D1439" s="4" t="s">
        <v>1751</v>
      </c>
      <c r="E1439" s="4" t="s">
        <v>1937</v>
      </c>
      <c r="F1439" s="4">
        <v>2</v>
      </c>
      <c r="G1439" s="4">
        <v>955.66</v>
      </c>
      <c r="H1439" s="4">
        <v>0.28999999999999998</v>
      </c>
      <c r="I1439" s="4" t="s">
        <v>2004</v>
      </c>
      <c r="J1439" s="10">
        <v>1357.0372</v>
      </c>
      <c r="K1439" s="4" t="str">
        <f t="shared" si="154"/>
        <v>06-12-2024</v>
      </c>
      <c r="L1439" s="4" t="str">
        <f>TEXT(Sales_Fact!$B1439,"mmm")</f>
        <v>Dec</v>
      </c>
      <c r="M1439" s="4">
        <f t="shared" si="155"/>
        <v>2</v>
      </c>
      <c r="N1439" s="10">
        <f t="shared" si="156"/>
        <v>955.66</v>
      </c>
      <c r="O1439" s="10">
        <f t="shared" si="157"/>
        <v>1357.0372</v>
      </c>
      <c r="P1439" s="10">
        <f t="shared" si="158"/>
        <v>1911.32</v>
      </c>
      <c r="Q1439" s="3">
        <f t="shared" si="159"/>
        <v>0.28999999999999998</v>
      </c>
      <c r="R1439" s="4" t="str">
        <f>IF(Sales_Fact!$O1439&gt;1000,"High","Low")</f>
        <v>High</v>
      </c>
      <c r="S1439" s="4" t="str">
        <f>VLOOKUP(C1439,Customer_Dim!$A:$N,9,FALSE())</f>
        <v>Maria Sanchez</v>
      </c>
      <c r="T1439" s="4" t="str">
        <f>VLOOKUP(D1439,Product_Dim!$A:$M,3,FALSE())</f>
        <v>Beauty</v>
      </c>
      <c r="U1439" s="11" t="str">
        <f>VLOOKUP(D1439,Product_Dim!$A:$M,2,FALSE())</f>
        <v>Men's Roll-On Perfume</v>
      </c>
      <c r="V1439" s="11" t="str">
        <f>VLOOKUP(E1439,Store_Dim!$A:$E,3,FALSE())</f>
        <v>South</v>
      </c>
      <c r="W1439" s="11" t="str">
        <f>VLOOKUP(C1439,Customer_Dim!$A:$N,13,FALSE())</f>
        <v>Bronze</v>
      </c>
      <c r="X1439" s="11" t="str">
        <f t="shared" si="160"/>
        <v>Low</v>
      </c>
    </row>
    <row r="1440" spans="1:24" ht="15.75" customHeight="1">
      <c r="A1440" s="4" t="s">
        <v>3436</v>
      </c>
      <c r="B1440" s="9">
        <v>45863</v>
      </c>
      <c r="C1440" s="4" t="s">
        <v>1424</v>
      </c>
      <c r="D1440" s="4" t="s">
        <v>1822</v>
      </c>
      <c r="E1440" s="4" t="s">
        <v>1910</v>
      </c>
      <c r="F1440" s="4">
        <v>2</v>
      </c>
      <c r="G1440" s="4">
        <v>488.02</v>
      </c>
      <c r="H1440" s="4">
        <v>0.27</v>
      </c>
      <c r="I1440" s="4" t="s">
        <v>1998</v>
      </c>
      <c r="J1440" s="10">
        <v>712.50919999999996</v>
      </c>
      <c r="K1440" s="4" t="str">
        <f t="shared" si="154"/>
        <v>25-07-2025</v>
      </c>
      <c r="L1440" s="4" t="str">
        <f>TEXT(Sales_Fact!$B1440,"mmm")</f>
        <v>Jul</v>
      </c>
      <c r="M1440" s="4">
        <f t="shared" si="155"/>
        <v>2</v>
      </c>
      <c r="N1440" s="10">
        <f t="shared" si="156"/>
        <v>488.02</v>
      </c>
      <c r="O1440" s="10">
        <f t="shared" si="157"/>
        <v>712.50919999999996</v>
      </c>
      <c r="P1440" s="10">
        <f t="shared" si="158"/>
        <v>976.04</v>
      </c>
      <c r="Q1440" s="3">
        <f t="shared" si="159"/>
        <v>0.27</v>
      </c>
      <c r="R1440" s="4" t="str">
        <f>IF(Sales_Fact!$O1440&gt;1000,"High","Low")</f>
        <v>Low</v>
      </c>
      <c r="S1440" s="4" t="str">
        <f>VLOOKUP(C1440,Customer_Dim!$A:$N,9,FALSE())</f>
        <v>Ashley Roberts</v>
      </c>
      <c r="T1440" s="4" t="str">
        <f>VLOOKUP(D1440,Product_Dim!$A:$M,3,FALSE())</f>
        <v>Sports</v>
      </c>
      <c r="U1440" s="11" t="str">
        <f>VLOOKUP(D1440,Product_Dim!$A:$M,2,FALSE())</f>
        <v>Professional Jump Rope</v>
      </c>
      <c r="V1440" s="11" t="str">
        <f>VLOOKUP(E1440,Store_Dim!$A:$E,3,FALSE())</f>
        <v>East</v>
      </c>
      <c r="W1440" s="11" t="str">
        <f>VLOOKUP(C1440,Customer_Dim!$A:$N,13,FALSE())</f>
        <v>Gold</v>
      </c>
      <c r="X1440" s="11" t="str">
        <f t="shared" si="160"/>
        <v>Low</v>
      </c>
    </row>
    <row r="1441" spans="1:24" ht="15.75" customHeight="1">
      <c r="A1441" s="4" t="s">
        <v>3437</v>
      </c>
      <c r="B1441" s="9">
        <v>45501</v>
      </c>
      <c r="C1441" s="4" t="s">
        <v>798</v>
      </c>
      <c r="D1441" s="4" t="s">
        <v>1651</v>
      </c>
      <c r="E1441" s="4" t="s">
        <v>1910</v>
      </c>
      <c r="F1441" s="4">
        <v>1</v>
      </c>
      <c r="G1441" s="4">
        <v>917.17</v>
      </c>
      <c r="H1441" s="4">
        <v>0.13</v>
      </c>
      <c r="I1441" s="4" t="s">
        <v>2004</v>
      </c>
      <c r="J1441" s="10">
        <v>797.93790000000001</v>
      </c>
      <c r="K1441" s="4" t="str">
        <f t="shared" si="154"/>
        <v>28-07-2024</v>
      </c>
      <c r="L1441" s="4" t="str">
        <f>TEXT(Sales_Fact!$B1441,"mmm")</f>
        <v>Jul</v>
      </c>
      <c r="M1441" s="4">
        <f t="shared" si="155"/>
        <v>1</v>
      </c>
      <c r="N1441" s="10">
        <f t="shared" si="156"/>
        <v>917.17</v>
      </c>
      <c r="O1441" s="10">
        <f t="shared" si="157"/>
        <v>797.93790000000001</v>
      </c>
      <c r="P1441" s="10">
        <f t="shared" si="158"/>
        <v>917.17</v>
      </c>
      <c r="Q1441" s="3">
        <f t="shared" si="159"/>
        <v>0.12999999999999995</v>
      </c>
      <c r="R1441" s="4" t="str">
        <f>IF(Sales_Fact!$O1441&gt;1000,"High","Low")</f>
        <v>Low</v>
      </c>
      <c r="S1441" s="4" t="str">
        <f>VLOOKUP(C1441,Customer_Dim!$A:$N,9,FALSE())</f>
        <v>William Hull</v>
      </c>
      <c r="T1441" s="4" t="str">
        <f>VLOOKUP(D1441,Product_Dim!$A:$M,3,FALSE())</f>
        <v>Clothing</v>
      </c>
      <c r="U1441" s="11" t="str">
        <f>VLOOKUP(D1441,Product_Dim!$A:$M,2,FALSE())</f>
        <v>Women's Denim Jeans</v>
      </c>
      <c r="V1441" s="11" t="str">
        <f>VLOOKUP(E1441,Store_Dim!$A:$E,3,FALSE())</f>
        <v>East</v>
      </c>
      <c r="W1441" s="11" t="str">
        <f>VLOOKUP(C1441,Customer_Dim!$A:$N,13,FALSE())</f>
        <v>Platinum</v>
      </c>
      <c r="X1441" s="11" t="str">
        <f t="shared" si="160"/>
        <v>Low</v>
      </c>
    </row>
    <row r="1442" spans="1:24" ht="15.75" customHeight="1">
      <c r="A1442" s="4" t="s">
        <v>3438</v>
      </c>
      <c r="B1442" s="9">
        <v>45568</v>
      </c>
      <c r="C1442" s="4" t="s">
        <v>1048</v>
      </c>
      <c r="D1442" s="4" t="s">
        <v>1613</v>
      </c>
      <c r="E1442" s="4" t="s">
        <v>1931</v>
      </c>
      <c r="F1442" s="4">
        <v>2</v>
      </c>
      <c r="G1442" s="4">
        <v>406.46</v>
      </c>
      <c r="H1442" s="4">
        <v>0.3</v>
      </c>
      <c r="I1442" s="4" t="s">
        <v>1998</v>
      </c>
      <c r="J1442" s="10">
        <v>569.04399999999998</v>
      </c>
      <c r="K1442" s="4" t="str">
        <f t="shared" si="154"/>
        <v>03-10-2024</v>
      </c>
      <c r="L1442" s="4" t="str">
        <f>TEXT(Sales_Fact!$B1442,"mmm")</f>
        <v>Oct</v>
      </c>
      <c r="M1442" s="4">
        <f t="shared" si="155"/>
        <v>2</v>
      </c>
      <c r="N1442" s="10">
        <f t="shared" si="156"/>
        <v>406.46</v>
      </c>
      <c r="O1442" s="10">
        <f t="shared" si="157"/>
        <v>569.04399999999998</v>
      </c>
      <c r="P1442" s="10">
        <f t="shared" si="158"/>
        <v>812.92</v>
      </c>
      <c r="Q1442" s="3">
        <f t="shared" si="159"/>
        <v>0.3</v>
      </c>
      <c r="R1442" s="4" t="str">
        <f>IF(Sales_Fact!$O1442&gt;1000,"High","Low")</f>
        <v>Low</v>
      </c>
      <c r="S1442" s="4" t="str">
        <f>VLOOKUP(C1442,Customer_Dim!$A:$N,9,FALSE())</f>
        <v>Alex Mann Ii</v>
      </c>
      <c r="T1442" s="4" t="str">
        <f>VLOOKUP(D1442,Product_Dim!$A:$M,3,FALSE())</f>
        <v>Electronics</v>
      </c>
      <c r="U1442" s="11" t="str">
        <f>VLOOKUP(D1442,Product_Dim!$A:$M,2,FALSE())</f>
        <v>Wireless Bluetooth Earbuds</v>
      </c>
      <c r="V1442" s="11" t="str">
        <f>VLOOKUP(E1442,Store_Dim!$A:$E,3,FALSE())</f>
        <v>North</v>
      </c>
      <c r="W1442" s="11" t="str">
        <f>VLOOKUP(C1442,Customer_Dim!$A:$N,13,FALSE())</f>
        <v>Bronze</v>
      </c>
      <c r="X1442" s="11" t="str">
        <f t="shared" si="160"/>
        <v>Low</v>
      </c>
    </row>
    <row r="1443" spans="1:24" ht="15.75" customHeight="1">
      <c r="A1443" s="4" t="s">
        <v>3439</v>
      </c>
      <c r="B1443" s="9">
        <v>45238</v>
      </c>
      <c r="C1443" s="4" t="s">
        <v>774</v>
      </c>
      <c r="D1443" s="4" t="s">
        <v>1891</v>
      </c>
      <c r="E1443" s="4" t="s">
        <v>1910</v>
      </c>
      <c r="F1443" s="4">
        <v>2</v>
      </c>
      <c r="G1443" s="4">
        <v>264.39</v>
      </c>
      <c r="H1443" s="4">
        <v>0.11</v>
      </c>
      <c r="I1443" s="4" t="s">
        <v>2004</v>
      </c>
      <c r="J1443" s="10">
        <v>470.61419999999998</v>
      </c>
      <c r="K1443" s="4" t="str">
        <f t="shared" si="154"/>
        <v>08-11-2023</v>
      </c>
      <c r="L1443" s="4" t="str">
        <f>TEXT(Sales_Fact!$B1443,"mmm")</f>
        <v>Nov</v>
      </c>
      <c r="M1443" s="4">
        <f t="shared" si="155"/>
        <v>2</v>
      </c>
      <c r="N1443" s="10">
        <f t="shared" si="156"/>
        <v>264.39</v>
      </c>
      <c r="O1443" s="10">
        <f t="shared" si="157"/>
        <v>470.61419999999998</v>
      </c>
      <c r="P1443" s="10">
        <f t="shared" si="158"/>
        <v>528.78</v>
      </c>
      <c r="Q1443" s="3">
        <f t="shared" si="159"/>
        <v>0.10999999999999999</v>
      </c>
      <c r="R1443" s="4" t="str">
        <f>IF(Sales_Fact!$O1443&gt;1000,"High","Low")</f>
        <v>Low</v>
      </c>
      <c r="S1443" s="4" t="str">
        <f>VLOOKUP(C1443,Customer_Dim!$A:$N,9,FALSE())</f>
        <v>Christy Hill</v>
      </c>
      <c r="T1443" s="4" t="str">
        <f>VLOOKUP(D1443,Product_Dim!$A:$M,3,FALSE())</f>
        <v>Sports</v>
      </c>
      <c r="U1443" s="11" t="str">
        <f>VLOOKUP(D1443,Product_Dim!$A:$M,2,FALSE())</f>
        <v>Sports Stopwatch Basic</v>
      </c>
      <c r="V1443" s="11" t="str">
        <f>VLOOKUP(E1443,Store_Dim!$A:$E,3,FALSE())</f>
        <v>East</v>
      </c>
      <c r="W1443" s="11" t="str">
        <f>VLOOKUP(C1443,Customer_Dim!$A:$N,13,FALSE())</f>
        <v>Platinum</v>
      </c>
      <c r="X1443" s="11" t="str">
        <f t="shared" si="160"/>
        <v>Low</v>
      </c>
    </row>
    <row r="1444" spans="1:24" ht="15.75" customHeight="1">
      <c r="A1444" s="4" t="s">
        <v>3440</v>
      </c>
      <c r="B1444" s="9">
        <v>45754</v>
      </c>
      <c r="C1444" s="4" t="s">
        <v>653</v>
      </c>
      <c r="D1444" s="4" t="s">
        <v>1809</v>
      </c>
      <c r="E1444" s="4" t="s">
        <v>1962</v>
      </c>
      <c r="F1444" s="4">
        <v>1</v>
      </c>
      <c r="G1444" s="4">
        <v>414.97</v>
      </c>
      <c r="H1444" s="4">
        <v>0.22</v>
      </c>
      <c r="I1444" s="4" t="s">
        <v>1998</v>
      </c>
      <c r="J1444" s="10">
        <v>323.67660000000001</v>
      </c>
      <c r="K1444" s="4" t="str">
        <f t="shared" si="154"/>
        <v>07-04-2025</v>
      </c>
      <c r="L1444" s="4" t="str">
        <f>TEXT(Sales_Fact!$B1444,"mmm")</f>
        <v>Apr</v>
      </c>
      <c r="M1444" s="4">
        <f t="shared" si="155"/>
        <v>1</v>
      </c>
      <c r="N1444" s="10">
        <f t="shared" si="156"/>
        <v>414.97</v>
      </c>
      <c r="O1444" s="10">
        <f t="shared" si="157"/>
        <v>323.67660000000001</v>
      </c>
      <c r="P1444" s="10">
        <f t="shared" si="158"/>
        <v>414.97</v>
      </c>
      <c r="Q1444" s="3">
        <f t="shared" si="159"/>
        <v>0.22000000000000003</v>
      </c>
      <c r="R1444" s="4" t="str">
        <f>IF(Sales_Fact!$O1444&gt;1000,"High","Low")</f>
        <v>Low</v>
      </c>
      <c r="S1444" s="4" t="str">
        <f>VLOOKUP(C1444,Customer_Dim!$A:$N,9,FALSE())</f>
        <v>Todd Poole</v>
      </c>
      <c r="T1444" s="4" t="str">
        <f>VLOOKUP(D1444,Product_Dim!$A:$M,3,FALSE())</f>
        <v>Home</v>
      </c>
      <c r="U1444" s="11" t="str">
        <f>VLOOKUP(D1444,Product_Dim!$A:$M,2,FALSE())</f>
        <v>Wooden Nightstand</v>
      </c>
      <c r="V1444" s="11" t="str">
        <f>VLOOKUP(E1444,Store_Dim!$A:$E,3,FALSE())</f>
        <v>West</v>
      </c>
      <c r="W1444" s="11" t="str">
        <f>VLOOKUP(C1444,Customer_Dim!$A:$N,13,FALSE())</f>
        <v>Bronze</v>
      </c>
      <c r="X1444" s="11" t="str">
        <f t="shared" si="160"/>
        <v>Low</v>
      </c>
    </row>
    <row r="1445" spans="1:24" ht="15.75" customHeight="1">
      <c r="A1445" s="4" t="s">
        <v>3441</v>
      </c>
      <c r="B1445" s="9">
        <v>45280</v>
      </c>
      <c r="C1445" s="4" t="s">
        <v>517</v>
      </c>
      <c r="D1445" s="4" t="s">
        <v>1675</v>
      </c>
      <c r="E1445" s="4" t="s">
        <v>1952</v>
      </c>
      <c r="F1445" s="4">
        <v>2</v>
      </c>
      <c r="G1445" s="4">
        <v>583.51</v>
      </c>
      <c r="H1445" s="4">
        <v>0.2</v>
      </c>
      <c r="I1445" s="4" t="s">
        <v>2004</v>
      </c>
      <c r="J1445" s="10">
        <v>933.61599999999999</v>
      </c>
      <c r="K1445" s="4" t="str">
        <f t="shared" si="154"/>
        <v>20-12-2023</v>
      </c>
      <c r="L1445" s="4" t="str">
        <f>TEXT(Sales_Fact!$B1445,"mmm")</f>
        <v>Dec</v>
      </c>
      <c r="M1445" s="4">
        <f t="shared" si="155"/>
        <v>2</v>
      </c>
      <c r="N1445" s="10">
        <f t="shared" si="156"/>
        <v>583.51</v>
      </c>
      <c r="O1445" s="10">
        <f t="shared" si="157"/>
        <v>933.61599999999999</v>
      </c>
      <c r="P1445" s="10">
        <f t="shared" si="158"/>
        <v>1167.02</v>
      </c>
      <c r="Q1445" s="3">
        <f t="shared" si="159"/>
        <v>0.2</v>
      </c>
      <c r="R1445" s="4" t="str">
        <f>IF(Sales_Fact!$O1445&gt;1000,"High","Low")</f>
        <v>Low</v>
      </c>
      <c r="S1445" s="4" t="str">
        <f>VLOOKUP(C1445,Customer_Dim!$A:$N,9,FALSE())</f>
        <v>Edward Rivera</v>
      </c>
      <c r="T1445" s="4" t="str">
        <f>VLOOKUP(D1445,Product_Dim!$A:$M,3,FALSE())</f>
        <v>Clothing</v>
      </c>
      <c r="U1445" s="11" t="str">
        <f>VLOOKUP(D1445,Product_Dim!$A:$M,2,FALSE())</f>
        <v>Women's Scarf Set</v>
      </c>
      <c r="V1445" s="11" t="str">
        <f>VLOOKUP(E1445,Store_Dim!$A:$E,3,FALSE())</f>
        <v>North</v>
      </c>
      <c r="W1445" s="11" t="str">
        <f>VLOOKUP(C1445,Customer_Dim!$A:$N,13,FALSE())</f>
        <v>Gold</v>
      </c>
      <c r="X1445" s="11" t="str">
        <f t="shared" si="160"/>
        <v>Low</v>
      </c>
    </row>
    <row r="1446" spans="1:24" ht="15.75" customHeight="1">
      <c r="A1446" s="4" t="s">
        <v>3442</v>
      </c>
      <c r="B1446" s="9">
        <v>45911</v>
      </c>
      <c r="C1446" s="4" t="s">
        <v>75</v>
      </c>
      <c r="D1446" s="4" t="s">
        <v>1693</v>
      </c>
      <c r="E1446" s="4" t="s">
        <v>1965</v>
      </c>
      <c r="F1446" s="4">
        <v>1</v>
      </c>
      <c r="G1446" s="4">
        <v>659.27</v>
      </c>
      <c r="H1446" s="4">
        <v>0.15</v>
      </c>
      <c r="I1446" s="4" t="s">
        <v>1998</v>
      </c>
      <c r="J1446" s="10">
        <v>560.37950000000001</v>
      </c>
      <c r="K1446" s="4" t="str">
        <f t="shared" si="154"/>
        <v>11-09-2025</v>
      </c>
      <c r="L1446" s="4" t="str">
        <f>TEXT(Sales_Fact!$B1446,"mmm")</f>
        <v>Sep</v>
      </c>
      <c r="M1446" s="4">
        <f t="shared" si="155"/>
        <v>1</v>
      </c>
      <c r="N1446" s="10">
        <f t="shared" si="156"/>
        <v>659.27</v>
      </c>
      <c r="O1446" s="10">
        <f t="shared" si="157"/>
        <v>560.37950000000001</v>
      </c>
      <c r="P1446" s="10">
        <f t="shared" si="158"/>
        <v>659.27</v>
      </c>
      <c r="Q1446" s="3">
        <f t="shared" si="159"/>
        <v>0.14999999999999997</v>
      </c>
      <c r="R1446" s="4" t="str">
        <f>IF(Sales_Fact!$O1446&gt;1000,"High","Low")</f>
        <v>Low</v>
      </c>
      <c r="S1446" s="4" t="str">
        <f>VLOOKUP(C1446,Customer_Dim!$A:$N,9,FALSE())</f>
        <v>Brian Lopez</v>
      </c>
      <c r="T1446" s="4" t="str">
        <f>VLOOKUP(D1446,Product_Dim!$A:$M,3,FALSE())</f>
        <v>Sports</v>
      </c>
      <c r="U1446" s="11" t="str">
        <f>VLOOKUP(D1446,Product_Dim!$A:$M,2,FALSE())</f>
        <v>Basketball</v>
      </c>
      <c r="V1446" s="11" t="str">
        <f>VLOOKUP(E1446,Store_Dim!$A:$E,3,FALSE())</f>
        <v>North</v>
      </c>
      <c r="W1446" s="11" t="str">
        <f>VLOOKUP(C1446,Customer_Dim!$A:$N,13,FALSE())</f>
        <v>Gold</v>
      </c>
      <c r="X1446" s="11" t="str">
        <f t="shared" si="160"/>
        <v>Low</v>
      </c>
    </row>
    <row r="1447" spans="1:24" ht="15.75" customHeight="1">
      <c r="A1447" s="4" t="s">
        <v>3443</v>
      </c>
      <c r="B1447" s="9">
        <v>45499</v>
      </c>
      <c r="C1447" s="4" t="s">
        <v>426</v>
      </c>
      <c r="D1447" s="4" t="s">
        <v>1640</v>
      </c>
      <c r="E1447" s="4" t="s">
        <v>1937</v>
      </c>
      <c r="F1447" s="4">
        <v>3</v>
      </c>
      <c r="G1447" s="4">
        <v>147.01</v>
      </c>
      <c r="H1447" s="4">
        <v>0.19</v>
      </c>
      <c r="I1447" s="4" t="s">
        <v>2004</v>
      </c>
      <c r="J1447" s="10">
        <v>357.23430000000002</v>
      </c>
      <c r="K1447" s="4" t="str">
        <f t="shared" si="154"/>
        <v>26-07-2024</v>
      </c>
      <c r="L1447" s="4" t="str">
        <f>TEXT(Sales_Fact!$B1447,"mmm")</f>
        <v>Jul</v>
      </c>
      <c r="M1447" s="4">
        <f t="shared" si="155"/>
        <v>3</v>
      </c>
      <c r="N1447" s="10">
        <f t="shared" si="156"/>
        <v>147.01</v>
      </c>
      <c r="O1447" s="10">
        <f t="shared" si="157"/>
        <v>357.23430000000002</v>
      </c>
      <c r="P1447" s="10">
        <f t="shared" si="158"/>
        <v>441.03</v>
      </c>
      <c r="Q1447" s="3">
        <f t="shared" si="159"/>
        <v>0.18999999999999992</v>
      </c>
      <c r="R1447" s="4" t="str">
        <f>IF(Sales_Fact!$O1447&gt;1000,"High","Low")</f>
        <v>Low</v>
      </c>
      <c r="S1447" s="4" t="str">
        <f>VLOOKUP(C1447,Customer_Dim!$A:$N,9,FALSE())</f>
        <v>Anthony Phillips</v>
      </c>
      <c r="T1447" s="4" t="str">
        <f>VLOOKUP(D1447,Product_Dim!$A:$M,3,FALSE())</f>
        <v>Electronics</v>
      </c>
      <c r="U1447" s="11" t="str">
        <f>VLOOKUP(D1447,Product_Dim!$A:$M,2,FALSE())</f>
        <v>4K Home Projector</v>
      </c>
      <c r="V1447" s="11" t="str">
        <f>VLOOKUP(E1447,Store_Dim!$A:$E,3,FALSE())</f>
        <v>South</v>
      </c>
      <c r="W1447" s="11" t="str">
        <f>VLOOKUP(C1447,Customer_Dim!$A:$N,13,FALSE())</f>
        <v>Platinum</v>
      </c>
      <c r="X1447" s="11" t="str">
        <f t="shared" si="160"/>
        <v>Low</v>
      </c>
    </row>
    <row r="1448" spans="1:24" ht="15.75" customHeight="1">
      <c r="A1448" s="4" t="s">
        <v>3444</v>
      </c>
      <c r="B1448" s="9">
        <v>45291</v>
      </c>
      <c r="C1448" s="4" t="s">
        <v>279</v>
      </c>
      <c r="D1448" s="4" t="s">
        <v>1761</v>
      </c>
      <c r="E1448" s="4" t="s">
        <v>1944</v>
      </c>
      <c r="F1448" s="4">
        <v>3</v>
      </c>
      <c r="G1448" s="4">
        <v>83.7</v>
      </c>
      <c r="H1448" s="4">
        <v>0.24</v>
      </c>
      <c r="I1448" s="4" t="s">
        <v>1998</v>
      </c>
      <c r="J1448" s="10">
        <v>190.83600000000001</v>
      </c>
      <c r="K1448" s="4" t="str">
        <f t="shared" si="154"/>
        <v>31-12-2023</v>
      </c>
      <c r="L1448" s="4" t="str">
        <f>TEXT(Sales_Fact!$B1448,"mmm")</f>
        <v>Dec</v>
      </c>
      <c r="M1448" s="4">
        <f t="shared" si="155"/>
        <v>3</v>
      </c>
      <c r="N1448" s="10">
        <f t="shared" si="156"/>
        <v>83.7</v>
      </c>
      <c r="O1448" s="10">
        <f t="shared" si="157"/>
        <v>190.83600000000001</v>
      </c>
      <c r="P1448" s="10">
        <f t="shared" si="158"/>
        <v>251.10000000000002</v>
      </c>
      <c r="Q1448" s="3">
        <f t="shared" si="159"/>
        <v>0.24000000000000002</v>
      </c>
      <c r="R1448" s="4" t="str">
        <f>IF(Sales_Fact!$O1448&gt;1000,"High","Low")</f>
        <v>Low</v>
      </c>
      <c r="S1448" s="4" t="str">
        <f>VLOOKUP(C1448,Customer_Dim!$A:$N,9,FALSE())</f>
        <v>Eric Singh</v>
      </c>
      <c r="T1448" s="4" t="str">
        <f>VLOOKUP(D1448,Product_Dim!$A:$M,3,FALSE())</f>
        <v>Sports</v>
      </c>
      <c r="U1448" s="11" t="str">
        <f>VLOOKUP(D1448,Product_Dim!$A:$M,2,FALSE())</f>
        <v>Rugby Ball</v>
      </c>
      <c r="V1448" s="11" t="str">
        <f>VLOOKUP(E1448,Store_Dim!$A:$E,3,FALSE())</f>
        <v>South</v>
      </c>
      <c r="W1448" s="11" t="str">
        <f>VLOOKUP(C1448,Customer_Dim!$A:$N,13,FALSE())</f>
        <v>Gold</v>
      </c>
      <c r="X1448" s="11" t="str">
        <f t="shared" si="160"/>
        <v>Low</v>
      </c>
    </row>
    <row r="1449" spans="1:24" ht="15.75" customHeight="1">
      <c r="A1449" s="4" t="s">
        <v>3445</v>
      </c>
      <c r="B1449" s="9">
        <v>45627</v>
      </c>
      <c r="C1449" s="4" t="s">
        <v>1406</v>
      </c>
      <c r="D1449" s="4" t="s">
        <v>1588</v>
      </c>
      <c r="E1449" s="4" t="s">
        <v>1927</v>
      </c>
      <c r="F1449" s="4">
        <v>4</v>
      </c>
      <c r="G1449" s="4">
        <v>106.66</v>
      </c>
      <c r="H1449" s="4">
        <v>0.2</v>
      </c>
      <c r="I1449" s="4" t="s">
        <v>2004</v>
      </c>
      <c r="J1449" s="10">
        <v>341.31200000000001</v>
      </c>
      <c r="K1449" s="4" t="str">
        <f t="shared" si="154"/>
        <v>01-12-2024</v>
      </c>
      <c r="L1449" s="4" t="str">
        <f>TEXT(Sales_Fact!$B1449,"mmm")</f>
        <v>Dec</v>
      </c>
      <c r="M1449" s="4">
        <f t="shared" si="155"/>
        <v>4</v>
      </c>
      <c r="N1449" s="10">
        <f t="shared" si="156"/>
        <v>106.66</v>
      </c>
      <c r="O1449" s="10">
        <f t="shared" si="157"/>
        <v>341.31200000000001</v>
      </c>
      <c r="P1449" s="10">
        <f t="shared" si="158"/>
        <v>426.64</v>
      </c>
      <c r="Q1449" s="3">
        <f t="shared" si="159"/>
        <v>0.19999999999999996</v>
      </c>
      <c r="R1449" s="4" t="str">
        <f>IF(Sales_Fact!$O1449&gt;1000,"High","Low")</f>
        <v>Low</v>
      </c>
      <c r="S1449" s="4" t="str">
        <f>VLOOKUP(C1449,Customer_Dim!$A:$N,9,FALSE())</f>
        <v>Gene Lee</v>
      </c>
      <c r="T1449" s="4" t="str">
        <f>VLOOKUP(D1449,Product_Dim!$A:$M,3,FALSE())</f>
        <v>Clothing</v>
      </c>
      <c r="U1449" s="11" t="str">
        <f>VLOOKUP(D1449,Product_Dim!$A:$M,2,FALSE())</f>
        <v>Women's Casual Hoodie</v>
      </c>
      <c r="V1449" s="11" t="str">
        <f>VLOOKUP(E1449,Store_Dim!$A:$E,3,FALSE())</f>
        <v>South</v>
      </c>
      <c r="W1449" s="11" t="str">
        <f>VLOOKUP(C1449,Customer_Dim!$A:$N,13,FALSE())</f>
        <v>Platinum</v>
      </c>
      <c r="X1449" s="11" t="str">
        <f t="shared" si="160"/>
        <v>High</v>
      </c>
    </row>
    <row r="1450" spans="1:24" ht="15.75" customHeight="1">
      <c r="A1450" s="4" t="s">
        <v>3446</v>
      </c>
      <c r="B1450" s="9">
        <v>45617</v>
      </c>
      <c r="C1450" s="4" t="s">
        <v>568</v>
      </c>
      <c r="D1450" s="4" t="s">
        <v>1622</v>
      </c>
      <c r="E1450" s="4" t="s">
        <v>1931</v>
      </c>
      <c r="F1450" s="4">
        <v>4</v>
      </c>
      <c r="G1450" s="4">
        <v>168.55</v>
      </c>
      <c r="H1450" s="4">
        <v>0.15</v>
      </c>
      <c r="I1450" s="4" t="s">
        <v>1998</v>
      </c>
      <c r="J1450" s="10">
        <v>573.07000000000005</v>
      </c>
      <c r="K1450" s="4" t="str">
        <f t="shared" si="154"/>
        <v>21-11-2024</v>
      </c>
      <c r="L1450" s="4" t="str">
        <f>TEXT(Sales_Fact!$B1450,"mmm")</f>
        <v>Nov</v>
      </c>
      <c r="M1450" s="4">
        <f t="shared" si="155"/>
        <v>4</v>
      </c>
      <c r="N1450" s="10">
        <f t="shared" si="156"/>
        <v>168.55</v>
      </c>
      <c r="O1450" s="10">
        <f t="shared" si="157"/>
        <v>573.07000000000005</v>
      </c>
      <c r="P1450" s="10">
        <f t="shared" si="158"/>
        <v>674.2</v>
      </c>
      <c r="Q1450" s="3">
        <f t="shared" si="159"/>
        <v>0.15</v>
      </c>
      <c r="R1450" s="4" t="str">
        <f>IF(Sales_Fact!$O1450&gt;1000,"High","Low")</f>
        <v>Low</v>
      </c>
      <c r="S1450" s="4" t="str">
        <f>VLOOKUP(C1450,Customer_Dim!$A:$N,9,FALSE())</f>
        <v>Joseph Jones</v>
      </c>
      <c r="T1450" s="4" t="str">
        <f>VLOOKUP(D1450,Product_Dim!$A:$M,3,FALSE())</f>
        <v>Home</v>
      </c>
      <c r="U1450" s="11" t="str">
        <f>VLOOKUP(D1450,Product_Dim!$A:$M,2,FALSE())</f>
        <v>Ceramic Kitchen Bowl Set</v>
      </c>
      <c r="V1450" s="11" t="str">
        <f>VLOOKUP(E1450,Store_Dim!$A:$E,3,FALSE())</f>
        <v>North</v>
      </c>
      <c r="W1450" s="11" t="str">
        <f>VLOOKUP(C1450,Customer_Dim!$A:$N,13,FALSE())</f>
        <v>Bronze</v>
      </c>
      <c r="X1450" s="11" t="str">
        <f t="shared" si="160"/>
        <v>High</v>
      </c>
    </row>
    <row r="1451" spans="1:24" ht="15.75" customHeight="1">
      <c r="A1451" s="4" t="s">
        <v>3447</v>
      </c>
      <c r="B1451" s="9">
        <v>45899</v>
      </c>
      <c r="C1451" s="4" t="s">
        <v>1530</v>
      </c>
      <c r="D1451" s="4" t="s">
        <v>1735</v>
      </c>
      <c r="E1451" s="4" t="s">
        <v>1919</v>
      </c>
      <c r="F1451" s="4">
        <v>1</v>
      </c>
      <c r="G1451" s="4">
        <v>230.53</v>
      </c>
      <c r="H1451" s="4">
        <v>0.06</v>
      </c>
      <c r="I1451" s="4" t="s">
        <v>2004</v>
      </c>
      <c r="J1451" s="10">
        <v>216.69820000000001</v>
      </c>
      <c r="K1451" s="4" t="str">
        <f t="shared" si="154"/>
        <v>30-08-2025</v>
      </c>
      <c r="L1451" s="4" t="str">
        <f>TEXT(Sales_Fact!$B1451,"mmm")</f>
        <v>Aug</v>
      </c>
      <c r="M1451" s="4">
        <f t="shared" si="155"/>
        <v>1</v>
      </c>
      <c r="N1451" s="10">
        <f t="shared" si="156"/>
        <v>230.53</v>
      </c>
      <c r="O1451" s="10">
        <f t="shared" si="157"/>
        <v>216.69819999999999</v>
      </c>
      <c r="P1451" s="10">
        <f t="shared" si="158"/>
        <v>230.53</v>
      </c>
      <c r="Q1451" s="3">
        <f t="shared" si="159"/>
        <v>6.0000000000000067E-2</v>
      </c>
      <c r="R1451" s="4" t="str">
        <f>IF(Sales_Fact!$O1451&gt;1000,"High","Low")</f>
        <v>Low</v>
      </c>
      <c r="S1451" s="4" t="str">
        <f>VLOOKUP(C1451,Customer_Dim!$A:$N,9,FALSE())</f>
        <v>Zachary Andrade</v>
      </c>
      <c r="T1451" s="4" t="str">
        <f>VLOOKUP(D1451,Product_Dim!$A:$M,3,FALSE())</f>
        <v>Sports</v>
      </c>
      <c r="U1451" s="11" t="str">
        <f>VLOOKUP(D1451,Product_Dim!$A:$M,2,FALSE())</f>
        <v>Adjustable Jump Rope</v>
      </c>
      <c r="V1451" s="11" t="str">
        <f>VLOOKUP(E1451,Store_Dim!$A:$E,3,FALSE())</f>
        <v>South</v>
      </c>
      <c r="W1451" s="11" t="str">
        <f>VLOOKUP(C1451,Customer_Dim!$A:$N,13,FALSE())</f>
        <v>Platinum</v>
      </c>
      <c r="X1451" s="11" t="str">
        <f t="shared" si="160"/>
        <v>Low</v>
      </c>
    </row>
    <row r="1452" spans="1:24" ht="15.75" customHeight="1">
      <c r="A1452" s="4" t="s">
        <v>3448</v>
      </c>
      <c r="B1452" s="9">
        <v>45889</v>
      </c>
      <c r="C1452" s="4" t="s">
        <v>59</v>
      </c>
      <c r="D1452" s="4" t="s">
        <v>1767</v>
      </c>
      <c r="E1452" s="4" t="s">
        <v>1915</v>
      </c>
      <c r="F1452" s="4">
        <v>2</v>
      </c>
      <c r="G1452" s="4">
        <v>355.41</v>
      </c>
      <c r="H1452" s="4">
        <v>0.13</v>
      </c>
      <c r="I1452" s="4" t="s">
        <v>2004</v>
      </c>
      <c r="J1452" s="10">
        <v>618.41340000000002</v>
      </c>
      <c r="K1452" s="4" t="str">
        <f t="shared" si="154"/>
        <v>20-08-2025</v>
      </c>
      <c r="L1452" s="4" t="str">
        <f>TEXT(Sales_Fact!$B1452,"mmm")</f>
        <v>Aug</v>
      </c>
      <c r="M1452" s="4">
        <f t="shared" si="155"/>
        <v>2</v>
      </c>
      <c r="N1452" s="10">
        <f t="shared" si="156"/>
        <v>355.41</v>
      </c>
      <c r="O1452" s="10">
        <f t="shared" si="157"/>
        <v>618.41340000000002</v>
      </c>
      <c r="P1452" s="10">
        <f t="shared" si="158"/>
        <v>710.82</v>
      </c>
      <c r="Q1452" s="3">
        <f t="shared" si="159"/>
        <v>0.13000000000000003</v>
      </c>
      <c r="R1452" s="4" t="str">
        <f>IF(Sales_Fact!$O1452&gt;1000,"High","Low")</f>
        <v>Low</v>
      </c>
      <c r="S1452" s="4" t="str">
        <f>VLOOKUP(C1452,Customer_Dim!$A:$N,9,FALSE())</f>
        <v>Daniel Boyd</v>
      </c>
      <c r="T1452" s="4" t="str">
        <f>VLOOKUP(D1452,Product_Dim!$A:$M,3,FALSE())</f>
        <v>Sports</v>
      </c>
      <c r="U1452" s="11" t="str">
        <f>VLOOKUP(D1452,Product_Dim!$A:$M,2,FALSE())</f>
        <v>Sports Stopwatch Pro</v>
      </c>
      <c r="V1452" s="11" t="str">
        <f>VLOOKUP(E1452,Store_Dim!$A:$E,3,FALSE())</f>
        <v>North</v>
      </c>
      <c r="W1452" s="11" t="str">
        <f>VLOOKUP(C1452,Customer_Dim!$A:$N,13,FALSE())</f>
        <v>Bronze</v>
      </c>
      <c r="X1452" s="11" t="str">
        <f t="shared" si="160"/>
        <v>Low</v>
      </c>
    </row>
    <row r="1453" spans="1:24" ht="15.75" customHeight="1">
      <c r="A1453" s="4" t="s">
        <v>3449</v>
      </c>
      <c r="B1453" s="9">
        <v>45943</v>
      </c>
      <c r="C1453" s="4" t="s">
        <v>580</v>
      </c>
      <c r="D1453" s="4" t="s">
        <v>1744</v>
      </c>
      <c r="E1453" s="4" t="s">
        <v>1919</v>
      </c>
      <c r="F1453" s="4">
        <v>3</v>
      </c>
      <c r="G1453" s="4">
        <v>843.44</v>
      </c>
      <c r="H1453" s="4">
        <v>0.22</v>
      </c>
      <c r="I1453" s="4" t="s">
        <v>1996</v>
      </c>
      <c r="J1453" s="10">
        <v>1973.6496</v>
      </c>
      <c r="K1453" s="4" t="str">
        <f t="shared" si="154"/>
        <v>13-10-2025</v>
      </c>
      <c r="L1453" s="4" t="str">
        <f>TEXT(Sales_Fact!$B1453,"mmm")</f>
        <v>Oct</v>
      </c>
      <c r="M1453" s="4">
        <f t="shared" si="155"/>
        <v>3</v>
      </c>
      <c r="N1453" s="10">
        <f t="shared" si="156"/>
        <v>843.44</v>
      </c>
      <c r="O1453" s="10">
        <f t="shared" si="157"/>
        <v>1973.6496000000002</v>
      </c>
      <c r="P1453" s="10">
        <f t="shared" si="158"/>
        <v>2530.3200000000002</v>
      </c>
      <c r="Q1453" s="3">
        <f t="shared" si="159"/>
        <v>0.21999999999999997</v>
      </c>
      <c r="R1453" s="4" t="str">
        <f>IF(Sales_Fact!$O1453&gt;1000,"High","Low")</f>
        <v>High</v>
      </c>
      <c r="S1453" s="4" t="str">
        <f>VLOOKUP(C1453,Customer_Dim!$A:$N,9,FALSE())</f>
        <v>Antonio Wade</v>
      </c>
      <c r="T1453" s="4" t="str">
        <f>VLOOKUP(D1453,Product_Dim!$A:$M,3,FALSE())</f>
        <v>Beauty</v>
      </c>
      <c r="U1453" s="11" t="str">
        <f>VLOOKUP(D1453,Product_Dim!$A:$M,2,FALSE())</f>
        <v>Makeup Brush Set</v>
      </c>
      <c r="V1453" s="11" t="str">
        <f>VLOOKUP(E1453,Store_Dim!$A:$E,3,FALSE())</f>
        <v>South</v>
      </c>
      <c r="W1453" s="11" t="str">
        <f>VLOOKUP(C1453,Customer_Dim!$A:$N,13,FALSE())</f>
        <v>Gold</v>
      </c>
      <c r="X1453" s="11" t="str">
        <f t="shared" si="160"/>
        <v>Low</v>
      </c>
    </row>
    <row r="1454" spans="1:24" ht="15.75" customHeight="1">
      <c r="A1454" s="4" t="s">
        <v>3450</v>
      </c>
      <c r="B1454" s="9">
        <v>45306</v>
      </c>
      <c r="C1454" s="4" t="s">
        <v>568</v>
      </c>
      <c r="D1454" s="4" t="s">
        <v>1891</v>
      </c>
      <c r="E1454" s="4" t="s">
        <v>1915</v>
      </c>
      <c r="F1454" s="4">
        <v>1</v>
      </c>
      <c r="G1454" s="4">
        <v>301.60000000000002</v>
      </c>
      <c r="H1454" s="4">
        <v>0.27</v>
      </c>
      <c r="I1454" s="4" t="s">
        <v>1996</v>
      </c>
      <c r="J1454" s="10">
        <v>220.16800000000001</v>
      </c>
      <c r="K1454" s="4" t="str">
        <f t="shared" si="154"/>
        <v>15-01-2024</v>
      </c>
      <c r="L1454" s="4" t="str">
        <f>TEXT(Sales_Fact!$B1454,"mmm")</f>
        <v>Jan</v>
      </c>
      <c r="M1454" s="4">
        <f t="shared" si="155"/>
        <v>1</v>
      </c>
      <c r="N1454" s="10">
        <f t="shared" si="156"/>
        <v>301.60000000000002</v>
      </c>
      <c r="O1454" s="10">
        <f t="shared" si="157"/>
        <v>220.16800000000001</v>
      </c>
      <c r="P1454" s="10">
        <f t="shared" si="158"/>
        <v>301.60000000000002</v>
      </c>
      <c r="Q1454" s="3">
        <f t="shared" si="159"/>
        <v>0.27</v>
      </c>
      <c r="R1454" s="4" t="str">
        <f>IF(Sales_Fact!$O1454&gt;1000,"High","Low")</f>
        <v>Low</v>
      </c>
      <c r="S1454" s="4" t="str">
        <f>VLOOKUP(C1454,Customer_Dim!$A:$N,9,FALSE())</f>
        <v>Joseph Jones</v>
      </c>
      <c r="T1454" s="4" t="str">
        <f>VLOOKUP(D1454,Product_Dim!$A:$M,3,FALSE())</f>
        <v>Sports</v>
      </c>
      <c r="U1454" s="11" t="str">
        <f>VLOOKUP(D1454,Product_Dim!$A:$M,2,FALSE())</f>
        <v>Sports Stopwatch Basic</v>
      </c>
      <c r="V1454" s="11" t="str">
        <f>VLOOKUP(E1454,Store_Dim!$A:$E,3,FALSE())</f>
        <v>North</v>
      </c>
      <c r="W1454" s="11" t="str">
        <f>VLOOKUP(C1454,Customer_Dim!$A:$N,13,FALSE())</f>
        <v>Bronze</v>
      </c>
      <c r="X1454" s="11" t="str">
        <f t="shared" si="160"/>
        <v>Low</v>
      </c>
    </row>
    <row r="1455" spans="1:24" ht="15.75" customHeight="1">
      <c r="A1455" s="4" t="s">
        <v>3451</v>
      </c>
      <c r="B1455" s="9">
        <v>45772</v>
      </c>
      <c r="C1455" s="4" t="s">
        <v>185</v>
      </c>
      <c r="D1455" s="4" t="s">
        <v>1873</v>
      </c>
      <c r="E1455" s="4" t="s">
        <v>1919</v>
      </c>
      <c r="F1455" s="4">
        <v>3</v>
      </c>
      <c r="G1455" s="4">
        <v>21.59</v>
      </c>
      <c r="H1455" s="4">
        <v>0.16</v>
      </c>
      <c r="I1455" s="4" t="s">
        <v>2004</v>
      </c>
      <c r="J1455" s="10">
        <v>54.406799999999997</v>
      </c>
      <c r="K1455" s="4" t="str">
        <f t="shared" si="154"/>
        <v>25-04-2025</v>
      </c>
      <c r="L1455" s="4" t="str">
        <f>TEXT(Sales_Fact!$B1455,"mmm")</f>
        <v>Apr</v>
      </c>
      <c r="M1455" s="4">
        <f t="shared" si="155"/>
        <v>3</v>
      </c>
      <c r="N1455" s="10">
        <f t="shared" si="156"/>
        <v>21.59</v>
      </c>
      <c r="O1455" s="10">
        <f t="shared" si="157"/>
        <v>54.406799999999997</v>
      </c>
      <c r="P1455" s="10">
        <f t="shared" si="158"/>
        <v>64.77</v>
      </c>
      <c r="Q1455" s="3">
        <f t="shared" si="159"/>
        <v>0.16</v>
      </c>
      <c r="R1455" s="4" t="str">
        <f>IF(Sales_Fact!$O1455&gt;1000,"High","Low")</f>
        <v>Low</v>
      </c>
      <c r="S1455" s="4" t="str">
        <f>VLOOKUP(C1455,Customer_Dim!$A:$N,9,FALSE())</f>
        <v>William Martin</v>
      </c>
      <c r="T1455" s="4" t="str">
        <f>VLOOKUP(D1455,Product_Dim!$A:$M,3,FALSE())</f>
        <v>Beauty</v>
      </c>
      <c r="U1455" s="11" t="str">
        <f>VLOOKUP(D1455,Product_Dim!$A:$M,2,FALSE())</f>
        <v>Face Foundation Kit</v>
      </c>
      <c r="V1455" s="11" t="str">
        <f>VLOOKUP(E1455,Store_Dim!$A:$E,3,FALSE())</f>
        <v>South</v>
      </c>
      <c r="W1455" s="11" t="str">
        <f>VLOOKUP(C1455,Customer_Dim!$A:$N,13,FALSE())</f>
        <v>Platinum</v>
      </c>
      <c r="X1455" s="11" t="str">
        <f t="shared" si="160"/>
        <v>Low</v>
      </c>
    </row>
    <row r="1456" spans="1:24" ht="15.75" customHeight="1">
      <c r="A1456" s="4" t="s">
        <v>3452</v>
      </c>
      <c r="B1456" s="9">
        <v>45346</v>
      </c>
      <c r="C1456" s="4" t="s">
        <v>715</v>
      </c>
      <c r="D1456" s="4" t="s">
        <v>1633</v>
      </c>
      <c r="E1456" s="4" t="s">
        <v>1919</v>
      </c>
      <c r="F1456" s="4">
        <v>4</v>
      </c>
      <c r="G1456" s="4">
        <v>284.24</v>
      </c>
      <c r="H1456" s="4">
        <v>0.09</v>
      </c>
      <c r="I1456" s="4" t="s">
        <v>1996</v>
      </c>
      <c r="J1456" s="10">
        <v>1034.6335999999999</v>
      </c>
      <c r="K1456" s="4" t="str">
        <f t="shared" si="154"/>
        <v>24-02-2024</v>
      </c>
      <c r="L1456" s="4" t="str">
        <f>TEXT(Sales_Fact!$B1456,"mmm")</f>
        <v>Feb</v>
      </c>
      <c r="M1456" s="4">
        <f t="shared" si="155"/>
        <v>4</v>
      </c>
      <c r="N1456" s="10">
        <f t="shared" si="156"/>
        <v>284.24</v>
      </c>
      <c r="O1456" s="10">
        <f t="shared" si="157"/>
        <v>1034.6336000000001</v>
      </c>
      <c r="P1456" s="10">
        <f t="shared" si="158"/>
        <v>1136.96</v>
      </c>
      <c r="Q1456" s="3">
        <f t="shared" si="159"/>
        <v>8.9999999999999927E-2</v>
      </c>
      <c r="R1456" s="4" t="str">
        <f>IF(Sales_Fact!$O1456&gt;1000,"High","Low")</f>
        <v>High</v>
      </c>
      <c r="S1456" s="4" t="str">
        <f>VLOOKUP(C1456,Customer_Dim!$A:$N,9,FALSE())</f>
        <v>Blake Harrison</v>
      </c>
      <c r="T1456" s="4" t="str">
        <f>VLOOKUP(D1456,Product_Dim!$A:$M,3,FALSE())</f>
        <v>Electronics</v>
      </c>
      <c r="U1456" s="11" t="str">
        <f>VLOOKUP(D1456,Product_Dim!$A:$M,2,FALSE())</f>
        <v>USB-C Fast Charger</v>
      </c>
      <c r="V1456" s="11" t="str">
        <f>VLOOKUP(E1456,Store_Dim!$A:$E,3,FALSE())</f>
        <v>South</v>
      </c>
      <c r="W1456" s="11" t="str">
        <f>VLOOKUP(C1456,Customer_Dim!$A:$N,13,FALSE())</f>
        <v>Platinum</v>
      </c>
      <c r="X1456" s="11" t="str">
        <f t="shared" si="160"/>
        <v>High</v>
      </c>
    </row>
    <row r="1457" spans="1:24" ht="15.75" customHeight="1">
      <c r="A1457" s="4" t="s">
        <v>3453</v>
      </c>
      <c r="B1457" s="9">
        <v>45656</v>
      </c>
      <c r="C1457" s="4" t="s">
        <v>1180</v>
      </c>
      <c r="D1457" s="4" t="s">
        <v>1599</v>
      </c>
      <c r="E1457" s="4" t="s">
        <v>1944</v>
      </c>
      <c r="F1457" s="4">
        <v>1</v>
      </c>
      <c r="G1457" s="4">
        <v>191.6</v>
      </c>
      <c r="H1457" s="4">
        <v>0.27</v>
      </c>
      <c r="I1457" s="4" t="s">
        <v>1998</v>
      </c>
      <c r="J1457" s="10">
        <v>139.86799999999999</v>
      </c>
      <c r="K1457" s="4" t="str">
        <f t="shared" si="154"/>
        <v>30-12-2024</v>
      </c>
      <c r="L1457" s="4" t="str">
        <f>TEXT(Sales_Fact!$B1457,"mmm")</f>
        <v>Dec</v>
      </c>
      <c r="M1457" s="4">
        <f t="shared" si="155"/>
        <v>1</v>
      </c>
      <c r="N1457" s="10">
        <f t="shared" si="156"/>
        <v>191.6</v>
      </c>
      <c r="O1457" s="10">
        <f t="shared" si="157"/>
        <v>139.86799999999999</v>
      </c>
      <c r="P1457" s="10">
        <f t="shared" si="158"/>
        <v>191.6</v>
      </c>
      <c r="Q1457" s="3">
        <f t="shared" si="159"/>
        <v>0.27</v>
      </c>
      <c r="R1457" s="4" t="str">
        <f>IF(Sales_Fact!$O1457&gt;1000,"High","Low")</f>
        <v>Low</v>
      </c>
      <c r="S1457" s="4" t="str">
        <f>VLOOKUP(C1457,Customer_Dim!$A:$N,9,FALSE())</f>
        <v>Miranda King</v>
      </c>
      <c r="T1457" s="4" t="str">
        <f>VLOOKUP(D1457,Product_Dim!$A:$M,3,FALSE())</f>
        <v>Clothing</v>
      </c>
      <c r="U1457" s="11" t="str">
        <f>VLOOKUP(D1457,Product_Dim!$A:$M,2,FALSE())</f>
        <v>Men's Leather Belt</v>
      </c>
      <c r="V1457" s="11" t="str">
        <f>VLOOKUP(E1457,Store_Dim!$A:$E,3,FALSE())</f>
        <v>South</v>
      </c>
      <c r="W1457" s="11" t="str">
        <f>VLOOKUP(C1457,Customer_Dim!$A:$N,13,FALSE())</f>
        <v>Platinum</v>
      </c>
      <c r="X1457" s="11" t="str">
        <f t="shared" si="160"/>
        <v>Low</v>
      </c>
    </row>
    <row r="1458" spans="1:24" ht="15.75" customHeight="1">
      <c r="A1458" s="4" t="s">
        <v>3454</v>
      </c>
      <c r="B1458" s="9">
        <v>45762</v>
      </c>
      <c r="C1458" s="4" t="s">
        <v>1009</v>
      </c>
      <c r="D1458" s="4" t="s">
        <v>1840</v>
      </c>
      <c r="E1458" s="4" t="s">
        <v>1952</v>
      </c>
      <c r="F1458" s="4">
        <v>2</v>
      </c>
      <c r="G1458" s="4">
        <v>616.97</v>
      </c>
      <c r="H1458" s="4">
        <v>0.22</v>
      </c>
      <c r="I1458" s="4" t="s">
        <v>1996</v>
      </c>
      <c r="J1458" s="10">
        <v>962.47320000000002</v>
      </c>
      <c r="K1458" s="4" t="str">
        <f t="shared" si="154"/>
        <v>15-04-2025</v>
      </c>
      <c r="L1458" s="4" t="str">
        <f>TEXT(Sales_Fact!$B1458,"mmm")</f>
        <v>Apr</v>
      </c>
      <c r="M1458" s="4">
        <f t="shared" si="155"/>
        <v>2</v>
      </c>
      <c r="N1458" s="10">
        <f t="shared" si="156"/>
        <v>616.97</v>
      </c>
      <c r="O1458" s="10">
        <f t="shared" si="157"/>
        <v>962.47320000000002</v>
      </c>
      <c r="P1458" s="10">
        <f t="shared" si="158"/>
        <v>1233.94</v>
      </c>
      <c r="Q1458" s="3">
        <f t="shared" si="159"/>
        <v>0.22000000000000003</v>
      </c>
      <c r="R1458" s="4" t="str">
        <f>IF(Sales_Fact!$O1458&gt;1000,"High","Low")</f>
        <v>Low</v>
      </c>
      <c r="S1458" s="4" t="str">
        <f>VLOOKUP(C1458,Customer_Dim!$A:$N,9,FALSE())</f>
        <v>Kevin Larson</v>
      </c>
      <c r="T1458" s="4" t="str">
        <f>VLOOKUP(D1458,Product_Dim!$A:$M,3,FALSE())</f>
        <v>Home</v>
      </c>
      <c r="U1458" s="11" t="str">
        <f>VLOOKUP(D1458,Product_Dim!$A:$M,2,FALSE())</f>
        <v>Essential Oil Diffuser</v>
      </c>
      <c r="V1458" s="11" t="str">
        <f>VLOOKUP(E1458,Store_Dim!$A:$E,3,FALSE())</f>
        <v>North</v>
      </c>
      <c r="W1458" s="11" t="str">
        <f>VLOOKUP(C1458,Customer_Dim!$A:$N,13,FALSE())</f>
        <v>Platinum</v>
      </c>
      <c r="X1458" s="11" t="str">
        <f t="shared" si="160"/>
        <v>Low</v>
      </c>
    </row>
    <row r="1459" spans="1:24" ht="15.75" customHeight="1">
      <c r="A1459" s="4" t="s">
        <v>3455</v>
      </c>
      <c r="B1459" s="9">
        <v>45689</v>
      </c>
      <c r="C1459" s="4" t="s">
        <v>505</v>
      </c>
      <c r="D1459" s="4" t="s">
        <v>1813</v>
      </c>
      <c r="E1459" s="4" t="s">
        <v>1937</v>
      </c>
      <c r="F1459" s="4">
        <v>3</v>
      </c>
      <c r="G1459" s="4">
        <v>76.569999999999993</v>
      </c>
      <c r="H1459" s="4">
        <v>0.26</v>
      </c>
      <c r="I1459" s="4" t="s">
        <v>1996</v>
      </c>
      <c r="J1459" s="10">
        <v>169.9854</v>
      </c>
      <c r="K1459" s="4" t="str">
        <f t="shared" si="154"/>
        <v>01-02-2025</v>
      </c>
      <c r="L1459" s="4" t="str">
        <f>TEXT(Sales_Fact!$B1459,"mmm")</f>
        <v>Feb</v>
      </c>
      <c r="M1459" s="4">
        <f t="shared" si="155"/>
        <v>3</v>
      </c>
      <c r="N1459" s="10">
        <f t="shared" si="156"/>
        <v>76.569999999999993</v>
      </c>
      <c r="O1459" s="10">
        <f t="shared" si="157"/>
        <v>169.98539999999997</v>
      </c>
      <c r="P1459" s="10">
        <f t="shared" si="158"/>
        <v>229.70999999999998</v>
      </c>
      <c r="Q1459" s="3">
        <f t="shared" si="159"/>
        <v>0.26000000000000006</v>
      </c>
      <c r="R1459" s="4" t="str">
        <f>IF(Sales_Fact!$O1459&gt;1000,"High","Low")</f>
        <v>Low</v>
      </c>
      <c r="S1459" s="4" t="str">
        <f>VLOOKUP(C1459,Customer_Dim!$A:$N,9,FALSE())</f>
        <v>Maria Ramirez</v>
      </c>
      <c r="T1459" s="4" t="str">
        <f>VLOOKUP(D1459,Product_Dim!$A:$M,3,FALSE())</f>
        <v>Clothing</v>
      </c>
      <c r="U1459" s="11" t="str">
        <f>VLOOKUP(D1459,Product_Dim!$A:$M,2,FALSE())</f>
        <v>Men's Sports Shorts</v>
      </c>
      <c r="V1459" s="11" t="str">
        <f>VLOOKUP(E1459,Store_Dim!$A:$E,3,FALSE())</f>
        <v>South</v>
      </c>
      <c r="W1459" s="11" t="str">
        <f>VLOOKUP(C1459,Customer_Dim!$A:$N,13,FALSE())</f>
        <v>Bronze</v>
      </c>
      <c r="X1459" s="11" t="str">
        <f t="shared" si="160"/>
        <v>Low</v>
      </c>
    </row>
    <row r="1460" spans="1:24" ht="15.75" customHeight="1">
      <c r="A1460" s="4" t="s">
        <v>3456</v>
      </c>
      <c r="B1460" s="9">
        <v>45580</v>
      </c>
      <c r="C1460" s="4" t="s">
        <v>583</v>
      </c>
      <c r="D1460" s="4" t="s">
        <v>1684</v>
      </c>
      <c r="E1460" s="4" t="s">
        <v>1947</v>
      </c>
      <c r="F1460" s="4">
        <v>3</v>
      </c>
      <c r="G1460" s="4">
        <v>125.68</v>
      </c>
      <c r="H1460" s="4">
        <v>0.26</v>
      </c>
      <c r="I1460" s="4" t="s">
        <v>2004</v>
      </c>
      <c r="J1460" s="10">
        <v>279.00959999999998</v>
      </c>
      <c r="K1460" s="4" t="str">
        <f t="shared" si="154"/>
        <v>15-10-2024</v>
      </c>
      <c r="L1460" s="4" t="str">
        <f>TEXT(Sales_Fact!$B1460,"mmm")</f>
        <v>Oct</v>
      </c>
      <c r="M1460" s="4">
        <f t="shared" si="155"/>
        <v>3</v>
      </c>
      <c r="N1460" s="10">
        <f t="shared" si="156"/>
        <v>125.68</v>
      </c>
      <c r="O1460" s="10">
        <f t="shared" si="157"/>
        <v>279.00960000000003</v>
      </c>
      <c r="P1460" s="10">
        <f t="shared" si="158"/>
        <v>377.04</v>
      </c>
      <c r="Q1460" s="3">
        <f t="shared" si="159"/>
        <v>0.25999999999999995</v>
      </c>
      <c r="R1460" s="4" t="str">
        <f>IF(Sales_Fact!$O1460&gt;1000,"High","Low")</f>
        <v>Low</v>
      </c>
      <c r="S1460" s="4" t="str">
        <f>VLOOKUP(C1460,Customer_Dim!$A:$N,9,FALSE())</f>
        <v>Daniel Contreras</v>
      </c>
      <c r="T1460" s="4" t="str">
        <f>VLOOKUP(D1460,Product_Dim!$A:$M,3,FALSE())</f>
        <v>Sports</v>
      </c>
      <c r="U1460" s="11" t="str">
        <f>VLOOKUP(D1460,Product_Dim!$A:$M,2,FALSE())</f>
        <v>Sports Stopwatch Timer</v>
      </c>
      <c r="V1460" s="11" t="str">
        <f>VLOOKUP(E1460,Store_Dim!$A:$E,3,FALSE())</f>
        <v>East</v>
      </c>
      <c r="W1460" s="11" t="str">
        <f>VLOOKUP(C1460,Customer_Dim!$A:$N,13,FALSE())</f>
        <v>Platinum</v>
      </c>
      <c r="X1460" s="11" t="str">
        <f t="shared" si="160"/>
        <v>Low</v>
      </c>
    </row>
    <row r="1461" spans="1:24" ht="15.75" customHeight="1">
      <c r="A1461" s="4" t="s">
        <v>3457</v>
      </c>
      <c r="B1461" s="9">
        <v>45676</v>
      </c>
      <c r="C1461" s="4" t="s">
        <v>1132</v>
      </c>
      <c r="D1461" s="4" t="s">
        <v>1732</v>
      </c>
      <c r="E1461" s="4" t="s">
        <v>1927</v>
      </c>
      <c r="F1461" s="4">
        <v>3</v>
      </c>
      <c r="G1461" s="4">
        <v>307.48</v>
      </c>
      <c r="H1461" s="4">
        <v>0.24</v>
      </c>
      <c r="I1461" s="4" t="s">
        <v>1996</v>
      </c>
      <c r="J1461" s="10">
        <v>701.05439999999999</v>
      </c>
      <c r="K1461" s="4" t="str">
        <f t="shared" si="154"/>
        <v>19-01-2025</v>
      </c>
      <c r="L1461" s="4" t="str">
        <f>TEXT(Sales_Fact!$B1461,"mmm")</f>
        <v>Jan</v>
      </c>
      <c r="M1461" s="4">
        <f t="shared" si="155"/>
        <v>3</v>
      </c>
      <c r="N1461" s="10">
        <f t="shared" si="156"/>
        <v>307.48</v>
      </c>
      <c r="O1461" s="10">
        <f t="shared" si="157"/>
        <v>701.0544000000001</v>
      </c>
      <c r="P1461" s="10">
        <f t="shared" si="158"/>
        <v>922.44</v>
      </c>
      <c r="Q1461" s="3">
        <f t="shared" si="159"/>
        <v>0.23999999999999994</v>
      </c>
      <c r="R1461" s="4" t="str">
        <f>IF(Sales_Fact!$O1461&gt;1000,"High","Low")</f>
        <v>Low</v>
      </c>
      <c r="S1461" s="4" t="str">
        <f>VLOOKUP(C1461,Customer_Dim!$A:$N,9,FALSE())</f>
        <v>Michael Greene</v>
      </c>
      <c r="T1461" s="4" t="str">
        <f>VLOOKUP(D1461,Product_Dim!$A:$M,3,FALSE())</f>
        <v>Electronics</v>
      </c>
      <c r="U1461" s="11" t="str">
        <f>VLOOKUP(D1461,Product_Dim!$A:$M,2,FALSE())</f>
        <v>USB External Hard Drive</v>
      </c>
      <c r="V1461" s="11" t="str">
        <f>VLOOKUP(E1461,Store_Dim!$A:$E,3,FALSE())</f>
        <v>South</v>
      </c>
      <c r="W1461" s="11" t="str">
        <f>VLOOKUP(C1461,Customer_Dim!$A:$N,13,FALSE())</f>
        <v>Silver</v>
      </c>
      <c r="X1461" s="11" t="str">
        <f t="shared" si="160"/>
        <v>Low</v>
      </c>
    </row>
    <row r="1462" spans="1:24" ht="15.75" customHeight="1">
      <c r="A1462" s="4" t="s">
        <v>3458</v>
      </c>
      <c r="B1462" s="9">
        <v>45495</v>
      </c>
      <c r="C1462" s="4" t="s">
        <v>970</v>
      </c>
      <c r="D1462" s="4" t="s">
        <v>1588</v>
      </c>
      <c r="E1462" s="4" t="s">
        <v>1971</v>
      </c>
      <c r="F1462" s="4">
        <v>1</v>
      </c>
      <c r="G1462" s="4">
        <v>505.23</v>
      </c>
      <c r="H1462" s="4">
        <v>0.11</v>
      </c>
      <c r="I1462" s="4" t="s">
        <v>1996</v>
      </c>
      <c r="J1462" s="10">
        <v>449.65469999999999</v>
      </c>
      <c r="K1462" s="4" t="str">
        <f t="shared" si="154"/>
        <v>22-07-2024</v>
      </c>
      <c r="L1462" s="4" t="str">
        <f>TEXT(Sales_Fact!$B1462,"mmm")</f>
        <v>Jul</v>
      </c>
      <c r="M1462" s="4">
        <f t="shared" si="155"/>
        <v>1</v>
      </c>
      <c r="N1462" s="10">
        <f t="shared" si="156"/>
        <v>505.23</v>
      </c>
      <c r="O1462" s="10">
        <f t="shared" si="157"/>
        <v>449.65470000000005</v>
      </c>
      <c r="P1462" s="10">
        <f t="shared" si="158"/>
        <v>505.23</v>
      </c>
      <c r="Q1462" s="3">
        <f t="shared" si="159"/>
        <v>0.10999999999999993</v>
      </c>
      <c r="R1462" s="4" t="str">
        <f>IF(Sales_Fact!$O1462&gt;1000,"High","Low")</f>
        <v>Low</v>
      </c>
      <c r="S1462" s="4" t="str">
        <f>VLOOKUP(C1462,Customer_Dim!$A:$N,9,FALSE())</f>
        <v>Tracy Stephens</v>
      </c>
      <c r="T1462" s="4" t="str">
        <f>VLOOKUP(D1462,Product_Dim!$A:$M,3,FALSE())</f>
        <v>Clothing</v>
      </c>
      <c r="U1462" s="11" t="str">
        <f>VLOOKUP(D1462,Product_Dim!$A:$M,2,FALSE())</f>
        <v>Women's Casual Hoodie</v>
      </c>
      <c r="V1462" s="11" t="str">
        <f>VLOOKUP(E1462,Store_Dim!$A:$E,3,FALSE())</f>
        <v>East</v>
      </c>
      <c r="W1462" s="11" t="str">
        <f>VLOOKUP(C1462,Customer_Dim!$A:$N,13,FALSE())</f>
        <v>Platinum</v>
      </c>
      <c r="X1462" s="11" t="str">
        <f t="shared" si="160"/>
        <v>Low</v>
      </c>
    </row>
    <row r="1463" spans="1:24" ht="15.75" customHeight="1">
      <c r="A1463" s="4" t="s">
        <v>3459</v>
      </c>
      <c r="B1463" s="9">
        <v>45735</v>
      </c>
      <c r="C1463" s="4" t="s">
        <v>1171</v>
      </c>
      <c r="D1463" s="4" t="s">
        <v>1738</v>
      </c>
      <c r="E1463" s="4" t="s">
        <v>1962</v>
      </c>
      <c r="F1463" s="4">
        <v>1</v>
      </c>
      <c r="G1463" s="4">
        <v>853.12</v>
      </c>
      <c r="H1463" s="4">
        <v>0.19</v>
      </c>
      <c r="I1463" s="4" t="s">
        <v>2004</v>
      </c>
      <c r="J1463" s="10">
        <v>691.02719999999999</v>
      </c>
      <c r="K1463" s="4" t="str">
        <f t="shared" si="154"/>
        <v>19-03-2025</v>
      </c>
      <c r="L1463" s="4" t="str">
        <f>TEXT(Sales_Fact!$B1463,"mmm")</f>
        <v>Mar</v>
      </c>
      <c r="M1463" s="4">
        <f t="shared" si="155"/>
        <v>1</v>
      </c>
      <c r="N1463" s="10">
        <f t="shared" si="156"/>
        <v>853.12</v>
      </c>
      <c r="O1463" s="10">
        <f t="shared" si="157"/>
        <v>691.02719999999999</v>
      </c>
      <c r="P1463" s="10">
        <f t="shared" si="158"/>
        <v>853.12</v>
      </c>
      <c r="Q1463" s="3">
        <f t="shared" si="159"/>
        <v>0.19</v>
      </c>
      <c r="R1463" s="4" t="str">
        <f>IF(Sales_Fact!$O1463&gt;1000,"High","Low")</f>
        <v>Low</v>
      </c>
      <c r="S1463" s="4" t="str">
        <f>VLOOKUP(C1463,Customer_Dim!$A:$N,9,FALSE())</f>
        <v>Brandon Mcbride</v>
      </c>
      <c r="T1463" s="4" t="str">
        <f>VLOOKUP(D1463,Product_Dim!$A:$M,3,FALSE())</f>
        <v>Sports</v>
      </c>
      <c r="U1463" s="11" t="str">
        <f>VLOOKUP(D1463,Product_Dim!$A:$M,2,FALSE())</f>
        <v>High-Grip Football</v>
      </c>
      <c r="V1463" s="11" t="str">
        <f>VLOOKUP(E1463,Store_Dim!$A:$E,3,FALSE())</f>
        <v>West</v>
      </c>
      <c r="W1463" s="11" t="str">
        <f>VLOOKUP(C1463,Customer_Dim!$A:$N,13,FALSE())</f>
        <v>Platinum</v>
      </c>
      <c r="X1463" s="11" t="str">
        <f t="shared" si="160"/>
        <v>Low</v>
      </c>
    </row>
    <row r="1464" spans="1:24" ht="15.75" customHeight="1">
      <c r="A1464" s="4" t="s">
        <v>3460</v>
      </c>
      <c r="B1464" s="9">
        <v>45312</v>
      </c>
      <c r="C1464" s="4" t="s">
        <v>466</v>
      </c>
      <c r="D1464" s="4" t="s">
        <v>1578</v>
      </c>
      <c r="E1464" s="4" t="s">
        <v>1937</v>
      </c>
      <c r="F1464" s="4">
        <v>4</v>
      </c>
      <c r="G1464" s="4">
        <v>191.65</v>
      </c>
      <c r="H1464" s="4">
        <v>0.19</v>
      </c>
      <c r="I1464" s="4" t="s">
        <v>1998</v>
      </c>
      <c r="J1464" s="10">
        <v>620.94600000000003</v>
      </c>
      <c r="K1464" s="4" t="str">
        <f t="shared" si="154"/>
        <v>21-01-2024</v>
      </c>
      <c r="L1464" s="4" t="str">
        <f>TEXT(Sales_Fact!$B1464,"mmm")</f>
        <v>Jan</v>
      </c>
      <c r="M1464" s="4">
        <f t="shared" si="155"/>
        <v>4</v>
      </c>
      <c r="N1464" s="10">
        <f t="shared" si="156"/>
        <v>191.65</v>
      </c>
      <c r="O1464" s="10">
        <f t="shared" si="157"/>
        <v>620.94600000000003</v>
      </c>
      <c r="P1464" s="10">
        <f t="shared" si="158"/>
        <v>766.6</v>
      </c>
      <c r="Q1464" s="3">
        <f t="shared" si="159"/>
        <v>0.19</v>
      </c>
      <c r="R1464" s="4" t="str">
        <f>IF(Sales_Fact!$O1464&gt;1000,"High","Low")</f>
        <v>Low</v>
      </c>
      <c r="S1464" s="4" t="str">
        <f>VLOOKUP(C1464,Customer_Dim!$A:$N,9,FALSE())</f>
        <v>Jessica Mitchell</v>
      </c>
      <c r="T1464" s="4" t="str">
        <f>VLOOKUP(D1464,Product_Dim!$A:$M,3,FALSE())</f>
        <v>Electronics</v>
      </c>
      <c r="U1464" s="11" t="str">
        <f>VLOOKUP(D1464,Product_Dim!$A:$M,2,FALSE())</f>
        <v>Brother Laser Printer</v>
      </c>
      <c r="V1464" s="11" t="str">
        <f>VLOOKUP(E1464,Store_Dim!$A:$E,3,FALSE())</f>
        <v>South</v>
      </c>
      <c r="W1464" s="11" t="str">
        <f>VLOOKUP(C1464,Customer_Dim!$A:$N,13,FALSE())</f>
        <v>Silver</v>
      </c>
      <c r="X1464" s="11" t="str">
        <f t="shared" si="160"/>
        <v>High</v>
      </c>
    </row>
    <row r="1465" spans="1:24" ht="15.75" customHeight="1">
      <c r="A1465" s="4" t="s">
        <v>3461</v>
      </c>
      <c r="B1465" s="9">
        <v>45286</v>
      </c>
      <c r="C1465" s="4" t="s">
        <v>559</v>
      </c>
      <c r="D1465" s="4" t="s">
        <v>1744</v>
      </c>
      <c r="E1465" s="4" t="s">
        <v>1924</v>
      </c>
      <c r="F1465" s="4">
        <v>1</v>
      </c>
      <c r="G1465" s="4">
        <v>169.69</v>
      </c>
      <c r="H1465" s="4">
        <v>0.22</v>
      </c>
      <c r="I1465" s="4" t="s">
        <v>1996</v>
      </c>
      <c r="J1465" s="10">
        <v>132.35820000000001</v>
      </c>
      <c r="K1465" s="4" t="str">
        <f t="shared" si="154"/>
        <v>26-12-2023</v>
      </c>
      <c r="L1465" s="4" t="str">
        <f>TEXT(Sales_Fact!$B1465,"mmm")</f>
        <v>Dec</v>
      </c>
      <c r="M1465" s="4">
        <f t="shared" si="155"/>
        <v>1</v>
      </c>
      <c r="N1465" s="10">
        <f t="shared" si="156"/>
        <v>169.69</v>
      </c>
      <c r="O1465" s="10">
        <f t="shared" si="157"/>
        <v>132.35820000000001</v>
      </c>
      <c r="P1465" s="10">
        <f t="shared" si="158"/>
        <v>169.69</v>
      </c>
      <c r="Q1465" s="3">
        <f t="shared" si="159"/>
        <v>0.21999999999999992</v>
      </c>
      <c r="R1465" s="4" t="str">
        <f>IF(Sales_Fact!$O1465&gt;1000,"High","Low")</f>
        <v>Low</v>
      </c>
      <c r="S1465" s="4" t="str">
        <f>VLOOKUP(C1465,Customer_Dim!$A:$N,9,FALSE())</f>
        <v>John Lawson</v>
      </c>
      <c r="T1465" s="4" t="str">
        <f>VLOOKUP(D1465,Product_Dim!$A:$M,3,FALSE())</f>
        <v>Beauty</v>
      </c>
      <c r="U1465" s="11" t="str">
        <f>VLOOKUP(D1465,Product_Dim!$A:$M,2,FALSE())</f>
        <v>Makeup Brush Set</v>
      </c>
      <c r="V1465" s="11" t="str">
        <f>VLOOKUP(E1465,Store_Dim!$A:$E,3,FALSE())</f>
        <v>North</v>
      </c>
      <c r="W1465" s="11" t="str">
        <f>VLOOKUP(C1465,Customer_Dim!$A:$N,13,FALSE())</f>
        <v>Platinum</v>
      </c>
      <c r="X1465" s="11" t="str">
        <f t="shared" si="160"/>
        <v>Low</v>
      </c>
    </row>
    <row r="1466" spans="1:24" ht="15.75" customHeight="1">
      <c r="A1466" s="4" t="s">
        <v>3462</v>
      </c>
      <c r="B1466" s="9">
        <v>45372</v>
      </c>
      <c r="C1466" s="4" t="s">
        <v>604</v>
      </c>
      <c r="D1466" s="4" t="s">
        <v>1791</v>
      </c>
      <c r="E1466" s="4" t="s">
        <v>1957</v>
      </c>
      <c r="F1466" s="4">
        <v>1</v>
      </c>
      <c r="G1466" s="4">
        <v>145.43</v>
      </c>
      <c r="H1466" s="4">
        <v>0.08</v>
      </c>
      <c r="I1466" s="4" t="s">
        <v>1996</v>
      </c>
      <c r="J1466" s="10">
        <v>133.79560000000001</v>
      </c>
      <c r="K1466" s="4" t="str">
        <f t="shared" si="154"/>
        <v>21-03-2024</v>
      </c>
      <c r="L1466" s="4" t="str">
        <f>TEXT(Sales_Fact!$B1466,"mmm")</f>
        <v>Mar</v>
      </c>
      <c r="M1466" s="4">
        <f t="shared" si="155"/>
        <v>1</v>
      </c>
      <c r="N1466" s="10">
        <f t="shared" si="156"/>
        <v>145.43</v>
      </c>
      <c r="O1466" s="10">
        <f t="shared" si="157"/>
        <v>133.79560000000001</v>
      </c>
      <c r="P1466" s="10">
        <f t="shared" si="158"/>
        <v>145.43</v>
      </c>
      <c r="Q1466" s="3">
        <f t="shared" si="159"/>
        <v>7.9999999999999988E-2</v>
      </c>
      <c r="R1466" s="4" t="str">
        <f>IF(Sales_Fact!$O1466&gt;1000,"High","Low")</f>
        <v>Low</v>
      </c>
      <c r="S1466" s="4" t="str">
        <f>VLOOKUP(C1466,Customer_Dim!$A:$N,9,FALSE())</f>
        <v>Michelle Rogers</v>
      </c>
      <c r="T1466" s="4" t="str">
        <f>VLOOKUP(D1466,Product_Dim!$A:$M,3,FALSE())</f>
        <v>Electronics</v>
      </c>
      <c r="U1466" s="11" t="str">
        <f>VLOOKUP(D1466,Product_Dim!$A:$M,2,FALSE())</f>
        <v>Laptop Cooling Pad</v>
      </c>
      <c r="V1466" s="11" t="str">
        <f>VLOOKUP(E1466,Store_Dim!$A:$E,3,FALSE())</f>
        <v>South</v>
      </c>
      <c r="W1466" s="11" t="str">
        <f>VLOOKUP(C1466,Customer_Dim!$A:$N,13,FALSE())</f>
        <v>Platinum</v>
      </c>
      <c r="X1466" s="11" t="str">
        <f t="shared" si="160"/>
        <v>Low</v>
      </c>
    </row>
    <row r="1467" spans="1:24" ht="15.75" customHeight="1">
      <c r="A1467" s="4" t="s">
        <v>3463</v>
      </c>
      <c r="B1467" s="9">
        <v>45633</v>
      </c>
      <c r="C1467" s="4" t="s">
        <v>325</v>
      </c>
      <c r="D1467" s="4" t="s">
        <v>1885</v>
      </c>
      <c r="E1467" s="4" t="s">
        <v>1952</v>
      </c>
      <c r="F1467" s="4">
        <v>4</v>
      </c>
      <c r="G1467" s="4">
        <v>828.35</v>
      </c>
      <c r="H1467" s="4">
        <v>0.17</v>
      </c>
      <c r="I1467" s="4" t="s">
        <v>1996</v>
      </c>
      <c r="J1467" s="10">
        <v>2750.1219999999998</v>
      </c>
      <c r="K1467" s="4" t="str">
        <f t="shared" si="154"/>
        <v>07-12-2024</v>
      </c>
      <c r="L1467" s="4" t="str">
        <f>TEXT(Sales_Fact!$B1467,"mmm")</f>
        <v>Dec</v>
      </c>
      <c r="M1467" s="4">
        <f t="shared" si="155"/>
        <v>4</v>
      </c>
      <c r="N1467" s="10">
        <f t="shared" si="156"/>
        <v>828.35</v>
      </c>
      <c r="O1467" s="10">
        <f t="shared" si="157"/>
        <v>2750.1219999999998</v>
      </c>
      <c r="P1467" s="10">
        <f t="shared" si="158"/>
        <v>3313.4</v>
      </c>
      <c r="Q1467" s="3">
        <f t="shared" si="159"/>
        <v>0.17000000000000007</v>
      </c>
      <c r="R1467" s="4" t="str">
        <f>IF(Sales_Fact!$O1467&gt;1000,"High","Low")</f>
        <v>High</v>
      </c>
      <c r="S1467" s="4" t="str">
        <f>VLOOKUP(C1467,Customer_Dim!$A:$N,9,FALSE())</f>
        <v>Christy Hoffman</v>
      </c>
      <c r="T1467" s="4" t="str">
        <f>VLOOKUP(D1467,Product_Dim!$A:$M,3,FALSE())</f>
        <v>Electronics</v>
      </c>
      <c r="U1467" s="11" t="str">
        <f>VLOOKUP(D1467,Product_Dim!$A:$M,2,FALSE())</f>
        <v>USB-C Laptop Charger</v>
      </c>
      <c r="V1467" s="11" t="str">
        <f>VLOOKUP(E1467,Store_Dim!$A:$E,3,FALSE())</f>
        <v>North</v>
      </c>
      <c r="W1467" s="11" t="str">
        <f>VLOOKUP(C1467,Customer_Dim!$A:$N,13,FALSE())</f>
        <v>Platinum</v>
      </c>
      <c r="X1467" s="11" t="str">
        <f t="shared" si="160"/>
        <v>High</v>
      </c>
    </row>
    <row r="1468" spans="1:24" ht="15.75" customHeight="1">
      <c r="A1468" s="4" t="s">
        <v>3464</v>
      </c>
      <c r="B1468" s="9">
        <v>45598</v>
      </c>
      <c r="C1468" s="4" t="s">
        <v>1162</v>
      </c>
      <c r="D1468" s="4" t="s">
        <v>1891</v>
      </c>
      <c r="E1468" s="4" t="s">
        <v>1937</v>
      </c>
      <c r="F1468" s="4">
        <v>3</v>
      </c>
      <c r="G1468" s="4">
        <v>268.76</v>
      </c>
      <c r="H1468" s="4">
        <v>0.01</v>
      </c>
      <c r="I1468" s="4" t="s">
        <v>1998</v>
      </c>
      <c r="J1468" s="10">
        <v>798.21720000000005</v>
      </c>
      <c r="K1468" s="4" t="str">
        <f t="shared" si="154"/>
        <v>02-11-2024</v>
      </c>
      <c r="L1468" s="4" t="str">
        <f>TEXT(Sales_Fact!$B1468,"mmm")</f>
        <v>Nov</v>
      </c>
      <c r="M1468" s="4">
        <f t="shared" si="155"/>
        <v>3</v>
      </c>
      <c r="N1468" s="10">
        <f t="shared" si="156"/>
        <v>268.76</v>
      </c>
      <c r="O1468" s="10">
        <f t="shared" si="157"/>
        <v>798.21719999999993</v>
      </c>
      <c r="P1468" s="10">
        <f t="shared" si="158"/>
        <v>806.28</v>
      </c>
      <c r="Q1468" s="3">
        <f t="shared" si="159"/>
        <v>1.0000000000000049E-2</v>
      </c>
      <c r="R1468" s="4" t="str">
        <f>IF(Sales_Fact!$O1468&gt;1000,"High","Low")</f>
        <v>Low</v>
      </c>
      <c r="S1468" s="4" t="str">
        <f>VLOOKUP(C1468,Customer_Dim!$A:$N,9,FALSE())</f>
        <v>Joshua Smith Dvm</v>
      </c>
      <c r="T1468" s="4" t="str">
        <f>VLOOKUP(D1468,Product_Dim!$A:$M,3,FALSE())</f>
        <v>Sports</v>
      </c>
      <c r="U1468" s="11" t="str">
        <f>VLOOKUP(D1468,Product_Dim!$A:$M,2,FALSE())</f>
        <v>Sports Stopwatch Basic</v>
      </c>
      <c r="V1468" s="11" t="str">
        <f>VLOOKUP(E1468,Store_Dim!$A:$E,3,FALSE())</f>
        <v>South</v>
      </c>
      <c r="W1468" s="11" t="str">
        <f>VLOOKUP(C1468,Customer_Dim!$A:$N,13,FALSE())</f>
        <v>Gold</v>
      </c>
      <c r="X1468" s="11" t="str">
        <f t="shared" si="160"/>
        <v>Low</v>
      </c>
    </row>
    <row r="1469" spans="1:24" ht="15.75" customHeight="1">
      <c r="A1469" s="4" t="s">
        <v>3465</v>
      </c>
      <c r="B1469" s="9">
        <v>45495</v>
      </c>
      <c r="C1469" s="4" t="s">
        <v>777</v>
      </c>
      <c r="D1469" s="4" t="s">
        <v>1870</v>
      </c>
      <c r="E1469" s="4" t="s">
        <v>1910</v>
      </c>
      <c r="F1469" s="4">
        <v>4</v>
      </c>
      <c r="G1469" s="4">
        <v>370.09</v>
      </c>
      <c r="H1469" s="4">
        <v>0.22</v>
      </c>
      <c r="I1469" s="4" t="s">
        <v>2004</v>
      </c>
      <c r="J1469" s="10">
        <v>1154.6808000000001</v>
      </c>
      <c r="K1469" s="4" t="str">
        <f t="shared" si="154"/>
        <v>22-07-2024</v>
      </c>
      <c r="L1469" s="4" t="str">
        <f>TEXT(Sales_Fact!$B1469,"mmm")</f>
        <v>Jul</v>
      </c>
      <c r="M1469" s="4">
        <f t="shared" si="155"/>
        <v>4</v>
      </c>
      <c r="N1469" s="10">
        <f t="shared" si="156"/>
        <v>370.09</v>
      </c>
      <c r="O1469" s="10">
        <f t="shared" si="157"/>
        <v>1154.6807999999999</v>
      </c>
      <c r="P1469" s="10">
        <f t="shared" si="158"/>
        <v>1480.36</v>
      </c>
      <c r="Q1469" s="3">
        <f t="shared" si="159"/>
        <v>0.22000000000000003</v>
      </c>
      <c r="R1469" s="4" t="str">
        <f>IF(Sales_Fact!$O1469&gt;1000,"High","Low")</f>
        <v>High</v>
      </c>
      <c r="S1469" s="4" t="str">
        <f>VLOOKUP(C1469,Customer_Dim!$A:$N,9,FALSE())</f>
        <v>Michelle Gonzalez</v>
      </c>
      <c r="T1469" s="4" t="str">
        <f>VLOOKUP(D1469,Product_Dim!$A:$M,3,FALSE())</f>
        <v>Sports</v>
      </c>
      <c r="U1469" s="11" t="str">
        <f>VLOOKUP(D1469,Product_Dim!$A:$M,2,FALSE())</f>
        <v>Sports Wrist Sweatbands</v>
      </c>
      <c r="V1469" s="11" t="str">
        <f>VLOOKUP(E1469,Store_Dim!$A:$E,3,FALSE())</f>
        <v>East</v>
      </c>
      <c r="W1469" s="11" t="str">
        <f>VLOOKUP(C1469,Customer_Dim!$A:$N,13,FALSE())</f>
        <v>Silver</v>
      </c>
      <c r="X1469" s="11" t="str">
        <f t="shared" si="160"/>
        <v>High</v>
      </c>
    </row>
    <row r="1470" spans="1:24" ht="15.75" customHeight="1">
      <c r="A1470" s="4" t="s">
        <v>3466</v>
      </c>
      <c r="B1470" s="9">
        <v>45894</v>
      </c>
      <c r="C1470" s="4" t="s">
        <v>523</v>
      </c>
      <c r="D1470" s="4" t="s">
        <v>1873</v>
      </c>
      <c r="E1470" s="4" t="s">
        <v>1934</v>
      </c>
      <c r="F1470" s="4">
        <v>3</v>
      </c>
      <c r="G1470" s="4"/>
      <c r="H1470" s="4"/>
      <c r="I1470" s="4" t="s">
        <v>1996</v>
      </c>
      <c r="J1470" s="10">
        <v>486.06330000000003</v>
      </c>
      <c r="K1470" s="4" t="str">
        <f t="shared" si="154"/>
        <v>25-08-2025</v>
      </c>
      <c r="L1470" s="4" t="str">
        <f>TEXT(Sales_Fact!$B1470,"mmm")</f>
        <v>Aug</v>
      </c>
      <c r="M1470" s="4">
        <f t="shared" si="155"/>
        <v>3</v>
      </c>
      <c r="N1470" s="10">
        <f t="shared" si="156"/>
        <v>513.99</v>
      </c>
      <c r="O1470" s="10">
        <f t="shared" si="157"/>
        <v>1541.97</v>
      </c>
      <c r="P1470" s="10">
        <f t="shared" si="158"/>
        <v>1541.97</v>
      </c>
      <c r="Q1470" s="3">
        <f t="shared" si="159"/>
        <v>0</v>
      </c>
      <c r="R1470" s="4" t="str">
        <f>IF(Sales_Fact!$O1470&gt;1000,"High","Low")</f>
        <v>High</v>
      </c>
      <c r="S1470" s="4" t="str">
        <f>VLOOKUP(C1470,Customer_Dim!$A:$N,9,FALSE())</f>
        <v>Theresa Campbell</v>
      </c>
      <c r="T1470" s="4" t="str">
        <f>VLOOKUP(D1470,Product_Dim!$A:$M,3,FALSE())</f>
        <v>Beauty</v>
      </c>
      <c r="U1470" s="11" t="str">
        <f>VLOOKUP(D1470,Product_Dim!$A:$M,2,FALSE())</f>
        <v>Face Foundation Kit</v>
      </c>
      <c r="V1470" s="11" t="str">
        <f>VLOOKUP(E1470,Store_Dim!$A:$E,3,FALSE())</f>
        <v>East</v>
      </c>
      <c r="W1470" s="11" t="str">
        <f>VLOOKUP(C1470,Customer_Dim!$A:$N,13,FALSE())</f>
        <v>Bronze</v>
      </c>
      <c r="X1470" s="11" t="str">
        <f t="shared" si="160"/>
        <v>Low</v>
      </c>
    </row>
    <row r="1471" spans="1:24" ht="15.75" customHeight="1">
      <c r="A1471" s="4" t="s">
        <v>3467</v>
      </c>
      <c r="B1471" s="9">
        <v>45229</v>
      </c>
      <c r="C1471" s="4" t="s">
        <v>837</v>
      </c>
      <c r="D1471" s="4" t="s">
        <v>1840</v>
      </c>
      <c r="E1471" s="4" t="s">
        <v>1934</v>
      </c>
      <c r="F1471" s="4">
        <v>3</v>
      </c>
      <c r="G1471" s="4">
        <v>679.22</v>
      </c>
      <c r="H1471" s="4">
        <v>0.11</v>
      </c>
      <c r="I1471" s="4" t="s">
        <v>1998</v>
      </c>
      <c r="J1471" s="10">
        <v>1813.5174</v>
      </c>
      <c r="K1471" s="4" t="str">
        <f t="shared" si="154"/>
        <v>30-10-2023</v>
      </c>
      <c r="L1471" s="4" t="str">
        <f>TEXT(Sales_Fact!$B1471,"mmm")</f>
        <v>Oct</v>
      </c>
      <c r="M1471" s="4">
        <f t="shared" si="155"/>
        <v>3</v>
      </c>
      <c r="N1471" s="10">
        <f t="shared" si="156"/>
        <v>679.22</v>
      </c>
      <c r="O1471" s="10">
        <f t="shared" si="157"/>
        <v>1813.5174000000002</v>
      </c>
      <c r="P1471" s="10">
        <f t="shared" si="158"/>
        <v>2037.66</v>
      </c>
      <c r="Q1471" s="3">
        <f t="shared" si="159"/>
        <v>0.10999999999999995</v>
      </c>
      <c r="R1471" s="4" t="str">
        <f>IF(Sales_Fact!$O1471&gt;1000,"High","Low")</f>
        <v>High</v>
      </c>
      <c r="S1471" s="4" t="str">
        <f>VLOOKUP(C1471,Customer_Dim!$A:$N,9,FALSE())</f>
        <v>Dr. Ashley Yates Md</v>
      </c>
      <c r="T1471" s="4" t="str">
        <f>VLOOKUP(D1471,Product_Dim!$A:$M,3,FALSE())</f>
        <v>Home</v>
      </c>
      <c r="U1471" s="11" t="str">
        <f>VLOOKUP(D1471,Product_Dim!$A:$M,2,FALSE())</f>
        <v>Essential Oil Diffuser</v>
      </c>
      <c r="V1471" s="11" t="str">
        <f>VLOOKUP(E1471,Store_Dim!$A:$E,3,FALSE())</f>
        <v>East</v>
      </c>
      <c r="W1471" s="11" t="str">
        <f>VLOOKUP(C1471,Customer_Dim!$A:$N,13,FALSE())</f>
        <v>Bronze</v>
      </c>
      <c r="X1471" s="11" t="str">
        <f t="shared" si="160"/>
        <v>Low</v>
      </c>
    </row>
    <row r="1472" spans="1:24" ht="15.75" customHeight="1">
      <c r="A1472" s="4" t="s">
        <v>3468</v>
      </c>
      <c r="B1472" s="9">
        <v>45433</v>
      </c>
      <c r="C1472" s="4" t="s">
        <v>1195</v>
      </c>
      <c r="D1472" s="4" t="s">
        <v>1825</v>
      </c>
      <c r="E1472" s="4" t="s">
        <v>1910</v>
      </c>
      <c r="F1472" s="4">
        <v>3</v>
      </c>
      <c r="G1472" s="4">
        <v>780.69</v>
      </c>
      <c r="H1472" s="4">
        <v>0.1</v>
      </c>
      <c r="I1472" s="4" t="s">
        <v>2004</v>
      </c>
      <c r="J1472" s="10">
        <v>2107.8629999999998</v>
      </c>
      <c r="K1472" s="4" t="str">
        <f t="shared" si="154"/>
        <v>21-05-2024</v>
      </c>
      <c r="L1472" s="4" t="str">
        <f>TEXT(Sales_Fact!$B1472,"mmm")</f>
        <v>May</v>
      </c>
      <c r="M1472" s="4">
        <f t="shared" si="155"/>
        <v>3</v>
      </c>
      <c r="N1472" s="10">
        <f t="shared" si="156"/>
        <v>780.69</v>
      </c>
      <c r="O1472" s="10">
        <f t="shared" si="157"/>
        <v>2107.8630000000003</v>
      </c>
      <c r="P1472" s="10">
        <f t="shared" si="158"/>
        <v>2342.0700000000002</v>
      </c>
      <c r="Q1472" s="3">
        <f t="shared" si="159"/>
        <v>9.9999999999999936E-2</v>
      </c>
      <c r="R1472" s="4" t="str">
        <f>IF(Sales_Fact!$O1472&gt;1000,"High","Low")</f>
        <v>High</v>
      </c>
      <c r="S1472" s="4" t="str">
        <f>VLOOKUP(C1472,Customer_Dim!$A:$N,9,FALSE())</f>
        <v>James Orozco</v>
      </c>
      <c r="T1472" s="4" t="str">
        <f>VLOOKUP(D1472,Product_Dim!$A:$M,3,FALSE())</f>
        <v>Sports</v>
      </c>
      <c r="U1472" s="11" t="str">
        <f>VLOOKUP(D1472,Product_Dim!$A:$M,2,FALSE())</f>
        <v>Shin Guards – Adult</v>
      </c>
      <c r="V1472" s="11" t="str">
        <f>VLOOKUP(E1472,Store_Dim!$A:$E,3,FALSE())</f>
        <v>East</v>
      </c>
      <c r="W1472" s="11" t="str">
        <f>VLOOKUP(C1472,Customer_Dim!$A:$N,13,FALSE())</f>
        <v>Gold</v>
      </c>
      <c r="X1472" s="11" t="str">
        <f t="shared" si="160"/>
        <v>Low</v>
      </c>
    </row>
    <row r="1473" spans="1:24" ht="15.75" customHeight="1">
      <c r="A1473" s="4" t="s">
        <v>3469</v>
      </c>
      <c r="B1473" s="9">
        <v>45766</v>
      </c>
      <c r="C1473" s="4" t="s">
        <v>861</v>
      </c>
      <c r="D1473" s="4" t="s">
        <v>1729</v>
      </c>
      <c r="E1473" s="4" t="s">
        <v>1919</v>
      </c>
      <c r="F1473" s="4">
        <v>2</v>
      </c>
      <c r="G1473" s="4">
        <v>42.97</v>
      </c>
      <c r="H1473" s="4">
        <v>0.18</v>
      </c>
      <c r="I1473" s="4" t="s">
        <v>1998</v>
      </c>
      <c r="J1473" s="10">
        <v>70.470799999999997</v>
      </c>
      <c r="K1473" s="4" t="str">
        <f t="shared" si="154"/>
        <v>19-04-2025</v>
      </c>
      <c r="L1473" s="4" t="str">
        <f>TEXT(Sales_Fact!$B1473,"mmm")</f>
        <v>Apr</v>
      </c>
      <c r="M1473" s="4">
        <f t="shared" si="155"/>
        <v>2</v>
      </c>
      <c r="N1473" s="10">
        <f t="shared" si="156"/>
        <v>42.97</v>
      </c>
      <c r="O1473" s="10">
        <f t="shared" si="157"/>
        <v>70.470799999999997</v>
      </c>
      <c r="P1473" s="10">
        <f t="shared" si="158"/>
        <v>85.94</v>
      </c>
      <c r="Q1473" s="3">
        <f t="shared" si="159"/>
        <v>0.18000000000000002</v>
      </c>
      <c r="R1473" s="4" t="str">
        <f>IF(Sales_Fact!$O1473&gt;1000,"High","Low")</f>
        <v>Low</v>
      </c>
      <c r="S1473" s="4" t="str">
        <f>VLOOKUP(C1473,Customer_Dim!$A:$N,9,FALSE())</f>
        <v>Carol Bishop</v>
      </c>
      <c r="T1473" s="4" t="str">
        <f>VLOOKUP(D1473,Product_Dim!$A:$M,3,FALSE())</f>
        <v>Electronics</v>
      </c>
      <c r="U1473" s="11" t="str">
        <f>VLOOKUP(D1473,Product_Dim!$A:$M,2,FALSE())</f>
        <v>Smart Home WiFi Camera</v>
      </c>
      <c r="V1473" s="11" t="str">
        <f>VLOOKUP(E1473,Store_Dim!$A:$E,3,FALSE())</f>
        <v>South</v>
      </c>
      <c r="W1473" s="11" t="str">
        <f>VLOOKUP(C1473,Customer_Dim!$A:$N,13,FALSE())</f>
        <v>Silver</v>
      </c>
      <c r="X1473" s="11" t="str">
        <f t="shared" si="160"/>
        <v>Low</v>
      </c>
    </row>
    <row r="1474" spans="1:24" ht="15.75" customHeight="1">
      <c r="A1474" s="4" t="s">
        <v>3470</v>
      </c>
      <c r="B1474" s="9">
        <v>45639</v>
      </c>
      <c r="C1474" s="4" t="s">
        <v>936</v>
      </c>
      <c r="D1474" s="4" t="s">
        <v>1852</v>
      </c>
      <c r="E1474" s="4" t="s">
        <v>1910</v>
      </c>
      <c r="F1474" s="4">
        <v>4</v>
      </c>
      <c r="G1474" s="4">
        <v>854.37</v>
      </c>
      <c r="H1474" s="4">
        <v>7.0000000000000007E-2</v>
      </c>
      <c r="I1474" s="4" t="s">
        <v>1998</v>
      </c>
      <c r="J1474" s="10">
        <v>3178.2564000000002</v>
      </c>
      <c r="K1474" s="4" t="str">
        <f t="shared" ref="K1474:K1537" si="161">TEXT(B1474,"dd-mm-yyyy")</f>
        <v>13-12-2024</v>
      </c>
      <c r="L1474" s="4" t="str">
        <f>TEXT(Sales_Fact!$B1474,"mmm")</f>
        <v>Dec</v>
      </c>
      <c r="M1474" s="4">
        <f t="shared" ref="M1474:M1537" si="162">IF(ISBLANK(F1474),1,F1474)</f>
        <v>4</v>
      </c>
      <c r="N1474" s="10">
        <f t="shared" ref="N1474:N1537" si="163">ROUNDUP(IF(ISBLANK(G1474),AVERAGE(C:C,G1474,G:G),G1474),2)</f>
        <v>854.37</v>
      </c>
      <c r="O1474" s="10">
        <f t="shared" ref="O1474:O1537" si="164">M1474*N1474*(1-H1474)</f>
        <v>3178.2563999999998</v>
      </c>
      <c r="P1474" s="10">
        <f t="shared" ref="P1474:P1537" si="165">M1474*N1474</f>
        <v>3417.48</v>
      </c>
      <c r="Q1474" s="3">
        <f t="shared" ref="Q1474:Q1537" si="166">(P1474-O1474)/P1474</f>
        <v>7.0000000000000076E-2</v>
      </c>
      <c r="R1474" s="4" t="str">
        <f>IF(Sales_Fact!$O1474&gt;1000,"High","Low")</f>
        <v>High</v>
      </c>
      <c r="S1474" s="4" t="str">
        <f>VLOOKUP(C1474,Customer_Dim!$A:$N,9,FALSE())</f>
        <v>Tommy Roberts</v>
      </c>
      <c r="T1474" s="4" t="str">
        <f>VLOOKUP(D1474,Product_Dim!$A:$M,3,FALSE())</f>
        <v>Sports</v>
      </c>
      <c r="U1474" s="11" t="str">
        <f>VLOOKUP(D1474,Product_Dim!$A:$M,2,FALSE())</f>
        <v>Fitness Resistance Bands</v>
      </c>
      <c r="V1474" s="11" t="str">
        <f>VLOOKUP(E1474,Store_Dim!$A:$E,3,FALSE())</f>
        <v>East</v>
      </c>
      <c r="W1474" s="11" t="str">
        <f>VLOOKUP(C1474,Customer_Dim!$A:$N,13,FALSE())</f>
        <v>Silver</v>
      </c>
      <c r="X1474" s="11" t="str">
        <f t="shared" ref="X1474:X1537" si="167">IF(F1474&gt;3,"High","Low")</f>
        <v>High</v>
      </c>
    </row>
    <row r="1475" spans="1:24" ht="15.75" customHeight="1">
      <c r="A1475" s="4" t="s">
        <v>3471</v>
      </c>
      <c r="B1475" s="9">
        <v>45774</v>
      </c>
      <c r="C1475" s="4" t="s">
        <v>377</v>
      </c>
      <c r="D1475" s="4" t="s">
        <v>1671</v>
      </c>
      <c r="E1475" s="4" t="s">
        <v>1962</v>
      </c>
      <c r="F1475" s="4">
        <v>2</v>
      </c>
      <c r="G1475" s="4">
        <v>409.52</v>
      </c>
      <c r="H1475" s="4">
        <v>0.06</v>
      </c>
      <c r="I1475" s="4" t="s">
        <v>2004</v>
      </c>
      <c r="J1475" s="10">
        <v>769.89760000000001</v>
      </c>
      <c r="K1475" s="4" t="str">
        <f t="shared" si="161"/>
        <v>27-04-2025</v>
      </c>
      <c r="L1475" s="4" t="str">
        <f>TEXT(Sales_Fact!$B1475,"mmm")</f>
        <v>Apr</v>
      </c>
      <c r="M1475" s="4">
        <f t="shared" si="162"/>
        <v>2</v>
      </c>
      <c r="N1475" s="10">
        <f t="shared" si="163"/>
        <v>409.52</v>
      </c>
      <c r="O1475" s="10">
        <f t="shared" si="164"/>
        <v>769.8975999999999</v>
      </c>
      <c r="P1475" s="10">
        <f t="shared" si="165"/>
        <v>819.04</v>
      </c>
      <c r="Q1475" s="3">
        <f t="shared" si="166"/>
        <v>6.0000000000000081E-2</v>
      </c>
      <c r="R1475" s="4" t="str">
        <f>IF(Sales_Fact!$O1475&gt;1000,"High","Low")</f>
        <v>Low</v>
      </c>
      <c r="S1475" s="4" t="str">
        <f>VLOOKUP(C1475,Customer_Dim!$A:$N,9,FALSE())</f>
        <v>Diane Watson</v>
      </c>
      <c r="T1475" s="4" t="str">
        <f>VLOOKUP(D1475,Product_Dim!$A:$M,3,FALSE())</f>
        <v>Sports</v>
      </c>
      <c r="U1475" s="11" t="str">
        <f>VLOOKUP(D1475,Product_Dim!$A:$M,2,FALSE())</f>
        <v>Foldable Camping Chair</v>
      </c>
      <c r="V1475" s="11" t="str">
        <f>VLOOKUP(E1475,Store_Dim!$A:$E,3,FALSE())</f>
        <v>West</v>
      </c>
      <c r="W1475" s="11" t="str">
        <f>VLOOKUP(C1475,Customer_Dim!$A:$N,13,FALSE())</f>
        <v>Platinum</v>
      </c>
      <c r="X1475" s="11" t="str">
        <f t="shared" si="167"/>
        <v>Low</v>
      </c>
    </row>
    <row r="1476" spans="1:24" ht="15.75" customHeight="1">
      <c r="A1476" s="4" t="s">
        <v>3472</v>
      </c>
      <c r="B1476" s="9">
        <v>45569</v>
      </c>
      <c r="C1476" s="4" t="s">
        <v>571</v>
      </c>
      <c r="D1476" s="4" t="s">
        <v>1828</v>
      </c>
      <c r="E1476" s="4" t="s">
        <v>1947</v>
      </c>
      <c r="F1476" s="4">
        <v>2</v>
      </c>
      <c r="G1476" s="4">
        <v>407.46</v>
      </c>
      <c r="H1476" s="4">
        <v>0.21</v>
      </c>
      <c r="I1476" s="4" t="s">
        <v>1996</v>
      </c>
      <c r="J1476" s="10">
        <v>643.78679999999997</v>
      </c>
      <c r="K1476" s="4" t="str">
        <f t="shared" si="161"/>
        <v>04-10-2024</v>
      </c>
      <c r="L1476" s="4" t="str">
        <f>TEXT(Sales_Fact!$B1476,"mmm")</f>
        <v>Oct</v>
      </c>
      <c r="M1476" s="4">
        <f t="shared" si="162"/>
        <v>2</v>
      </c>
      <c r="N1476" s="10">
        <f t="shared" si="163"/>
        <v>407.46</v>
      </c>
      <c r="O1476" s="10">
        <f t="shared" si="164"/>
        <v>643.78679999999997</v>
      </c>
      <c r="P1476" s="10">
        <f t="shared" si="165"/>
        <v>814.92</v>
      </c>
      <c r="Q1476" s="3">
        <f t="shared" si="166"/>
        <v>0.21</v>
      </c>
      <c r="R1476" s="4" t="str">
        <f>IF(Sales_Fact!$O1476&gt;1000,"High","Low")</f>
        <v>Low</v>
      </c>
      <c r="S1476" s="4" t="str">
        <f>VLOOKUP(C1476,Customer_Dim!$A:$N,9,FALSE())</f>
        <v>Daniel Rivas</v>
      </c>
      <c r="T1476" s="4" t="str">
        <f>VLOOKUP(D1476,Product_Dim!$A:$M,3,FALSE())</f>
        <v>Electronics</v>
      </c>
      <c r="U1476" s="11" t="str">
        <f>VLOOKUP(D1476,Product_Dim!$A:$M,2,FALSE())</f>
        <v>Bluetooth Car Audio System</v>
      </c>
      <c r="V1476" s="11" t="str">
        <f>VLOOKUP(E1476,Store_Dim!$A:$E,3,FALSE())</f>
        <v>East</v>
      </c>
      <c r="W1476" s="11" t="str">
        <f>VLOOKUP(C1476,Customer_Dim!$A:$N,13,FALSE())</f>
        <v>Silver</v>
      </c>
      <c r="X1476" s="11" t="str">
        <f t="shared" si="167"/>
        <v>Low</v>
      </c>
    </row>
    <row r="1477" spans="1:24" ht="15.75" customHeight="1">
      <c r="A1477" s="4" t="s">
        <v>3473</v>
      </c>
      <c r="B1477" s="9">
        <v>45856</v>
      </c>
      <c r="C1477" s="4" t="s">
        <v>763</v>
      </c>
      <c r="D1477" s="4" t="s">
        <v>1595</v>
      </c>
      <c r="E1477" s="4" t="s">
        <v>1940</v>
      </c>
      <c r="F1477" s="4">
        <v>1</v>
      </c>
      <c r="G1477" s="4">
        <v>728.84</v>
      </c>
      <c r="H1477" s="4">
        <v>0.28000000000000003</v>
      </c>
      <c r="I1477" s="4" t="s">
        <v>1998</v>
      </c>
      <c r="J1477" s="10">
        <v>524.76480000000004</v>
      </c>
      <c r="K1477" s="4" t="str">
        <f t="shared" si="161"/>
        <v>18-07-2025</v>
      </c>
      <c r="L1477" s="4" t="str">
        <f>TEXT(Sales_Fact!$B1477,"mmm")</f>
        <v>Jul</v>
      </c>
      <c r="M1477" s="4">
        <f t="shared" si="162"/>
        <v>1</v>
      </c>
      <c r="N1477" s="10">
        <f t="shared" si="163"/>
        <v>728.84</v>
      </c>
      <c r="O1477" s="10">
        <f t="shared" si="164"/>
        <v>524.76480000000004</v>
      </c>
      <c r="P1477" s="10">
        <f t="shared" si="165"/>
        <v>728.84</v>
      </c>
      <c r="Q1477" s="3">
        <f t="shared" si="166"/>
        <v>0.27999999999999997</v>
      </c>
      <c r="R1477" s="4" t="str">
        <f>IF(Sales_Fact!$O1477&gt;1000,"High","Low")</f>
        <v>Low</v>
      </c>
      <c r="S1477" s="4" t="str">
        <f>VLOOKUP(C1477,Customer_Dim!$A:$N,9,FALSE())</f>
        <v>Casey Flores</v>
      </c>
      <c r="T1477" s="4" t="str">
        <f>VLOOKUP(D1477,Product_Dim!$A:$M,3,FALSE())</f>
        <v>Clothing</v>
      </c>
      <c r="U1477" s="11" t="str">
        <f>VLOOKUP(D1477,Product_Dim!$A:$M,2,FALSE())</f>
        <v>Women's Yoga Pants</v>
      </c>
      <c r="V1477" s="11" t="str">
        <f>VLOOKUP(E1477,Store_Dim!$A:$E,3,FALSE())</f>
        <v>West</v>
      </c>
      <c r="W1477" s="11" t="str">
        <f>VLOOKUP(C1477,Customer_Dim!$A:$N,13,FALSE())</f>
        <v>Gold</v>
      </c>
      <c r="X1477" s="11" t="str">
        <f t="shared" si="167"/>
        <v>Low</v>
      </c>
    </row>
    <row r="1478" spans="1:24" ht="15.75" customHeight="1">
      <c r="A1478" s="4" t="s">
        <v>3474</v>
      </c>
      <c r="B1478" s="9">
        <v>45362</v>
      </c>
      <c r="C1478" s="4" t="s">
        <v>1429</v>
      </c>
      <c r="D1478" s="4" t="s">
        <v>1840</v>
      </c>
      <c r="E1478" s="4" t="s">
        <v>1934</v>
      </c>
      <c r="F1478" s="4">
        <v>4</v>
      </c>
      <c r="G1478" s="4">
        <v>467.24</v>
      </c>
      <c r="H1478" s="4">
        <v>0.08</v>
      </c>
      <c r="I1478" s="4" t="s">
        <v>1998</v>
      </c>
      <c r="J1478" s="10">
        <v>1719.4431999999999</v>
      </c>
      <c r="K1478" s="4" t="str">
        <f t="shared" si="161"/>
        <v>11-03-2024</v>
      </c>
      <c r="L1478" s="4" t="str">
        <f>TEXT(Sales_Fact!$B1478,"mmm")</f>
        <v>Mar</v>
      </c>
      <c r="M1478" s="4">
        <f t="shared" si="162"/>
        <v>4</v>
      </c>
      <c r="N1478" s="10">
        <f t="shared" si="163"/>
        <v>467.24</v>
      </c>
      <c r="O1478" s="10">
        <f t="shared" si="164"/>
        <v>1719.4432000000002</v>
      </c>
      <c r="P1478" s="10">
        <f t="shared" si="165"/>
        <v>1868.96</v>
      </c>
      <c r="Q1478" s="3">
        <f t="shared" si="166"/>
        <v>7.9999999999999932E-2</v>
      </c>
      <c r="R1478" s="4" t="str">
        <f>IF(Sales_Fact!$O1478&gt;1000,"High","Low")</f>
        <v>High</v>
      </c>
      <c r="S1478" s="4" t="str">
        <f>VLOOKUP(C1478,Customer_Dim!$A:$N,9,FALSE())</f>
        <v>April Phillips</v>
      </c>
      <c r="T1478" s="4" t="str">
        <f>VLOOKUP(D1478,Product_Dim!$A:$M,3,FALSE())</f>
        <v>Home</v>
      </c>
      <c r="U1478" s="11" t="str">
        <f>VLOOKUP(D1478,Product_Dim!$A:$M,2,FALSE())</f>
        <v>Essential Oil Diffuser</v>
      </c>
      <c r="V1478" s="11" t="str">
        <f>VLOOKUP(E1478,Store_Dim!$A:$E,3,FALSE())</f>
        <v>East</v>
      </c>
      <c r="W1478" s="11" t="str">
        <f>VLOOKUP(C1478,Customer_Dim!$A:$N,13,FALSE())</f>
        <v>Platinum</v>
      </c>
      <c r="X1478" s="11" t="str">
        <f t="shared" si="167"/>
        <v>High</v>
      </c>
    </row>
    <row r="1479" spans="1:24" ht="15.75" customHeight="1">
      <c r="A1479" s="4" t="s">
        <v>3475</v>
      </c>
      <c r="B1479" s="9">
        <v>45457</v>
      </c>
      <c r="C1479" s="4" t="s">
        <v>353</v>
      </c>
      <c r="D1479" s="4" t="s">
        <v>1622</v>
      </c>
      <c r="E1479" s="4" t="s">
        <v>1950</v>
      </c>
      <c r="F1479" s="4">
        <v>1</v>
      </c>
      <c r="G1479" s="4">
        <v>57.94</v>
      </c>
      <c r="H1479" s="4">
        <v>0.13</v>
      </c>
      <c r="I1479" s="4" t="s">
        <v>1998</v>
      </c>
      <c r="J1479" s="10">
        <v>50.407800000000002</v>
      </c>
      <c r="K1479" s="4" t="str">
        <f t="shared" si="161"/>
        <v>14-06-2024</v>
      </c>
      <c r="L1479" s="4" t="str">
        <f>TEXT(Sales_Fact!$B1479,"mmm")</f>
        <v>Jun</v>
      </c>
      <c r="M1479" s="4">
        <f t="shared" si="162"/>
        <v>1</v>
      </c>
      <c r="N1479" s="10">
        <f t="shared" si="163"/>
        <v>57.94</v>
      </c>
      <c r="O1479" s="10">
        <f t="shared" si="164"/>
        <v>50.407799999999995</v>
      </c>
      <c r="P1479" s="10">
        <f t="shared" si="165"/>
        <v>57.94</v>
      </c>
      <c r="Q1479" s="3">
        <f t="shared" si="166"/>
        <v>0.13000000000000006</v>
      </c>
      <c r="R1479" s="4" t="str">
        <f>IF(Sales_Fact!$O1479&gt;1000,"High","Low")</f>
        <v>Low</v>
      </c>
      <c r="S1479" s="4" t="str">
        <f>VLOOKUP(C1479,Customer_Dim!$A:$N,9,FALSE())</f>
        <v>Robert Jackson</v>
      </c>
      <c r="T1479" s="4" t="str">
        <f>VLOOKUP(D1479,Product_Dim!$A:$M,3,FALSE())</f>
        <v>Home</v>
      </c>
      <c r="U1479" s="11" t="str">
        <f>VLOOKUP(D1479,Product_Dim!$A:$M,2,FALSE())</f>
        <v>Ceramic Kitchen Bowl Set</v>
      </c>
      <c r="V1479" s="11" t="str">
        <f>VLOOKUP(E1479,Store_Dim!$A:$E,3,FALSE())</f>
        <v>South</v>
      </c>
      <c r="W1479" s="11" t="str">
        <f>VLOOKUP(C1479,Customer_Dim!$A:$N,13,FALSE())</f>
        <v>Platinum</v>
      </c>
      <c r="X1479" s="11" t="str">
        <f t="shared" si="167"/>
        <v>Low</v>
      </c>
    </row>
    <row r="1480" spans="1:24" ht="15.75" customHeight="1">
      <c r="A1480" s="4" t="s">
        <v>3476</v>
      </c>
      <c r="B1480" s="9">
        <v>45338</v>
      </c>
      <c r="C1480" s="4" t="s">
        <v>1108</v>
      </c>
      <c r="D1480" s="4" t="s">
        <v>1751</v>
      </c>
      <c r="E1480" s="4" t="s">
        <v>1965</v>
      </c>
      <c r="F1480" s="4">
        <v>1</v>
      </c>
      <c r="G1480" s="4">
        <v>540.1</v>
      </c>
      <c r="H1480" s="4">
        <v>0.22</v>
      </c>
      <c r="I1480" s="4" t="s">
        <v>1996</v>
      </c>
      <c r="J1480" s="10">
        <v>421.27800000000002</v>
      </c>
      <c r="K1480" s="4" t="str">
        <f t="shared" si="161"/>
        <v>16-02-2024</v>
      </c>
      <c r="L1480" s="4" t="str">
        <f>TEXT(Sales_Fact!$B1480,"mmm")</f>
        <v>Feb</v>
      </c>
      <c r="M1480" s="4">
        <f t="shared" si="162"/>
        <v>1</v>
      </c>
      <c r="N1480" s="10">
        <f t="shared" si="163"/>
        <v>540.1</v>
      </c>
      <c r="O1480" s="10">
        <f t="shared" si="164"/>
        <v>421.27800000000002</v>
      </c>
      <c r="P1480" s="10">
        <f t="shared" si="165"/>
        <v>540.1</v>
      </c>
      <c r="Q1480" s="3">
        <f t="shared" si="166"/>
        <v>0.22</v>
      </c>
      <c r="R1480" s="4" t="str">
        <f>IF(Sales_Fact!$O1480&gt;1000,"High","Low")</f>
        <v>Low</v>
      </c>
      <c r="S1480" s="4" t="str">
        <f>VLOOKUP(C1480,Customer_Dim!$A:$N,9,FALSE())</f>
        <v>Evelyn Brown</v>
      </c>
      <c r="T1480" s="4" t="str">
        <f>VLOOKUP(D1480,Product_Dim!$A:$M,3,FALSE())</f>
        <v>Beauty</v>
      </c>
      <c r="U1480" s="11" t="str">
        <f>VLOOKUP(D1480,Product_Dim!$A:$M,2,FALSE())</f>
        <v>Men's Roll-On Perfume</v>
      </c>
      <c r="V1480" s="11" t="str">
        <f>VLOOKUP(E1480,Store_Dim!$A:$E,3,FALSE())</f>
        <v>North</v>
      </c>
      <c r="W1480" s="11" t="str">
        <f>VLOOKUP(C1480,Customer_Dim!$A:$N,13,FALSE())</f>
        <v>Gold</v>
      </c>
      <c r="X1480" s="11" t="str">
        <f t="shared" si="167"/>
        <v>Low</v>
      </c>
    </row>
    <row r="1481" spans="1:24" ht="15.75" customHeight="1">
      <c r="A1481" s="4" t="s">
        <v>3477</v>
      </c>
      <c r="B1481" s="9">
        <v>45677</v>
      </c>
      <c r="C1481" s="4" t="s">
        <v>1048</v>
      </c>
      <c r="D1481" s="4" t="s">
        <v>1658</v>
      </c>
      <c r="E1481" s="4" t="s">
        <v>1940</v>
      </c>
      <c r="F1481" s="4">
        <v>1</v>
      </c>
      <c r="G1481" s="4">
        <v>900.35</v>
      </c>
      <c r="H1481" s="4">
        <v>0.13</v>
      </c>
      <c r="I1481" s="4" t="s">
        <v>2004</v>
      </c>
      <c r="J1481" s="10">
        <v>783.30449999999996</v>
      </c>
      <c r="K1481" s="4" t="str">
        <f t="shared" si="161"/>
        <v>20-01-2025</v>
      </c>
      <c r="L1481" s="4" t="str">
        <f>TEXT(Sales_Fact!$B1481,"mmm")</f>
        <v>Jan</v>
      </c>
      <c r="M1481" s="4">
        <f t="shared" si="162"/>
        <v>1</v>
      </c>
      <c r="N1481" s="10">
        <f t="shared" si="163"/>
        <v>900.35</v>
      </c>
      <c r="O1481" s="10">
        <f t="shared" si="164"/>
        <v>783.30449999999996</v>
      </c>
      <c r="P1481" s="10">
        <f t="shared" si="165"/>
        <v>900.35</v>
      </c>
      <c r="Q1481" s="3">
        <f t="shared" si="166"/>
        <v>0.13000000000000006</v>
      </c>
      <c r="R1481" s="4" t="str">
        <f>IF(Sales_Fact!$O1481&gt;1000,"High","Low")</f>
        <v>Low</v>
      </c>
      <c r="S1481" s="4" t="str">
        <f>VLOOKUP(C1481,Customer_Dim!$A:$N,9,FALSE())</f>
        <v>Alex Mann Ii</v>
      </c>
      <c r="T1481" s="4" t="str">
        <f>VLOOKUP(D1481,Product_Dim!$A:$M,3,FALSE())</f>
        <v>Sports</v>
      </c>
      <c r="U1481" s="11" t="str">
        <f>VLOOKUP(D1481,Product_Dim!$A:$M,2,FALSE())</f>
        <v>Outdoor Sports Water Bottle</v>
      </c>
      <c r="V1481" s="11" t="str">
        <f>VLOOKUP(E1481,Store_Dim!$A:$E,3,FALSE())</f>
        <v>West</v>
      </c>
      <c r="W1481" s="11" t="str">
        <f>VLOOKUP(C1481,Customer_Dim!$A:$N,13,FALSE())</f>
        <v>Bronze</v>
      </c>
      <c r="X1481" s="11" t="str">
        <f t="shared" si="167"/>
        <v>Low</v>
      </c>
    </row>
    <row r="1482" spans="1:24" ht="15.75" customHeight="1">
      <c r="A1482" s="4" t="s">
        <v>3478</v>
      </c>
      <c r="B1482" s="9">
        <v>45552</v>
      </c>
      <c r="C1482" s="4" t="s">
        <v>302</v>
      </c>
      <c r="D1482" s="4" t="s">
        <v>1613</v>
      </c>
      <c r="E1482" s="4" t="s">
        <v>1971</v>
      </c>
      <c r="F1482" s="4">
        <v>4</v>
      </c>
      <c r="G1482" s="4">
        <v>816.28</v>
      </c>
      <c r="H1482" s="4">
        <v>0.15</v>
      </c>
      <c r="I1482" s="4" t="s">
        <v>2004</v>
      </c>
      <c r="J1482" s="10">
        <v>2775.3519999999999</v>
      </c>
      <c r="K1482" s="4" t="str">
        <f t="shared" si="161"/>
        <v>17-09-2024</v>
      </c>
      <c r="L1482" s="4" t="str">
        <f>TEXT(Sales_Fact!$B1482,"mmm")</f>
        <v>Sep</v>
      </c>
      <c r="M1482" s="4">
        <f t="shared" si="162"/>
        <v>4</v>
      </c>
      <c r="N1482" s="10">
        <f t="shared" si="163"/>
        <v>816.28</v>
      </c>
      <c r="O1482" s="10">
        <f t="shared" si="164"/>
        <v>2775.3519999999999</v>
      </c>
      <c r="P1482" s="10">
        <f t="shared" si="165"/>
        <v>3265.12</v>
      </c>
      <c r="Q1482" s="3">
        <f t="shared" si="166"/>
        <v>0.15000000000000002</v>
      </c>
      <c r="R1482" s="4" t="str">
        <f>IF(Sales_Fact!$O1482&gt;1000,"High","Low")</f>
        <v>High</v>
      </c>
      <c r="S1482" s="4" t="str">
        <f>VLOOKUP(C1482,Customer_Dim!$A:$N,9,FALSE())</f>
        <v>Katherine Young</v>
      </c>
      <c r="T1482" s="4" t="str">
        <f>VLOOKUP(D1482,Product_Dim!$A:$M,3,FALSE())</f>
        <v>Electronics</v>
      </c>
      <c r="U1482" s="11" t="str">
        <f>VLOOKUP(D1482,Product_Dim!$A:$M,2,FALSE())</f>
        <v>Wireless Bluetooth Earbuds</v>
      </c>
      <c r="V1482" s="11" t="str">
        <f>VLOOKUP(E1482,Store_Dim!$A:$E,3,FALSE())</f>
        <v>East</v>
      </c>
      <c r="W1482" s="11" t="str">
        <f>VLOOKUP(C1482,Customer_Dim!$A:$N,13,FALSE())</f>
        <v>Gold</v>
      </c>
      <c r="X1482" s="11" t="str">
        <f t="shared" si="167"/>
        <v>High</v>
      </c>
    </row>
    <row r="1483" spans="1:24" ht="15.75" customHeight="1">
      <c r="A1483" s="4" t="s">
        <v>3479</v>
      </c>
      <c r="B1483" s="9">
        <v>45895</v>
      </c>
      <c r="C1483" s="4" t="s">
        <v>614</v>
      </c>
      <c r="D1483" s="4" t="s">
        <v>1729</v>
      </c>
      <c r="E1483" s="4" t="s">
        <v>1940</v>
      </c>
      <c r="F1483" s="4">
        <v>4</v>
      </c>
      <c r="G1483" s="4">
        <v>727.49</v>
      </c>
      <c r="H1483" s="4">
        <v>0.11</v>
      </c>
      <c r="I1483" s="4" t="s">
        <v>1996</v>
      </c>
      <c r="J1483" s="10">
        <v>2589.8643999999999</v>
      </c>
      <c r="K1483" s="4" t="str">
        <f t="shared" si="161"/>
        <v>26-08-2025</v>
      </c>
      <c r="L1483" s="4" t="str">
        <f>TEXT(Sales_Fact!$B1483,"mmm")</f>
        <v>Aug</v>
      </c>
      <c r="M1483" s="4">
        <f t="shared" si="162"/>
        <v>4</v>
      </c>
      <c r="N1483" s="10">
        <f t="shared" si="163"/>
        <v>727.49</v>
      </c>
      <c r="O1483" s="10">
        <f t="shared" si="164"/>
        <v>2589.8643999999999</v>
      </c>
      <c r="P1483" s="10">
        <f t="shared" si="165"/>
        <v>2909.96</v>
      </c>
      <c r="Q1483" s="3">
        <f t="shared" si="166"/>
        <v>0.11000000000000003</v>
      </c>
      <c r="R1483" s="4" t="str">
        <f>IF(Sales_Fact!$O1483&gt;1000,"High","Low")</f>
        <v>High</v>
      </c>
      <c r="S1483" s="4" t="str">
        <f>VLOOKUP(C1483,Customer_Dim!$A:$N,9,FALSE())</f>
        <v>Michelle Myers</v>
      </c>
      <c r="T1483" s="4" t="str">
        <f>VLOOKUP(D1483,Product_Dim!$A:$M,3,FALSE())</f>
        <v>Electronics</v>
      </c>
      <c r="U1483" s="11" t="str">
        <f>VLOOKUP(D1483,Product_Dim!$A:$M,2,FALSE())</f>
        <v>Smart Home WiFi Camera</v>
      </c>
      <c r="V1483" s="11" t="str">
        <f>VLOOKUP(E1483,Store_Dim!$A:$E,3,FALSE())</f>
        <v>West</v>
      </c>
      <c r="W1483" s="11" t="str">
        <f>VLOOKUP(C1483,Customer_Dim!$A:$N,13,FALSE())</f>
        <v>Bronze</v>
      </c>
      <c r="X1483" s="11" t="str">
        <f t="shared" si="167"/>
        <v>High</v>
      </c>
    </row>
    <row r="1484" spans="1:24" ht="15.75" customHeight="1">
      <c r="A1484" s="4" t="s">
        <v>3480</v>
      </c>
      <c r="B1484" s="9">
        <v>45447</v>
      </c>
      <c r="C1484" s="4" t="s">
        <v>592</v>
      </c>
      <c r="D1484" s="4" t="s">
        <v>1864</v>
      </c>
      <c r="E1484" s="4" t="s">
        <v>1955</v>
      </c>
      <c r="F1484" s="4">
        <v>4</v>
      </c>
      <c r="G1484" s="4">
        <v>817.92</v>
      </c>
      <c r="H1484" s="4">
        <v>0.21</v>
      </c>
      <c r="I1484" s="4" t="s">
        <v>1996</v>
      </c>
      <c r="J1484" s="10">
        <v>2584.6271999999999</v>
      </c>
      <c r="K1484" s="4" t="str">
        <f t="shared" si="161"/>
        <v>04-06-2024</v>
      </c>
      <c r="L1484" s="4" t="str">
        <f>TEXT(Sales_Fact!$B1484,"mmm")</f>
        <v>Jun</v>
      </c>
      <c r="M1484" s="4">
        <f t="shared" si="162"/>
        <v>4</v>
      </c>
      <c r="N1484" s="10">
        <f t="shared" si="163"/>
        <v>817.92</v>
      </c>
      <c r="O1484" s="10">
        <f t="shared" si="164"/>
        <v>2584.6271999999999</v>
      </c>
      <c r="P1484" s="10">
        <f t="shared" si="165"/>
        <v>3271.68</v>
      </c>
      <c r="Q1484" s="3">
        <f t="shared" si="166"/>
        <v>0.21</v>
      </c>
      <c r="R1484" s="4" t="str">
        <f>IF(Sales_Fact!$O1484&gt;1000,"High","Low")</f>
        <v>High</v>
      </c>
      <c r="S1484" s="4" t="str">
        <f>VLOOKUP(C1484,Customer_Dim!$A:$N,9,FALSE())</f>
        <v>Amy Wilson</v>
      </c>
      <c r="T1484" s="4" t="str">
        <f>VLOOKUP(D1484,Product_Dim!$A:$M,3,FALSE())</f>
        <v>Home</v>
      </c>
      <c r="U1484" s="11" t="str">
        <f>VLOOKUP(D1484,Product_Dim!$A:$M,2,FALSE())</f>
        <v>Kitchen Cutting Board</v>
      </c>
      <c r="V1484" s="11" t="str">
        <f>VLOOKUP(E1484,Store_Dim!$A:$E,3,FALSE())</f>
        <v>East</v>
      </c>
      <c r="W1484" s="11" t="str">
        <f>VLOOKUP(C1484,Customer_Dim!$A:$N,13,FALSE())</f>
        <v>Platinum</v>
      </c>
      <c r="X1484" s="11" t="str">
        <f t="shared" si="167"/>
        <v>High</v>
      </c>
    </row>
    <row r="1485" spans="1:24" ht="15.75" customHeight="1">
      <c r="A1485" s="4" t="s">
        <v>3481</v>
      </c>
      <c r="B1485" s="9">
        <v>45578</v>
      </c>
      <c r="C1485" s="4" t="s">
        <v>1051</v>
      </c>
      <c r="D1485" s="4" t="s">
        <v>1716</v>
      </c>
      <c r="E1485" s="4" t="s">
        <v>1937</v>
      </c>
      <c r="F1485" s="4">
        <v>2</v>
      </c>
      <c r="G1485" s="4">
        <v>358.45</v>
      </c>
      <c r="H1485" s="4">
        <v>7.0000000000000007E-2</v>
      </c>
      <c r="I1485" s="4" t="s">
        <v>2004</v>
      </c>
      <c r="J1485" s="10">
        <v>666.71699999999998</v>
      </c>
      <c r="K1485" s="4" t="str">
        <f t="shared" si="161"/>
        <v>13-10-2024</v>
      </c>
      <c r="L1485" s="4" t="str">
        <f>TEXT(Sales_Fact!$B1485,"mmm")</f>
        <v>Oct</v>
      </c>
      <c r="M1485" s="4">
        <f t="shared" si="162"/>
        <v>2</v>
      </c>
      <c r="N1485" s="10">
        <f t="shared" si="163"/>
        <v>358.45</v>
      </c>
      <c r="O1485" s="10">
        <f t="shared" si="164"/>
        <v>666.71699999999998</v>
      </c>
      <c r="P1485" s="10">
        <f t="shared" si="165"/>
        <v>716.9</v>
      </c>
      <c r="Q1485" s="3">
        <f t="shared" si="166"/>
        <v>6.9999999999999993E-2</v>
      </c>
      <c r="R1485" s="4" t="str">
        <f>IF(Sales_Fact!$O1485&gt;1000,"High","Low")</f>
        <v>Low</v>
      </c>
      <c r="S1485" s="4" t="str">
        <f>VLOOKUP(C1485,Customer_Dim!$A:$N,9,FALSE())</f>
        <v>Andrew Smith</v>
      </c>
      <c r="T1485" s="4" t="str">
        <f>VLOOKUP(D1485,Product_Dim!$A:$M,3,FALSE())</f>
        <v>Sports</v>
      </c>
      <c r="U1485" s="11" t="str">
        <f>VLOOKUP(D1485,Product_Dim!$A:$M,2,FALSE())</f>
        <v>Sports Water Hydration Pack</v>
      </c>
      <c r="V1485" s="11" t="str">
        <f>VLOOKUP(E1485,Store_Dim!$A:$E,3,FALSE())</f>
        <v>South</v>
      </c>
      <c r="W1485" s="11" t="str">
        <f>VLOOKUP(C1485,Customer_Dim!$A:$N,13,FALSE())</f>
        <v>Bronze</v>
      </c>
      <c r="X1485" s="11" t="str">
        <f t="shared" si="167"/>
        <v>Low</v>
      </c>
    </row>
    <row r="1486" spans="1:24" ht="15.75" customHeight="1">
      <c r="A1486" s="4" t="s">
        <v>3482</v>
      </c>
      <c r="B1486" s="9">
        <v>45697</v>
      </c>
      <c r="C1486" s="4" t="s">
        <v>682</v>
      </c>
      <c r="D1486" s="4" t="s">
        <v>1867</v>
      </c>
      <c r="E1486" s="4" t="s">
        <v>1944</v>
      </c>
      <c r="F1486" s="4">
        <v>1</v>
      </c>
      <c r="G1486" s="4">
        <v>972.06</v>
      </c>
      <c r="H1486" s="4">
        <v>0.3</v>
      </c>
      <c r="I1486" s="4" t="s">
        <v>2004</v>
      </c>
      <c r="J1486" s="10">
        <v>680.44200000000001</v>
      </c>
      <c r="K1486" s="4" t="str">
        <f t="shared" si="161"/>
        <v>09-02-2025</v>
      </c>
      <c r="L1486" s="4" t="str">
        <f>TEXT(Sales_Fact!$B1486,"mmm")</f>
        <v>Feb</v>
      </c>
      <c r="M1486" s="4">
        <f t="shared" si="162"/>
        <v>1</v>
      </c>
      <c r="N1486" s="10">
        <f t="shared" si="163"/>
        <v>972.06</v>
      </c>
      <c r="O1486" s="10">
        <f t="shared" si="164"/>
        <v>680.44199999999989</v>
      </c>
      <c r="P1486" s="10">
        <f t="shared" si="165"/>
        <v>972.06</v>
      </c>
      <c r="Q1486" s="3">
        <f t="shared" si="166"/>
        <v>0.30000000000000004</v>
      </c>
      <c r="R1486" s="4" t="str">
        <f>IF(Sales_Fact!$O1486&gt;1000,"High","Low")</f>
        <v>Low</v>
      </c>
      <c r="S1486" s="4" t="str">
        <f>VLOOKUP(C1486,Customer_Dim!$A:$N,9,FALSE())</f>
        <v>Mary Boyd</v>
      </c>
      <c r="T1486" s="4" t="str">
        <f>VLOOKUP(D1486,Product_Dim!$A:$M,3,FALSE())</f>
        <v>Home</v>
      </c>
      <c r="U1486" s="11" t="str">
        <f>VLOOKUP(D1486,Product_Dim!$A:$M,2,FALSE())</f>
        <v>LED Bedside Lamp</v>
      </c>
      <c r="V1486" s="11" t="str">
        <f>VLOOKUP(E1486,Store_Dim!$A:$E,3,FALSE())</f>
        <v>South</v>
      </c>
      <c r="W1486" s="11" t="str">
        <f>VLOOKUP(C1486,Customer_Dim!$A:$N,13,FALSE())</f>
        <v>Bronze</v>
      </c>
      <c r="X1486" s="11" t="str">
        <f t="shared" si="167"/>
        <v>Low</v>
      </c>
    </row>
    <row r="1487" spans="1:24" ht="15.75" customHeight="1">
      <c r="A1487" s="4" t="s">
        <v>3483</v>
      </c>
      <c r="B1487" s="9">
        <v>45281</v>
      </c>
      <c r="C1487" s="4" t="s">
        <v>151</v>
      </c>
      <c r="D1487" s="4" t="s">
        <v>1644</v>
      </c>
      <c r="E1487" s="4" t="s">
        <v>1910</v>
      </c>
      <c r="F1487" s="4">
        <v>1</v>
      </c>
      <c r="G1487" s="4">
        <v>791.36</v>
      </c>
      <c r="H1487" s="4">
        <v>0.06</v>
      </c>
      <c r="I1487" s="4" t="s">
        <v>1998</v>
      </c>
      <c r="J1487" s="10">
        <v>743.87840000000006</v>
      </c>
      <c r="K1487" s="4" t="str">
        <f t="shared" si="161"/>
        <v>21-12-2023</v>
      </c>
      <c r="L1487" s="4" t="str">
        <f>TEXT(Sales_Fact!$B1487,"mmm")</f>
        <v>Dec</v>
      </c>
      <c r="M1487" s="4">
        <f t="shared" si="162"/>
        <v>1</v>
      </c>
      <c r="N1487" s="10">
        <f t="shared" si="163"/>
        <v>791.36</v>
      </c>
      <c r="O1487" s="10">
        <f t="shared" si="164"/>
        <v>743.87839999999994</v>
      </c>
      <c r="P1487" s="10">
        <f t="shared" si="165"/>
        <v>791.36</v>
      </c>
      <c r="Q1487" s="3">
        <f t="shared" si="166"/>
        <v>6.0000000000000088E-2</v>
      </c>
      <c r="R1487" s="4" t="str">
        <f>IF(Sales_Fact!$O1487&gt;1000,"High","Low")</f>
        <v>Low</v>
      </c>
      <c r="S1487" s="4" t="str">
        <f>VLOOKUP(C1487,Customer_Dim!$A:$N,9,FALSE())</f>
        <v>Mike Jennings</v>
      </c>
      <c r="T1487" s="4" t="str">
        <f>VLOOKUP(D1487,Product_Dim!$A:$M,3,FALSE())</f>
        <v>Beauty</v>
      </c>
      <c r="U1487" s="11" t="str">
        <f>VLOOKUP(D1487,Product_Dim!$A:$M,2,FALSE())</f>
        <v>Beard Grooming Kit</v>
      </c>
      <c r="V1487" s="11" t="str">
        <f>VLOOKUP(E1487,Store_Dim!$A:$E,3,FALSE())</f>
        <v>East</v>
      </c>
      <c r="W1487" s="11" t="str">
        <f>VLOOKUP(C1487,Customer_Dim!$A:$N,13,FALSE())</f>
        <v>Gold</v>
      </c>
      <c r="X1487" s="11" t="str">
        <f t="shared" si="167"/>
        <v>Low</v>
      </c>
    </row>
    <row r="1488" spans="1:24" ht="15.75" customHeight="1">
      <c r="A1488" s="4" t="s">
        <v>3484</v>
      </c>
      <c r="B1488" s="9">
        <v>45855</v>
      </c>
      <c r="C1488" s="4" t="s">
        <v>1018</v>
      </c>
      <c r="D1488" s="4" t="s">
        <v>1797</v>
      </c>
      <c r="E1488" s="4" t="s">
        <v>1931</v>
      </c>
      <c r="F1488" s="4">
        <v>4</v>
      </c>
      <c r="G1488" s="4">
        <v>839.65</v>
      </c>
      <c r="H1488" s="4">
        <v>0.26</v>
      </c>
      <c r="I1488" s="4" t="s">
        <v>2004</v>
      </c>
      <c r="J1488" s="10">
        <v>2485.364</v>
      </c>
      <c r="K1488" s="4" t="str">
        <f t="shared" si="161"/>
        <v>17-07-2025</v>
      </c>
      <c r="L1488" s="4" t="str">
        <f>TEXT(Sales_Fact!$B1488,"mmm")</f>
        <v>Jul</v>
      </c>
      <c r="M1488" s="4">
        <f t="shared" si="162"/>
        <v>4</v>
      </c>
      <c r="N1488" s="10">
        <f t="shared" si="163"/>
        <v>839.65</v>
      </c>
      <c r="O1488" s="10">
        <f t="shared" si="164"/>
        <v>2485.364</v>
      </c>
      <c r="P1488" s="10">
        <f t="shared" si="165"/>
        <v>3358.6</v>
      </c>
      <c r="Q1488" s="3">
        <f t="shared" si="166"/>
        <v>0.25999999999999995</v>
      </c>
      <c r="R1488" s="4" t="str">
        <f>IF(Sales_Fact!$O1488&gt;1000,"High","Low")</f>
        <v>High</v>
      </c>
      <c r="S1488" s="4" t="str">
        <f>VLOOKUP(C1488,Customer_Dim!$A:$N,9,FALSE())</f>
        <v>Elizabeth Johnson</v>
      </c>
      <c r="T1488" s="4" t="str">
        <f>VLOOKUP(D1488,Product_Dim!$A:$M,3,FALSE())</f>
        <v>Beauty</v>
      </c>
      <c r="U1488" s="11" t="str">
        <f>VLOOKUP(D1488,Product_Dim!$A:$M,2,FALSE())</f>
        <v>Matte Lipstick Set</v>
      </c>
      <c r="V1488" s="11" t="str">
        <f>VLOOKUP(E1488,Store_Dim!$A:$E,3,FALSE())</f>
        <v>North</v>
      </c>
      <c r="W1488" s="11" t="str">
        <f>VLOOKUP(C1488,Customer_Dim!$A:$N,13,FALSE())</f>
        <v>Silver</v>
      </c>
      <c r="X1488" s="11" t="str">
        <f t="shared" si="167"/>
        <v>High</v>
      </c>
    </row>
    <row r="1489" spans="1:24" ht="15.75" customHeight="1">
      <c r="A1489" s="4" t="s">
        <v>3485</v>
      </c>
      <c r="B1489" s="9">
        <v>45793</v>
      </c>
      <c r="C1489" s="4" t="s">
        <v>843</v>
      </c>
      <c r="D1489" s="4" t="s">
        <v>1822</v>
      </c>
      <c r="E1489" s="4" t="s">
        <v>1919</v>
      </c>
      <c r="F1489" s="4">
        <v>2</v>
      </c>
      <c r="G1489" s="4">
        <v>245.52</v>
      </c>
      <c r="H1489" s="4">
        <v>0.11</v>
      </c>
      <c r="I1489" s="4" t="s">
        <v>2004</v>
      </c>
      <c r="J1489" s="10">
        <v>437.0256</v>
      </c>
      <c r="K1489" s="4" t="str">
        <f t="shared" si="161"/>
        <v>16-05-2025</v>
      </c>
      <c r="L1489" s="4" t="str">
        <f>TEXT(Sales_Fact!$B1489,"mmm")</f>
        <v>May</v>
      </c>
      <c r="M1489" s="4">
        <f t="shared" si="162"/>
        <v>2</v>
      </c>
      <c r="N1489" s="10">
        <f t="shared" si="163"/>
        <v>245.52</v>
      </c>
      <c r="O1489" s="10">
        <f t="shared" si="164"/>
        <v>437.0256</v>
      </c>
      <c r="P1489" s="10">
        <f t="shared" si="165"/>
        <v>491.04</v>
      </c>
      <c r="Q1489" s="3">
        <f t="shared" si="166"/>
        <v>0.11000000000000004</v>
      </c>
      <c r="R1489" s="4" t="str">
        <f>IF(Sales_Fact!$O1489&gt;1000,"High","Low")</f>
        <v>Low</v>
      </c>
      <c r="S1489" s="4" t="str">
        <f>VLOOKUP(C1489,Customer_Dim!$A:$N,9,FALSE())</f>
        <v>Damon Perez</v>
      </c>
      <c r="T1489" s="4" t="str">
        <f>VLOOKUP(D1489,Product_Dim!$A:$M,3,FALSE())</f>
        <v>Sports</v>
      </c>
      <c r="U1489" s="11" t="str">
        <f>VLOOKUP(D1489,Product_Dim!$A:$M,2,FALSE())</f>
        <v>Professional Jump Rope</v>
      </c>
      <c r="V1489" s="11" t="str">
        <f>VLOOKUP(E1489,Store_Dim!$A:$E,3,FALSE())</f>
        <v>South</v>
      </c>
      <c r="W1489" s="11" t="str">
        <f>VLOOKUP(C1489,Customer_Dim!$A:$N,13,FALSE())</f>
        <v>Gold</v>
      </c>
      <c r="X1489" s="11" t="str">
        <f t="shared" si="167"/>
        <v>Low</v>
      </c>
    </row>
    <row r="1490" spans="1:24" ht="15.75" customHeight="1">
      <c r="A1490" s="4" t="s">
        <v>3486</v>
      </c>
      <c r="B1490" s="9">
        <v>45881</v>
      </c>
      <c r="C1490" s="4" t="s">
        <v>1240</v>
      </c>
      <c r="D1490" s="4" t="s">
        <v>1852</v>
      </c>
      <c r="E1490" s="4" t="s">
        <v>1940</v>
      </c>
      <c r="F1490" s="4">
        <v>3</v>
      </c>
      <c r="G1490" s="4">
        <v>787.91</v>
      </c>
      <c r="H1490" s="4">
        <v>0.06</v>
      </c>
      <c r="I1490" s="4" t="s">
        <v>1998</v>
      </c>
      <c r="J1490" s="10">
        <v>2221.9061999999999</v>
      </c>
      <c r="K1490" s="4" t="str">
        <f t="shared" si="161"/>
        <v>12-08-2025</v>
      </c>
      <c r="L1490" s="4" t="str">
        <f>TEXT(Sales_Fact!$B1490,"mmm")</f>
        <v>Aug</v>
      </c>
      <c r="M1490" s="4">
        <f t="shared" si="162"/>
        <v>3</v>
      </c>
      <c r="N1490" s="10">
        <f t="shared" si="163"/>
        <v>787.91</v>
      </c>
      <c r="O1490" s="10">
        <f t="shared" si="164"/>
        <v>2221.9061999999999</v>
      </c>
      <c r="P1490" s="10">
        <f t="shared" si="165"/>
        <v>2363.73</v>
      </c>
      <c r="Q1490" s="3">
        <f t="shared" si="166"/>
        <v>6.0000000000000053E-2</v>
      </c>
      <c r="R1490" s="4" t="str">
        <f>IF(Sales_Fact!$O1490&gt;1000,"High","Low")</f>
        <v>High</v>
      </c>
      <c r="S1490" s="4" t="str">
        <f>VLOOKUP(C1490,Customer_Dim!$A:$N,9,FALSE())</f>
        <v>Timothy Valenzuela</v>
      </c>
      <c r="T1490" s="4" t="str">
        <f>VLOOKUP(D1490,Product_Dim!$A:$M,3,FALSE())</f>
        <v>Sports</v>
      </c>
      <c r="U1490" s="11" t="str">
        <f>VLOOKUP(D1490,Product_Dim!$A:$M,2,FALSE())</f>
        <v>Fitness Resistance Bands</v>
      </c>
      <c r="V1490" s="11" t="str">
        <f>VLOOKUP(E1490,Store_Dim!$A:$E,3,FALSE())</f>
        <v>West</v>
      </c>
      <c r="W1490" s="11" t="str">
        <f>VLOOKUP(C1490,Customer_Dim!$A:$N,13,FALSE())</f>
        <v>Platinum</v>
      </c>
      <c r="X1490" s="11" t="str">
        <f t="shared" si="167"/>
        <v>Low</v>
      </c>
    </row>
    <row r="1491" spans="1:24" ht="15.75" customHeight="1">
      <c r="A1491" s="4" t="s">
        <v>3487</v>
      </c>
      <c r="B1491" s="9">
        <v>45890</v>
      </c>
      <c r="C1491" s="4" t="s">
        <v>223</v>
      </c>
      <c r="D1491" s="4" t="s">
        <v>1831</v>
      </c>
      <c r="E1491" s="4" t="s">
        <v>1927</v>
      </c>
      <c r="F1491" s="4">
        <v>2</v>
      </c>
      <c r="G1491" s="4">
        <v>709.17</v>
      </c>
      <c r="H1491" s="4">
        <v>0.22</v>
      </c>
      <c r="I1491" s="4" t="s">
        <v>1996</v>
      </c>
      <c r="J1491" s="10">
        <v>1106.3052</v>
      </c>
      <c r="K1491" s="4" t="str">
        <f t="shared" si="161"/>
        <v>21-08-2025</v>
      </c>
      <c r="L1491" s="4" t="str">
        <f>TEXT(Sales_Fact!$B1491,"mmm")</f>
        <v>Aug</v>
      </c>
      <c r="M1491" s="4">
        <f t="shared" si="162"/>
        <v>2</v>
      </c>
      <c r="N1491" s="10">
        <f t="shared" si="163"/>
        <v>709.17</v>
      </c>
      <c r="O1491" s="10">
        <f t="shared" si="164"/>
        <v>1106.3052</v>
      </c>
      <c r="P1491" s="10">
        <f t="shared" si="165"/>
        <v>1418.34</v>
      </c>
      <c r="Q1491" s="3">
        <f t="shared" si="166"/>
        <v>0.21999999999999995</v>
      </c>
      <c r="R1491" s="4" t="str">
        <f>IF(Sales_Fact!$O1491&gt;1000,"High","Low")</f>
        <v>High</v>
      </c>
      <c r="S1491" s="4" t="str">
        <f>VLOOKUP(C1491,Customer_Dim!$A:$N,9,FALSE())</f>
        <v>Sharon Brown</v>
      </c>
      <c r="T1491" s="4" t="str">
        <f>VLOOKUP(D1491,Product_Dim!$A:$M,3,FALSE())</f>
        <v>Clothing</v>
      </c>
      <c r="U1491" s="11" t="str">
        <f>VLOOKUP(D1491,Product_Dim!$A:$M,2,FALSE())</f>
        <v>Women's Ankle Boots</v>
      </c>
      <c r="V1491" s="11" t="str">
        <f>VLOOKUP(E1491,Store_Dim!$A:$E,3,FALSE())</f>
        <v>South</v>
      </c>
      <c r="W1491" s="11" t="str">
        <f>VLOOKUP(C1491,Customer_Dim!$A:$N,13,FALSE())</f>
        <v>Gold</v>
      </c>
      <c r="X1491" s="11" t="str">
        <f t="shared" si="167"/>
        <v>Low</v>
      </c>
    </row>
    <row r="1492" spans="1:24" ht="15.75" customHeight="1">
      <c r="A1492" s="4" t="s">
        <v>3488</v>
      </c>
      <c r="B1492" s="9">
        <v>45706</v>
      </c>
      <c r="C1492" s="4" t="s">
        <v>362</v>
      </c>
      <c r="D1492" s="4" t="s">
        <v>1723</v>
      </c>
      <c r="E1492" s="4" t="s">
        <v>1947</v>
      </c>
      <c r="F1492" s="4">
        <v>4</v>
      </c>
      <c r="G1492" s="4">
        <v>428.09</v>
      </c>
      <c r="H1492" s="4">
        <v>7.0000000000000007E-2</v>
      </c>
      <c r="I1492" s="4" t="s">
        <v>1996</v>
      </c>
      <c r="J1492" s="10">
        <v>1592.4947999999999</v>
      </c>
      <c r="K1492" s="4" t="str">
        <f t="shared" si="161"/>
        <v>18-02-2025</v>
      </c>
      <c r="L1492" s="4" t="str">
        <f>TEXT(Sales_Fact!$B1492,"mmm")</f>
        <v>Feb</v>
      </c>
      <c r="M1492" s="4">
        <f t="shared" si="162"/>
        <v>4</v>
      </c>
      <c r="N1492" s="10">
        <f t="shared" si="163"/>
        <v>428.09</v>
      </c>
      <c r="O1492" s="10">
        <f t="shared" si="164"/>
        <v>1592.4947999999997</v>
      </c>
      <c r="P1492" s="10">
        <f t="shared" si="165"/>
        <v>1712.36</v>
      </c>
      <c r="Q1492" s="3">
        <f t="shared" si="166"/>
        <v>7.0000000000000118E-2</v>
      </c>
      <c r="R1492" s="4" t="str">
        <f>IF(Sales_Fact!$O1492&gt;1000,"High","Low")</f>
        <v>High</v>
      </c>
      <c r="S1492" s="4" t="str">
        <f>VLOOKUP(C1492,Customer_Dim!$A:$N,9,FALSE())</f>
        <v>Amy Fowler</v>
      </c>
      <c r="T1492" s="4" t="str">
        <f>VLOOKUP(D1492,Product_Dim!$A:$M,3,FALSE())</f>
        <v>Electronics</v>
      </c>
      <c r="U1492" s="11" t="str">
        <f>VLOOKUP(D1492,Product_Dim!$A:$M,2,FALSE())</f>
        <v>Noise-Canceling Headphones</v>
      </c>
      <c r="V1492" s="11" t="str">
        <f>VLOOKUP(E1492,Store_Dim!$A:$E,3,FALSE())</f>
        <v>East</v>
      </c>
      <c r="W1492" s="11" t="str">
        <f>VLOOKUP(C1492,Customer_Dim!$A:$N,13,FALSE())</f>
        <v>Platinum</v>
      </c>
      <c r="X1492" s="11" t="str">
        <f t="shared" si="167"/>
        <v>High</v>
      </c>
    </row>
    <row r="1493" spans="1:24" ht="15.75" customHeight="1">
      <c r="A1493" s="4" t="s">
        <v>3489</v>
      </c>
      <c r="B1493" s="9">
        <v>45251</v>
      </c>
      <c r="C1493" s="4" t="s">
        <v>783</v>
      </c>
      <c r="D1493" s="4" t="s">
        <v>1879</v>
      </c>
      <c r="E1493" s="4" t="s">
        <v>1937</v>
      </c>
      <c r="F1493" s="4">
        <v>2</v>
      </c>
      <c r="G1493" s="4">
        <v>533.91999999999996</v>
      </c>
      <c r="H1493" s="4">
        <v>0.13</v>
      </c>
      <c r="I1493" s="4" t="s">
        <v>1996</v>
      </c>
      <c r="J1493" s="10">
        <v>929.02080000000001</v>
      </c>
      <c r="K1493" s="4" t="str">
        <f t="shared" si="161"/>
        <v>21-11-2023</v>
      </c>
      <c r="L1493" s="4" t="str">
        <f>TEXT(Sales_Fact!$B1493,"mmm")</f>
        <v>Nov</v>
      </c>
      <c r="M1493" s="4">
        <f t="shared" si="162"/>
        <v>2</v>
      </c>
      <c r="N1493" s="10">
        <f t="shared" si="163"/>
        <v>533.91999999999996</v>
      </c>
      <c r="O1493" s="10">
        <f t="shared" si="164"/>
        <v>929.02079999999989</v>
      </c>
      <c r="P1493" s="10">
        <f t="shared" si="165"/>
        <v>1067.8399999999999</v>
      </c>
      <c r="Q1493" s="3">
        <f t="shared" si="166"/>
        <v>0.13000000000000003</v>
      </c>
      <c r="R1493" s="4" t="str">
        <f>IF(Sales_Fact!$O1493&gt;1000,"High","Low")</f>
        <v>Low</v>
      </c>
      <c r="S1493" s="4" t="str">
        <f>VLOOKUP(C1493,Customer_Dim!$A:$N,9,FALSE())</f>
        <v>Jon Ortiz</v>
      </c>
      <c r="T1493" s="4" t="str">
        <f>VLOOKUP(D1493,Product_Dim!$A:$M,3,FALSE())</f>
        <v>Clothing</v>
      </c>
      <c r="U1493" s="11" t="str">
        <f>VLOOKUP(D1493,Product_Dim!$A:$M,2,FALSE())</f>
        <v>Women's High Heels</v>
      </c>
      <c r="V1493" s="11" t="str">
        <f>VLOOKUP(E1493,Store_Dim!$A:$E,3,FALSE())</f>
        <v>South</v>
      </c>
      <c r="W1493" s="11" t="str">
        <f>VLOOKUP(C1493,Customer_Dim!$A:$N,13,FALSE())</f>
        <v>Bronze</v>
      </c>
      <c r="X1493" s="11" t="str">
        <f t="shared" si="167"/>
        <v>Low</v>
      </c>
    </row>
    <row r="1494" spans="1:24" ht="15.75" customHeight="1">
      <c r="A1494" s="4" t="s">
        <v>3490</v>
      </c>
      <c r="B1494" s="9">
        <v>45695</v>
      </c>
      <c r="C1494" s="4" t="s">
        <v>1542</v>
      </c>
      <c r="D1494" s="4" t="s">
        <v>1729</v>
      </c>
      <c r="E1494" s="4" t="s">
        <v>1910</v>
      </c>
      <c r="F1494" s="4">
        <v>1</v>
      </c>
      <c r="G1494" s="4">
        <v>878.84</v>
      </c>
      <c r="H1494" s="4">
        <v>0.28000000000000003</v>
      </c>
      <c r="I1494" s="4" t="s">
        <v>2004</v>
      </c>
      <c r="J1494" s="10">
        <v>632.76480000000004</v>
      </c>
      <c r="K1494" s="4" t="str">
        <f t="shared" si="161"/>
        <v>07-02-2025</v>
      </c>
      <c r="L1494" s="4" t="str">
        <f>TEXT(Sales_Fact!$B1494,"mmm")</f>
        <v>Feb</v>
      </c>
      <c r="M1494" s="4">
        <f t="shared" si="162"/>
        <v>1</v>
      </c>
      <c r="N1494" s="10">
        <f t="shared" si="163"/>
        <v>878.84</v>
      </c>
      <c r="O1494" s="10">
        <f t="shared" si="164"/>
        <v>632.76480000000004</v>
      </c>
      <c r="P1494" s="10">
        <f t="shared" si="165"/>
        <v>878.84</v>
      </c>
      <c r="Q1494" s="3">
        <f t="shared" si="166"/>
        <v>0.27999999999999997</v>
      </c>
      <c r="R1494" s="4" t="str">
        <f>IF(Sales_Fact!$O1494&gt;1000,"High","Low")</f>
        <v>Low</v>
      </c>
      <c r="S1494" s="4" t="str">
        <f>VLOOKUP(C1494,Customer_Dim!$A:$N,9,FALSE())</f>
        <v>Darrell Miller</v>
      </c>
      <c r="T1494" s="4" t="str">
        <f>VLOOKUP(D1494,Product_Dim!$A:$M,3,FALSE())</f>
        <v>Electronics</v>
      </c>
      <c r="U1494" s="11" t="str">
        <f>VLOOKUP(D1494,Product_Dim!$A:$M,2,FALSE())</f>
        <v>Smart Home WiFi Camera</v>
      </c>
      <c r="V1494" s="11" t="str">
        <f>VLOOKUP(E1494,Store_Dim!$A:$E,3,FALSE())</f>
        <v>East</v>
      </c>
      <c r="W1494" s="11" t="str">
        <f>VLOOKUP(C1494,Customer_Dim!$A:$N,13,FALSE())</f>
        <v>Platinum</v>
      </c>
      <c r="X1494" s="11" t="str">
        <f t="shared" si="167"/>
        <v>Low</v>
      </c>
    </row>
    <row r="1495" spans="1:24" ht="15.75" customHeight="1">
      <c r="A1495" s="4" t="s">
        <v>3491</v>
      </c>
      <c r="B1495" s="9">
        <v>45287</v>
      </c>
      <c r="C1495" s="4" t="s">
        <v>691</v>
      </c>
      <c r="D1495" s="4" t="s">
        <v>1735</v>
      </c>
      <c r="E1495" s="4" t="s">
        <v>1962</v>
      </c>
      <c r="F1495" s="4">
        <v>1</v>
      </c>
      <c r="G1495" s="4">
        <v>442.36</v>
      </c>
      <c r="H1495" s="4">
        <v>0.14000000000000001</v>
      </c>
      <c r="I1495" s="4" t="s">
        <v>1996</v>
      </c>
      <c r="J1495" s="10">
        <v>380.42959999999999</v>
      </c>
      <c r="K1495" s="4" t="str">
        <f t="shared" si="161"/>
        <v>27-12-2023</v>
      </c>
      <c r="L1495" s="4" t="str">
        <f>TEXT(Sales_Fact!$B1495,"mmm")</f>
        <v>Dec</v>
      </c>
      <c r="M1495" s="4">
        <f t="shared" si="162"/>
        <v>1</v>
      </c>
      <c r="N1495" s="10">
        <f t="shared" si="163"/>
        <v>442.36</v>
      </c>
      <c r="O1495" s="10">
        <f t="shared" si="164"/>
        <v>380.42959999999999</v>
      </c>
      <c r="P1495" s="10">
        <f t="shared" si="165"/>
        <v>442.36</v>
      </c>
      <c r="Q1495" s="3">
        <f t="shared" si="166"/>
        <v>0.14000000000000004</v>
      </c>
      <c r="R1495" s="4" t="str">
        <f>IF(Sales_Fact!$O1495&gt;1000,"High","Low")</f>
        <v>Low</v>
      </c>
      <c r="S1495" s="4" t="str">
        <f>VLOOKUP(C1495,Customer_Dim!$A:$N,9,FALSE())</f>
        <v>Tiffany Herrera</v>
      </c>
      <c r="T1495" s="4" t="str">
        <f>VLOOKUP(D1495,Product_Dim!$A:$M,3,FALSE())</f>
        <v>Sports</v>
      </c>
      <c r="U1495" s="11" t="str">
        <f>VLOOKUP(D1495,Product_Dim!$A:$M,2,FALSE())</f>
        <v>Adjustable Jump Rope</v>
      </c>
      <c r="V1495" s="11" t="str">
        <f>VLOOKUP(E1495,Store_Dim!$A:$E,3,FALSE())</f>
        <v>West</v>
      </c>
      <c r="W1495" s="11" t="str">
        <f>VLOOKUP(C1495,Customer_Dim!$A:$N,13,FALSE())</f>
        <v>Platinum</v>
      </c>
      <c r="X1495" s="11" t="str">
        <f t="shared" si="167"/>
        <v>Low</v>
      </c>
    </row>
    <row r="1496" spans="1:24" ht="15.75" customHeight="1">
      <c r="A1496" s="4" t="s">
        <v>3492</v>
      </c>
      <c r="B1496" s="9">
        <v>45711</v>
      </c>
      <c r="C1496" s="4" t="s">
        <v>1075</v>
      </c>
      <c r="D1496" s="4" t="s">
        <v>1706</v>
      </c>
      <c r="E1496" s="4" t="s">
        <v>1934</v>
      </c>
      <c r="F1496" s="4">
        <v>1</v>
      </c>
      <c r="G1496" s="4">
        <v>763.34</v>
      </c>
      <c r="H1496" s="4">
        <v>0.11</v>
      </c>
      <c r="I1496" s="4" t="s">
        <v>2004</v>
      </c>
      <c r="J1496" s="10">
        <v>679.37260000000003</v>
      </c>
      <c r="K1496" s="4" t="str">
        <f t="shared" si="161"/>
        <v>23-02-2025</v>
      </c>
      <c r="L1496" s="4" t="str">
        <f>TEXT(Sales_Fact!$B1496,"mmm")</f>
        <v>Feb</v>
      </c>
      <c r="M1496" s="4">
        <f t="shared" si="162"/>
        <v>1</v>
      </c>
      <c r="N1496" s="10">
        <f t="shared" si="163"/>
        <v>763.34</v>
      </c>
      <c r="O1496" s="10">
        <f t="shared" si="164"/>
        <v>679.37260000000003</v>
      </c>
      <c r="P1496" s="10">
        <f t="shared" si="165"/>
        <v>763.34</v>
      </c>
      <c r="Q1496" s="3">
        <f t="shared" si="166"/>
        <v>0.10999999999999999</v>
      </c>
      <c r="R1496" s="4" t="str">
        <f>IF(Sales_Fact!$O1496&gt;1000,"High","Low")</f>
        <v>Low</v>
      </c>
      <c r="S1496" s="4" t="str">
        <f>VLOOKUP(C1496,Customer_Dim!$A:$N,9,FALSE())</f>
        <v>Teresa Johnson</v>
      </c>
      <c r="T1496" s="4" t="str">
        <f>VLOOKUP(D1496,Product_Dim!$A:$M,3,FALSE())</f>
        <v>Home</v>
      </c>
      <c r="U1496" s="11" t="str">
        <f>VLOOKUP(D1496,Product_Dim!$A:$M,2,FALSE())</f>
        <v>Bedroom Table Lamp</v>
      </c>
      <c r="V1496" s="11" t="str">
        <f>VLOOKUP(E1496,Store_Dim!$A:$E,3,FALSE())</f>
        <v>East</v>
      </c>
      <c r="W1496" s="11" t="str">
        <f>VLOOKUP(C1496,Customer_Dim!$A:$N,13,FALSE())</f>
        <v>Gold</v>
      </c>
      <c r="X1496" s="11" t="str">
        <f t="shared" si="167"/>
        <v>Low</v>
      </c>
    </row>
    <row r="1497" spans="1:24" ht="15.75" customHeight="1">
      <c r="A1497" s="4" t="s">
        <v>3493</v>
      </c>
      <c r="B1497" s="9">
        <v>45842</v>
      </c>
      <c r="C1497" s="4" t="s">
        <v>577</v>
      </c>
      <c r="D1497" s="4" t="s">
        <v>1782</v>
      </c>
      <c r="E1497" s="4" t="s">
        <v>1968</v>
      </c>
      <c r="F1497" s="4">
        <v>3</v>
      </c>
      <c r="G1497" s="4">
        <v>178.22</v>
      </c>
      <c r="H1497" s="4">
        <v>0.15</v>
      </c>
      <c r="I1497" s="4" t="s">
        <v>2004</v>
      </c>
      <c r="J1497" s="10">
        <v>454.46100000000001</v>
      </c>
      <c r="K1497" s="4" t="str">
        <f t="shared" si="161"/>
        <v>04-07-2025</v>
      </c>
      <c r="L1497" s="4" t="str">
        <f>TEXT(Sales_Fact!$B1497,"mmm")</f>
        <v>Jul</v>
      </c>
      <c r="M1497" s="4">
        <f t="shared" si="162"/>
        <v>3</v>
      </c>
      <c r="N1497" s="10">
        <f t="shared" si="163"/>
        <v>178.22</v>
      </c>
      <c r="O1497" s="10">
        <f t="shared" si="164"/>
        <v>454.46099999999996</v>
      </c>
      <c r="P1497" s="10">
        <f t="shared" si="165"/>
        <v>534.66</v>
      </c>
      <c r="Q1497" s="3">
        <f t="shared" si="166"/>
        <v>0.15000000000000002</v>
      </c>
      <c r="R1497" s="4" t="str">
        <f>IF(Sales_Fact!$O1497&gt;1000,"High","Low")</f>
        <v>Low</v>
      </c>
      <c r="S1497" s="4" t="str">
        <f>VLOOKUP(C1497,Customer_Dim!$A:$N,9,FALSE())</f>
        <v>Patricia Gardner</v>
      </c>
      <c r="T1497" s="4" t="str">
        <f>VLOOKUP(D1497,Product_Dim!$A:$M,3,FALSE())</f>
        <v>Beauty</v>
      </c>
      <c r="U1497" s="11" t="str">
        <f>VLOOKUP(D1497,Product_Dim!$A:$M,2,FALSE())</f>
        <v>Men's Hair Styling Gel</v>
      </c>
      <c r="V1497" s="11" t="str">
        <f>VLOOKUP(E1497,Store_Dim!$A:$E,3,FALSE())</f>
        <v>East</v>
      </c>
      <c r="W1497" s="11" t="str">
        <f>VLOOKUP(C1497,Customer_Dim!$A:$N,13,FALSE())</f>
        <v>Silver</v>
      </c>
      <c r="X1497" s="11" t="str">
        <f t="shared" si="167"/>
        <v>Low</v>
      </c>
    </row>
    <row r="1498" spans="1:24" ht="15.75" customHeight="1">
      <c r="A1498" s="4" t="s">
        <v>3494</v>
      </c>
      <c r="B1498" s="9">
        <v>45255</v>
      </c>
      <c r="C1498" s="4" t="s">
        <v>387</v>
      </c>
      <c r="D1498" s="4" t="s">
        <v>1678</v>
      </c>
      <c r="E1498" s="4" t="s">
        <v>1915</v>
      </c>
      <c r="F1498" s="4">
        <v>4</v>
      </c>
      <c r="G1498" s="4">
        <v>90.32</v>
      </c>
      <c r="H1498" s="4">
        <v>0.08</v>
      </c>
      <c r="I1498" s="4" t="s">
        <v>1998</v>
      </c>
      <c r="J1498" s="10">
        <v>332.37759999999997</v>
      </c>
      <c r="K1498" s="4" t="str">
        <f t="shared" si="161"/>
        <v>25-11-2023</v>
      </c>
      <c r="L1498" s="4" t="str">
        <f>TEXT(Sales_Fact!$B1498,"mmm")</f>
        <v>Nov</v>
      </c>
      <c r="M1498" s="4">
        <f t="shared" si="162"/>
        <v>4</v>
      </c>
      <c r="N1498" s="10">
        <f t="shared" si="163"/>
        <v>90.32</v>
      </c>
      <c r="O1498" s="10">
        <f t="shared" si="164"/>
        <v>332.37759999999997</v>
      </c>
      <c r="P1498" s="10">
        <f t="shared" si="165"/>
        <v>361.28</v>
      </c>
      <c r="Q1498" s="3">
        <f t="shared" si="166"/>
        <v>0.08</v>
      </c>
      <c r="R1498" s="4" t="str">
        <f>IF(Sales_Fact!$O1498&gt;1000,"High","Low")</f>
        <v>Low</v>
      </c>
      <c r="S1498" s="4" t="str">
        <f>VLOOKUP(C1498,Customer_Dim!$A:$N,9,FALSE())</f>
        <v>Steven Stein</v>
      </c>
      <c r="T1498" s="4" t="str">
        <f>VLOOKUP(D1498,Product_Dim!$A:$M,3,FALSE())</f>
        <v>Electronics</v>
      </c>
      <c r="U1498" s="11" t="str">
        <f>VLOOKUP(D1498,Product_Dim!$A:$M,2,FALSE())</f>
        <v>Wireless Bluetooth Speaker</v>
      </c>
      <c r="V1498" s="11" t="str">
        <f>VLOOKUP(E1498,Store_Dim!$A:$E,3,FALSE())</f>
        <v>North</v>
      </c>
      <c r="W1498" s="11" t="str">
        <f>VLOOKUP(C1498,Customer_Dim!$A:$N,13,FALSE())</f>
        <v>Bronze</v>
      </c>
      <c r="X1498" s="11" t="str">
        <f t="shared" si="167"/>
        <v>High</v>
      </c>
    </row>
    <row r="1499" spans="1:24" ht="15.75" customHeight="1">
      <c r="A1499" s="4" t="s">
        <v>3495</v>
      </c>
      <c r="B1499" s="9">
        <v>45695</v>
      </c>
      <c r="C1499" s="4" t="s">
        <v>1210</v>
      </c>
      <c r="D1499" s="4" t="s">
        <v>1622</v>
      </c>
      <c r="E1499" s="4" t="s">
        <v>1934</v>
      </c>
      <c r="F1499" s="4">
        <v>3</v>
      </c>
      <c r="G1499" s="4">
        <v>370.93</v>
      </c>
      <c r="H1499" s="4">
        <v>0</v>
      </c>
      <c r="I1499" s="4" t="s">
        <v>1996</v>
      </c>
      <c r="J1499" s="10">
        <v>1112.79</v>
      </c>
      <c r="K1499" s="4" t="str">
        <f t="shared" si="161"/>
        <v>07-02-2025</v>
      </c>
      <c r="L1499" s="4" t="str">
        <f>TEXT(Sales_Fact!$B1499,"mmm")</f>
        <v>Feb</v>
      </c>
      <c r="M1499" s="4">
        <f t="shared" si="162"/>
        <v>3</v>
      </c>
      <c r="N1499" s="10">
        <f t="shared" si="163"/>
        <v>370.93</v>
      </c>
      <c r="O1499" s="10">
        <f t="shared" si="164"/>
        <v>1112.79</v>
      </c>
      <c r="P1499" s="10">
        <f t="shared" si="165"/>
        <v>1112.79</v>
      </c>
      <c r="Q1499" s="3">
        <f t="shared" si="166"/>
        <v>0</v>
      </c>
      <c r="R1499" s="4" t="str">
        <f>IF(Sales_Fact!$O1499&gt;1000,"High","Low")</f>
        <v>High</v>
      </c>
      <c r="S1499" s="4" t="str">
        <f>VLOOKUP(C1499,Customer_Dim!$A:$N,9,FALSE())</f>
        <v>Frank Stewart</v>
      </c>
      <c r="T1499" s="4" t="str">
        <f>VLOOKUP(D1499,Product_Dim!$A:$M,3,FALSE())</f>
        <v>Home</v>
      </c>
      <c r="U1499" s="11" t="str">
        <f>VLOOKUP(D1499,Product_Dim!$A:$M,2,FALSE())</f>
        <v>Ceramic Kitchen Bowl Set</v>
      </c>
      <c r="V1499" s="11" t="str">
        <f>VLOOKUP(E1499,Store_Dim!$A:$E,3,FALSE())</f>
        <v>East</v>
      </c>
      <c r="W1499" s="11" t="str">
        <f>VLOOKUP(C1499,Customer_Dim!$A:$N,13,FALSE())</f>
        <v>Bronze</v>
      </c>
      <c r="X1499" s="11" t="str">
        <f t="shared" si="167"/>
        <v>Low</v>
      </c>
    </row>
    <row r="1500" spans="1:24" ht="15.75" customHeight="1">
      <c r="A1500" s="4" t="s">
        <v>3496</v>
      </c>
      <c r="B1500" s="9">
        <v>45281</v>
      </c>
      <c r="C1500" s="4" t="s">
        <v>199</v>
      </c>
      <c r="D1500" s="4" t="s">
        <v>1668</v>
      </c>
      <c r="E1500" s="4" t="s">
        <v>1959</v>
      </c>
      <c r="F1500" s="4">
        <v>1</v>
      </c>
      <c r="G1500" s="4">
        <v>352.43</v>
      </c>
      <c r="H1500" s="4">
        <v>0.14000000000000001</v>
      </c>
      <c r="I1500" s="4" t="s">
        <v>1998</v>
      </c>
      <c r="J1500" s="10">
        <v>303.08980000000003</v>
      </c>
      <c r="K1500" s="4" t="str">
        <f t="shared" si="161"/>
        <v>21-12-2023</v>
      </c>
      <c r="L1500" s="4" t="str">
        <f>TEXT(Sales_Fact!$B1500,"mmm")</f>
        <v>Dec</v>
      </c>
      <c r="M1500" s="4">
        <f t="shared" si="162"/>
        <v>1</v>
      </c>
      <c r="N1500" s="10">
        <f t="shared" si="163"/>
        <v>352.43</v>
      </c>
      <c r="O1500" s="10">
        <f t="shared" si="164"/>
        <v>303.08980000000003</v>
      </c>
      <c r="P1500" s="10">
        <f t="shared" si="165"/>
        <v>352.43</v>
      </c>
      <c r="Q1500" s="3">
        <f t="shared" si="166"/>
        <v>0.13999999999999996</v>
      </c>
      <c r="R1500" s="4" t="str">
        <f>IF(Sales_Fact!$O1500&gt;1000,"High","Low")</f>
        <v>Low</v>
      </c>
      <c r="S1500" s="4" t="str">
        <f>VLOOKUP(C1500,Customer_Dim!$A:$N,9,FALSE())</f>
        <v>Michelle Garcia Dds</v>
      </c>
      <c r="T1500" s="4" t="str">
        <f>VLOOKUP(D1500,Product_Dim!$A:$M,3,FALSE())</f>
        <v>Clothing</v>
      </c>
      <c r="U1500" s="11" t="str">
        <f>VLOOKUP(D1500,Product_Dim!$A:$M,2,FALSE())</f>
        <v>Men's Formal Shirt</v>
      </c>
      <c r="V1500" s="11" t="str">
        <f>VLOOKUP(E1500,Store_Dim!$A:$E,3,FALSE())</f>
        <v>North</v>
      </c>
      <c r="W1500" s="11" t="str">
        <f>VLOOKUP(C1500,Customer_Dim!$A:$N,13,FALSE())</f>
        <v>Platinum</v>
      </c>
      <c r="X1500" s="11" t="str">
        <f t="shared" si="167"/>
        <v>Low</v>
      </c>
    </row>
    <row r="1501" spans="1:24" ht="15.75" customHeight="1">
      <c r="A1501" s="4" t="s">
        <v>3497</v>
      </c>
      <c r="B1501" s="9">
        <v>45295</v>
      </c>
      <c r="C1501" s="4" t="s">
        <v>447</v>
      </c>
      <c r="D1501" s="4" t="s">
        <v>1629</v>
      </c>
      <c r="E1501" s="4" t="s">
        <v>1959</v>
      </c>
      <c r="F1501" s="4">
        <v>2</v>
      </c>
      <c r="G1501" s="4">
        <v>562.97</v>
      </c>
      <c r="H1501" s="4">
        <v>0.2</v>
      </c>
      <c r="I1501" s="4" t="s">
        <v>1996</v>
      </c>
      <c r="J1501" s="10">
        <v>900.75199999999995</v>
      </c>
      <c r="K1501" s="4" t="str">
        <f t="shared" si="161"/>
        <v>04-01-2024</v>
      </c>
      <c r="L1501" s="4" t="str">
        <f>TEXT(Sales_Fact!$B1501,"mmm")</f>
        <v>Jan</v>
      </c>
      <c r="M1501" s="4">
        <f t="shared" si="162"/>
        <v>2</v>
      </c>
      <c r="N1501" s="10">
        <f t="shared" si="163"/>
        <v>562.97</v>
      </c>
      <c r="O1501" s="10">
        <f t="shared" si="164"/>
        <v>900.75200000000007</v>
      </c>
      <c r="P1501" s="10">
        <f t="shared" si="165"/>
        <v>1125.94</v>
      </c>
      <c r="Q1501" s="3">
        <f t="shared" si="166"/>
        <v>0.19999999999999998</v>
      </c>
      <c r="R1501" s="4" t="str">
        <f>IF(Sales_Fact!$O1501&gt;1000,"High","Low")</f>
        <v>Low</v>
      </c>
      <c r="S1501" s="4" t="str">
        <f>VLOOKUP(C1501,Customer_Dim!$A:$N,9,FALSE())</f>
        <v>Erin Hopkins</v>
      </c>
      <c r="T1501" s="4" t="str">
        <f>VLOOKUP(D1501,Product_Dim!$A:$M,3,FALSE())</f>
        <v>Beauty</v>
      </c>
      <c r="U1501" s="11" t="str">
        <f>VLOOKUP(D1501,Product_Dim!$A:$M,2,FALSE())</f>
        <v>Hair Strengthening Shampoo</v>
      </c>
      <c r="V1501" s="11" t="str">
        <f>VLOOKUP(E1501,Store_Dim!$A:$E,3,FALSE())</f>
        <v>North</v>
      </c>
      <c r="W1501" s="11" t="str">
        <f>VLOOKUP(C1501,Customer_Dim!$A:$N,13,FALSE())</f>
        <v>Silver</v>
      </c>
      <c r="X1501" s="11" t="str">
        <f t="shared" si="167"/>
        <v>Low</v>
      </c>
    </row>
    <row r="1502" spans="1:24" ht="15.75" customHeight="1">
      <c r="A1502" s="4" t="s">
        <v>3498</v>
      </c>
      <c r="B1502" s="9">
        <v>45260</v>
      </c>
      <c r="C1502" s="4" t="s">
        <v>550</v>
      </c>
      <c r="D1502" s="4" t="s">
        <v>1770</v>
      </c>
      <c r="E1502" s="4" t="s">
        <v>1937</v>
      </c>
      <c r="F1502" s="4">
        <v>1</v>
      </c>
      <c r="G1502" s="4">
        <v>522.85</v>
      </c>
      <c r="H1502" s="4">
        <v>0.12</v>
      </c>
      <c r="I1502" s="4" t="s">
        <v>1998</v>
      </c>
      <c r="J1502" s="10">
        <v>460.108</v>
      </c>
      <c r="K1502" s="4" t="str">
        <f t="shared" si="161"/>
        <v>30-11-2023</v>
      </c>
      <c r="L1502" s="4" t="str">
        <f>TEXT(Sales_Fact!$B1502,"mmm")</f>
        <v>Nov</v>
      </c>
      <c r="M1502" s="4">
        <f t="shared" si="162"/>
        <v>1</v>
      </c>
      <c r="N1502" s="10">
        <f t="shared" si="163"/>
        <v>522.85</v>
      </c>
      <c r="O1502" s="10">
        <f t="shared" si="164"/>
        <v>460.108</v>
      </c>
      <c r="P1502" s="10">
        <f t="shared" si="165"/>
        <v>522.85</v>
      </c>
      <c r="Q1502" s="3">
        <f t="shared" si="166"/>
        <v>0.12000000000000004</v>
      </c>
      <c r="R1502" s="4" t="str">
        <f>IF(Sales_Fact!$O1502&gt;1000,"High","Low")</f>
        <v>Low</v>
      </c>
      <c r="S1502" s="4" t="str">
        <f>VLOOKUP(C1502,Customer_Dim!$A:$N,9,FALSE())</f>
        <v>Paul Zamora</v>
      </c>
      <c r="T1502" s="4" t="str">
        <f>VLOOKUP(D1502,Product_Dim!$A:$M,3,FALSE())</f>
        <v>Home</v>
      </c>
      <c r="U1502" s="11" t="str">
        <f>VLOOKUP(D1502,Product_Dim!$A:$M,2,FALSE())</f>
        <v>Ceramic Plant Pot</v>
      </c>
      <c r="V1502" s="11" t="str">
        <f>VLOOKUP(E1502,Store_Dim!$A:$E,3,FALSE())</f>
        <v>South</v>
      </c>
      <c r="W1502" s="11" t="str">
        <f>VLOOKUP(C1502,Customer_Dim!$A:$N,13,FALSE())</f>
        <v>Platinum</v>
      </c>
      <c r="X1502" s="11" t="str">
        <f t="shared" si="167"/>
        <v>Low</v>
      </c>
    </row>
    <row r="1503" spans="1:24" ht="15.75" customHeight="1">
      <c r="A1503" s="4" t="s">
        <v>3499</v>
      </c>
      <c r="B1503" s="9">
        <v>45589</v>
      </c>
      <c r="C1503" s="4" t="s">
        <v>1321</v>
      </c>
      <c r="D1503" s="4" t="s">
        <v>1751</v>
      </c>
      <c r="E1503" s="4" t="s">
        <v>1950</v>
      </c>
      <c r="F1503" s="4">
        <v>2</v>
      </c>
      <c r="G1503" s="4">
        <v>559.71</v>
      </c>
      <c r="H1503" s="4">
        <v>0.3</v>
      </c>
      <c r="I1503" s="4" t="s">
        <v>2004</v>
      </c>
      <c r="J1503" s="10">
        <v>783.59400000000005</v>
      </c>
      <c r="K1503" s="4" t="str">
        <f t="shared" si="161"/>
        <v>24-10-2024</v>
      </c>
      <c r="L1503" s="4" t="str">
        <f>TEXT(Sales_Fact!$B1503,"mmm")</f>
        <v>Oct</v>
      </c>
      <c r="M1503" s="4">
        <f t="shared" si="162"/>
        <v>2</v>
      </c>
      <c r="N1503" s="10">
        <f t="shared" si="163"/>
        <v>559.71</v>
      </c>
      <c r="O1503" s="10">
        <f t="shared" si="164"/>
        <v>783.59400000000005</v>
      </c>
      <c r="P1503" s="10">
        <f t="shared" si="165"/>
        <v>1119.42</v>
      </c>
      <c r="Q1503" s="3">
        <f t="shared" si="166"/>
        <v>0.3</v>
      </c>
      <c r="R1503" s="4" t="str">
        <f>IF(Sales_Fact!$O1503&gt;1000,"High","Low")</f>
        <v>Low</v>
      </c>
      <c r="S1503" s="4" t="str">
        <f>VLOOKUP(C1503,Customer_Dim!$A:$N,9,FALSE())</f>
        <v>Jennifer Myers</v>
      </c>
      <c r="T1503" s="4" t="str">
        <f>VLOOKUP(D1503,Product_Dim!$A:$M,3,FALSE())</f>
        <v>Beauty</v>
      </c>
      <c r="U1503" s="11" t="str">
        <f>VLOOKUP(D1503,Product_Dim!$A:$M,2,FALSE())</f>
        <v>Men's Roll-On Perfume</v>
      </c>
      <c r="V1503" s="11" t="str">
        <f>VLOOKUP(E1503,Store_Dim!$A:$E,3,FALSE())</f>
        <v>South</v>
      </c>
      <c r="W1503" s="11" t="str">
        <f>VLOOKUP(C1503,Customer_Dim!$A:$N,13,FALSE())</f>
        <v>Platinum</v>
      </c>
      <c r="X1503" s="11" t="str">
        <f t="shared" si="167"/>
        <v>Low</v>
      </c>
    </row>
    <row r="1504" spans="1:24" ht="15.75" customHeight="1">
      <c r="A1504" s="4" t="s">
        <v>3500</v>
      </c>
      <c r="B1504" s="9">
        <v>45851</v>
      </c>
      <c r="C1504" s="4" t="s">
        <v>1123</v>
      </c>
      <c r="D1504" s="4" t="s">
        <v>1661</v>
      </c>
      <c r="E1504" s="4" t="s">
        <v>1962</v>
      </c>
      <c r="F1504" s="4">
        <v>4</v>
      </c>
      <c r="G1504" s="4">
        <v>714.89</v>
      </c>
      <c r="H1504" s="4">
        <v>0.15</v>
      </c>
      <c r="I1504" s="4" t="s">
        <v>1996</v>
      </c>
      <c r="J1504" s="10">
        <v>2430.6260000000002</v>
      </c>
      <c r="K1504" s="4" t="str">
        <f t="shared" si="161"/>
        <v>13-07-2025</v>
      </c>
      <c r="L1504" s="4" t="str">
        <f>TEXT(Sales_Fact!$B1504,"mmm")</f>
        <v>Jul</v>
      </c>
      <c r="M1504" s="4">
        <f t="shared" si="162"/>
        <v>4</v>
      </c>
      <c r="N1504" s="10">
        <f t="shared" si="163"/>
        <v>714.89</v>
      </c>
      <c r="O1504" s="10">
        <f t="shared" si="164"/>
        <v>2430.6259999999997</v>
      </c>
      <c r="P1504" s="10">
        <f t="shared" si="165"/>
        <v>2859.56</v>
      </c>
      <c r="Q1504" s="3">
        <f t="shared" si="166"/>
        <v>0.15000000000000008</v>
      </c>
      <c r="R1504" s="4" t="str">
        <f>IF(Sales_Fact!$O1504&gt;1000,"High","Low")</f>
        <v>High</v>
      </c>
      <c r="S1504" s="4" t="str">
        <f>VLOOKUP(C1504,Customer_Dim!$A:$N,9,FALSE())</f>
        <v>Heather Valenzuela</v>
      </c>
      <c r="T1504" s="4" t="str">
        <f>VLOOKUP(D1504,Product_Dim!$A:$M,3,FALSE())</f>
        <v>Home</v>
      </c>
      <c r="U1504" s="11" t="str">
        <f>VLOOKUP(D1504,Product_Dim!$A:$M,2,FALSE())</f>
        <v>Multi-Purpose Storage Box</v>
      </c>
      <c r="V1504" s="11" t="str">
        <f>VLOOKUP(E1504,Store_Dim!$A:$E,3,FALSE())</f>
        <v>West</v>
      </c>
      <c r="W1504" s="11" t="str">
        <f>VLOOKUP(C1504,Customer_Dim!$A:$N,13,FALSE())</f>
        <v>Bronze</v>
      </c>
      <c r="X1504" s="11" t="str">
        <f t="shared" si="167"/>
        <v>High</v>
      </c>
    </row>
    <row r="1505" spans="1:24" ht="15.75" customHeight="1">
      <c r="A1505" s="4" t="s">
        <v>3501</v>
      </c>
      <c r="B1505" s="9">
        <v>45222</v>
      </c>
      <c r="C1505" s="4" t="s">
        <v>641</v>
      </c>
      <c r="D1505" s="4" t="s">
        <v>1732</v>
      </c>
      <c r="E1505" s="4" t="s">
        <v>1919</v>
      </c>
      <c r="F1505" s="4">
        <v>3</v>
      </c>
      <c r="G1505" s="4">
        <v>137.77000000000001</v>
      </c>
      <c r="H1505" s="4">
        <v>0.26</v>
      </c>
      <c r="I1505" s="4" t="s">
        <v>1998</v>
      </c>
      <c r="J1505" s="10">
        <v>305.8494</v>
      </c>
      <c r="K1505" s="4" t="str">
        <f t="shared" si="161"/>
        <v>23-10-2023</v>
      </c>
      <c r="L1505" s="4" t="str">
        <f>TEXT(Sales_Fact!$B1505,"mmm")</f>
        <v>Oct</v>
      </c>
      <c r="M1505" s="4">
        <f t="shared" si="162"/>
        <v>3</v>
      </c>
      <c r="N1505" s="10">
        <f t="shared" si="163"/>
        <v>137.77000000000001</v>
      </c>
      <c r="O1505" s="10">
        <f t="shared" si="164"/>
        <v>305.84940000000006</v>
      </c>
      <c r="P1505" s="10">
        <f t="shared" si="165"/>
        <v>413.31000000000006</v>
      </c>
      <c r="Q1505" s="3">
        <f t="shared" si="166"/>
        <v>0.25999999999999995</v>
      </c>
      <c r="R1505" s="4" t="str">
        <f>IF(Sales_Fact!$O1505&gt;1000,"High","Low")</f>
        <v>Low</v>
      </c>
      <c r="S1505" s="4" t="str">
        <f>VLOOKUP(C1505,Customer_Dim!$A:$N,9,FALSE())</f>
        <v>Dr. Suzanne Bullock</v>
      </c>
      <c r="T1505" s="4" t="str">
        <f>VLOOKUP(D1505,Product_Dim!$A:$M,3,FALSE())</f>
        <v>Electronics</v>
      </c>
      <c r="U1505" s="11" t="str">
        <f>VLOOKUP(D1505,Product_Dim!$A:$M,2,FALSE())</f>
        <v>USB External Hard Drive</v>
      </c>
      <c r="V1505" s="11" t="str">
        <f>VLOOKUP(E1505,Store_Dim!$A:$E,3,FALSE())</f>
        <v>South</v>
      </c>
      <c r="W1505" s="11" t="str">
        <f>VLOOKUP(C1505,Customer_Dim!$A:$N,13,FALSE())</f>
        <v>Platinum</v>
      </c>
      <c r="X1505" s="11" t="str">
        <f t="shared" si="167"/>
        <v>Low</v>
      </c>
    </row>
    <row r="1506" spans="1:24" ht="15.75" customHeight="1">
      <c r="A1506" s="4" t="s">
        <v>3502</v>
      </c>
      <c r="B1506" s="9">
        <v>45940</v>
      </c>
      <c r="C1506" s="4" t="s">
        <v>135</v>
      </c>
      <c r="D1506" s="4" t="s">
        <v>1882</v>
      </c>
      <c r="E1506" s="4" t="s">
        <v>1950</v>
      </c>
      <c r="F1506" s="4">
        <v>3</v>
      </c>
      <c r="G1506" s="4">
        <v>862.18</v>
      </c>
      <c r="H1506" s="4">
        <v>0.22</v>
      </c>
      <c r="I1506" s="4" t="s">
        <v>1998</v>
      </c>
      <c r="J1506" s="10">
        <v>2017.5011999999999</v>
      </c>
      <c r="K1506" s="4" t="str">
        <f t="shared" si="161"/>
        <v>10-10-2025</v>
      </c>
      <c r="L1506" s="4" t="str">
        <f>TEXT(Sales_Fact!$B1506,"mmm")</f>
        <v>Oct</v>
      </c>
      <c r="M1506" s="4">
        <f t="shared" si="162"/>
        <v>3</v>
      </c>
      <c r="N1506" s="10">
        <f t="shared" si="163"/>
        <v>862.18</v>
      </c>
      <c r="O1506" s="10">
        <f t="shared" si="164"/>
        <v>2017.5012000000002</v>
      </c>
      <c r="P1506" s="10">
        <f t="shared" si="165"/>
        <v>2586.54</v>
      </c>
      <c r="Q1506" s="3">
        <f t="shared" si="166"/>
        <v>0.21999999999999992</v>
      </c>
      <c r="R1506" s="4" t="str">
        <f>IF(Sales_Fact!$O1506&gt;1000,"High","Low")</f>
        <v>High</v>
      </c>
      <c r="S1506" s="4" t="str">
        <f>VLOOKUP(C1506,Customer_Dim!$A:$N,9,FALSE())</f>
        <v>Leslie Johnson</v>
      </c>
      <c r="T1506" s="4" t="str">
        <f>VLOOKUP(D1506,Product_Dim!$A:$M,3,FALSE())</f>
        <v>Home</v>
      </c>
      <c r="U1506" s="11" t="str">
        <f>VLOOKUP(D1506,Product_Dim!$A:$M,2,FALSE())</f>
        <v>Microwave Oven</v>
      </c>
      <c r="V1506" s="11" t="str">
        <f>VLOOKUP(E1506,Store_Dim!$A:$E,3,FALSE())</f>
        <v>South</v>
      </c>
      <c r="W1506" s="11" t="str">
        <f>VLOOKUP(C1506,Customer_Dim!$A:$N,13,FALSE())</f>
        <v>Standard</v>
      </c>
      <c r="X1506" s="11" t="str">
        <f t="shared" si="167"/>
        <v>Low</v>
      </c>
    </row>
    <row r="1507" spans="1:24" ht="15.75" customHeight="1">
      <c r="A1507" s="4" t="s">
        <v>3503</v>
      </c>
      <c r="B1507" s="9">
        <v>45822</v>
      </c>
      <c r="C1507" s="4" t="s">
        <v>235</v>
      </c>
      <c r="D1507" s="4" t="s">
        <v>1716</v>
      </c>
      <c r="E1507" s="4" t="s">
        <v>1957</v>
      </c>
      <c r="F1507" s="4">
        <v>2</v>
      </c>
      <c r="G1507" s="4">
        <v>833.64</v>
      </c>
      <c r="H1507" s="4">
        <v>0.24</v>
      </c>
      <c r="I1507" s="4" t="s">
        <v>1998</v>
      </c>
      <c r="J1507" s="10">
        <v>1267.1328000000001</v>
      </c>
      <c r="K1507" s="4" t="str">
        <f t="shared" si="161"/>
        <v>14-06-2025</v>
      </c>
      <c r="L1507" s="4" t="str">
        <f>TEXT(Sales_Fact!$B1507,"mmm")</f>
        <v>Jun</v>
      </c>
      <c r="M1507" s="4">
        <f t="shared" si="162"/>
        <v>2</v>
      </c>
      <c r="N1507" s="10">
        <f t="shared" si="163"/>
        <v>833.64</v>
      </c>
      <c r="O1507" s="10">
        <f t="shared" si="164"/>
        <v>1267.1328000000001</v>
      </c>
      <c r="P1507" s="10">
        <f t="shared" si="165"/>
        <v>1667.28</v>
      </c>
      <c r="Q1507" s="3">
        <f t="shared" si="166"/>
        <v>0.23999999999999994</v>
      </c>
      <c r="R1507" s="4" t="str">
        <f>IF(Sales_Fact!$O1507&gt;1000,"High","Low")</f>
        <v>High</v>
      </c>
      <c r="S1507" s="4" t="str">
        <f>VLOOKUP(C1507,Customer_Dim!$A:$N,9,FALSE())</f>
        <v>Jay Patel</v>
      </c>
      <c r="T1507" s="4" t="str">
        <f>VLOOKUP(D1507,Product_Dim!$A:$M,3,FALSE())</f>
        <v>Sports</v>
      </c>
      <c r="U1507" s="11" t="str">
        <f>VLOOKUP(D1507,Product_Dim!$A:$M,2,FALSE())</f>
        <v>Sports Water Hydration Pack</v>
      </c>
      <c r="V1507" s="11" t="str">
        <f>VLOOKUP(E1507,Store_Dim!$A:$E,3,FALSE())</f>
        <v>South</v>
      </c>
      <c r="W1507" s="11" t="str">
        <f>VLOOKUP(C1507,Customer_Dim!$A:$N,13,FALSE())</f>
        <v>Platinum</v>
      </c>
      <c r="X1507" s="11" t="str">
        <f t="shared" si="167"/>
        <v>Low</v>
      </c>
    </row>
    <row r="1508" spans="1:24" ht="15.75" customHeight="1">
      <c r="A1508" s="4" t="s">
        <v>3504</v>
      </c>
      <c r="B1508" s="9">
        <v>45752</v>
      </c>
      <c r="C1508" s="4" t="s">
        <v>888</v>
      </c>
      <c r="D1508" s="4" t="s">
        <v>1654</v>
      </c>
      <c r="E1508" s="4" t="s">
        <v>1959</v>
      </c>
      <c r="F1508" s="4">
        <v>3</v>
      </c>
      <c r="G1508" s="4">
        <v>543.22</v>
      </c>
      <c r="H1508" s="4">
        <v>0.05</v>
      </c>
      <c r="I1508" s="4" t="s">
        <v>2004</v>
      </c>
      <c r="J1508" s="10">
        <v>1548.1769999999999</v>
      </c>
      <c r="K1508" s="4" t="str">
        <f t="shared" si="161"/>
        <v>05-04-2025</v>
      </c>
      <c r="L1508" s="4" t="str">
        <f>TEXT(Sales_Fact!$B1508,"mmm")</f>
        <v>Apr</v>
      </c>
      <c r="M1508" s="4">
        <f t="shared" si="162"/>
        <v>3</v>
      </c>
      <c r="N1508" s="10">
        <f t="shared" si="163"/>
        <v>543.22</v>
      </c>
      <c r="O1508" s="10">
        <f t="shared" si="164"/>
        <v>1548.1769999999999</v>
      </c>
      <c r="P1508" s="10">
        <f t="shared" si="165"/>
        <v>1629.66</v>
      </c>
      <c r="Q1508" s="3">
        <f t="shared" si="166"/>
        <v>5.0000000000000107E-2</v>
      </c>
      <c r="R1508" s="4" t="str">
        <f>IF(Sales_Fact!$O1508&gt;1000,"High","Low")</f>
        <v>High</v>
      </c>
      <c r="S1508" s="4" t="str">
        <f>VLOOKUP(C1508,Customer_Dim!$A:$N,9,FALSE())</f>
        <v>Brian Garcia</v>
      </c>
      <c r="T1508" s="4" t="str">
        <f>VLOOKUP(D1508,Product_Dim!$A:$M,3,FALSE())</f>
        <v>Sports</v>
      </c>
      <c r="U1508" s="11" t="str">
        <f>VLOOKUP(D1508,Product_Dim!$A:$M,2,FALSE())</f>
        <v>Knee Support Brace</v>
      </c>
      <c r="V1508" s="11" t="str">
        <f>VLOOKUP(E1508,Store_Dim!$A:$E,3,FALSE())</f>
        <v>North</v>
      </c>
      <c r="W1508" s="11" t="str">
        <f>VLOOKUP(C1508,Customer_Dim!$A:$N,13,FALSE())</f>
        <v>Gold</v>
      </c>
      <c r="X1508" s="11" t="str">
        <f t="shared" si="167"/>
        <v>Low</v>
      </c>
    </row>
    <row r="1509" spans="1:24" ht="15.75" customHeight="1">
      <c r="A1509" s="4" t="s">
        <v>3505</v>
      </c>
      <c r="B1509" s="9">
        <v>45677</v>
      </c>
      <c r="C1509" s="4" t="s">
        <v>912</v>
      </c>
      <c r="D1509" s="4" t="s">
        <v>1870</v>
      </c>
      <c r="E1509" s="4" t="s">
        <v>1919</v>
      </c>
      <c r="F1509" s="4">
        <v>3</v>
      </c>
      <c r="G1509" s="4">
        <v>691.02</v>
      </c>
      <c r="H1509" s="4">
        <v>0.12</v>
      </c>
      <c r="I1509" s="4" t="s">
        <v>2004</v>
      </c>
      <c r="J1509" s="10">
        <v>1824.2927999999999</v>
      </c>
      <c r="K1509" s="4" t="str">
        <f t="shared" si="161"/>
        <v>20-01-2025</v>
      </c>
      <c r="L1509" s="4" t="str">
        <f>TEXT(Sales_Fact!$B1509,"mmm")</f>
        <v>Jan</v>
      </c>
      <c r="M1509" s="4">
        <f t="shared" si="162"/>
        <v>3</v>
      </c>
      <c r="N1509" s="10">
        <f t="shared" si="163"/>
        <v>691.02</v>
      </c>
      <c r="O1509" s="10">
        <f t="shared" si="164"/>
        <v>1824.2927999999999</v>
      </c>
      <c r="P1509" s="10">
        <f t="shared" si="165"/>
        <v>2073.06</v>
      </c>
      <c r="Q1509" s="3">
        <f t="shared" si="166"/>
        <v>0.12000000000000001</v>
      </c>
      <c r="R1509" s="4" t="str">
        <f>IF(Sales_Fact!$O1509&gt;1000,"High","Low")</f>
        <v>High</v>
      </c>
      <c r="S1509" s="4" t="str">
        <f>VLOOKUP(C1509,Customer_Dim!$A:$N,9,FALSE())</f>
        <v>Stephen Fowler</v>
      </c>
      <c r="T1509" s="4" t="str">
        <f>VLOOKUP(D1509,Product_Dim!$A:$M,3,FALSE())</f>
        <v>Sports</v>
      </c>
      <c r="U1509" s="11" t="str">
        <f>VLOOKUP(D1509,Product_Dim!$A:$M,2,FALSE())</f>
        <v>Sports Wrist Sweatbands</v>
      </c>
      <c r="V1509" s="11" t="str">
        <f>VLOOKUP(E1509,Store_Dim!$A:$E,3,FALSE())</f>
        <v>South</v>
      </c>
      <c r="W1509" s="11" t="str">
        <f>VLOOKUP(C1509,Customer_Dim!$A:$N,13,FALSE())</f>
        <v>Platinum</v>
      </c>
      <c r="X1509" s="11" t="str">
        <f t="shared" si="167"/>
        <v>Low</v>
      </c>
    </row>
    <row r="1510" spans="1:24" ht="15.75" customHeight="1">
      <c r="A1510" s="4" t="s">
        <v>3506</v>
      </c>
      <c r="B1510" s="9">
        <v>45253</v>
      </c>
      <c r="C1510" s="4" t="s">
        <v>335</v>
      </c>
      <c r="D1510" s="4" t="s">
        <v>1864</v>
      </c>
      <c r="E1510" s="4" t="s">
        <v>1965</v>
      </c>
      <c r="F1510" s="4">
        <v>4</v>
      </c>
      <c r="G1510" s="4">
        <v>338.73</v>
      </c>
      <c r="H1510" s="4">
        <v>0.18</v>
      </c>
      <c r="I1510" s="4" t="s">
        <v>1996</v>
      </c>
      <c r="J1510" s="10">
        <v>1111.0344</v>
      </c>
      <c r="K1510" s="4" t="str">
        <f t="shared" si="161"/>
        <v>23-11-2023</v>
      </c>
      <c r="L1510" s="4" t="str">
        <f>TEXT(Sales_Fact!$B1510,"mmm")</f>
        <v>Nov</v>
      </c>
      <c r="M1510" s="4">
        <f t="shared" si="162"/>
        <v>4</v>
      </c>
      <c r="N1510" s="10">
        <f t="shared" si="163"/>
        <v>338.73</v>
      </c>
      <c r="O1510" s="10">
        <f t="shared" si="164"/>
        <v>1111.0344000000002</v>
      </c>
      <c r="P1510" s="10">
        <f t="shared" si="165"/>
        <v>1354.92</v>
      </c>
      <c r="Q1510" s="3">
        <f t="shared" si="166"/>
        <v>0.17999999999999988</v>
      </c>
      <c r="R1510" s="4" t="str">
        <f>IF(Sales_Fact!$O1510&gt;1000,"High","Low")</f>
        <v>High</v>
      </c>
      <c r="S1510" s="4" t="str">
        <f>VLOOKUP(C1510,Customer_Dim!$A:$N,9,FALSE())</f>
        <v>Melissa Duffy Md</v>
      </c>
      <c r="T1510" s="4" t="str">
        <f>VLOOKUP(D1510,Product_Dim!$A:$M,3,FALSE())</f>
        <v>Home</v>
      </c>
      <c r="U1510" s="11" t="str">
        <f>VLOOKUP(D1510,Product_Dim!$A:$M,2,FALSE())</f>
        <v>Kitchen Cutting Board</v>
      </c>
      <c r="V1510" s="11" t="str">
        <f>VLOOKUP(E1510,Store_Dim!$A:$E,3,FALSE())</f>
        <v>North</v>
      </c>
      <c r="W1510" s="11" t="str">
        <f>VLOOKUP(C1510,Customer_Dim!$A:$N,13,FALSE())</f>
        <v>Bronze</v>
      </c>
      <c r="X1510" s="11" t="str">
        <f t="shared" si="167"/>
        <v>High</v>
      </c>
    </row>
    <row r="1511" spans="1:24" ht="15.75" customHeight="1">
      <c r="A1511" s="4" t="s">
        <v>3507</v>
      </c>
      <c r="B1511" s="9">
        <v>45389</v>
      </c>
      <c r="C1511" s="4" t="s">
        <v>251</v>
      </c>
      <c r="D1511" s="4" t="s">
        <v>1858</v>
      </c>
      <c r="E1511" s="4" t="s">
        <v>1962</v>
      </c>
      <c r="F1511" s="4">
        <v>3</v>
      </c>
      <c r="G1511" s="4">
        <v>366.08</v>
      </c>
      <c r="H1511" s="4">
        <v>0.05</v>
      </c>
      <c r="I1511" s="4" t="s">
        <v>1996</v>
      </c>
      <c r="J1511" s="10">
        <v>1043.328</v>
      </c>
      <c r="K1511" s="4" t="str">
        <f t="shared" si="161"/>
        <v>07-04-2024</v>
      </c>
      <c r="L1511" s="4" t="str">
        <f>TEXT(Sales_Fact!$B1511,"mmm")</f>
        <v>Apr</v>
      </c>
      <c r="M1511" s="4">
        <f t="shared" si="162"/>
        <v>3</v>
      </c>
      <c r="N1511" s="10">
        <f t="shared" si="163"/>
        <v>366.08</v>
      </c>
      <c r="O1511" s="10">
        <f t="shared" si="164"/>
        <v>1043.328</v>
      </c>
      <c r="P1511" s="10">
        <f t="shared" si="165"/>
        <v>1098.24</v>
      </c>
      <c r="Q1511" s="3">
        <f t="shared" si="166"/>
        <v>5.0000000000000031E-2</v>
      </c>
      <c r="R1511" s="4" t="str">
        <f>IF(Sales_Fact!$O1511&gt;1000,"High","Low")</f>
        <v>High</v>
      </c>
      <c r="S1511" s="4" t="str">
        <f>VLOOKUP(C1511,Customer_Dim!$A:$N,9,FALSE())</f>
        <v>James Bean</v>
      </c>
      <c r="T1511" s="4" t="str">
        <f>VLOOKUP(D1511,Product_Dim!$A:$M,3,FALSE())</f>
        <v>Home</v>
      </c>
      <c r="U1511" s="11" t="str">
        <f>VLOOKUP(D1511,Product_Dim!$A:$M,2,FALSE())</f>
        <v>Wooden Bookshelf</v>
      </c>
      <c r="V1511" s="11" t="str">
        <f>VLOOKUP(E1511,Store_Dim!$A:$E,3,FALSE())</f>
        <v>West</v>
      </c>
      <c r="W1511" s="11" t="str">
        <f>VLOOKUP(C1511,Customer_Dim!$A:$N,13,FALSE())</f>
        <v>Bronze</v>
      </c>
      <c r="X1511" s="11" t="str">
        <f t="shared" si="167"/>
        <v>Low</v>
      </c>
    </row>
    <row r="1512" spans="1:24" ht="15.75" customHeight="1">
      <c r="A1512" s="4" t="s">
        <v>3508</v>
      </c>
      <c r="B1512" s="9">
        <v>45840</v>
      </c>
      <c r="C1512" s="4" t="s">
        <v>393</v>
      </c>
      <c r="D1512" s="4" t="s">
        <v>1633</v>
      </c>
      <c r="E1512" s="4" t="s">
        <v>1955</v>
      </c>
      <c r="F1512" s="4">
        <v>4</v>
      </c>
      <c r="G1512" s="4">
        <v>539.48</v>
      </c>
      <c r="H1512" s="4">
        <v>0.28000000000000003</v>
      </c>
      <c r="I1512" s="4" t="s">
        <v>2004</v>
      </c>
      <c r="J1512" s="10">
        <v>1553.7023999999999</v>
      </c>
      <c r="K1512" s="4" t="str">
        <f t="shared" si="161"/>
        <v>02-07-2025</v>
      </c>
      <c r="L1512" s="4" t="str">
        <f>TEXT(Sales_Fact!$B1512,"mmm")</f>
        <v>Jul</v>
      </c>
      <c r="M1512" s="4">
        <f t="shared" si="162"/>
        <v>4</v>
      </c>
      <c r="N1512" s="10">
        <f t="shared" si="163"/>
        <v>539.48</v>
      </c>
      <c r="O1512" s="10">
        <f t="shared" si="164"/>
        <v>1553.7023999999999</v>
      </c>
      <c r="P1512" s="10">
        <f t="shared" si="165"/>
        <v>2157.92</v>
      </c>
      <c r="Q1512" s="3">
        <f t="shared" si="166"/>
        <v>0.28000000000000008</v>
      </c>
      <c r="R1512" s="4" t="str">
        <f>IF(Sales_Fact!$O1512&gt;1000,"High","Low")</f>
        <v>High</v>
      </c>
      <c r="S1512" s="4" t="str">
        <f>VLOOKUP(C1512,Customer_Dim!$A:$N,9,FALSE())</f>
        <v>Lance Baker</v>
      </c>
      <c r="T1512" s="4" t="str">
        <f>VLOOKUP(D1512,Product_Dim!$A:$M,3,FALSE())</f>
        <v>Electronics</v>
      </c>
      <c r="U1512" s="11" t="str">
        <f>VLOOKUP(D1512,Product_Dim!$A:$M,2,FALSE())</f>
        <v>USB-C Fast Charger</v>
      </c>
      <c r="V1512" s="11" t="str">
        <f>VLOOKUP(E1512,Store_Dim!$A:$E,3,FALSE())</f>
        <v>East</v>
      </c>
      <c r="W1512" s="11" t="str">
        <f>VLOOKUP(C1512,Customer_Dim!$A:$N,13,FALSE())</f>
        <v>Gold</v>
      </c>
      <c r="X1512" s="11" t="str">
        <f t="shared" si="167"/>
        <v>High</v>
      </c>
    </row>
    <row r="1513" spans="1:24" ht="15.75" customHeight="1">
      <c r="A1513" s="4" t="s">
        <v>3509</v>
      </c>
      <c r="B1513" s="9">
        <v>45256</v>
      </c>
      <c r="C1513" s="4" t="s">
        <v>1243</v>
      </c>
      <c r="D1513" s="4" t="s">
        <v>1879</v>
      </c>
      <c r="E1513" s="4" t="s">
        <v>1962</v>
      </c>
      <c r="F1513" s="4">
        <v>1</v>
      </c>
      <c r="G1513" s="4">
        <v>499.59</v>
      </c>
      <c r="H1513" s="4">
        <v>0.03</v>
      </c>
      <c r="I1513" s="4" t="s">
        <v>2004</v>
      </c>
      <c r="J1513" s="10">
        <v>484.60230000000001</v>
      </c>
      <c r="K1513" s="4" t="str">
        <f t="shared" si="161"/>
        <v>26-11-2023</v>
      </c>
      <c r="L1513" s="4" t="str">
        <f>TEXT(Sales_Fact!$B1513,"mmm")</f>
        <v>Nov</v>
      </c>
      <c r="M1513" s="4">
        <f t="shared" si="162"/>
        <v>1</v>
      </c>
      <c r="N1513" s="10">
        <f t="shared" si="163"/>
        <v>499.59</v>
      </c>
      <c r="O1513" s="10">
        <f t="shared" si="164"/>
        <v>484.60229999999996</v>
      </c>
      <c r="P1513" s="10">
        <f t="shared" si="165"/>
        <v>499.59</v>
      </c>
      <c r="Q1513" s="3">
        <f t="shared" si="166"/>
        <v>3.0000000000000037E-2</v>
      </c>
      <c r="R1513" s="4" t="str">
        <f>IF(Sales_Fact!$O1513&gt;1000,"High","Low")</f>
        <v>Low</v>
      </c>
      <c r="S1513" s="4" t="str">
        <f>VLOOKUP(C1513,Customer_Dim!$A:$N,9,FALSE())</f>
        <v>Cynthia Lopez</v>
      </c>
      <c r="T1513" s="4" t="str">
        <f>VLOOKUP(D1513,Product_Dim!$A:$M,3,FALSE())</f>
        <v>Clothing</v>
      </c>
      <c r="U1513" s="11" t="str">
        <f>VLOOKUP(D1513,Product_Dim!$A:$M,2,FALSE())</f>
        <v>Women's High Heels</v>
      </c>
      <c r="V1513" s="11" t="str">
        <f>VLOOKUP(E1513,Store_Dim!$A:$E,3,FALSE())</f>
        <v>West</v>
      </c>
      <c r="W1513" s="11" t="str">
        <f>VLOOKUP(C1513,Customer_Dim!$A:$N,13,FALSE())</f>
        <v>Platinum</v>
      </c>
      <c r="X1513" s="11" t="str">
        <f t="shared" si="167"/>
        <v>Low</v>
      </c>
    </row>
    <row r="1514" spans="1:24" ht="15.75" customHeight="1">
      <c r="A1514" s="4" t="s">
        <v>3510</v>
      </c>
      <c r="B1514" s="9">
        <v>45282</v>
      </c>
      <c r="C1514" s="4" t="s">
        <v>313</v>
      </c>
      <c r="D1514" s="4" t="s">
        <v>1703</v>
      </c>
      <c r="E1514" s="4" t="s">
        <v>1934</v>
      </c>
      <c r="F1514" s="4">
        <v>2</v>
      </c>
      <c r="G1514" s="4">
        <v>833.7</v>
      </c>
      <c r="H1514" s="4">
        <v>0.06</v>
      </c>
      <c r="I1514" s="4" t="s">
        <v>1998</v>
      </c>
      <c r="J1514" s="10">
        <v>1567.356</v>
      </c>
      <c r="K1514" s="4" t="str">
        <f t="shared" si="161"/>
        <v>22-12-2023</v>
      </c>
      <c r="L1514" s="4" t="str">
        <f>TEXT(Sales_Fact!$B1514,"mmm")</f>
        <v>Dec</v>
      </c>
      <c r="M1514" s="4">
        <f t="shared" si="162"/>
        <v>2</v>
      </c>
      <c r="N1514" s="10">
        <f t="shared" si="163"/>
        <v>833.7</v>
      </c>
      <c r="O1514" s="10">
        <f t="shared" si="164"/>
        <v>1567.356</v>
      </c>
      <c r="P1514" s="10">
        <f t="shared" si="165"/>
        <v>1667.4</v>
      </c>
      <c r="Q1514" s="3">
        <f t="shared" si="166"/>
        <v>6.0000000000000053E-2</v>
      </c>
      <c r="R1514" s="4" t="str">
        <f>IF(Sales_Fact!$O1514&gt;1000,"High","Low")</f>
        <v>High</v>
      </c>
      <c r="S1514" s="4" t="str">
        <f>VLOOKUP(C1514,Customer_Dim!$A:$N,9,FALSE())</f>
        <v>Jennifer Garcia</v>
      </c>
      <c r="T1514" s="4" t="str">
        <f>VLOOKUP(D1514,Product_Dim!$A:$M,3,FALSE())</f>
        <v>Electronics</v>
      </c>
      <c r="U1514" s="11" t="str">
        <f>VLOOKUP(D1514,Product_Dim!$A:$M,2,FALSE())</f>
        <v>Gaming Mechanical Keyboard</v>
      </c>
      <c r="V1514" s="11" t="str">
        <f>VLOOKUP(E1514,Store_Dim!$A:$E,3,FALSE())</f>
        <v>East</v>
      </c>
      <c r="W1514" s="11" t="str">
        <f>VLOOKUP(C1514,Customer_Dim!$A:$N,13,FALSE())</f>
        <v>Bronze</v>
      </c>
      <c r="X1514" s="11" t="str">
        <f t="shared" si="167"/>
        <v>Low</v>
      </c>
    </row>
    <row r="1515" spans="1:24" ht="15.75" customHeight="1">
      <c r="A1515" s="4" t="s">
        <v>3511</v>
      </c>
      <c r="B1515" s="9">
        <v>45326</v>
      </c>
      <c r="C1515" s="4" t="s">
        <v>644</v>
      </c>
      <c r="D1515" s="4" t="s">
        <v>1690</v>
      </c>
      <c r="E1515" s="4" t="s">
        <v>1940</v>
      </c>
      <c r="F1515" s="4">
        <v>3</v>
      </c>
      <c r="G1515" s="4">
        <v>330.04</v>
      </c>
      <c r="H1515" s="4">
        <v>0.2</v>
      </c>
      <c r="I1515" s="4" t="s">
        <v>1996</v>
      </c>
      <c r="J1515" s="10">
        <v>792.096</v>
      </c>
      <c r="K1515" s="4" t="str">
        <f t="shared" si="161"/>
        <v>04-02-2024</v>
      </c>
      <c r="L1515" s="4" t="str">
        <f>TEXT(Sales_Fact!$B1515,"mmm")</f>
        <v>Feb</v>
      </c>
      <c r="M1515" s="4">
        <f t="shared" si="162"/>
        <v>3</v>
      </c>
      <c r="N1515" s="10">
        <f t="shared" si="163"/>
        <v>330.04</v>
      </c>
      <c r="O1515" s="10">
        <f t="shared" si="164"/>
        <v>792.09600000000012</v>
      </c>
      <c r="P1515" s="10">
        <f t="shared" si="165"/>
        <v>990.12000000000012</v>
      </c>
      <c r="Q1515" s="3">
        <f t="shared" si="166"/>
        <v>0.19999999999999998</v>
      </c>
      <c r="R1515" s="4" t="str">
        <f>IF(Sales_Fact!$O1515&gt;1000,"High","Low")</f>
        <v>Low</v>
      </c>
      <c r="S1515" s="4" t="str">
        <f>VLOOKUP(C1515,Customer_Dim!$A:$N,9,FALSE())</f>
        <v>Kimberly Brooks</v>
      </c>
      <c r="T1515" s="4" t="str">
        <f>VLOOKUP(D1515,Product_Dim!$A:$M,3,FALSE())</f>
        <v>Home</v>
      </c>
      <c r="U1515" s="11" t="str">
        <f>VLOOKUP(D1515,Product_Dim!$A:$M,2,FALSE())</f>
        <v>Stainless Steel Cutlery Set</v>
      </c>
      <c r="V1515" s="11" t="str">
        <f>VLOOKUP(E1515,Store_Dim!$A:$E,3,FALSE())</f>
        <v>West</v>
      </c>
      <c r="W1515" s="11" t="str">
        <f>VLOOKUP(C1515,Customer_Dim!$A:$N,13,FALSE())</f>
        <v>Silver</v>
      </c>
      <c r="X1515" s="11" t="str">
        <f t="shared" si="167"/>
        <v>Low</v>
      </c>
    </row>
    <row r="1516" spans="1:24" ht="15.75" customHeight="1">
      <c r="A1516" s="4" t="s">
        <v>3512</v>
      </c>
      <c r="B1516" s="9">
        <v>45459</v>
      </c>
      <c r="C1516" s="4" t="s">
        <v>626</v>
      </c>
      <c r="D1516" s="4" t="s">
        <v>1626</v>
      </c>
      <c r="E1516" s="4" t="s">
        <v>1965</v>
      </c>
      <c r="F1516" s="4">
        <v>2</v>
      </c>
      <c r="G1516" s="4">
        <v>813.01</v>
      </c>
      <c r="H1516" s="4">
        <v>0.06</v>
      </c>
      <c r="I1516" s="4" t="s">
        <v>1998</v>
      </c>
      <c r="J1516" s="10">
        <v>1528.4588000000001</v>
      </c>
      <c r="K1516" s="4" t="str">
        <f t="shared" si="161"/>
        <v>16-06-2024</v>
      </c>
      <c r="L1516" s="4" t="str">
        <f>TEXT(Sales_Fact!$B1516,"mmm")</f>
        <v>Jun</v>
      </c>
      <c r="M1516" s="4">
        <f t="shared" si="162"/>
        <v>2</v>
      </c>
      <c r="N1516" s="10">
        <f t="shared" si="163"/>
        <v>813.01</v>
      </c>
      <c r="O1516" s="10">
        <f t="shared" si="164"/>
        <v>1528.4587999999999</v>
      </c>
      <c r="P1516" s="10">
        <f t="shared" si="165"/>
        <v>1626.02</v>
      </c>
      <c r="Q1516" s="3">
        <f t="shared" si="166"/>
        <v>6.000000000000006E-2</v>
      </c>
      <c r="R1516" s="4" t="str">
        <f>IF(Sales_Fact!$O1516&gt;1000,"High","Low")</f>
        <v>High</v>
      </c>
      <c r="S1516" s="4" t="str">
        <f>VLOOKUP(C1516,Customer_Dim!$A:$N,9,FALSE())</f>
        <v>Melissa Hamilton</v>
      </c>
      <c r="T1516" s="4" t="str">
        <f>VLOOKUP(D1516,Product_Dim!$A:$M,3,FALSE())</f>
        <v>Electronics</v>
      </c>
      <c r="U1516" s="11" t="str">
        <f>VLOOKUP(D1516,Product_Dim!$A:$M,2,FALSE())</f>
        <v>HD Smart TV Stick</v>
      </c>
      <c r="V1516" s="11" t="str">
        <f>VLOOKUP(E1516,Store_Dim!$A:$E,3,FALSE())</f>
        <v>North</v>
      </c>
      <c r="W1516" s="11" t="str">
        <f>VLOOKUP(C1516,Customer_Dim!$A:$N,13,FALSE())</f>
        <v>Silver</v>
      </c>
      <c r="X1516" s="11" t="str">
        <f t="shared" si="167"/>
        <v>Low</v>
      </c>
    </row>
    <row r="1517" spans="1:24" ht="15.75" customHeight="1">
      <c r="A1517" s="4" t="s">
        <v>3513</v>
      </c>
      <c r="B1517" s="9">
        <v>45715</v>
      </c>
      <c r="C1517" s="4" t="s">
        <v>131</v>
      </c>
      <c r="D1517" s="4" t="s">
        <v>1583</v>
      </c>
      <c r="E1517" s="4" t="s">
        <v>1919</v>
      </c>
      <c r="F1517" s="4">
        <v>4</v>
      </c>
      <c r="G1517" s="4">
        <v>204.8</v>
      </c>
      <c r="H1517" s="4">
        <v>0.03</v>
      </c>
      <c r="I1517" s="4" t="s">
        <v>1998</v>
      </c>
      <c r="J1517" s="10">
        <v>794.62400000000002</v>
      </c>
      <c r="K1517" s="4" t="str">
        <f t="shared" si="161"/>
        <v>27-02-2025</v>
      </c>
      <c r="L1517" s="4" t="str">
        <f>TEXT(Sales_Fact!$B1517,"mmm")</f>
        <v>Feb</v>
      </c>
      <c r="M1517" s="4">
        <f t="shared" si="162"/>
        <v>4</v>
      </c>
      <c r="N1517" s="10">
        <f t="shared" si="163"/>
        <v>204.8</v>
      </c>
      <c r="O1517" s="10">
        <f t="shared" si="164"/>
        <v>794.62400000000002</v>
      </c>
      <c r="P1517" s="10">
        <f t="shared" si="165"/>
        <v>819.2</v>
      </c>
      <c r="Q1517" s="3">
        <f t="shared" si="166"/>
        <v>3.0000000000000027E-2</v>
      </c>
      <c r="R1517" s="4" t="str">
        <f>IF(Sales_Fact!$O1517&gt;1000,"High","Low")</f>
        <v>Low</v>
      </c>
      <c r="S1517" s="4" t="str">
        <f>VLOOKUP(C1517,Customer_Dim!$A:$N,9,FALSE())</f>
        <v>Amber Carlson</v>
      </c>
      <c r="T1517" s="4" t="str">
        <f>VLOOKUP(D1517,Product_Dim!$A:$M,3,FALSE())</f>
        <v>Clothing</v>
      </c>
      <c r="U1517" s="11" t="str">
        <f>VLOOKUP(D1517,Product_Dim!$A:$M,2,FALSE())</f>
        <v>Men's Graphic T-Shirt</v>
      </c>
      <c r="V1517" s="11" t="str">
        <f>VLOOKUP(E1517,Store_Dim!$A:$E,3,FALSE())</f>
        <v>South</v>
      </c>
      <c r="W1517" s="11" t="str">
        <f>VLOOKUP(C1517,Customer_Dim!$A:$N,13,FALSE())</f>
        <v>Gold</v>
      </c>
      <c r="X1517" s="11" t="str">
        <f t="shared" si="167"/>
        <v>High</v>
      </c>
    </row>
    <row r="1518" spans="1:24" ht="15.75" customHeight="1">
      <c r="A1518" s="4" t="s">
        <v>3514</v>
      </c>
      <c r="B1518" s="9">
        <v>45223</v>
      </c>
      <c r="C1518" s="4" t="s">
        <v>75</v>
      </c>
      <c r="D1518" s="4" t="s">
        <v>1592</v>
      </c>
      <c r="E1518" s="4" t="s">
        <v>1924</v>
      </c>
      <c r="F1518" s="4">
        <v>3</v>
      </c>
      <c r="G1518" s="4">
        <v>728.32</v>
      </c>
      <c r="H1518" s="4">
        <v>0.01</v>
      </c>
      <c r="I1518" s="4" t="s">
        <v>1996</v>
      </c>
      <c r="J1518" s="10">
        <v>2163.1104</v>
      </c>
      <c r="K1518" s="4" t="str">
        <f t="shared" si="161"/>
        <v>24-10-2023</v>
      </c>
      <c r="L1518" s="4" t="str">
        <f>TEXT(Sales_Fact!$B1518,"mmm")</f>
        <v>Oct</v>
      </c>
      <c r="M1518" s="4">
        <f t="shared" si="162"/>
        <v>3</v>
      </c>
      <c r="N1518" s="10">
        <f t="shared" si="163"/>
        <v>728.32</v>
      </c>
      <c r="O1518" s="10">
        <f t="shared" si="164"/>
        <v>2163.1104</v>
      </c>
      <c r="P1518" s="10">
        <f t="shared" si="165"/>
        <v>2184.96</v>
      </c>
      <c r="Q1518" s="3">
        <f t="shared" si="166"/>
        <v>1.0000000000000004E-2</v>
      </c>
      <c r="R1518" s="4" t="str">
        <f>IF(Sales_Fact!$O1518&gt;1000,"High","Low")</f>
        <v>High</v>
      </c>
      <c r="S1518" s="4" t="str">
        <f>VLOOKUP(C1518,Customer_Dim!$A:$N,9,FALSE())</f>
        <v>Brian Lopez</v>
      </c>
      <c r="T1518" s="4" t="str">
        <f>VLOOKUP(D1518,Product_Dim!$A:$M,3,FALSE())</f>
        <v>Clothing</v>
      </c>
      <c r="U1518" s="11" t="str">
        <f>VLOOKUP(D1518,Product_Dim!$A:$M,2,FALSE())</f>
        <v>Men's Running Jacket</v>
      </c>
      <c r="V1518" s="11" t="str">
        <f>VLOOKUP(E1518,Store_Dim!$A:$E,3,FALSE())</f>
        <v>North</v>
      </c>
      <c r="W1518" s="11" t="str">
        <f>VLOOKUP(C1518,Customer_Dim!$A:$N,13,FALSE())</f>
        <v>Gold</v>
      </c>
      <c r="X1518" s="11" t="str">
        <f t="shared" si="167"/>
        <v>Low</v>
      </c>
    </row>
    <row r="1519" spans="1:24" ht="15.75" customHeight="1">
      <c r="A1519" s="4" t="s">
        <v>3515</v>
      </c>
      <c r="B1519" s="9">
        <v>45507</v>
      </c>
      <c r="C1519" s="4" t="s">
        <v>1426</v>
      </c>
      <c r="D1519" s="4" t="s">
        <v>1782</v>
      </c>
      <c r="E1519" s="4" t="s">
        <v>1937</v>
      </c>
      <c r="F1519" s="4">
        <v>3</v>
      </c>
      <c r="G1519" s="4">
        <v>836.4</v>
      </c>
      <c r="H1519" s="4">
        <v>0</v>
      </c>
      <c r="I1519" s="4" t="s">
        <v>1996</v>
      </c>
      <c r="J1519" s="10">
        <v>2509.1999999999998</v>
      </c>
      <c r="K1519" s="4" t="str">
        <f t="shared" si="161"/>
        <v>03-08-2024</v>
      </c>
      <c r="L1519" s="4" t="str">
        <f>TEXT(Sales_Fact!$B1519,"mmm")</f>
        <v>Aug</v>
      </c>
      <c r="M1519" s="4">
        <f t="shared" si="162"/>
        <v>3</v>
      </c>
      <c r="N1519" s="10">
        <f t="shared" si="163"/>
        <v>836.4</v>
      </c>
      <c r="O1519" s="10">
        <f t="shared" si="164"/>
        <v>2509.1999999999998</v>
      </c>
      <c r="P1519" s="10">
        <f t="shared" si="165"/>
        <v>2509.1999999999998</v>
      </c>
      <c r="Q1519" s="3">
        <f t="shared" si="166"/>
        <v>0</v>
      </c>
      <c r="R1519" s="4" t="str">
        <f>IF(Sales_Fact!$O1519&gt;1000,"High","Low")</f>
        <v>High</v>
      </c>
      <c r="S1519" s="4" t="str">
        <f>VLOOKUP(C1519,Customer_Dim!$A:$N,9,FALSE())</f>
        <v>Jeffery Wolf</v>
      </c>
      <c r="T1519" s="4" t="str">
        <f>VLOOKUP(D1519,Product_Dim!$A:$M,3,FALSE())</f>
        <v>Beauty</v>
      </c>
      <c r="U1519" s="11" t="str">
        <f>VLOOKUP(D1519,Product_Dim!$A:$M,2,FALSE())</f>
        <v>Men's Hair Styling Gel</v>
      </c>
      <c r="V1519" s="11" t="str">
        <f>VLOOKUP(E1519,Store_Dim!$A:$E,3,FALSE())</f>
        <v>South</v>
      </c>
      <c r="W1519" s="11" t="str">
        <f>VLOOKUP(C1519,Customer_Dim!$A:$N,13,FALSE())</f>
        <v>Bronze</v>
      </c>
      <c r="X1519" s="11" t="str">
        <f t="shared" si="167"/>
        <v>Low</v>
      </c>
    </row>
    <row r="1520" spans="1:24" ht="15.75" customHeight="1">
      <c r="A1520" s="4" t="s">
        <v>3516</v>
      </c>
      <c r="B1520" s="9">
        <v>45843</v>
      </c>
      <c r="C1520" s="4" t="s">
        <v>526</v>
      </c>
      <c r="D1520" s="4" t="s">
        <v>1876</v>
      </c>
      <c r="E1520" s="4" t="s">
        <v>1952</v>
      </c>
      <c r="F1520" s="4">
        <v>1</v>
      </c>
      <c r="G1520" s="4">
        <v>780.16</v>
      </c>
      <c r="H1520" s="4">
        <v>0.02</v>
      </c>
      <c r="I1520" s="4" t="s">
        <v>2004</v>
      </c>
      <c r="J1520" s="10">
        <v>764.55679999999995</v>
      </c>
      <c r="K1520" s="4" t="str">
        <f t="shared" si="161"/>
        <v>05-07-2025</v>
      </c>
      <c r="L1520" s="4" t="str">
        <f>TEXT(Sales_Fact!$B1520,"mmm")</f>
        <v>Jul</v>
      </c>
      <c r="M1520" s="4">
        <f t="shared" si="162"/>
        <v>1</v>
      </c>
      <c r="N1520" s="10">
        <f t="shared" si="163"/>
        <v>780.16</v>
      </c>
      <c r="O1520" s="10">
        <f t="shared" si="164"/>
        <v>764.55679999999995</v>
      </c>
      <c r="P1520" s="10">
        <f t="shared" si="165"/>
        <v>780.16</v>
      </c>
      <c r="Q1520" s="3">
        <f t="shared" si="166"/>
        <v>2.0000000000000021E-2</v>
      </c>
      <c r="R1520" s="4" t="str">
        <f>IF(Sales_Fact!$O1520&gt;1000,"High","Low")</f>
        <v>Low</v>
      </c>
      <c r="S1520" s="4" t="str">
        <f>VLOOKUP(C1520,Customer_Dim!$A:$N,9,FALSE())</f>
        <v>Denise Griffin</v>
      </c>
      <c r="T1520" s="4" t="str">
        <f>VLOOKUP(D1520,Product_Dim!$A:$M,3,FALSE())</f>
        <v>Electronics</v>
      </c>
      <c r="U1520" s="11" t="str">
        <f>VLOOKUP(D1520,Product_Dim!$A:$M,2,FALSE())</f>
        <v>Gaming Mouse Pad XL</v>
      </c>
      <c r="V1520" s="11" t="str">
        <f>VLOOKUP(E1520,Store_Dim!$A:$E,3,FALSE())</f>
        <v>North</v>
      </c>
      <c r="W1520" s="11" t="str">
        <f>VLOOKUP(C1520,Customer_Dim!$A:$N,13,FALSE())</f>
        <v>Platinum</v>
      </c>
      <c r="X1520" s="11" t="str">
        <f t="shared" si="167"/>
        <v>Low</v>
      </c>
    </row>
    <row r="1521" spans="1:24" ht="15.75" customHeight="1">
      <c r="A1521" s="4" t="s">
        <v>3517</v>
      </c>
      <c r="B1521" s="9">
        <v>45804</v>
      </c>
      <c r="C1521" s="4" t="s">
        <v>1478</v>
      </c>
      <c r="D1521" s="4" t="s">
        <v>1741</v>
      </c>
      <c r="E1521" s="4" t="s">
        <v>1955</v>
      </c>
      <c r="F1521" s="4">
        <v>4</v>
      </c>
      <c r="G1521" s="4">
        <v>354.12</v>
      </c>
      <c r="H1521" s="4">
        <v>0.06</v>
      </c>
      <c r="I1521" s="4" t="s">
        <v>1998</v>
      </c>
      <c r="J1521" s="10">
        <v>1331.4911999999999</v>
      </c>
      <c r="K1521" s="4" t="str">
        <f t="shared" si="161"/>
        <v>27-05-2025</v>
      </c>
      <c r="L1521" s="4" t="str">
        <f>TEXT(Sales_Fact!$B1521,"mmm")</f>
        <v>May</v>
      </c>
      <c r="M1521" s="4">
        <f t="shared" si="162"/>
        <v>4</v>
      </c>
      <c r="N1521" s="10">
        <f t="shared" si="163"/>
        <v>354.12</v>
      </c>
      <c r="O1521" s="10">
        <f t="shared" si="164"/>
        <v>1331.4911999999999</v>
      </c>
      <c r="P1521" s="10">
        <f t="shared" si="165"/>
        <v>1416.48</v>
      </c>
      <c r="Q1521" s="3">
        <f t="shared" si="166"/>
        <v>6.000000000000006E-2</v>
      </c>
      <c r="R1521" s="4" t="str">
        <f>IF(Sales_Fact!$O1521&gt;1000,"High","Low")</f>
        <v>High</v>
      </c>
      <c r="S1521" s="4" t="str">
        <f>VLOOKUP(C1521,Customer_Dim!$A:$N,9,FALSE())</f>
        <v>Manuel Fisher</v>
      </c>
      <c r="T1521" s="4" t="str">
        <f>VLOOKUP(D1521,Product_Dim!$A:$M,3,FALSE())</f>
        <v>Clothing</v>
      </c>
      <c r="U1521" s="11" t="str">
        <f>VLOOKUP(D1521,Product_Dim!$A:$M,2,FALSE())</f>
        <v>Men's Winter Jacket</v>
      </c>
      <c r="V1521" s="11" t="str">
        <f>VLOOKUP(E1521,Store_Dim!$A:$E,3,FALSE())</f>
        <v>East</v>
      </c>
      <c r="W1521" s="11" t="str">
        <f>VLOOKUP(C1521,Customer_Dim!$A:$N,13,FALSE())</f>
        <v>Gold</v>
      </c>
      <c r="X1521" s="11" t="str">
        <f t="shared" si="167"/>
        <v>High</v>
      </c>
    </row>
    <row r="1522" spans="1:24" ht="15.75" customHeight="1">
      <c r="A1522" s="4" t="s">
        <v>3518</v>
      </c>
      <c r="B1522" s="9">
        <v>45602</v>
      </c>
      <c r="C1522" s="4" t="s">
        <v>1426</v>
      </c>
      <c r="D1522" s="4" t="s">
        <v>1794</v>
      </c>
      <c r="E1522" s="4" t="s">
        <v>1919</v>
      </c>
      <c r="F1522" s="4">
        <v>4</v>
      </c>
      <c r="G1522" s="4">
        <v>282.48</v>
      </c>
      <c r="H1522" s="4">
        <v>0.11</v>
      </c>
      <c r="I1522" s="4" t="s">
        <v>1998</v>
      </c>
      <c r="J1522" s="10">
        <v>1005.6288</v>
      </c>
      <c r="K1522" s="4" t="str">
        <f t="shared" si="161"/>
        <v>06-11-2024</v>
      </c>
      <c r="L1522" s="4" t="str">
        <f>TEXT(Sales_Fact!$B1522,"mmm")</f>
        <v>Nov</v>
      </c>
      <c r="M1522" s="4">
        <f t="shared" si="162"/>
        <v>4</v>
      </c>
      <c r="N1522" s="10">
        <f t="shared" si="163"/>
        <v>282.48</v>
      </c>
      <c r="O1522" s="10">
        <f t="shared" si="164"/>
        <v>1005.6288000000001</v>
      </c>
      <c r="P1522" s="10">
        <f t="shared" si="165"/>
        <v>1129.92</v>
      </c>
      <c r="Q1522" s="3">
        <f t="shared" si="166"/>
        <v>0.11</v>
      </c>
      <c r="R1522" s="4" t="str">
        <f>IF(Sales_Fact!$O1522&gt;1000,"High","Low")</f>
        <v>High</v>
      </c>
      <c r="S1522" s="4" t="str">
        <f>VLOOKUP(C1522,Customer_Dim!$A:$N,9,FALSE())</f>
        <v>Jeffery Wolf</v>
      </c>
      <c r="T1522" s="4" t="str">
        <f>VLOOKUP(D1522,Product_Dim!$A:$M,3,FALSE())</f>
        <v>Beauty</v>
      </c>
      <c r="U1522" s="11" t="str">
        <f>VLOOKUP(D1522,Product_Dim!$A:$M,2,FALSE())</f>
        <v>Organic Sunscreen Lotion</v>
      </c>
      <c r="V1522" s="11" t="str">
        <f>VLOOKUP(E1522,Store_Dim!$A:$E,3,FALSE())</f>
        <v>South</v>
      </c>
      <c r="W1522" s="11" t="str">
        <f>VLOOKUP(C1522,Customer_Dim!$A:$N,13,FALSE())</f>
        <v>Bronze</v>
      </c>
      <c r="X1522" s="11" t="str">
        <f t="shared" si="167"/>
        <v>High</v>
      </c>
    </row>
    <row r="1523" spans="1:24" ht="15.75" customHeight="1">
      <c r="A1523" s="4" t="s">
        <v>3519</v>
      </c>
      <c r="B1523" s="9">
        <v>45446</v>
      </c>
      <c r="C1523" s="4" t="s">
        <v>1060</v>
      </c>
      <c r="D1523" s="4" t="s">
        <v>1658</v>
      </c>
      <c r="E1523" s="4" t="s">
        <v>1934</v>
      </c>
      <c r="F1523" s="4">
        <v>2</v>
      </c>
      <c r="G1523" s="4">
        <v>740.68</v>
      </c>
      <c r="H1523" s="4">
        <v>0.02</v>
      </c>
      <c r="I1523" s="4" t="s">
        <v>1998</v>
      </c>
      <c r="J1523" s="10">
        <v>1451.7328</v>
      </c>
      <c r="K1523" s="4" t="str">
        <f t="shared" si="161"/>
        <v>03-06-2024</v>
      </c>
      <c r="L1523" s="4" t="str">
        <f>TEXT(Sales_Fact!$B1523,"mmm")</f>
        <v>Jun</v>
      </c>
      <c r="M1523" s="4">
        <f t="shared" si="162"/>
        <v>2</v>
      </c>
      <c r="N1523" s="10">
        <f t="shared" si="163"/>
        <v>740.68</v>
      </c>
      <c r="O1523" s="10">
        <f t="shared" si="164"/>
        <v>1451.7327999999998</v>
      </c>
      <c r="P1523" s="10">
        <f t="shared" si="165"/>
        <v>1481.36</v>
      </c>
      <c r="Q1523" s="3">
        <f t="shared" si="166"/>
        <v>2.0000000000000091E-2</v>
      </c>
      <c r="R1523" s="4" t="str">
        <f>IF(Sales_Fact!$O1523&gt;1000,"High","Low")</f>
        <v>High</v>
      </c>
      <c r="S1523" s="4" t="str">
        <f>VLOOKUP(C1523,Customer_Dim!$A:$N,9,FALSE())</f>
        <v>Mario Harvey Jr.</v>
      </c>
      <c r="T1523" s="4" t="str">
        <f>VLOOKUP(D1523,Product_Dim!$A:$M,3,FALSE())</f>
        <v>Sports</v>
      </c>
      <c r="U1523" s="11" t="str">
        <f>VLOOKUP(D1523,Product_Dim!$A:$M,2,FALSE())</f>
        <v>Outdoor Sports Water Bottle</v>
      </c>
      <c r="V1523" s="11" t="str">
        <f>VLOOKUP(E1523,Store_Dim!$A:$E,3,FALSE())</f>
        <v>East</v>
      </c>
      <c r="W1523" s="11" t="str">
        <f>VLOOKUP(C1523,Customer_Dim!$A:$N,13,FALSE())</f>
        <v>Platinum</v>
      </c>
      <c r="X1523" s="11" t="str">
        <f t="shared" si="167"/>
        <v>Low</v>
      </c>
    </row>
    <row r="1524" spans="1:24" ht="15.75" customHeight="1">
      <c r="A1524" s="4" t="s">
        <v>3520</v>
      </c>
      <c r="B1524" s="9">
        <v>45384</v>
      </c>
      <c r="C1524" s="4" t="s">
        <v>393</v>
      </c>
      <c r="D1524" s="4" t="s">
        <v>1773</v>
      </c>
      <c r="E1524" s="4" t="s">
        <v>1944</v>
      </c>
      <c r="F1524" s="4">
        <v>3</v>
      </c>
      <c r="G1524" s="4">
        <v>600.58000000000004</v>
      </c>
      <c r="H1524" s="4">
        <v>0.28999999999999998</v>
      </c>
      <c r="I1524" s="4" t="s">
        <v>2004</v>
      </c>
      <c r="J1524" s="10">
        <v>1279.2354</v>
      </c>
      <c r="K1524" s="4" t="str">
        <f t="shared" si="161"/>
        <v>02-04-2024</v>
      </c>
      <c r="L1524" s="4" t="str">
        <f>TEXT(Sales_Fact!$B1524,"mmm")</f>
        <v>Apr</v>
      </c>
      <c r="M1524" s="4">
        <f t="shared" si="162"/>
        <v>3</v>
      </c>
      <c r="N1524" s="10">
        <f t="shared" si="163"/>
        <v>600.58000000000004</v>
      </c>
      <c r="O1524" s="10">
        <f t="shared" si="164"/>
        <v>1279.2354</v>
      </c>
      <c r="P1524" s="10">
        <f t="shared" si="165"/>
        <v>1801.7400000000002</v>
      </c>
      <c r="Q1524" s="3">
        <f t="shared" si="166"/>
        <v>0.29000000000000009</v>
      </c>
      <c r="R1524" s="4" t="str">
        <f>IF(Sales_Fact!$O1524&gt;1000,"High","Low")</f>
        <v>High</v>
      </c>
      <c r="S1524" s="4" t="str">
        <f>VLOOKUP(C1524,Customer_Dim!$A:$N,9,FALSE())</f>
        <v>Lance Baker</v>
      </c>
      <c r="T1524" s="4" t="str">
        <f>VLOOKUP(D1524,Product_Dim!$A:$M,3,FALSE())</f>
        <v>Home</v>
      </c>
      <c r="U1524" s="11" t="str">
        <f>VLOOKUP(D1524,Product_Dim!$A:$M,2,FALSE())</f>
        <v>Premium Blanket Throw</v>
      </c>
      <c r="V1524" s="11" t="str">
        <f>VLOOKUP(E1524,Store_Dim!$A:$E,3,FALSE())</f>
        <v>South</v>
      </c>
      <c r="W1524" s="11" t="str">
        <f>VLOOKUP(C1524,Customer_Dim!$A:$N,13,FALSE())</f>
        <v>Gold</v>
      </c>
      <c r="X1524" s="11" t="str">
        <f t="shared" si="167"/>
        <v>Low</v>
      </c>
    </row>
    <row r="1525" spans="1:24" ht="15.75" customHeight="1">
      <c r="A1525" s="4" t="s">
        <v>3521</v>
      </c>
      <c r="B1525" s="9">
        <v>45462</v>
      </c>
      <c r="C1525" s="4" t="s">
        <v>1469</v>
      </c>
      <c r="D1525" s="4" t="s">
        <v>1744</v>
      </c>
      <c r="E1525" s="4" t="s">
        <v>1957</v>
      </c>
      <c r="F1525" s="4">
        <v>2</v>
      </c>
      <c r="G1525" s="4">
        <v>680.16</v>
      </c>
      <c r="H1525" s="4">
        <v>0.28000000000000003</v>
      </c>
      <c r="I1525" s="4" t="s">
        <v>1996</v>
      </c>
      <c r="J1525" s="10">
        <v>979.43039999999996</v>
      </c>
      <c r="K1525" s="4" t="str">
        <f t="shared" si="161"/>
        <v>19-06-2024</v>
      </c>
      <c r="L1525" s="4" t="str">
        <f>TEXT(Sales_Fact!$B1525,"mmm")</f>
        <v>Jun</v>
      </c>
      <c r="M1525" s="4">
        <f t="shared" si="162"/>
        <v>2</v>
      </c>
      <c r="N1525" s="10">
        <f t="shared" si="163"/>
        <v>680.16</v>
      </c>
      <c r="O1525" s="10">
        <f t="shared" si="164"/>
        <v>979.43039999999996</v>
      </c>
      <c r="P1525" s="10">
        <f t="shared" si="165"/>
        <v>1360.32</v>
      </c>
      <c r="Q1525" s="3">
        <f t="shared" si="166"/>
        <v>0.27999999999999997</v>
      </c>
      <c r="R1525" s="4" t="str">
        <f>IF(Sales_Fact!$O1525&gt;1000,"High","Low")</f>
        <v>Low</v>
      </c>
      <c r="S1525" s="4" t="str">
        <f>VLOOKUP(C1525,Customer_Dim!$A:$N,9,FALSE())</f>
        <v>Michael Foley</v>
      </c>
      <c r="T1525" s="4" t="str">
        <f>VLOOKUP(D1525,Product_Dim!$A:$M,3,FALSE())</f>
        <v>Beauty</v>
      </c>
      <c r="U1525" s="11" t="str">
        <f>VLOOKUP(D1525,Product_Dim!$A:$M,2,FALSE())</f>
        <v>Makeup Brush Set</v>
      </c>
      <c r="V1525" s="11" t="str">
        <f>VLOOKUP(E1525,Store_Dim!$A:$E,3,FALSE())</f>
        <v>South</v>
      </c>
      <c r="W1525" s="11" t="str">
        <f>VLOOKUP(C1525,Customer_Dim!$A:$N,13,FALSE())</f>
        <v>Gold</v>
      </c>
      <c r="X1525" s="11" t="str">
        <f t="shared" si="167"/>
        <v>Low</v>
      </c>
    </row>
    <row r="1526" spans="1:24" ht="15.75" customHeight="1">
      <c r="A1526" s="4" t="s">
        <v>3522</v>
      </c>
      <c r="B1526" s="9">
        <v>45348</v>
      </c>
      <c r="C1526" s="4" t="s">
        <v>1451</v>
      </c>
      <c r="D1526" s="4" t="s">
        <v>1800</v>
      </c>
      <c r="E1526" s="4" t="s">
        <v>1924</v>
      </c>
      <c r="F1526" s="4">
        <v>3</v>
      </c>
      <c r="G1526" s="4">
        <v>345.58</v>
      </c>
      <c r="H1526" s="4">
        <v>0.22</v>
      </c>
      <c r="I1526" s="4" t="s">
        <v>1996</v>
      </c>
      <c r="J1526" s="10">
        <v>808.65719999999999</v>
      </c>
      <c r="K1526" s="4" t="str">
        <f t="shared" si="161"/>
        <v>26-02-2024</v>
      </c>
      <c r="L1526" s="4" t="str">
        <f>TEXT(Sales_Fact!$B1526,"mmm")</f>
        <v>Feb</v>
      </c>
      <c r="M1526" s="4">
        <f t="shared" si="162"/>
        <v>3</v>
      </c>
      <c r="N1526" s="10">
        <f t="shared" si="163"/>
        <v>345.58</v>
      </c>
      <c r="O1526" s="10">
        <f t="shared" si="164"/>
        <v>808.65719999999999</v>
      </c>
      <c r="P1526" s="10">
        <f t="shared" si="165"/>
        <v>1036.74</v>
      </c>
      <c r="Q1526" s="3">
        <f t="shared" si="166"/>
        <v>0.22000000000000003</v>
      </c>
      <c r="R1526" s="4" t="str">
        <f>IF(Sales_Fact!$O1526&gt;1000,"High","Low")</f>
        <v>Low</v>
      </c>
      <c r="S1526" s="4" t="str">
        <f>VLOOKUP(C1526,Customer_Dim!$A:$N,9,FALSE())</f>
        <v>Paul Cox</v>
      </c>
      <c r="T1526" s="4" t="str">
        <f>VLOOKUP(D1526,Product_Dim!$A:$M,3,FALSE())</f>
        <v>Sports</v>
      </c>
      <c r="U1526" s="11" t="str">
        <f>VLOOKUP(D1526,Product_Dim!$A:$M,2,FALSE())</f>
        <v>Adjustable Dumbbells 20kg</v>
      </c>
      <c r="V1526" s="11" t="str">
        <f>VLOOKUP(E1526,Store_Dim!$A:$E,3,FALSE())</f>
        <v>North</v>
      </c>
      <c r="W1526" s="11" t="str">
        <f>VLOOKUP(C1526,Customer_Dim!$A:$N,13,FALSE())</f>
        <v>Silver</v>
      </c>
      <c r="X1526" s="11" t="str">
        <f t="shared" si="167"/>
        <v>Low</v>
      </c>
    </row>
    <row r="1527" spans="1:24" ht="15.75" customHeight="1">
      <c r="A1527" s="4" t="s">
        <v>3523</v>
      </c>
      <c r="B1527" s="9">
        <v>45688</v>
      </c>
      <c r="C1527" s="4" t="s">
        <v>930</v>
      </c>
      <c r="D1527" s="4" t="s">
        <v>1651</v>
      </c>
      <c r="E1527" s="4" t="s">
        <v>1950</v>
      </c>
      <c r="F1527" s="4">
        <v>1</v>
      </c>
      <c r="G1527" s="4">
        <v>974.52</v>
      </c>
      <c r="H1527" s="4">
        <v>0.01</v>
      </c>
      <c r="I1527" s="4" t="s">
        <v>1998</v>
      </c>
      <c r="J1527" s="10">
        <v>964.77480000000003</v>
      </c>
      <c r="K1527" s="4" t="str">
        <f t="shared" si="161"/>
        <v>31-01-2025</v>
      </c>
      <c r="L1527" s="4" t="str">
        <f>TEXT(Sales_Fact!$B1527,"mmm")</f>
        <v>Jan</v>
      </c>
      <c r="M1527" s="4">
        <f t="shared" si="162"/>
        <v>1</v>
      </c>
      <c r="N1527" s="10">
        <f t="shared" si="163"/>
        <v>974.52</v>
      </c>
      <c r="O1527" s="10">
        <f t="shared" si="164"/>
        <v>964.77480000000003</v>
      </c>
      <c r="P1527" s="10">
        <f t="shared" si="165"/>
        <v>974.52</v>
      </c>
      <c r="Q1527" s="3">
        <f t="shared" si="166"/>
        <v>9.9999999999999534E-3</v>
      </c>
      <c r="R1527" s="4" t="str">
        <f>IF(Sales_Fact!$O1527&gt;1000,"High","Low")</f>
        <v>Low</v>
      </c>
      <c r="S1527" s="4" t="str">
        <f>VLOOKUP(C1527,Customer_Dim!$A:$N,9,FALSE())</f>
        <v>Hunter Sutton</v>
      </c>
      <c r="T1527" s="4" t="str">
        <f>VLOOKUP(D1527,Product_Dim!$A:$M,3,FALSE())</f>
        <v>Clothing</v>
      </c>
      <c r="U1527" s="11" t="str">
        <f>VLOOKUP(D1527,Product_Dim!$A:$M,2,FALSE())</f>
        <v>Women's Denim Jeans</v>
      </c>
      <c r="V1527" s="11" t="str">
        <f>VLOOKUP(E1527,Store_Dim!$A:$E,3,FALSE())</f>
        <v>South</v>
      </c>
      <c r="W1527" s="11" t="str">
        <f>VLOOKUP(C1527,Customer_Dim!$A:$N,13,FALSE())</f>
        <v>Gold</v>
      </c>
      <c r="X1527" s="11" t="str">
        <f t="shared" si="167"/>
        <v>Low</v>
      </c>
    </row>
    <row r="1528" spans="1:24" ht="15.75" customHeight="1">
      <c r="A1528" s="4" t="s">
        <v>3524</v>
      </c>
      <c r="B1528" s="9">
        <v>45249</v>
      </c>
      <c r="C1528" s="4" t="s">
        <v>178</v>
      </c>
      <c r="D1528" s="4" t="s">
        <v>1648</v>
      </c>
      <c r="E1528" s="4" t="s">
        <v>1915</v>
      </c>
      <c r="F1528" s="4">
        <v>3</v>
      </c>
      <c r="G1528" s="4">
        <v>282.33</v>
      </c>
      <c r="H1528" s="4">
        <v>7.0000000000000007E-2</v>
      </c>
      <c r="I1528" s="4" t="s">
        <v>1996</v>
      </c>
      <c r="J1528" s="10">
        <v>787.70069999999998</v>
      </c>
      <c r="K1528" s="4" t="str">
        <f t="shared" si="161"/>
        <v>19-11-2023</v>
      </c>
      <c r="L1528" s="4" t="str">
        <f>TEXT(Sales_Fact!$B1528,"mmm")</f>
        <v>Nov</v>
      </c>
      <c r="M1528" s="4">
        <f t="shared" si="162"/>
        <v>3</v>
      </c>
      <c r="N1528" s="10">
        <f t="shared" si="163"/>
        <v>282.33</v>
      </c>
      <c r="O1528" s="10">
        <f t="shared" si="164"/>
        <v>787.70069999999998</v>
      </c>
      <c r="P1528" s="10">
        <f t="shared" si="165"/>
        <v>846.99</v>
      </c>
      <c r="Q1528" s="3">
        <f t="shared" si="166"/>
        <v>7.0000000000000034E-2</v>
      </c>
      <c r="R1528" s="4" t="str">
        <f>IF(Sales_Fact!$O1528&gt;1000,"High","Low")</f>
        <v>Low</v>
      </c>
      <c r="S1528" s="4" t="str">
        <f>VLOOKUP(C1528,Customer_Dim!$A:$N,9,FALSE())</f>
        <v>Eric Vega</v>
      </c>
      <c r="T1528" s="4" t="str">
        <f>VLOOKUP(D1528,Product_Dim!$A:$M,3,FALSE())</f>
        <v>Sports</v>
      </c>
      <c r="U1528" s="11" t="str">
        <f>VLOOKUP(D1528,Product_Dim!$A:$M,2,FALSE())</f>
        <v>Soccer Training Cone Set</v>
      </c>
      <c r="V1528" s="11" t="str">
        <f>VLOOKUP(E1528,Store_Dim!$A:$E,3,FALSE())</f>
        <v>North</v>
      </c>
      <c r="W1528" s="11" t="str">
        <f>VLOOKUP(C1528,Customer_Dim!$A:$N,13,FALSE())</f>
        <v>Gold</v>
      </c>
      <c r="X1528" s="11" t="str">
        <f t="shared" si="167"/>
        <v>Low</v>
      </c>
    </row>
    <row r="1529" spans="1:24" ht="15.75" customHeight="1">
      <c r="A1529" s="4" t="s">
        <v>3525</v>
      </c>
      <c r="B1529" s="9">
        <v>45726</v>
      </c>
      <c r="C1529" s="4" t="s">
        <v>1222</v>
      </c>
      <c r="D1529" s="4" t="s">
        <v>1834</v>
      </c>
      <c r="E1529" s="4" t="s">
        <v>1971</v>
      </c>
      <c r="F1529" s="4">
        <v>4</v>
      </c>
      <c r="G1529" s="4">
        <v>158.46</v>
      </c>
      <c r="H1529" s="4">
        <v>0.09</v>
      </c>
      <c r="I1529" s="4" t="s">
        <v>1998</v>
      </c>
      <c r="J1529" s="10">
        <v>576.7944</v>
      </c>
      <c r="K1529" s="4" t="str">
        <f t="shared" si="161"/>
        <v>10-03-2025</v>
      </c>
      <c r="L1529" s="4" t="str">
        <f>TEXT(Sales_Fact!$B1529,"mmm")</f>
        <v>Mar</v>
      </c>
      <c r="M1529" s="4">
        <f t="shared" si="162"/>
        <v>4</v>
      </c>
      <c r="N1529" s="10">
        <f t="shared" si="163"/>
        <v>158.46</v>
      </c>
      <c r="O1529" s="10">
        <f t="shared" si="164"/>
        <v>576.7944</v>
      </c>
      <c r="P1529" s="10">
        <f t="shared" si="165"/>
        <v>633.84</v>
      </c>
      <c r="Q1529" s="3">
        <f t="shared" si="166"/>
        <v>9.0000000000000052E-2</v>
      </c>
      <c r="R1529" s="4" t="str">
        <f>IF(Sales_Fact!$O1529&gt;1000,"High","Low")</f>
        <v>Low</v>
      </c>
      <c r="S1529" s="4" t="str">
        <f>VLOOKUP(C1529,Customer_Dim!$A:$N,9,FALSE())</f>
        <v>Martha Brown</v>
      </c>
      <c r="T1529" s="4" t="str">
        <f>VLOOKUP(D1529,Product_Dim!$A:$M,3,FALSE())</f>
        <v>Electronics</v>
      </c>
      <c r="U1529" s="11" t="str">
        <f>VLOOKUP(D1529,Product_Dim!$A:$M,2,FALSE())</f>
        <v>Wireless Mouse</v>
      </c>
      <c r="V1529" s="11" t="str">
        <f>VLOOKUP(E1529,Store_Dim!$A:$E,3,FALSE())</f>
        <v>East</v>
      </c>
      <c r="W1529" s="11" t="str">
        <f>VLOOKUP(C1529,Customer_Dim!$A:$N,13,FALSE())</f>
        <v>Gold</v>
      </c>
      <c r="X1529" s="11" t="str">
        <f t="shared" si="167"/>
        <v>High</v>
      </c>
    </row>
    <row r="1530" spans="1:24" ht="15.75" customHeight="1">
      <c r="A1530" s="4" t="s">
        <v>3526</v>
      </c>
      <c r="B1530" s="9">
        <v>45283</v>
      </c>
      <c r="C1530" s="4" t="s">
        <v>1105</v>
      </c>
      <c r="D1530" s="4" t="s">
        <v>1770</v>
      </c>
      <c r="E1530" s="4" t="s">
        <v>1937</v>
      </c>
      <c r="F1530" s="4">
        <v>2</v>
      </c>
      <c r="G1530" s="4">
        <v>778.56</v>
      </c>
      <c r="H1530" s="4">
        <v>0.11</v>
      </c>
      <c r="I1530" s="4" t="s">
        <v>2004</v>
      </c>
      <c r="J1530" s="10">
        <v>1385.8368</v>
      </c>
      <c r="K1530" s="4" t="str">
        <f t="shared" si="161"/>
        <v>23-12-2023</v>
      </c>
      <c r="L1530" s="4" t="str">
        <f>TEXT(Sales_Fact!$B1530,"mmm")</f>
        <v>Dec</v>
      </c>
      <c r="M1530" s="4">
        <f t="shared" si="162"/>
        <v>2</v>
      </c>
      <c r="N1530" s="10">
        <f t="shared" si="163"/>
        <v>778.56</v>
      </c>
      <c r="O1530" s="10">
        <f t="shared" si="164"/>
        <v>1385.8367999999998</v>
      </c>
      <c r="P1530" s="10">
        <f t="shared" si="165"/>
        <v>1557.12</v>
      </c>
      <c r="Q1530" s="3">
        <f t="shared" si="166"/>
        <v>0.11000000000000006</v>
      </c>
      <c r="R1530" s="4" t="str">
        <f>IF(Sales_Fact!$O1530&gt;1000,"High","Low")</f>
        <v>High</v>
      </c>
      <c r="S1530" s="4" t="str">
        <f>VLOOKUP(C1530,Customer_Dim!$A:$N,9,FALSE())</f>
        <v>Ryan Moore</v>
      </c>
      <c r="T1530" s="4" t="str">
        <f>VLOOKUP(D1530,Product_Dim!$A:$M,3,FALSE())</f>
        <v>Home</v>
      </c>
      <c r="U1530" s="11" t="str">
        <f>VLOOKUP(D1530,Product_Dim!$A:$M,2,FALSE())</f>
        <v>Ceramic Plant Pot</v>
      </c>
      <c r="V1530" s="11" t="str">
        <f>VLOOKUP(E1530,Store_Dim!$A:$E,3,FALSE())</f>
        <v>South</v>
      </c>
      <c r="W1530" s="11" t="str">
        <f>VLOOKUP(C1530,Customer_Dim!$A:$N,13,FALSE())</f>
        <v>Bronze</v>
      </c>
      <c r="X1530" s="11" t="str">
        <f t="shared" si="167"/>
        <v>Low</v>
      </c>
    </row>
    <row r="1531" spans="1:24" ht="15.75" customHeight="1">
      <c r="A1531" s="4" t="s">
        <v>3527</v>
      </c>
      <c r="B1531" s="9">
        <v>45353</v>
      </c>
      <c r="C1531" s="4" t="s">
        <v>789</v>
      </c>
      <c r="D1531" s="4" t="s">
        <v>1755</v>
      </c>
      <c r="E1531" s="4" t="s">
        <v>1971</v>
      </c>
      <c r="F1531" s="4">
        <v>4</v>
      </c>
      <c r="G1531" s="4">
        <v>280.16000000000003</v>
      </c>
      <c r="H1531" s="4">
        <v>0.18</v>
      </c>
      <c r="I1531" s="4" t="s">
        <v>2004</v>
      </c>
      <c r="J1531" s="10">
        <v>918.9248</v>
      </c>
      <c r="K1531" s="4" t="str">
        <f t="shared" si="161"/>
        <v>02-03-2024</v>
      </c>
      <c r="L1531" s="4" t="str">
        <f>TEXT(Sales_Fact!$B1531,"mmm")</f>
        <v>Mar</v>
      </c>
      <c r="M1531" s="4">
        <f t="shared" si="162"/>
        <v>4</v>
      </c>
      <c r="N1531" s="10">
        <f t="shared" si="163"/>
        <v>280.16000000000003</v>
      </c>
      <c r="O1531" s="10">
        <f t="shared" si="164"/>
        <v>918.92480000000012</v>
      </c>
      <c r="P1531" s="10">
        <f t="shared" si="165"/>
        <v>1120.6400000000001</v>
      </c>
      <c r="Q1531" s="3">
        <f t="shared" si="166"/>
        <v>0.17999999999999997</v>
      </c>
      <c r="R1531" s="4" t="str">
        <f>IF(Sales_Fact!$O1531&gt;1000,"High","Low")</f>
        <v>Low</v>
      </c>
      <c r="S1531" s="4" t="str">
        <f>VLOOKUP(C1531,Customer_Dim!$A:$N,9,FALSE())</f>
        <v>Wesley Short</v>
      </c>
      <c r="T1531" s="4" t="str">
        <f>VLOOKUP(D1531,Product_Dim!$A:$M,3,FALSE())</f>
        <v>Sports</v>
      </c>
      <c r="U1531" s="11" t="str">
        <f>VLOOKUP(D1531,Product_Dim!$A:$M,2,FALSE())</f>
        <v>Boxing Hand Wraps</v>
      </c>
      <c r="V1531" s="11" t="str">
        <f>VLOOKUP(E1531,Store_Dim!$A:$E,3,FALSE())</f>
        <v>East</v>
      </c>
      <c r="W1531" s="11" t="str">
        <f>VLOOKUP(C1531,Customer_Dim!$A:$N,13,FALSE())</f>
        <v>Gold</v>
      </c>
      <c r="X1531" s="11" t="str">
        <f t="shared" si="167"/>
        <v>High</v>
      </c>
    </row>
    <row r="1532" spans="1:24" ht="15.75" customHeight="1">
      <c r="A1532" s="4" t="s">
        <v>3528</v>
      </c>
      <c r="B1532" s="9">
        <v>45592</v>
      </c>
      <c r="C1532" s="4" t="s">
        <v>939</v>
      </c>
      <c r="D1532" s="4" t="s">
        <v>1819</v>
      </c>
      <c r="E1532" s="4" t="s">
        <v>1955</v>
      </c>
      <c r="F1532" s="4">
        <v>2</v>
      </c>
      <c r="G1532" s="4">
        <v>649.54999999999995</v>
      </c>
      <c r="H1532" s="4">
        <v>0.28999999999999998</v>
      </c>
      <c r="I1532" s="4" t="s">
        <v>1998</v>
      </c>
      <c r="J1532" s="10">
        <v>922.36099999999999</v>
      </c>
      <c r="K1532" s="4" t="str">
        <f t="shared" si="161"/>
        <v>27-10-2024</v>
      </c>
      <c r="L1532" s="4" t="str">
        <f>TEXT(Sales_Fact!$B1532,"mmm")</f>
        <v>Oct</v>
      </c>
      <c r="M1532" s="4">
        <f t="shared" si="162"/>
        <v>2</v>
      </c>
      <c r="N1532" s="10">
        <f t="shared" si="163"/>
        <v>649.54999999999995</v>
      </c>
      <c r="O1532" s="10">
        <f t="shared" si="164"/>
        <v>922.36099999999988</v>
      </c>
      <c r="P1532" s="10">
        <f t="shared" si="165"/>
        <v>1299.0999999999999</v>
      </c>
      <c r="Q1532" s="3">
        <f t="shared" si="166"/>
        <v>0.29000000000000004</v>
      </c>
      <c r="R1532" s="4" t="str">
        <f>IF(Sales_Fact!$O1532&gt;1000,"High","Low")</f>
        <v>Low</v>
      </c>
      <c r="S1532" s="4" t="str">
        <f>VLOOKUP(C1532,Customer_Dim!$A:$N,9,FALSE())</f>
        <v>Cynthia Roberts</v>
      </c>
      <c r="T1532" s="4" t="str">
        <f>VLOOKUP(D1532,Product_Dim!$A:$M,3,FALSE())</f>
        <v>Beauty</v>
      </c>
      <c r="U1532" s="11" t="str">
        <f>VLOOKUP(D1532,Product_Dim!$A:$M,2,FALSE())</f>
        <v>Hair Repair Oil Treatment</v>
      </c>
      <c r="V1532" s="11" t="str">
        <f>VLOOKUP(E1532,Store_Dim!$A:$E,3,FALSE())</f>
        <v>East</v>
      </c>
      <c r="W1532" s="11" t="str">
        <f>VLOOKUP(C1532,Customer_Dim!$A:$N,13,FALSE())</f>
        <v>Gold</v>
      </c>
      <c r="X1532" s="11" t="str">
        <f t="shared" si="167"/>
        <v>Low</v>
      </c>
    </row>
    <row r="1533" spans="1:24" ht="15.75" customHeight="1">
      <c r="A1533" s="4" t="s">
        <v>3529</v>
      </c>
      <c r="B1533" s="9">
        <v>45360</v>
      </c>
      <c r="C1533" s="4" t="s">
        <v>59</v>
      </c>
      <c r="D1533" s="4" t="s">
        <v>1870</v>
      </c>
      <c r="E1533" s="4" t="s">
        <v>1919</v>
      </c>
      <c r="F1533" s="4">
        <v>2</v>
      </c>
      <c r="G1533" s="4">
        <v>994.32</v>
      </c>
      <c r="H1533" s="4">
        <v>0.27</v>
      </c>
      <c r="I1533" s="4" t="s">
        <v>1998</v>
      </c>
      <c r="J1533" s="10">
        <v>1451.7072000000001</v>
      </c>
      <c r="K1533" s="4" t="str">
        <f t="shared" si="161"/>
        <v>09-03-2024</v>
      </c>
      <c r="L1533" s="4" t="str">
        <f>TEXT(Sales_Fact!$B1533,"mmm")</f>
        <v>Mar</v>
      </c>
      <c r="M1533" s="4">
        <f t="shared" si="162"/>
        <v>2</v>
      </c>
      <c r="N1533" s="10">
        <f t="shared" si="163"/>
        <v>994.32</v>
      </c>
      <c r="O1533" s="10">
        <f t="shared" si="164"/>
        <v>1451.7072000000001</v>
      </c>
      <c r="P1533" s="10">
        <f t="shared" si="165"/>
        <v>1988.64</v>
      </c>
      <c r="Q1533" s="3">
        <f t="shared" si="166"/>
        <v>0.27</v>
      </c>
      <c r="R1533" s="4" t="str">
        <f>IF(Sales_Fact!$O1533&gt;1000,"High","Low")</f>
        <v>High</v>
      </c>
      <c r="S1533" s="4" t="str">
        <f>VLOOKUP(C1533,Customer_Dim!$A:$N,9,FALSE())</f>
        <v>Daniel Boyd</v>
      </c>
      <c r="T1533" s="4" t="str">
        <f>VLOOKUP(D1533,Product_Dim!$A:$M,3,FALSE())</f>
        <v>Sports</v>
      </c>
      <c r="U1533" s="11" t="str">
        <f>VLOOKUP(D1533,Product_Dim!$A:$M,2,FALSE())</f>
        <v>Sports Wrist Sweatbands</v>
      </c>
      <c r="V1533" s="11" t="str">
        <f>VLOOKUP(E1533,Store_Dim!$A:$E,3,FALSE())</f>
        <v>South</v>
      </c>
      <c r="W1533" s="11" t="str">
        <f>VLOOKUP(C1533,Customer_Dim!$A:$N,13,FALSE())</f>
        <v>Bronze</v>
      </c>
      <c r="X1533" s="11" t="str">
        <f t="shared" si="167"/>
        <v>Low</v>
      </c>
    </row>
    <row r="1534" spans="1:24" ht="15.75" customHeight="1">
      <c r="A1534" s="4" t="s">
        <v>3530</v>
      </c>
      <c r="B1534" s="9">
        <v>45649</v>
      </c>
      <c r="C1534" s="4" t="s">
        <v>749</v>
      </c>
      <c r="D1534" s="4" t="s">
        <v>1849</v>
      </c>
      <c r="E1534" s="4" t="s">
        <v>1952</v>
      </c>
      <c r="F1534" s="4">
        <v>1</v>
      </c>
      <c r="G1534" s="4">
        <v>64.94</v>
      </c>
      <c r="H1534" s="4">
        <v>0.21</v>
      </c>
      <c r="I1534" s="4" t="s">
        <v>1998</v>
      </c>
      <c r="J1534" s="10">
        <v>51.302599999999998</v>
      </c>
      <c r="K1534" s="4" t="str">
        <f t="shared" si="161"/>
        <v>23-12-2024</v>
      </c>
      <c r="L1534" s="4" t="str">
        <f>TEXT(Sales_Fact!$B1534,"mmm")</f>
        <v>Dec</v>
      </c>
      <c r="M1534" s="4">
        <f t="shared" si="162"/>
        <v>1</v>
      </c>
      <c r="N1534" s="10">
        <f t="shared" si="163"/>
        <v>64.94</v>
      </c>
      <c r="O1534" s="10">
        <f t="shared" si="164"/>
        <v>51.302599999999998</v>
      </c>
      <c r="P1534" s="10">
        <f t="shared" si="165"/>
        <v>64.94</v>
      </c>
      <c r="Q1534" s="3">
        <f t="shared" si="166"/>
        <v>0.21</v>
      </c>
      <c r="R1534" s="4" t="str">
        <f>IF(Sales_Fact!$O1534&gt;1000,"High","Low")</f>
        <v>Low</v>
      </c>
      <c r="S1534" s="4" t="str">
        <f>VLOOKUP(C1534,Customer_Dim!$A:$N,9,FALSE())</f>
        <v>Robert Harris</v>
      </c>
      <c r="T1534" s="4" t="str">
        <f>VLOOKUP(D1534,Product_Dim!$A:$M,3,FALSE())</f>
        <v>Sports</v>
      </c>
      <c r="U1534" s="11" t="str">
        <f>VLOOKUP(D1534,Product_Dim!$A:$M,2,FALSE())</f>
        <v>Badminton Racket Set</v>
      </c>
      <c r="V1534" s="11" t="str">
        <f>VLOOKUP(E1534,Store_Dim!$A:$E,3,FALSE())</f>
        <v>North</v>
      </c>
      <c r="W1534" s="11" t="str">
        <f>VLOOKUP(C1534,Customer_Dim!$A:$N,13,FALSE())</f>
        <v>Platinum</v>
      </c>
      <c r="X1534" s="11" t="str">
        <f t="shared" si="167"/>
        <v>Low</v>
      </c>
    </row>
    <row r="1535" spans="1:24" ht="15.75" customHeight="1">
      <c r="A1535" s="4" t="s">
        <v>3531</v>
      </c>
      <c r="B1535" s="9">
        <v>45709</v>
      </c>
      <c r="C1535" s="4" t="s">
        <v>488</v>
      </c>
      <c r="D1535" s="4" t="s">
        <v>1719</v>
      </c>
      <c r="E1535" s="4" t="s">
        <v>1937</v>
      </c>
      <c r="F1535" s="4">
        <v>2</v>
      </c>
      <c r="G1535" s="4">
        <v>507.66</v>
      </c>
      <c r="H1535" s="4">
        <v>0</v>
      </c>
      <c r="I1535" s="4" t="s">
        <v>2004</v>
      </c>
      <c r="J1535" s="10">
        <v>1015.32</v>
      </c>
      <c r="K1535" s="4" t="str">
        <f t="shared" si="161"/>
        <v>21-02-2025</v>
      </c>
      <c r="L1535" s="4" t="str">
        <f>TEXT(Sales_Fact!$B1535,"mmm")</f>
        <v>Feb</v>
      </c>
      <c r="M1535" s="4">
        <f t="shared" si="162"/>
        <v>2</v>
      </c>
      <c r="N1535" s="10">
        <f t="shared" si="163"/>
        <v>507.66</v>
      </c>
      <c r="O1535" s="10">
        <f t="shared" si="164"/>
        <v>1015.32</v>
      </c>
      <c r="P1535" s="10">
        <f t="shared" si="165"/>
        <v>1015.32</v>
      </c>
      <c r="Q1535" s="3">
        <f t="shared" si="166"/>
        <v>0</v>
      </c>
      <c r="R1535" s="4" t="str">
        <f>IF(Sales_Fact!$O1535&gt;1000,"High","Low")</f>
        <v>High</v>
      </c>
      <c r="S1535" s="4" t="str">
        <f>VLOOKUP(C1535,Customer_Dim!$A:$N,9,FALSE())</f>
        <v>Patrick Coleman</v>
      </c>
      <c r="T1535" s="4" t="str">
        <f>VLOOKUP(D1535,Product_Dim!$A:$M,3,FALSE())</f>
        <v>Electronics</v>
      </c>
      <c r="U1535" s="11" t="str">
        <f>VLOOKUP(D1535,Product_Dim!$A:$M,2,FALSE())</f>
        <v>Portable Power Bank</v>
      </c>
      <c r="V1535" s="11" t="str">
        <f>VLOOKUP(E1535,Store_Dim!$A:$E,3,FALSE())</f>
        <v>South</v>
      </c>
      <c r="W1535" s="11" t="str">
        <f>VLOOKUP(C1535,Customer_Dim!$A:$N,13,FALSE())</f>
        <v>Silver</v>
      </c>
      <c r="X1535" s="11" t="str">
        <f t="shared" si="167"/>
        <v>Low</v>
      </c>
    </row>
    <row r="1536" spans="1:24" ht="15.75" customHeight="1">
      <c r="A1536" s="4" t="s">
        <v>3532</v>
      </c>
      <c r="B1536" s="9">
        <v>45633</v>
      </c>
      <c r="C1536" s="4" t="s">
        <v>1286</v>
      </c>
      <c r="D1536" s="4" t="s">
        <v>1640</v>
      </c>
      <c r="E1536" s="4" t="s">
        <v>1937</v>
      </c>
      <c r="F1536" s="4">
        <v>4</v>
      </c>
      <c r="G1536" s="4">
        <v>733.42</v>
      </c>
      <c r="H1536" s="4"/>
      <c r="I1536" s="4" t="s">
        <v>1998</v>
      </c>
      <c r="J1536" s="10">
        <v>2552.3015999999998</v>
      </c>
      <c r="K1536" s="4" t="str">
        <f t="shared" si="161"/>
        <v>07-12-2024</v>
      </c>
      <c r="L1536" s="4" t="str">
        <f>TEXT(Sales_Fact!$B1536,"mmm")</f>
        <v>Dec</v>
      </c>
      <c r="M1536" s="4">
        <f t="shared" si="162"/>
        <v>4</v>
      </c>
      <c r="N1536" s="10">
        <f t="shared" si="163"/>
        <v>733.42</v>
      </c>
      <c r="O1536" s="10">
        <f t="shared" si="164"/>
        <v>2933.68</v>
      </c>
      <c r="P1536" s="10">
        <f t="shared" si="165"/>
        <v>2933.68</v>
      </c>
      <c r="Q1536" s="3">
        <f t="shared" si="166"/>
        <v>0</v>
      </c>
      <c r="R1536" s="4" t="str">
        <f>IF(Sales_Fact!$O1536&gt;1000,"High","Low")</f>
        <v>High</v>
      </c>
      <c r="S1536" s="4" t="str">
        <f>VLOOKUP(C1536,Customer_Dim!$A:$N,9,FALSE())</f>
        <v>David Ross</v>
      </c>
      <c r="T1536" s="4" t="str">
        <f>VLOOKUP(D1536,Product_Dim!$A:$M,3,FALSE())</f>
        <v>Electronics</v>
      </c>
      <c r="U1536" s="11" t="str">
        <f>VLOOKUP(D1536,Product_Dim!$A:$M,2,FALSE())</f>
        <v>4K Home Projector</v>
      </c>
      <c r="V1536" s="11" t="str">
        <f>VLOOKUP(E1536,Store_Dim!$A:$E,3,FALSE())</f>
        <v>South</v>
      </c>
      <c r="W1536" s="11" t="str">
        <f>VLOOKUP(C1536,Customer_Dim!$A:$N,13,FALSE())</f>
        <v>Silver</v>
      </c>
      <c r="X1536" s="11" t="str">
        <f t="shared" si="167"/>
        <v>High</v>
      </c>
    </row>
    <row r="1537" spans="1:24" ht="15.75" customHeight="1">
      <c r="A1537" s="4" t="s">
        <v>3533</v>
      </c>
      <c r="B1537" s="9">
        <v>45273</v>
      </c>
      <c r="C1537" s="4" t="s">
        <v>804</v>
      </c>
      <c r="D1537" s="4" t="s">
        <v>1849</v>
      </c>
      <c r="E1537" s="4" t="s">
        <v>1927</v>
      </c>
      <c r="F1537" s="4">
        <v>4</v>
      </c>
      <c r="G1537" s="4">
        <v>968.27</v>
      </c>
      <c r="H1537" s="4">
        <v>0.03</v>
      </c>
      <c r="I1537" s="4" t="s">
        <v>1998</v>
      </c>
      <c r="J1537" s="10">
        <v>3756.8876</v>
      </c>
      <c r="K1537" s="4" t="str">
        <f t="shared" si="161"/>
        <v>13-12-2023</v>
      </c>
      <c r="L1537" s="4" t="str">
        <f>TEXT(Sales_Fact!$B1537,"mmm")</f>
        <v>Dec</v>
      </c>
      <c r="M1537" s="4">
        <f t="shared" si="162"/>
        <v>4</v>
      </c>
      <c r="N1537" s="10">
        <f t="shared" si="163"/>
        <v>968.27</v>
      </c>
      <c r="O1537" s="10">
        <f t="shared" si="164"/>
        <v>3756.8876</v>
      </c>
      <c r="P1537" s="10">
        <f t="shared" si="165"/>
        <v>3873.08</v>
      </c>
      <c r="Q1537" s="3">
        <f t="shared" si="166"/>
        <v>2.9999999999999978E-2</v>
      </c>
      <c r="R1537" s="4" t="str">
        <f>IF(Sales_Fact!$O1537&gt;1000,"High","Low")</f>
        <v>High</v>
      </c>
      <c r="S1537" s="4" t="str">
        <f>VLOOKUP(C1537,Customer_Dim!$A:$N,9,FALSE())</f>
        <v>William Jackson</v>
      </c>
      <c r="T1537" s="4" t="str">
        <f>VLOOKUP(D1537,Product_Dim!$A:$M,3,FALSE())</f>
        <v>Sports</v>
      </c>
      <c r="U1537" s="11" t="str">
        <f>VLOOKUP(D1537,Product_Dim!$A:$M,2,FALSE())</f>
        <v>Badminton Racket Set</v>
      </c>
      <c r="V1537" s="11" t="str">
        <f>VLOOKUP(E1537,Store_Dim!$A:$E,3,FALSE())</f>
        <v>South</v>
      </c>
      <c r="W1537" s="11" t="str">
        <f>VLOOKUP(C1537,Customer_Dim!$A:$N,13,FALSE())</f>
        <v>Silver</v>
      </c>
      <c r="X1537" s="11" t="str">
        <f t="shared" si="167"/>
        <v>High</v>
      </c>
    </row>
    <row r="1538" spans="1:24" ht="15.75" customHeight="1">
      <c r="A1538" s="4" t="s">
        <v>3534</v>
      </c>
      <c r="B1538" s="9">
        <v>45250</v>
      </c>
      <c r="C1538" s="4" t="s">
        <v>98</v>
      </c>
      <c r="D1538" s="4" t="s">
        <v>1870</v>
      </c>
      <c r="E1538" s="4" t="s">
        <v>1931</v>
      </c>
      <c r="F1538" s="4">
        <v>4</v>
      </c>
      <c r="G1538" s="4">
        <v>510.33</v>
      </c>
      <c r="H1538" s="4">
        <v>0.2</v>
      </c>
      <c r="I1538" s="4" t="s">
        <v>1998</v>
      </c>
      <c r="J1538" s="10">
        <v>1633.056</v>
      </c>
      <c r="K1538" s="4" t="str">
        <f t="shared" ref="K1538:K1601" si="168">TEXT(B1538,"dd-mm-yyyy")</f>
        <v>20-11-2023</v>
      </c>
      <c r="L1538" s="4" t="str">
        <f>TEXT(Sales_Fact!$B1538,"mmm")</f>
        <v>Nov</v>
      </c>
      <c r="M1538" s="4">
        <f t="shared" ref="M1538:M1601" si="169">IF(ISBLANK(F1538),1,F1538)</f>
        <v>4</v>
      </c>
      <c r="N1538" s="10">
        <f t="shared" ref="N1538:N1601" si="170">ROUNDUP(IF(ISBLANK(G1538),AVERAGE(C:C,G1538,G:G),G1538),2)</f>
        <v>510.33</v>
      </c>
      <c r="O1538" s="10">
        <f t="shared" ref="O1538:O1601" si="171">M1538*N1538*(1-H1538)</f>
        <v>1633.056</v>
      </c>
      <c r="P1538" s="10">
        <f t="shared" ref="P1538:P1601" si="172">M1538*N1538</f>
        <v>2041.32</v>
      </c>
      <c r="Q1538" s="3">
        <f t="shared" ref="Q1538:Q1601" si="173">(P1538-O1538)/P1538</f>
        <v>0.19999999999999996</v>
      </c>
      <c r="R1538" s="4" t="str">
        <f>IF(Sales_Fact!$O1538&gt;1000,"High","Low")</f>
        <v>High</v>
      </c>
      <c r="S1538" s="4" t="str">
        <f>VLOOKUP(C1538,Customer_Dim!$A:$N,9,FALSE())</f>
        <v>Adam Cruz</v>
      </c>
      <c r="T1538" s="4" t="str">
        <f>VLOOKUP(D1538,Product_Dim!$A:$M,3,FALSE())</f>
        <v>Sports</v>
      </c>
      <c r="U1538" s="11" t="str">
        <f>VLOOKUP(D1538,Product_Dim!$A:$M,2,FALSE())</f>
        <v>Sports Wrist Sweatbands</v>
      </c>
      <c r="V1538" s="11" t="str">
        <f>VLOOKUP(E1538,Store_Dim!$A:$E,3,FALSE())</f>
        <v>North</v>
      </c>
      <c r="W1538" s="11" t="str">
        <f>VLOOKUP(C1538,Customer_Dim!$A:$N,13,FALSE())</f>
        <v>Platinum</v>
      </c>
      <c r="X1538" s="11" t="str">
        <f t="shared" ref="X1538:X1601" si="174">IF(F1538&gt;3,"High","Low")</f>
        <v>High</v>
      </c>
    </row>
    <row r="1539" spans="1:24" ht="15.75" customHeight="1">
      <c r="A1539" s="4" t="s">
        <v>3535</v>
      </c>
      <c r="B1539" s="9">
        <v>45539</v>
      </c>
      <c r="C1539" s="4" t="s">
        <v>75</v>
      </c>
      <c r="D1539" s="4" t="s">
        <v>1735</v>
      </c>
      <c r="E1539" s="4" t="s">
        <v>1971</v>
      </c>
      <c r="F1539" s="4">
        <v>2</v>
      </c>
      <c r="G1539" s="4">
        <v>156.72999999999999</v>
      </c>
      <c r="H1539" s="4">
        <v>0.18</v>
      </c>
      <c r="I1539" s="4" t="s">
        <v>2004</v>
      </c>
      <c r="J1539" s="10">
        <v>257.03719999999998</v>
      </c>
      <c r="K1539" s="4" t="str">
        <f t="shared" si="168"/>
        <v>04-09-2024</v>
      </c>
      <c r="L1539" s="4" t="str">
        <f>TEXT(Sales_Fact!$B1539,"mmm")</f>
        <v>Sep</v>
      </c>
      <c r="M1539" s="4">
        <f t="shared" si="169"/>
        <v>2</v>
      </c>
      <c r="N1539" s="10">
        <f t="shared" si="170"/>
        <v>156.72999999999999</v>
      </c>
      <c r="O1539" s="10">
        <f t="shared" si="171"/>
        <v>257.03719999999998</v>
      </c>
      <c r="P1539" s="10">
        <f t="shared" si="172"/>
        <v>313.45999999999998</v>
      </c>
      <c r="Q1539" s="3">
        <f t="shared" si="173"/>
        <v>0.18</v>
      </c>
      <c r="R1539" s="4" t="str">
        <f>IF(Sales_Fact!$O1539&gt;1000,"High","Low")</f>
        <v>Low</v>
      </c>
      <c r="S1539" s="4" t="str">
        <f>VLOOKUP(C1539,Customer_Dim!$A:$N,9,FALSE())</f>
        <v>Brian Lopez</v>
      </c>
      <c r="T1539" s="4" t="str">
        <f>VLOOKUP(D1539,Product_Dim!$A:$M,3,FALSE())</f>
        <v>Sports</v>
      </c>
      <c r="U1539" s="11" t="str">
        <f>VLOOKUP(D1539,Product_Dim!$A:$M,2,FALSE())</f>
        <v>Adjustable Jump Rope</v>
      </c>
      <c r="V1539" s="11" t="str">
        <f>VLOOKUP(E1539,Store_Dim!$A:$E,3,FALSE())</f>
        <v>East</v>
      </c>
      <c r="W1539" s="11" t="str">
        <f>VLOOKUP(C1539,Customer_Dim!$A:$N,13,FALSE())</f>
        <v>Gold</v>
      </c>
      <c r="X1539" s="11" t="str">
        <f t="shared" si="174"/>
        <v>Low</v>
      </c>
    </row>
    <row r="1540" spans="1:24" ht="15.75" customHeight="1">
      <c r="A1540" s="4" t="s">
        <v>3536</v>
      </c>
      <c r="B1540" s="9">
        <v>45810</v>
      </c>
      <c r="C1540" s="4" t="s">
        <v>505</v>
      </c>
      <c r="D1540" s="4" t="s">
        <v>1903</v>
      </c>
      <c r="E1540" s="4" t="s">
        <v>1947</v>
      </c>
      <c r="F1540" s="4">
        <v>3</v>
      </c>
      <c r="G1540" s="4">
        <v>53.83</v>
      </c>
      <c r="H1540" s="4">
        <v>0.24</v>
      </c>
      <c r="I1540" s="4" t="s">
        <v>1996</v>
      </c>
      <c r="J1540" s="10">
        <v>122.7324</v>
      </c>
      <c r="K1540" s="4" t="str">
        <f t="shared" si="168"/>
        <v>02-06-2025</v>
      </c>
      <c r="L1540" s="4" t="str">
        <f>TEXT(Sales_Fact!$B1540,"mmm")</f>
        <v>Jun</v>
      </c>
      <c r="M1540" s="4">
        <f t="shared" si="169"/>
        <v>3</v>
      </c>
      <c r="N1540" s="10">
        <f t="shared" si="170"/>
        <v>53.83</v>
      </c>
      <c r="O1540" s="10">
        <f t="shared" si="171"/>
        <v>122.73240000000001</v>
      </c>
      <c r="P1540" s="10">
        <f t="shared" si="172"/>
        <v>161.49</v>
      </c>
      <c r="Q1540" s="3">
        <f t="shared" si="173"/>
        <v>0.23999999999999996</v>
      </c>
      <c r="R1540" s="4" t="str">
        <f>IF(Sales_Fact!$O1540&gt;1000,"High","Low")</f>
        <v>Low</v>
      </c>
      <c r="S1540" s="4" t="str">
        <f>VLOOKUP(C1540,Customer_Dim!$A:$N,9,FALSE())</f>
        <v>Maria Ramirez</v>
      </c>
      <c r="T1540" s="4" t="str">
        <f>VLOOKUP(D1540,Product_Dim!$A:$M,3,FALSE())</f>
        <v>Home</v>
      </c>
      <c r="U1540" s="11" t="str">
        <f>VLOOKUP(D1540,Product_Dim!$A:$M,2,FALSE())</f>
        <v>Stainless Steel Cookware Set</v>
      </c>
      <c r="V1540" s="11" t="str">
        <f>VLOOKUP(E1540,Store_Dim!$A:$E,3,FALSE())</f>
        <v>East</v>
      </c>
      <c r="W1540" s="11" t="str">
        <f>VLOOKUP(C1540,Customer_Dim!$A:$N,13,FALSE())</f>
        <v>Bronze</v>
      </c>
      <c r="X1540" s="11" t="str">
        <f t="shared" si="174"/>
        <v>Low</v>
      </c>
    </row>
    <row r="1541" spans="1:24" ht="15.75" customHeight="1">
      <c r="A1541" s="4" t="s">
        <v>3537</v>
      </c>
      <c r="B1541" s="9">
        <v>45350</v>
      </c>
      <c r="C1541" s="4" t="s">
        <v>1207</v>
      </c>
      <c r="D1541" s="4" t="s">
        <v>1840</v>
      </c>
      <c r="E1541" s="4" t="s">
        <v>1927</v>
      </c>
      <c r="F1541" s="4">
        <v>1</v>
      </c>
      <c r="G1541" s="4">
        <v>34.71</v>
      </c>
      <c r="H1541" s="4">
        <v>0.1</v>
      </c>
      <c r="I1541" s="4" t="s">
        <v>2004</v>
      </c>
      <c r="J1541" s="10">
        <v>31.239000000000001</v>
      </c>
      <c r="K1541" s="4" t="str">
        <f t="shared" si="168"/>
        <v>28-02-2024</v>
      </c>
      <c r="L1541" s="4" t="str">
        <f>TEXT(Sales_Fact!$B1541,"mmm")</f>
        <v>Feb</v>
      </c>
      <c r="M1541" s="4">
        <f t="shared" si="169"/>
        <v>1</v>
      </c>
      <c r="N1541" s="10">
        <f t="shared" si="170"/>
        <v>34.71</v>
      </c>
      <c r="O1541" s="10">
        <f t="shared" si="171"/>
        <v>31.239000000000001</v>
      </c>
      <c r="P1541" s="10">
        <f t="shared" si="172"/>
        <v>34.71</v>
      </c>
      <c r="Q1541" s="3">
        <f t="shared" si="173"/>
        <v>0.1</v>
      </c>
      <c r="R1541" s="4" t="str">
        <f>IF(Sales_Fact!$O1541&gt;1000,"High","Low")</f>
        <v>Low</v>
      </c>
      <c r="S1541" s="4" t="str">
        <f>VLOOKUP(C1541,Customer_Dim!$A:$N,9,FALSE())</f>
        <v>Charles Conley</v>
      </c>
      <c r="T1541" s="4" t="str">
        <f>VLOOKUP(D1541,Product_Dim!$A:$M,3,FALSE())</f>
        <v>Home</v>
      </c>
      <c r="U1541" s="11" t="str">
        <f>VLOOKUP(D1541,Product_Dim!$A:$M,2,FALSE())</f>
        <v>Essential Oil Diffuser</v>
      </c>
      <c r="V1541" s="11" t="str">
        <f>VLOOKUP(E1541,Store_Dim!$A:$E,3,FALSE())</f>
        <v>South</v>
      </c>
      <c r="W1541" s="11" t="str">
        <f>VLOOKUP(C1541,Customer_Dim!$A:$N,13,FALSE())</f>
        <v>Gold</v>
      </c>
      <c r="X1541" s="11" t="str">
        <f t="shared" si="174"/>
        <v>Low</v>
      </c>
    </row>
    <row r="1542" spans="1:24" ht="15.75" customHeight="1">
      <c r="A1542" s="4" t="s">
        <v>3538</v>
      </c>
      <c r="B1542" s="9">
        <v>45633</v>
      </c>
      <c r="C1542" s="4" t="s">
        <v>765</v>
      </c>
      <c r="D1542" s="4" t="s">
        <v>1837</v>
      </c>
      <c r="E1542" s="4" t="s">
        <v>1915</v>
      </c>
      <c r="F1542" s="4">
        <v>2</v>
      </c>
      <c r="G1542" s="4">
        <v>829.15</v>
      </c>
      <c r="H1542" s="4">
        <v>0.11</v>
      </c>
      <c r="I1542" s="4" t="s">
        <v>1998</v>
      </c>
      <c r="J1542" s="10">
        <v>1475.8869999999999</v>
      </c>
      <c r="K1542" s="4" t="str">
        <f t="shared" si="168"/>
        <v>07-12-2024</v>
      </c>
      <c r="L1542" s="4" t="str">
        <f>TEXT(Sales_Fact!$B1542,"mmm")</f>
        <v>Dec</v>
      </c>
      <c r="M1542" s="4">
        <f t="shared" si="169"/>
        <v>2</v>
      </c>
      <c r="N1542" s="10">
        <f t="shared" si="170"/>
        <v>829.15</v>
      </c>
      <c r="O1542" s="10">
        <f t="shared" si="171"/>
        <v>1475.8869999999999</v>
      </c>
      <c r="P1542" s="10">
        <f t="shared" si="172"/>
        <v>1658.3</v>
      </c>
      <c r="Q1542" s="3">
        <f t="shared" si="173"/>
        <v>0.11000000000000001</v>
      </c>
      <c r="R1542" s="4" t="str">
        <f>IF(Sales_Fact!$O1542&gt;1000,"High","Low")</f>
        <v>High</v>
      </c>
      <c r="S1542" s="4" t="str">
        <f>VLOOKUP(C1542,Customer_Dim!$A:$N,9,FALSE())</f>
        <v>Tanner Thompson</v>
      </c>
      <c r="T1542" s="4" t="str">
        <f>VLOOKUP(D1542,Product_Dim!$A:$M,3,FALSE())</f>
        <v>Electronics</v>
      </c>
      <c r="U1542" s="11" t="str">
        <f>VLOOKUP(D1542,Product_Dim!$A:$M,2,FALSE())</f>
        <v>WiFi Mesh Router</v>
      </c>
      <c r="V1542" s="11" t="str">
        <f>VLOOKUP(E1542,Store_Dim!$A:$E,3,FALSE())</f>
        <v>North</v>
      </c>
      <c r="W1542" s="11" t="str">
        <f>VLOOKUP(C1542,Customer_Dim!$A:$N,13,FALSE())</f>
        <v>Bronze</v>
      </c>
      <c r="X1542" s="11" t="str">
        <f t="shared" si="174"/>
        <v>Low</v>
      </c>
    </row>
    <row r="1543" spans="1:24" ht="15.75" customHeight="1">
      <c r="A1543" s="4" t="s">
        <v>3539</v>
      </c>
      <c r="B1543" s="9">
        <v>45798</v>
      </c>
      <c r="C1543" s="4" t="s">
        <v>870</v>
      </c>
      <c r="D1543" s="4" t="s">
        <v>1900</v>
      </c>
      <c r="E1543" s="4" t="s">
        <v>1924</v>
      </c>
      <c r="F1543" s="4">
        <v>2</v>
      </c>
      <c r="G1543" s="4">
        <v>481.86</v>
      </c>
      <c r="H1543" s="4">
        <v>0.1</v>
      </c>
      <c r="I1543" s="4" t="s">
        <v>2004</v>
      </c>
      <c r="J1543" s="10">
        <v>867.34799999999996</v>
      </c>
      <c r="K1543" s="4" t="str">
        <f t="shared" si="168"/>
        <v>21-05-2025</v>
      </c>
      <c r="L1543" s="4" t="str">
        <f>TEXT(Sales_Fact!$B1543,"mmm")</f>
        <v>May</v>
      </c>
      <c r="M1543" s="4">
        <f t="shared" si="169"/>
        <v>2</v>
      </c>
      <c r="N1543" s="10">
        <f t="shared" si="170"/>
        <v>481.86</v>
      </c>
      <c r="O1543" s="10">
        <f t="shared" si="171"/>
        <v>867.34800000000007</v>
      </c>
      <c r="P1543" s="10">
        <f t="shared" si="172"/>
        <v>963.72</v>
      </c>
      <c r="Q1543" s="3">
        <f t="shared" si="173"/>
        <v>9.999999999999995E-2</v>
      </c>
      <c r="R1543" s="4" t="str">
        <f>IF(Sales_Fact!$O1543&gt;1000,"High","Low")</f>
        <v>Low</v>
      </c>
      <c r="S1543" s="4" t="str">
        <f>VLOOKUP(C1543,Customer_Dim!$A:$N,9,FALSE())</f>
        <v>Matthew Payne</v>
      </c>
      <c r="T1543" s="4" t="str">
        <f>VLOOKUP(D1543,Product_Dim!$A:$M,3,FALSE())</f>
        <v>Electronics</v>
      </c>
      <c r="U1543" s="11" t="str">
        <f>VLOOKUP(D1543,Product_Dim!$A:$M,2,FALSE())</f>
        <v>Portable Bluetooth Speaker</v>
      </c>
      <c r="V1543" s="11" t="str">
        <f>VLOOKUP(E1543,Store_Dim!$A:$E,3,FALSE())</f>
        <v>North</v>
      </c>
      <c r="W1543" s="11" t="str">
        <f>VLOOKUP(C1543,Customer_Dim!$A:$N,13,FALSE())</f>
        <v>Gold</v>
      </c>
      <c r="X1543" s="11" t="str">
        <f t="shared" si="174"/>
        <v>Low</v>
      </c>
    </row>
    <row r="1544" spans="1:24" ht="15.75" customHeight="1">
      <c r="A1544" s="4" t="s">
        <v>3540</v>
      </c>
      <c r="B1544" s="9">
        <v>45354</v>
      </c>
      <c r="C1544" s="4" t="s">
        <v>520</v>
      </c>
      <c r="D1544" s="4" t="s">
        <v>1761</v>
      </c>
      <c r="E1544" s="4" t="s">
        <v>1937</v>
      </c>
      <c r="F1544" s="4">
        <v>4</v>
      </c>
      <c r="G1544" s="4">
        <v>915.17</v>
      </c>
      <c r="H1544" s="4">
        <v>0.19</v>
      </c>
      <c r="I1544" s="4" t="s">
        <v>2004</v>
      </c>
      <c r="J1544" s="10">
        <v>2965.1507999999999</v>
      </c>
      <c r="K1544" s="4" t="str">
        <f t="shared" si="168"/>
        <v>03-03-2024</v>
      </c>
      <c r="L1544" s="4" t="str">
        <f>TEXT(Sales_Fact!$B1544,"mmm")</f>
        <v>Mar</v>
      </c>
      <c r="M1544" s="4">
        <f t="shared" si="169"/>
        <v>4</v>
      </c>
      <c r="N1544" s="10">
        <f t="shared" si="170"/>
        <v>915.17</v>
      </c>
      <c r="O1544" s="10">
        <f t="shared" si="171"/>
        <v>2965.1507999999999</v>
      </c>
      <c r="P1544" s="10">
        <f t="shared" si="172"/>
        <v>3660.68</v>
      </c>
      <c r="Q1544" s="3">
        <f t="shared" si="173"/>
        <v>0.19</v>
      </c>
      <c r="R1544" s="4" t="str">
        <f>IF(Sales_Fact!$O1544&gt;1000,"High","Low")</f>
        <v>High</v>
      </c>
      <c r="S1544" s="4" t="str">
        <f>VLOOKUP(C1544,Customer_Dim!$A:$N,9,FALSE())</f>
        <v>Rhonda Young</v>
      </c>
      <c r="T1544" s="4" t="str">
        <f>VLOOKUP(D1544,Product_Dim!$A:$M,3,FALSE())</f>
        <v>Sports</v>
      </c>
      <c r="U1544" s="11" t="str">
        <f>VLOOKUP(D1544,Product_Dim!$A:$M,2,FALSE())</f>
        <v>Rugby Ball</v>
      </c>
      <c r="V1544" s="11" t="str">
        <f>VLOOKUP(E1544,Store_Dim!$A:$E,3,FALSE())</f>
        <v>South</v>
      </c>
      <c r="W1544" s="11" t="str">
        <f>VLOOKUP(C1544,Customer_Dim!$A:$N,13,FALSE())</f>
        <v>Platinum</v>
      </c>
      <c r="X1544" s="11" t="str">
        <f t="shared" si="174"/>
        <v>High</v>
      </c>
    </row>
    <row r="1545" spans="1:24" ht="15.75" customHeight="1">
      <c r="A1545" s="4" t="s">
        <v>3541</v>
      </c>
      <c r="B1545" s="9">
        <v>45357</v>
      </c>
      <c r="C1545" s="4" t="s">
        <v>721</v>
      </c>
      <c r="D1545" s="4" t="s">
        <v>1819</v>
      </c>
      <c r="E1545" s="4" t="s">
        <v>1968</v>
      </c>
      <c r="F1545" s="4">
        <v>1</v>
      </c>
      <c r="G1545" s="4">
        <v>250.95</v>
      </c>
      <c r="H1545" s="4">
        <v>0.03</v>
      </c>
      <c r="I1545" s="4" t="s">
        <v>1998</v>
      </c>
      <c r="J1545" s="10">
        <v>243.42150000000001</v>
      </c>
      <c r="K1545" s="4" t="str">
        <f t="shared" si="168"/>
        <v>06-03-2024</v>
      </c>
      <c r="L1545" s="4" t="str">
        <f>TEXT(Sales_Fact!$B1545,"mmm")</f>
        <v>Mar</v>
      </c>
      <c r="M1545" s="4">
        <f t="shared" si="169"/>
        <v>1</v>
      </c>
      <c r="N1545" s="10">
        <f t="shared" si="170"/>
        <v>250.95</v>
      </c>
      <c r="O1545" s="10">
        <f t="shared" si="171"/>
        <v>243.42149999999998</v>
      </c>
      <c r="P1545" s="10">
        <f t="shared" si="172"/>
        <v>250.95</v>
      </c>
      <c r="Q1545" s="3">
        <f t="shared" si="173"/>
        <v>3.0000000000000034E-2</v>
      </c>
      <c r="R1545" s="4" t="str">
        <f>IF(Sales_Fact!$O1545&gt;1000,"High","Low")</f>
        <v>Low</v>
      </c>
      <c r="S1545" s="4" t="str">
        <f>VLOOKUP(C1545,Customer_Dim!$A:$N,9,FALSE())</f>
        <v>Eric Todd</v>
      </c>
      <c r="T1545" s="4" t="str">
        <f>VLOOKUP(D1545,Product_Dim!$A:$M,3,FALSE())</f>
        <v>Beauty</v>
      </c>
      <c r="U1545" s="11" t="str">
        <f>VLOOKUP(D1545,Product_Dim!$A:$M,2,FALSE())</f>
        <v>Hair Repair Oil Treatment</v>
      </c>
      <c r="V1545" s="11" t="str">
        <f>VLOOKUP(E1545,Store_Dim!$A:$E,3,FALSE())</f>
        <v>East</v>
      </c>
      <c r="W1545" s="11" t="str">
        <f>VLOOKUP(C1545,Customer_Dim!$A:$N,13,FALSE())</f>
        <v>Gold</v>
      </c>
      <c r="X1545" s="11" t="str">
        <f t="shared" si="174"/>
        <v>Low</v>
      </c>
    </row>
    <row r="1546" spans="1:24" ht="15.75" customHeight="1">
      <c r="A1546" s="4" t="s">
        <v>3542</v>
      </c>
      <c r="B1546" s="9">
        <v>45257</v>
      </c>
      <c r="C1546" s="4" t="s">
        <v>1051</v>
      </c>
      <c r="D1546" s="4" t="s">
        <v>1894</v>
      </c>
      <c r="E1546" s="4" t="s">
        <v>1931</v>
      </c>
      <c r="F1546" s="4">
        <v>3</v>
      </c>
      <c r="G1546" s="4">
        <v>882.84</v>
      </c>
      <c r="H1546" s="4">
        <v>0.1</v>
      </c>
      <c r="I1546" s="4" t="s">
        <v>1996</v>
      </c>
      <c r="J1546" s="10">
        <v>2383.6680000000001</v>
      </c>
      <c r="K1546" s="4" t="str">
        <f t="shared" si="168"/>
        <v>27-11-2023</v>
      </c>
      <c r="L1546" s="4" t="str">
        <f>TEXT(Sales_Fact!$B1546,"mmm")</f>
        <v>Nov</v>
      </c>
      <c r="M1546" s="4">
        <f t="shared" si="169"/>
        <v>3</v>
      </c>
      <c r="N1546" s="10">
        <f t="shared" si="170"/>
        <v>882.84</v>
      </c>
      <c r="O1546" s="10">
        <f t="shared" si="171"/>
        <v>2383.6680000000001</v>
      </c>
      <c r="P1546" s="10">
        <f t="shared" si="172"/>
        <v>2648.52</v>
      </c>
      <c r="Q1546" s="3">
        <f t="shared" si="173"/>
        <v>9.999999999999995E-2</v>
      </c>
      <c r="R1546" s="4" t="str">
        <f>IF(Sales_Fact!$O1546&gt;1000,"High","Low")</f>
        <v>High</v>
      </c>
      <c r="S1546" s="4" t="str">
        <f>VLOOKUP(C1546,Customer_Dim!$A:$N,9,FALSE())</f>
        <v>Andrew Smith</v>
      </c>
      <c r="T1546" s="4" t="str">
        <f>VLOOKUP(D1546,Product_Dim!$A:$M,3,FALSE())</f>
        <v>Clothing</v>
      </c>
      <c r="U1546" s="11" t="str">
        <f>VLOOKUP(D1546,Product_Dim!$A:$M,2,FALSE())</f>
        <v>Women's Formal Blazer</v>
      </c>
      <c r="V1546" s="11" t="str">
        <f>VLOOKUP(E1546,Store_Dim!$A:$E,3,FALSE())</f>
        <v>North</v>
      </c>
      <c r="W1546" s="11" t="str">
        <f>VLOOKUP(C1546,Customer_Dim!$A:$N,13,FALSE())</f>
        <v>Bronze</v>
      </c>
      <c r="X1546" s="11" t="str">
        <f t="shared" si="174"/>
        <v>Low</v>
      </c>
    </row>
    <row r="1547" spans="1:24" ht="15.75" customHeight="1">
      <c r="A1547" s="4" t="s">
        <v>3543</v>
      </c>
      <c r="B1547" s="9">
        <v>45257</v>
      </c>
      <c r="C1547" s="4" t="s">
        <v>1177</v>
      </c>
      <c r="D1547" s="4" t="s">
        <v>1873</v>
      </c>
      <c r="E1547" s="4" t="s">
        <v>1950</v>
      </c>
      <c r="F1547" s="4">
        <v>1</v>
      </c>
      <c r="G1547" s="4">
        <v>996.33</v>
      </c>
      <c r="H1547" s="4">
        <v>0.23</v>
      </c>
      <c r="I1547" s="4" t="s">
        <v>1998</v>
      </c>
      <c r="J1547" s="10">
        <v>767.17409999999995</v>
      </c>
      <c r="K1547" s="4" t="str">
        <f t="shared" si="168"/>
        <v>27-11-2023</v>
      </c>
      <c r="L1547" s="4" t="str">
        <f>TEXT(Sales_Fact!$B1547,"mmm")</f>
        <v>Nov</v>
      </c>
      <c r="M1547" s="4">
        <f t="shared" si="169"/>
        <v>1</v>
      </c>
      <c r="N1547" s="10">
        <f t="shared" si="170"/>
        <v>996.33</v>
      </c>
      <c r="O1547" s="10">
        <f t="shared" si="171"/>
        <v>767.17410000000007</v>
      </c>
      <c r="P1547" s="10">
        <f t="shared" si="172"/>
        <v>996.33</v>
      </c>
      <c r="Q1547" s="3">
        <f t="shared" si="173"/>
        <v>0.22999999999999995</v>
      </c>
      <c r="R1547" s="4" t="str">
        <f>IF(Sales_Fact!$O1547&gt;1000,"High","Low")</f>
        <v>Low</v>
      </c>
      <c r="S1547" s="4" t="str">
        <f>VLOOKUP(C1547,Customer_Dim!$A:$N,9,FALSE())</f>
        <v>Melinda Johnson</v>
      </c>
      <c r="T1547" s="4" t="str">
        <f>VLOOKUP(D1547,Product_Dim!$A:$M,3,FALSE())</f>
        <v>Beauty</v>
      </c>
      <c r="U1547" s="11" t="str">
        <f>VLOOKUP(D1547,Product_Dim!$A:$M,2,FALSE())</f>
        <v>Face Foundation Kit</v>
      </c>
      <c r="V1547" s="11" t="str">
        <f>VLOOKUP(E1547,Store_Dim!$A:$E,3,FALSE())</f>
        <v>South</v>
      </c>
      <c r="W1547" s="11" t="str">
        <f>VLOOKUP(C1547,Customer_Dim!$A:$N,13,FALSE())</f>
        <v>Bronze</v>
      </c>
      <c r="X1547" s="11" t="str">
        <f t="shared" si="174"/>
        <v>Low</v>
      </c>
    </row>
    <row r="1548" spans="1:24" ht="15.75" customHeight="1">
      <c r="A1548" s="4" t="s">
        <v>3544</v>
      </c>
      <c r="B1548" s="9">
        <v>45702</v>
      </c>
      <c r="C1548" s="4" t="s">
        <v>494</v>
      </c>
      <c r="D1548" s="4" t="s">
        <v>1654</v>
      </c>
      <c r="E1548" s="4" t="s">
        <v>1968</v>
      </c>
      <c r="F1548" s="4">
        <v>4</v>
      </c>
      <c r="G1548" s="4">
        <v>573.37</v>
      </c>
      <c r="H1548" s="4">
        <v>0.04</v>
      </c>
      <c r="I1548" s="4" t="s">
        <v>2004</v>
      </c>
      <c r="J1548" s="10">
        <v>2201.7408</v>
      </c>
      <c r="K1548" s="4" t="str">
        <f t="shared" si="168"/>
        <v>14-02-2025</v>
      </c>
      <c r="L1548" s="4" t="str">
        <f>TEXT(Sales_Fact!$B1548,"mmm")</f>
        <v>Feb</v>
      </c>
      <c r="M1548" s="4">
        <f t="shared" si="169"/>
        <v>4</v>
      </c>
      <c r="N1548" s="10">
        <f t="shared" si="170"/>
        <v>573.37</v>
      </c>
      <c r="O1548" s="10">
        <f t="shared" si="171"/>
        <v>2201.7408</v>
      </c>
      <c r="P1548" s="10">
        <f t="shared" si="172"/>
        <v>2293.48</v>
      </c>
      <c r="Q1548" s="3">
        <f t="shared" si="173"/>
        <v>3.9999999999999994E-2</v>
      </c>
      <c r="R1548" s="4" t="str">
        <f>IF(Sales_Fact!$O1548&gt;1000,"High","Low")</f>
        <v>High</v>
      </c>
      <c r="S1548" s="4" t="str">
        <f>VLOOKUP(C1548,Customer_Dim!$A:$N,9,FALSE())</f>
        <v>Sean Roth</v>
      </c>
      <c r="T1548" s="4" t="str">
        <f>VLOOKUP(D1548,Product_Dim!$A:$M,3,FALSE())</f>
        <v>Sports</v>
      </c>
      <c r="U1548" s="11" t="str">
        <f>VLOOKUP(D1548,Product_Dim!$A:$M,2,FALSE())</f>
        <v>Knee Support Brace</v>
      </c>
      <c r="V1548" s="11" t="str">
        <f>VLOOKUP(E1548,Store_Dim!$A:$E,3,FALSE())</f>
        <v>East</v>
      </c>
      <c r="W1548" s="11" t="str">
        <f>VLOOKUP(C1548,Customer_Dim!$A:$N,13,FALSE())</f>
        <v>Gold</v>
      </c>
      <c r="X1548" s="11" t="str">
        <f t="shared" si="174"/>
        <v>High</v>
      </c>
    </row>
    <row r="1549" spans="1:24" ht="15.75" customHeight="1">
      <c r="A1549" s="4" t="s">
        <v>3545</v>
      </c>
      <c r="B1549" s="9">
        <v>45318</v>
      </c>
      <c r="C1549" s="4" t="s">
        <v>239</v>
      </c>
      <c r="D1549" s="4" t="s">
        <v>1697</v>
      </c>
      <c r="E1549" s="4" t="s">
        <v>1952</v>
      </c>
      <c r="F1549" s="4">
        <v>3</v>
      </c>
      <c r="G1549" s="4">
        <v>622.72</v>
      </c>
      <c r="H1549" s="4">
        <v>0.04</v>
      </c>
      <c r="I1549" s="4" t="s">
        <v>1996</v>
      </c>
      <c r="J1549" s="10">
        <v>1793.4336000000001</v>
      </c>
      <c r="K1549" s="4" t="str">
        <f t="shared" si="168"/>
        <v>27-01-2024</v>
      </c>
      <c r="L1549" s="4" t="str">
        <f>TEXT(Sales_Fact!$B1549,"mmm")</f>
        <v>Jan</v>
      </c>
      <c r="M1549" s="4">
        <f t="shared" si="169"/>
        <v>3</v>
      </c>
      <c r="N1549" s="10">
        <f t="shared" si="170"/>
        <v>622.72</v>
      </c>
      <c r="O1549" s="10">
        <f t="shared" si="171"/>
        <v>1793.4336000000001</v>
      </c>
      <c r="P1549" s="10">
        <f t="shared" si="172"/>
        <v>1868.16</v>
      </c>
      <c r="Q1549" s="3">
        <f t="shared" si="173"/>
        <v>4.0000000000000008E-2</v>
      </c>
      <c r="R1549" s="4" t="str">
        <f>IF(Sales_Fact!$O1549&gt;1000,"High","Low")</f>
        <v>High</v>
      </c>
      <c r="S1549" s="4" t="str">
        <f>VLOOKUP(C1549,Customer_Dim!$A:$N,9,FALSE())</f>
        <v>Cheryl Copeland</v>
      </c>
      <c r="T1549" s="4" t="str">
        <f>VLOOKUP(D1549,Product_Dim!$A:$M,3,FALSE())</f>
        <v>Beauty</v>
      </c>
      <c r="U1549" s="11" t="str">
        <f>VLOOKUP(D1549,Product_Dim!$A:$M,2,FALSE())</f>
        <v>Vitamin C Face Serum</v>
      </c>
      <c r="V1549" s="11" t="str">
        <f>VLOOKUP(E1549,Store_Dim!$A:$E,3,FALSE())</f>
        <v>North</v>
      </c>
      <c r="W1549" s="11" t="str">
        <f>VLOOKUP(C1549,Customer_Dim!$A:$N,13,FALSE())</f>
        <v>Platinum</v>
      </c>
      <c r="X1549" s="11" t="str">
        <f t="shared" si="174"/>
        <v>Low</v>
      </c>
    </row>
    <row r="1550" spans="1:24" ht="15.75" customHeight="1">
      <c r="A1550" s="4" t="s">
        <v>3546</v>
      </c>
      <c r="B1550" s="9">
        <v>45943</v>
      </c>
      <c r="C1550" s="4" t="s">
        <v>1240</v>
      </c>
      <c r="D1550" s="4" t="s">
        <v>1882</v>
      </c>
      <c r="E1550" s="4" t="s">
        <v>1965</v>
      </c>
      <c r="F1550" s="4">
        <v>3</v>
      </c>
      <c r="G1550" s="4">
        <v>259.74</v>
      </c>
      <c r="H1550" s="4">
        <v>0.24</v>
      </c>
      <c r="I1550" s="4" t="s">
        <v>1996</v>
      </c>
      <c r="J1550" s="10">
        <v>592.20719999999994</v>
      </c>
      <c r="K1550" s="4" t="str">
        <f t="shared" si="168"/>
        <v>13-10-2025</v>
      </c>
      <c r="L1550" s="4" t="str">
        <f>TEXT(Sales_Fact!$B1550,"mmm")</f>
        <v>Oct</v>
      </c>
      <c r="M1550" s="4">
        <f t="shared" si="169"/>
        <v>3</v>
      </c>
      <c r="N1550" s="10">
        <f t="shared" si="170"/>
        <v>259.74</v>
      </c>
      <c r="O1550" s="10">
        <f t="shared" si="171"/>
        <v>592.20720000000006</v>
      </c>
      <c r="P1550" s="10">
        <f t="shared" si="172"/>
        <v>779.22</v>
      </c>
      <c r="Q1550" s="3">
        <f t="shared" si="173"/>
        <v>0.23999999999999996</v>
      </c>
      <c r="R1550" s="4" t="str">
        <f>IF(Sales_Fact!$O1550&gt;1000,"High","Low")</f>
        <v>Low</v>
      </c>
      <c r="S1550" s="4" t="str">
        <f>VLOOKUP(C1550,Customer_Dim!$A:$N,9,FALSE())</f>
        <v>Timothy Valenzuela</v>
      </c>
      <c r="T1550" s="4" t="str">
        <f>VLOOKUP(D1550,Product_Dim!$A:$M,3,FALSE())</f>
        <v>Home</v>
      </c>
      <c r="U1550" s="11" t="str">
        <f>VLOOKUP(D1550,Product_Dim!$A:$M,2,FALSE())</f>
        <v>Microwave Oven</v>
      </c>
      <c r="V1550" s="11" t="str">
        <f>VLOOKUP(E1550,Store_Dim!$A:$E,3,FALSE())</f>
        <v>North</v>
      </c>
      <c r="W1550" s="11" t="str">
        <f>VLOOKUP(C1550,Customer_Dim!$A:$N,13,FALSE())</f>
        <v>Platinum</v>
      </c>
      <c r="X1550" s="11" t="str">
        <f t="shared" si="174"/>
        <v>Low</v>
      </c>
    </row>
    <row r="1551" spans="1:24" ht="15.75" customHeight="1">
      <c r="A1551" s="4" t="s">
        <v>3547</v>
      </c>
      <c r="B1551" s="9">
        <v>45769</v>
      </c>
      <c r="C1551" s="4" t="s">
        <v>226</v>
      </c>
      <c r="D1551" s="4" t="s">
        <v>1684</v>
      </c>
      <c r="E1551" s="4" t="s">
        <v>1955</v>
      </c>
      <c r="F1551" s="4">
        <v>4</v>
      </c>
      <c r="G1551" s="4">
        <v>951.09</v>
      </c>
      <c r="H1551" s="4">
        <v>0.14000000000000001</v>
      </c>
      <c r="I1551" s="4" t="s">
        <v>2004</v>
      </c>
      <c r="J1551" s="10">
        <v>3271.7496000000001</v>
      </c>
      <c r="K1551" s="4" t="str">
        <f t="shared" si="168"/>
        <v>22-04-2025</v>
      </c>
      <c r="L1551" s="4" t="str">
        <f>TEXT(Sales_Fact!$B1551,"mmm")</f>
        <v>Apr</v>
      </c>
      <c r="M1551" s="4">
        <f t="shared" si="169"/>
        <v>4</v>
      </c>
      <c r="N1551" s="10">
        <f t="shared" si="170"/>
        <v>951.09</v>
      </c>
      <c r="O1551" s="10">
        <f t="shared" si="171"/>
        <v>3271.7496000000001</v>
      </c>
      <c r="P1551" s="10">
        <f t="shared" si="172"/>
        <v>3804.36</v>
      </c>
      <c r="Q1551" s="3">
        <f t="shared" si="173"/>
        <v>0.14000000000000001</v>
      </c>
      <c r="R1551" s="4" t="str">
        <f>IF(Sales_Fact!$O1551&gt;1000,"High","Low")</f>
        <v>High</v>
      </c>
      <c r="S1551" s="4" t="str">
        <f>VLOOKUP(C1551,Customer_Dim!$A:$N,9,FALSE())</f>
        <v>Katherine Dorsey</v>
      </c>
      <c r="T1551" s="4" t="str">
        <f>VLOOKUP(D1551,Product_Dim!$A:$M,3,FALSE())</f>
        <v>Sports</v>
      </c>
      <c r="U1551" s="11" t="str">
        <f>VLOOKUP(D1551,Product_Dim!$A:$M,2,FALSE())</f>
        <v>Sports Stopwatch Timer</v>
      </c>
      <c r="V1551" s="11" t="str">
        <f>VLOOKUP(E1551,Store_Dim!$A:$E,3,FALSE())</f>
        <v>East</v>
      </c>
      <c r="W1551" s="11" t="str">
        <f>VLOOKUP(C1551,Customer_Dim!$A:$N,13,FALSE())</f>
        <v>Platinum</v>
      </c>
      <c r="X1551" s="11" t="str">
        <f t="shared" si="174"/>
        <v>High</v>
      </c>
    </row>
    <row r="1552" spans="1:24" ht="15.75" customHeight="1">
      <c r="A1552" s="4" t="s">
        <v>3548</v>
      </c>
      <c r="B1552" s="9">
        <v>45765</v>
      </c>
      <c r="C1552" s="4" t="s">
        <v>676</v>
      </c>
      <c r="D1552" s="4" t="s">
        <v>1903</v>
      </c>
      <c r="E1552" s="4" t="s">
        <v>1919</v>
      </c>
      <c r="F1552" s="4">
        <v>1</v>
      </c>
      <c r="G1552" s="4">
        <v>71.709999999999994</v>
      </c>
      <c r="H1552" s="4">
        <v>0.23</v>
      </c>
      <c r="I1552" s="4" t="s">
        <v>2004</v>
      </c>
      <c r="J1552" s="10">
        <v>55.216700000000003</v>
      </c>
      <c r="K1552" s="4" t="str">
        <f t="shared" si="168"/>
        <v>18-04-2025</v>
      </c>
      <c r="L1552" s="4" t="str">
        <f>TEXT(Sales_Fact!$B1552,"mmm")</f>
        <v>Apr</v>
      </c>
      <c r="M1552" s="4">
        <f t="shared" si="169"/>
        <v>1</v>
      </c>
      <c r="N1552" s="10">
        <f t="shared" si="170"/>
        <v>71.709999999999994</v>
      </c>
      <c r="O1552" s="10">
        <f t="shared" si="171"/>
        <v>55.216699999999996</v>
      </c>
      <c r="P1552" s="10">
        <f t="shared" si="172"/>
        <v>71.709999999999994</v>
      </c>
      <c r="Q1552" s="3">
        <f t="shared" si="173"/>
        <v>0.22999999999999998</v>
      </c>
      <c r="R1552" s="4" t="str">
        <f>IF(Sales_Fact!$O1552&gt;1000,"High","Low")</f>
        <v>Low</v>
      </c>
      <c r="S1552" s="4" t="str">
        <f>VLOOKUP(C1552,Customer_Dim!$A:$N,9,FALSE())</f>
        <v>Carmen Price</v>
      </c>
      <c r="T1552" s="4" t="str">
        <f>VLOOKUP(D1552,Product_Dim!$A:$M,3,FALSE())</f>
        <v>Home</v>
      </c>
      <c r="U1552" s="11" t="str">
        <f>VLOOKUP(D1552,Product_Dim!$A:$M,2,FALSE())</f>
        <v>Stainless Steel Cookware Set</v>
      </c>
      <c r="V1552" s="11" t="str">
        <f>VLOOKUP(E1552,Store_Dim!$A:$E,3,FALSE())</f>
        <v>South</v>
      </c>
      <c r="W1552" s="11" t="str">
        <f>VLOOKUP(C1552,Customer_Dim!$A:$N,13,FALSE())</f>
        <v>Bronze</v>
      </c>
      <c r="X1552" s="11" t="str">
        <f t="shared" si="174"/>
        <v>Low</v>
      </c>
    </row>
    <row r="1553" spans="1:24" ht="15.75" customHeight="1">
      <c r="A1553" s="4" t="s">
        <v>3549</v>
      </c>
      <c r="B1553" s="9">
        <v>45891</v>
      </c>
      <c r="C1553" s="4" t="s">
        <v>598</v>
      </c>
      <c r="D1553" s="4" t="s">
        <v>1658</v>
      </c>
      <c r="E1553" s="4" t="s">
        <v>1937</v>
      </c>
      <c r="F1553" s="4">
        <v>4</v>
      </c>
      <c r="G1553" s="4">
        <v>894.93</v>
      </c>
      <c r="H1553" s="4">
        <v>0.05</v>
      </c>
      <c r="I1553" s="4" t="s">
        <v>2004</v>
      </c>
      <c r="J1553" s="10">
        <v>3400.7339999999999</v>
      </c>
      <c r="K1553" s="4" t="str">
        <f t="shared" si="168"/>
        <v>22-08-2025</v>
      </c>
      <c r="L1553" s="4" t="str">
        <f>TEXT(Sales_Fact!$B1553,"mmm")</f>
        <v>Aug</v>
      </c>
      <c r="M1553" s="4">
        <f t="shared" si="169"/>
        <v>4</v>
      </c>
      <c r="N1553" s="10">
        <f t="shared" si="170"/>
        <v>894.93</v>
      </c>
      <c r="O1553" s="10">
        <f t="shared" si="171"/>
        <v>3400.7339999999995</v>
      </c>
      <c r="P1553" s="10">
        <f t="shared" si="172"/>
        <v>3579.72</v>
      </c>
      <c r="Q1553" s="3">
        <f t="shared" si="173"/>
        <v>5.0000000000000093E-2</v>
      </c>
      <c r="R1553" s="4" t="str">
        <f>IF(Sales_Fact!$O1553&gt;1000,"High","Low")</f>
        <v>High</v>
      </c>
      <c r="S1553" s="4" t="str">
        <f>VLOOKUP(C1553,Customer_Dim!$A:$N,9,FALSE())</f>
        <v>Teresa Stokes</v>
      </c>
      <c r="T1553" s="4" t="str">
        <f>VLOOKUP(D1553,Product_Dim!$A:$M,3,FALSE())</f>
        <v>Sports</v>
      </c>
      <c r="U1553" s="11" t="str">
        <f>VLOOKUP(D1553,Product_Dim!$A:$M,2,FALSE())</f>
        <v>Outdoor Sports Water Bottle</v>
      </c>
      <c r="V1553" s="11" t="str">
        <f>VLOOKUP(E1553,Store_Dim!$A:$E,3,FALSE())</f>
        <v>South</v>
      </c>
      <c r="W1553" s="11" t="str">
        <f>VLOOKUP(C1553,Customer_Dim!$A:$N,13,FALSE())</f>
        <v>Platinum</v>
      </c>
      <c r="X1553" s="11" t="str">
        <f t="shared" si="174"/>
        <v>High</v>
      </c>
    </row>
    <row r="1554" spans="1:24" ht="15.75" customHeight="1">
      <c r="A1554" s="4" t="s">
        <v>3550</v>
      </c>
      <c r="B1554" s="9">
        <v>45842</v>
      </c>
      <c r="C1554" s="4" t="s">
        <v>685</v>
      </c>
      <c r="D1554" s="4" t="s">
        <v>1840</v>
      </c>
      <c r="E1554" s="4" t="s">
        <v>1940</v>
      </c>
      <c r="F1554" s="4">
        <v>4</v>
      </c>
      <c r="G1554" s="4">
        <v>870.18</v>
      </c>
      <c r="H1554" s="4">
        <v>0.13</v>
      </c>
      <c r="I1554" s="4" t="s">
        <v>2004</v>
      </c>
      <c r="J1554" s="10">
        <v>3028.2264</v>
      </c>
      <c r="K1554" s="4" t="str">
        <f t="shared" si="168"/>
        <v>04-07-2025</v>
      </c>
      <c r="L1554" s="4" t="str">
        <f>TEXT(Sales_Fact!$B1554,"mmm")</f>
        <v>Jul</v>
      </c>
      <c r="M1554" s="4">
        <f t="shared" si="169"/>
        <v>4</v>
      </c>
      <c r="N1554" s="10">
        <f t="shared" si="170"/>
        <v>870.18</v>
      </c>
      <c r="O1554" s="10">
        <f t="shared" si="171"/>
        <v>3028.2264</v>
      </c>
      <c r="P1554" s="10">
        <f t="shared" si="172"/>
        <v>3480.72</v>
      </c>
      <c r="Q1554" s="3">
        <f t="shared" si="173"/>
        <v>0.12999999999999995</v>
      </c>
      <c r="R1554" s="4" t="str">
        <f>IF(Sales_Fact!$O1554&gt;1000,"High","Low")</f>
        <v>High</v>
      </c>
      <c r="S1554" s="4" t="str">
        <f>VLOOKUP(C1554,Customer_Dim!$A:$N,9,FALSE())</f>
        <v>Christina Garcia</v>
      </c>
      <c r="T1554" s="4" t="str">
        <f>VLOOKUP(D1554,Product_Dim!$A:$M,3,FALSE())</f>
        <v>Home</v>
      </c>
      <c r="U1554" s="11" t="str">
        <f>VLOOKUP(D1554,Product_Dim!$A:$M,2,FALSE())</f>
        <v>Essential Oil Diffuser</v>
      </c>
      <c r="V1554" s="11" t="str">
        <f>VLOOKUP(E1554,Store_Dim!$A:$E,3,FALSE())</f>
        <v>West</v>
      </c>
      <c r="W1554" s="11" t="str">
        <f>VLOOKUP(C1554,Customer_Dim!$A:$N,13,FALSE())</f>
        <v>Platinum</v>
      </c>
      <c r="X1554" s="11" t="str">
        <f t="shared" si="174"/>
        <v>High</v>
      </c>
    </row>
    <row r="1555" spans="1:24" ht="15.75" customHeight="1">
      <c r="A1555" s="4" t="s">
        <v>3551</v>
      </c>
      <c r="B1555" s="9">
        <v>45382</v>
      </c>
      <c r="C1555" s="4" t="s">
        <v>912</v>
      </c>
      <c r="D1555" s="4" t="s">
        <v>1797</v>
      </c>
      <c r="E1555" s="4" t="s">
        <v>1919</v>
      </c>
      <c r="F1555" s="4">
        <v>2</v>
      </c>
      <c r="G1555" s="4">
        <v>552.72</v>
      </c>
      <c r="H1555" s="4">
        <v>0.06</v>
      </c>
      <c r="I1555" s="4" t="s">
        <v>1998</v>
      </c>
      <c r="J1555" s="10">
        <v>1039.1135999999999</v>
      </c>
      <c r="K1555" s="4" t="str">
        <f t="shared" si="168"/>
        <v>31-03-2024</v>
      </c>
      <c r="L1555" s="4" t="str">
        <f>TEXT(Sales_Fact!$B1555,"mmm")</f>
        <v>Mar</v>
      </c>
      <c r="M1555" s="4">
        <f t="shared" si="169"/>
        <v>2</v>
      </c>
      <c r="N1555" s="10">
        <f t="shared" si="170"/>
        <v>552.72</v>
      </c>
      <c r="O1555" s="10">
        <f t="shared" si="171"/>
        <v>1039.1135999999999</v>
      </c>
      <c r="P1555" s="10">
        <f t="shared" si="172"/>
        <v>1105.44</v>
      </c>
      <c r="Q1555" s="3">
        <f t="shared" si="173"/>
        <v>6.000000000000013E-2</v>
      </c>
      <c r="R1555" s="4" t="str">
        <f>IF(Sales_Fact!$O1555&gt;1000,"High","Low")</f>
        <v>High</v>
      </c>
      <c r="S1555" s="4" t="str">
        <f>VLOOKUP(C1555,Customer_Dim!$A:$N,9,FALSE())</f>
        <v>Stephen Fowler</v>
      </c>
      <c r="T1555" s="4" t="str">
        <f>VLOOKUP(D1555,Product_Dim!$A:$M,3,FALSE())</f>
        <v>Beauty</v>
      </c>
      <c r="U1555" s="11" t="str">
        <f>VLOOKUP(D1555,Product_Dim!$A:$M,2,FALSE())</f>
        <v>Matte Lipstick Set</v>
      </c>
      <c r="V1555" s="11" t="str">
        <f>VLOOKUP(E1555,Store_Dim!$A:$E,3,FALSE())</f>
        <v>South</v>
      </c>
      <c r="W1555" s="11" t="str">
        <f>VLOOKUP(C1555,Customer_Dim!$A:$N,13,FALSE())</f>
        <v>Platinum</v>
      </c>
      <c r="X1555" s="11" t="str">
        <f t="shared" si="174"/>
        <v>Low</v>
      </c>
    </row>
    <row r="1556" spans="1:24" ht="15.75" customHeight="1">
      <c r="A1556" s="4" t="s">
        <v>3552</v>
      </c>
      <c r="B1556" s="9">
        <v>45236</v>
      </c>
      <c r="C1556" s="4" t="s">
        <v>816</v>
      </c>
      <c r="D1556" s="4" t="s">
        <v>1719</v>
      </c>
      <c r="E1556" s="4" t="s">
        <v>1940</v>
      </c>
      <c r="F1556" s="4">
        <v>3</v>
      </c>
      <c r="G1556" s="4">
        <v>700.43</v>
      </c>
      <c r="H1556" s="4">
        <v>0.01</v>
      </c>
      <c r="I1556" s="4" t="s">
        <v>2004</v>
      </c>
      <c r="J1556" s="10">
        <v>2080.2770999999998</v>
      </c>
      <c r="K1556" s="4" t="str">
        <f t="shared" si="168"/>
        <v>06-11-2023</v>
      </c>
      <c r="L1556" s="4" t="str">
        <f>TEXT(Sales_Fact!$B1556,"mmm")</f>
        <v>Nov</v>
      </c>
      <c r="M1556" s="4">
        <f t="shared" si="169"/>
        <v>3</v>
      </c>
      <c r="N1556" s="10">
        <f t="shared" si="170"/>
        <v>700.43</v>
      </c>
      <c r="O1556" s="10">
        <f t="shared" si="171"/>
        <v>2080.2770999999998</v>
      </c>
      <c r="P1556" s="10">
        <f t="shared" si="172"/>
        <v>2101.29</v>
      </c>
      <c r="Q1556" s="3">
        <f t="shared" si="173"/>
        <v>1.0000000000000082E-2</v>
      </c>
      <c r="R1556" s="4" t="str">
        <f>IF(Sales_Fact!$O1556&gt;1000,"High","Low")</f>
        <v>High</v>
      </c>
      <c r="S1556" s="4" t="str">
        <f>VLOOKUP(C1556,Customer_Dim!$A:$N,9,FALSE())</f>
        <v>Mary Russell</v>
      </c>
      <c r="T1556" s="4" t="str">
        <f>VLOOKUP(D1556,Product_Dim!$A:$M,3,FALSE())</f>
        <v>Electronics</v>
      </c>
      <c r="U1556" s="11" t="str">
        <f>VLOOKUP(D1556,Product_Dim!$A:$M,2,FALSE())</f>
        <v>Portable Power Bank</v>
      </c>
      <c r="V1556" s="11" t="str">
        <f>VLOOKUP(E1556,Store_Dim!$A:$E,3,FALSE())</f>
        <v>West</v>
      </c>
      <c r="W1556" s="11" t="str">
        <f>VLOOKUP(C1556,Customer_Dim!$A:$N,13,FALSE())</f>
        <v>Bronze</v>
      </c>
      <c r="X1556" s="11" t="str">
        <f t="shared" si="174"/>
        <v>Low</v>
      </c>
    </row>
    <row r="1557" spans="1:24" ht="15.75" customHeight="1">
      <c r="A1557" s="4" t="s">
        <v>3553</v>
      </c>
      <c r="B1557" s="9">
        <v>45806</v>
      </c>
      <c r="C1557" s="4" t="s">
        <v>1093</v>
      </c>
      <c r="D1557" s="4" t="s">
        <v>1617</v>
      </c>
      <c r="E1557" s="4" t="s">
        <v>1919</v>
      </c>
      <c r="F1557" s="4">
        <v>2</v>
      </c>
      <c r="G1557" s="4">
        <v>823.03</v>
      </c>
      <c r="H1557" s="4">
        <v>0.18</v>
      </c>
      <c r="I1557" s="4" t="s">
        <v>1998</v>
      </c>
      <c r="J1557" s="10">
        <v>1349.7692</v>
      </c>
      <c r="K1557" s="4" t="str">
        <f t="shared" si="168"/>
        <v>29-05-2025</v>
      </c>
      <c r="L1557" s="4" t="str">
        <f>TEXT(Sales_Fact!$B1557,"mmm")</f>
        <v>May</v>
      </c>
      <c r="M1557" s="4">
        <f t="shared" si="169"/>
        <v>2</v>
      </c>
      <c r="N1557" s="10">
        <f t="shared" si="170"/>
        <v>823.03</v>
      </c>
      <c r="O1557" s="10">
        <f t="shared" si="171"/>
        <v>1349.7692</v>
      </c>
      <c r="P1557" s="10">
        <f t="shared" si="172"/>
        <v>1646.06</v>
      </c>
      <c r="Q1557" s="3">
        <f t="shared" si="173"/>
        <v>0.18</v>
      </c>
      <c r="R1557" s="4" t="str">
        <f>IF(Sales_Fact!$O1557&gt;1000,"High","Low")</f>
        <v>High</v>
      </c>
      <c r="S1557" s="4" t="str">
        <f>VLOOKUP(C1557,Customer_Dim!$A:$N,9,FALSE())</f>
        <v>Mrs. Susan Buckley</v>
      </c>
      <c r="T1557" s="4" t="str">
        <f>VLOOKUP(D1557,Product_Dim!$A:$M,3,FALSE())</f>
        <v>Sports</v>
      </c>
      <c r="U1557" s="11" t="str">
        <f>VLOOKUP(D1557,Product_Dim!$A:$M,2,FALSE())</f>
        <v>Adjustable Dumbbell Set</v>
      </c>
      <c r="V1557" s="11" t="str">
        <f>VLOOKUP(E1557,Store_Dim!$A:$E,3,FALSE())</f>
        <v>South</v>
      </c>
      <c r="W1557" s="11" t="str">
        <f>VLOOKUP(C1557,Customer_Dim!$A:$N,13,FALSE())</f>
        <v>Platinum</v>
      </c>
      <c r="X1557" s="11" t="str">
        <f t="shared" si="174"/>
        <v>Low</v>
      </c>
    </row>
    <row r="1558" spans="1:24" ht="15.75" customHeight="1">
      <c r="A1558" s="4" t="s">
        <v>3554</v>
      </c>
      <c r="B1558" s="9">
        <v>45850</v>
      </c>
      <c r="C1558" s="4" t="s">
        <v>95</v>
      </c>
      <c r="D1558" s="4" t="s">
        <v>1773</v>
      </c>
      <c r="E1558" s="4" t="s">
        <v>1927</v>
      </c>
      <c r="F1558" s="4">
        <v>2</v>
      </c>
      <c r="G1558" s="4">
        <v>785.31</v>
      </c>
      <c r="H1558" s="4">
        <v>0.15</v>
      </c>
      <c r="I1558" s="4" t="s">
        <v>1998</v>
      </c>
      <c r="J1558" s="10">
        <v>1335.027</v>
      </c>
      <c r="K1558" s="4" t="str">
        <f t="shared" si="168"/>
        <v>12-07-2025</v>
      </c>
      <c r="L1558" s="4" t="str">
        <f>TEXT(Sales_Fact!$B1558,"mmm")</f>
        <v>Jul</v>
      </c>
      <c r="M1558" s="4">
        <f t="shared" si="169"/>
        <v>2</v>
      </c>
      <c r="N1558" s="10">
        <f t="shared" si="170"/>
        <v>785.31</v>
      </c>
      <c r="O1558" s="10">
        <f t="shared" si="171"/>
        <v>1335.0269999999998</v>
      </c>
      <c r="P1558" s="10">
        <f t="shared" si="172"/>
        <v>1570.62</v>
      </c>
      <c r="Q1558" s="3">
        <f t="shared" si="173"/>
        <v>0.15000000000000005</v>
      </c>
      <c r="R1558" s="4" t="str">
        <f>IF(Sales_Fact!$O1558&gt;1000,"High","Low")</f>
        <v>High</v>
      </c>
      <c r="S1558" s="4" t="str">
        <f>VLOOKUP(C1558,Customer_Dim!$A:$N,9,FALSE())</f>
        <v>John Scott</v>
      </c>
      <c r="T1558" s="4" t="str">
        <f>VLOOKUP(D1558,Product_Dim!$A:$M,3,FALSE())</f>
        <v>Home</v>
      </c>
      <c r="U1558" s="11" t="str">
        <f>VLOOKUP(D1558,Product_Dim!$A:$M,2,FALSE())</f>
        <v>Premium Blanket Throw</v>
      </c>
      <c r="V1558" s="11" t="str">
        <f>VLOOKUP(E1558,Store_Dim!$A:$E,3,FALSE())</f>
        <v>South</v>
      </c>
      <c r="W1558" s="11" t="str">
        <f>VLOOKUP(C1558,Customer_Dim!$A:$N,13,FALSE())</f>
        <v>Bronze</v>
      </c>
      <c r="X1558" s="11" t="str">
        <f t="shared" si="174"/>
        <v>Low</v>
      </c>
    </row>
    <row r="1559" spans="1:24" ht="15.75" customHeight="1">
      <c r="A1559" s="4" t="s">
        <v>3555</v>
      </c>
      <c r="B1559" s="9">
        <v>45854</v>
      </c>
      <c r="C1559" s="4" t="s">
        <v>1298</v>
      </c>
      <c r="D1559" s="4" t="s">
        <v>1693</v>
      </c>
      <c r="E1559" s="4" t="s">
        <v>1947</v>
      </c>
      <c r="F1559" s="4">
        <v>1</v>
      </c>
      <c r="G1559" s="4">
        <v>198.83</v>
      </c>
      <c r="H1559" s="4">
        <v>0.09</v>
      </c>
      <c r="I1559" s="4" t="s">
        <v>2004</v>
      </c>
      <c r="J1559" s="10">
        <v>180.93530000000001</v>
      </c>
      <c r="K1559" s="4" t="str">
        <f t="shared" si="168"/>
        <v>16-07-2025</v>
      </c>
      <c r="L1559" s="4" t="str">
        <f>TEXT(Sales_Fact!$B1559,"mmm")</f>
        <v>Jul</v>
      </c>
      <c r="M1559" s="4">
        <f t="shared" si="169"/>
        <v>1</v>
      </c>
      <c r="N1559" s="10">
        <f t="shared" si="170"/>
        <v>198.83</v>
      </c>
      <c r="O1559" s="10">
        <f t="shared" si="171"/>
        <v>180.93530000000001</v>
      </c>
      <c r="P1559" s="10">
        <f t="shared" si="172"/>
        <v>198.83</v>
      </c>
      <c r="Q1559" s="3">
        <f t="shared" si="173"/>
        <v>0.09</v>
      </c>
      <c r="R1559" s="4" t="str">
        <f>IF(Sales_Fact!$O1559&gt;1000,"High","Low")</f>
        <v>Low</v>
      </c>
      <c r="S1559" s="4" t="str">
        <f>VLOOKUP(C1559,Customer_Dim!$A:$N,9,FALSE())</f>
        <v>Isabel Foster</v>
      </c>
      <c r="T1559" s="4" t="str">
        <f>VLOOKUP(D1559,Product_Dim!$A:$M,3,FALSE())</f>
        <v>Sports</v>
      </c>
      <c r="U1559" s="11" t="str">
        <f>VLOOKUP(D1559,Product_Dim!$A:$M,2,FALSE())</f>
        <v>Basketball</v>
      </c>
      <c r="V1559" s="11" t="str">
        <f>VLOOKUP(E1559,Store_Dim!$A:$E,3,FALSE())</f>
        <v>East</v>
      </c>
      <c r="W1559" s="11" t="str">
        <f>VLOOKUP(C1559,Customer_Dim!$A:$N,13,FALSE())</f>
        <v>Gold</v>
      </c>
      <c r="X1559" s="11" t="str">
        <f t="shared" si="174"/>
        <v>Low</v>
      </c>
    </row>
    <row r="1560" spans="1:24" ht="15.75" customHeight="1">
      <c r="A1560" s="4" t="s">
        <v>3556</v>
      </c>
      <c r="B1560" s="9">
        <v>45401</v>
      </c>
      <c r="C1560" s="4" t="s">
        <v>843</v>
      </c>
      <c r="D1560" s="4" t="s">
        <v>1882</v>
      </c>
      <c r="E1560" s="4" t="s">
        <v>1934</v>
      </c>
      <c r="F1560" s="4">
        <v>1</v>
      </c>
      <c r="G1560" s="4">
        <v>117.37</v>
      </c>
      <c r="H1560" s="4">
        <v>0.21</v>
      </c>
      <c r="I1560" s="4" t="s">
        <v>1996</v>
      </c>
      <c r="J1560" s="10">
        <v>92.722300000000004</v>
      </c>
      <c r="K1560" s="4" t="str">
        <f t="shared" si="168"/>
        <v>19-04-2024</v>
      </c>
      <c r="L1560" s="4" t="str">
        <f>TEXT(Sales_Fact!$B1560,"mmm")</f>
        <v>Apr</v>
      </c>
      <c r="M1560" s="4">
        <f t="shared" si="169"/>
        <v>1</v>
      </c>
      <c r="N1560" s="10">
        <f t="shared" si="170"/>
        <v>117.37</v>
      </c>
      <c r="O1560" s="10">
        <f t="shared" si="171"/>
        <v>92.722300000000004</v>
      </c>
      <c r="P1560" s="10">
        <f t="shared" si="172"/>
        <v>117.37</v>
      </c>
      <c r="Q1560" s="3">
        <f t="shared" si="173"/>
        <v>0.21</v>
      </c>
      <c r="R1560" s="4" t="str">
        <f>IF(Sales_Fact!$O1560&gt;1000,"High","Low")</f>
        <v>Low</v>
      </c>
      <c r="S1560" s="4" t="str">
        <f>VLOOKUP(C1560,Customer_Dim!$A:$N,9,FALSE())</f>
        <v>Damon Perez</v>
      </c>
      <c r="T1560" s="4" t="str">
        <f>VLOOKUP(D1560,Product_Dim!$A:$M,3,FALSE())</f>
        <v>Home</v>
      </c>
      <c r="U1560" s="11" t="str">
        <f>VLOOKUP(D1560,Product_Dim!$A:$M,2,FALSE())</f>
        <v>Microwave Oven</v>
      </c>
      <c r="V1560" s="11" t="str">
        <f>VLOOKUP(E1560,Store_Dim!$A:$E,3,FALSE())</f>
        <v>East</v>
      </c>
      <c r="W1560" s="11" t="str">
        <f>VLOOKUP(C1560,Customer_Dim!$A:$N,13,FALSE())</f>
        <v>Gold</v>
      </c>
      <c r="X1560" s="11" t="str">
        <f t="shared" si="174"/>
        <v>Low</v>
      </c>
    </row>
    <row r="1561" spans="1:24" ht="15.75" customHeight="1">
      <c r="A1561" s="4" t="s">
        <v>3557</v>
      </c>
      <c r="B1561" s="9">
        <v>45716</v>
      </c>
      <c r="C1561" s="4" t="s">
        <v>390</v>
      </c>
      <c r="D1561" s="4" t="s">
        <v>1773</v>
      </c>
      <c r="E1561" s="4" t="s">
        <v>1915</v>
      </c>
      <c r="F1561" s="4">
        <v>4</v>
      </c>
      <c r="G1561" s="4">
        <v>165.37</v>
      </c>
      <c r="H1561" s="4">
        <v>0.28999999999999998</v>
      </c>
      <c r="I1561" s="4" t="s">
        <v>1996</v>
      </c>
      <c r="J1561" s="10">
        <v>469.6508</v>
      </c>
      <c r="K1561" s="4" t="str">
        <f t="shared" si="168"/>
        <v>28-02-2025</v>
      </c>
      <c r="L1561" s="4" t="str">
        <f>TEXT(Sales_Fact!$B1561,"mmm")</f>
        <v>Feb</v>
      </c>
      <c r="M1561" s="4">
        <f t="shared" si="169"/>
        <v>4</v>
      </c>
      <c r="N1561" s="10">
        <f t="shared" si="170"/>
        <v>165.37</v>
      </c>
      <c r="O1561" s="10">
        <f t="shared" si="171"/>
        <v>469.6508</v>
      </c>
      <c r="P1561" s="10">
        <f t="shared" si="172"/>
        <v>661.48</v>
      </c>
      <c r="Q1561" s="3">
        <f t="shared" si="173"/>
        <v>0.29000000000000004</v>
      </c>
      <c r="R1561" s="4" t="str">
        <f>IF(Sales_Fact!$O1561&gt;1000,"High","Low")</f>
        <v>Low</v>
      </c>
      <c r="S1561" s="4" t="str">
        <f>VLOOKUP(C1561,Customer_Dim!$A:$N,9,FALSE())</f>
        <v>Christopher Lester</v>
      </c>
      <c r="T1561" s="4" t="str">
        <f>VLOOKUP(D1561,Product_Dim!$A:$M,3,FALSE())</f>
        <v>Home</v>
      </c>
      <c r="U1561" s="11" t="str">
        <f>VLOOKUP(D1561,Product_Dim!$A:$M,2,FALSE())</f>
        <v>Premium Blanket Throw</v>
      </c>
      <c r="V1561" s="11" t="str">
        <f>VLOOKUP(E1561,Store_Dim!$A:$E,3,FALSE())</f>
        <v>North</v>
      </c>
      <c r="W1561" s="11" t="str">
        <f>VLOOKUP(C1561,Customer_Dim!$A:$N,13,FALSE())</f>
        <v>Silver</v>
      </c>
      <c r="X1561" s="11" t="str">
        <f t="shared" si="174"/>
        <v>High</v>
      </c>
    </row>
    <row r="1562" spans="1:24" ht="15.75" customHeight="1">
      <c r="A1562" s="4" t="s">
        <v>3558</v>
      </c>
      <c r="B1562" s="9">
        <v>45718</v>
      </c>
      <c r="C1562" s="4" t="s">
        <v>1210</v>
      </c>
      <c r="D1562" s="4" t="s">
        <v>1603</v>
      </c>
      <c r="E1562" s="4" t="s">
        <v>1947</v>
      </c>
      <c r="F1562" s="4">
        <v>3</v>
      </c>
      <c r="G1562" s="4">
        <v>483.06</v>
      </c>
      <c r="H1562" s="4">
        <v>0.05</v>
      </c>
      <c r="I1562" s="4" t="s">
        <v>1996</v>
      </c>
      <c r="J1562" s="10">
        <v>1376.721</v>
      </c>
      <c r="K1562" s="4" t="str">
        <f t="shared" si="168"/>
        <v>02-03-2025</v>
      </c>
      <c r="L1562" s="4" t="str">
        <f>TEXT(Sales_Fact!$B1562,"mmm")</f>
        <v>Mar</v>
      </c>
      <c r="M1562" s="4">
        <f t="shared" si="169"/>
        <v>3</v>
      </c>
      <c r="N1562" s="10">
        <f t="shared" si="170"/>
        <v>483.06</v>
      </c>
      <c r="O1562" s="10">
        <f t="shared" si="171"/>
        <v>1376.721</v>
      </c>
      <c r="P1562" s="10">
        <f t="shared" si="172"/>
        <v>1449.18</v>
      </c>
      <c r="Q1562" s="3">
        <f t="shared" si="173"/>
        <v>5.0000000000000037E-2</v>
      </c>
      <c r="R1562" s="4" t="str">
        <f>IF(Sales_Fact!$O1562&gt;1000,"High","Low")</f>
        <v>High</v>
      </c>
      <c r="S1562" s="4" t="str">
        <f>VLOOKUP(C1562,Customer_Dim!$A:$N,9,FALSE())</f>
        <v>Frank Stewart</v>
      </c>
      <c r="T1562" s="4" t="str">
        <f>VLOOKUP(D1562,Product_Dim!$A:$M,3,FALSE())</f>
        <v>Beauty</v>
      </c>
      <c r="U1562" s="11" t="str">
        <f>VLOOKUP(D1562,Product_Dim!$A:$M,2,FALSE())</f>
        <v>Herbal Face Moisturizer</v>
      </c>
      <c r="V1562" s="11" t="str">
        <f>VLOOKUP(E1562,Store_Dim!$A:$E,3,FALSE())</f>
        <v>East</v>
      </c>
      <c r="W1562" s="11" t="str">
        <f>VLOOKUP(C1562,Customer_Dim!$A:$N,13,FALSE())</f>
        <v>Bronze</v>
      </c>
      <c r="X1562" s="11" t="str">
        <f t="shared" si="174"/>
        <v>Low</v>
      </c>
    </row>
    <row r="1563" spans="1:24" ht="15.75" customHeight="1">
      <c r="A1563" s="4" t="s">
        <v>3559</v>
      </c>
      <c r="B1563" s="9">
        <v>45379</v>
      </c>
      <c r="C1563" s="4" t="s">
        <v>957</v>
      </c>
      <c r="D1563" s="4" t="s">
        <v>1849</v>
      </c>
      <c r="E1563" s="4" t="s">
        <v>1937</v>
      </c>
      <c r="F1563" s="4">
        <v>4</v>
      </c>
      <c r="G1563" s="4">
        <v>262.05</v>
      </c>
      <c r="H1563" s="4">
        <v>0.24</v>
      </c>
      <c r="I1563" s="4" t="s">
        <v>1998</v>
      </c>
      <c r="J1563" s="10">
        <v>796.63199999999995</v>
      </c>
      <c r="K1563" s="4" t="str">
        <f t="shared" si="168"/>
        <v>28-03-2024</v>
      </c>
      <c r="L1563" s="4" t="str">
        <f>TEXT(Sales_Fact!$B1563,"mmm")</f>
        <v>Mar</v>
      </c>
      <c r="M1563" s="4">
        <f t="shared" si="169"/>
        <v>4</v>
      </c>
      <c r="N1563" s="10">
        <f t="shared" si="170"/>
        <v>262.05</v>
      </c>
      <c r="O1563" s="10">
        <f t="shared" si="171"/>
        <v>796.63200000000006</v>
      </c>
      <c r="P1563" s="10">
        <f t="shared" si="172"/>
        <v>1048.2</v>
      </c>
      <c r="Q1563" s="3">
        <f t="shared" si="173"/>
        <v>0.23999999999999996</v>
      </c>
      <c r="R1563" s="4" t="str">
        <f>IF(Sales_Fact!$O1563&gt;1000,"High","Low")</f>
        <v>Low</v>
      </c>
      <c r="S1563" s="4" t="str">
        <f>VLOOKUP(C1563,Customer_Dim!$A:$N,9,FALSE())</f>
        <v>Gloria Taylor</v>
      </c>
      <c r="T1563" s="4" t="str">
        <f>VLOOKUP(D1563,Product_Dim!$A:$M,3,FALSE())</f>
        <v>Sports</v>
      </c>
      <c r="U1563" s="11" t="str">
        <f>VLOOKUP(D1563,Product_Dim!$A:$M,2,FALSE())</f>
        <v>Badminton Racket Set</v>
      </c>
      <c r="V1563" s="11" t="str">
        <f>VLOOKUP(E1563,Store_Dim!$A:$E,3,FALSE())</f>
        <v>South</v>
      </c>
      <c r="W1563" s="11" t="str">
        <f>VLOOKUP(C1563,Customer_Dim!$A:$N,13,FALSE())</f>
        <v>Platinum</v>
      </c>
      <c r="X1563" s="11" t="str">
        <f t="shared" si="174"/>
        <v>High</v>
      </c>
    </row>
    <row r="1564" spans="1:24" ht="15.75" customHeight="1">
      <c r="A1564" s="4" t="s">
        <v>3560</v>
      </c>
      <c r="B1564" s="9">
        <v>45635</v>
      </c>
      <c r="C1564" s="4" t="s">
        <v>1457</v>
      </c>
      <c r="D1564" s="4" t="s">
        <v>1636</v>
      </c>
      <c r="E1564" s="4" t="s">
        <v>1957</v>
      </c>
      <c r="F1564" s="4">
        <v>3</v>
      </c>
      <c r="G1564" s="4">
        <v>970.89</v>
      </c>
      <c r="H1564" s="4">
        <v>0.11</v>
      </c>
      <c r="I1564" s="4" t="s">
        <v>2004</v>
      </c>
      <c r="J1564" s="10">
        <v>2592.2763</v>
      </c>
      <c r="K1564" s="4" t="str">
        <f t="shared" si="168"/>
        <v>09-12-2024</v>
      </c>
      <c r="L1564" s="4" t="str">
        <f>TEXT(Sales_Fact!$B1564,"mmm")</f>
        <v>Dec</v>
      </c>
      <c r="M1564" s="4">
        <f t="shared" si="169"/>
        <v>3</v>
      </c>
      <c r="N1564" s="10">
        <f t="shared" si="170"/>
        <v>970.89</v>
      </c>
      <c r="O1564" s="10">
        <f t="shared" si="171"/>
        <v>2592.2763</v>
      </c>
      <c r="P1564" s="10">
        <f t="shared" si="172"/>
        <v>2912.67</v>
      </c>
      <c r="Q1564" s="3">
        <f t="shared" si="173"/>
        <v>0.11000000000000003</v>
      </c>
      <c r="R1564" s="4" t="str">
        <f>IF(Sales_Fact!$O1564&gt;1000,"High","Low")</f>
        <v>High</v>
      </c>
      <c r="S1564" s="4" t="str">
        <f>VLOOKUP(C1564,Customer_Dim!$A:$N,9,FALSE())</f>
        <v>Samantha Lee</v>
      </c>
      <c r="T1564" s="4" t="str">
        <f>VLOOKUP(D1564,Product_Dim!$A:$M,3,FALSE())</f>
        <v>Home</v>
      </c>
      <c r="U1564" s="11" t="str">
        <f>VLOOKUP(D1564,Product_Dim!$A:$M,2,FALSE())</f>
        <v>Decorative Wall Mirror</v>
      </c>
      <c r="V1564" s="11" t="str">
        <f>VLOOKUP(E1564,Store_Dim!$A:$E,3,FALSE())</f>
        <v>South</v>
      </c>
      <c r="W1564" s="11" t="str">
        <f>VLOOKUP(C1564,Customer_Dim!$A:$N,13,FALSE())</f>
        <v>Bronze</v>
      </c>
      <c r="X1564" s="11" t="str">
        <f t="shared" si="174"/>
        <v>Low</v>
      </c>
    </row>
    <row r="1565" spans="1:24" ht="15.75" customHeight="1">
      <c r="A1565" s="4" t="s">
        <v>3561</v>
      </c>
      <c r="B1565" s="9">
        <v>45222</v>
      </c>
      <c r="C1565" s="4" t="s">
        <v>727</v>
      </c>
      <c r="D1565" s="4" t="s">
        <v>1822</v>
      </c>
      <c r="E1565" s="4" t="s">
        <v>1910</v>
      </c>
      <c r="F1565" s="4">
        <v>1</v>
      </c>
      <c r="G1565" s="4">
        <v>61.11</v>
      </c>
      <c r="H1565" s="4">
        <v>0.1</v>
      </c>
      <c r="I1565" s="4" t="s">
        <v>1998</v>
      </c>
      <c r="J1565" s="10">
        <v>54.999000000000002</v>
      </c>
      <c r="K1565" s="4" t="str">
        <f t="shared" si="168"/>
        <v>23-10-2023</v>
      </c>
      <c r="L1565" s="4" t="str">
        <f>TEXT(Sales_Fact!$B1565,"mmm")</f>
        <v>Oct</v>
      </c>
      <c r="M1565" s="4">
        <f t="shared" si="169"/>
        <v>1</v>
      </c>
      <c r="N1565" s="10">
        <f t="shared" si="170"/>
        <v>61.11</v>
      </c>
      <c r="O1565" s="10">
        <f t="shared" si="171"/>
        <v>54.999000000000002</v>
      </c>
      <c r="P1565" s="10">
        <f t="shared" si="172"/>
        <v>61.11</v>
      </c>
      <c r="Q1565" s="3">
        <f t="shared" si="173"/>
        <v>9.999999999999995E-2</v>
      </c>
      <c r="R1565" s="4" t="str">
        <f>IF(Sales_Fact!$O1565&gt;1000,"High","Low")</f>
        <v>Low</v>
      </c>
      <c r="S1565" s="4" t="str">
        <f>VLOOKUP(C1565,Customer_Dim!$A:$N,9,FALSE())</f>
        <v>Kathryn Garcia</v>
      </c>
      <c r="T1565" s="4" t="str">
        <f>VLOOKUP(D1565,Product_Dim!$A:$M,3,FALSE())</f>
        <v>Sports</v>
      </c>
      <c r="U1565" s="11" t="str">
        <f>VLOOKUP(D1565,Product_Dim!$A:$M,2,FALSE())</f>
        <v>Professional Jump Rope</v>
      </c>
      <c r="V1565" s="11" t="str">
        <f>VLOOKUP(E1565,Store_Dim!$A:$E,3,FALSE())</f>
        <v>East</v>
      </c>
      <c r="W1565" s="11" t="str">
        <f>VLOOKUP(C1565,Customer_Dim!$A:$N,13,FALSE())</f>
        <v>Platinum</v>
      </c>
      <c r="X1565" s="11" t="str">
        <f t="shared" si="174"/>
        <v>Low</v>
      </c>
    </row>
    <row r="1566" spans="1:24" ht="15.75" customHeight="1">
      <c r="A1566" s="4" t="s">
        <v>3562</v>
      </c>
      <c r="B1566" s="9">
        <v>45555</v>
      </c>
      <c r="C1566" s="4" t="s">
        <v>142</v>
      </c>
      <c r="D1566" s="4" t="s">
        <v>1681</v>
      </c>
      <c r="E1566" s="4" t="s">
        <v>1940</v>
      </c>
      <c r="F1566" s="4">
        <v>3</v>
      </c>
      <c r="G1566" s="4">
        <v>827.88</v>
      </c>
      <c r="H1566" s="4">
        <v>0.19</v>
      </c>
      <c r="I1566" s="4" t="s">
        <v>1998</v>
      </c>
      <c r="J1566" s="10">
        <v>2011.7483999999999</v>
      </c>
      <c r="K1566" s="4" t="str">
        <f t="shared" si="168"/>
        <v>20-09-2024</v>
      </c>
      <c r="L1566" s="4" t="str">
        <f>TEXT(Sales_Fact!$B1566,"mmm")</f>
        <v>Sep</v>
      </c>
      <c r="M1566" s="4">
        <f t="shared" si="169"/>
        <v>3</v>
      </c>
      <c r="N1566" s="10">
        <f t="shared" si="170"/>
        <v>827.88</v>
      </c>
      <c r="O1566" s="10">
        <f t="shared" si="171"/>
        <v>2011.7483999999999</v>
      </c>
      <c r="P1566" s="10">
        <f t="shared" si="172"/>
        <v>2483.64</v>
      </c>
      <c r="Q1566" s="3">
        <f t="shared" si="173"/>
        <v>0.18999999999999997</v>
      </c>
      <c r="R1566" s="4" t="str">
        <f>IF(Sales_Fact!$O1566&gt;1000,"High","Low")</f>
        <v>High</v>
      </c>
      <c r="S1566" s="4" t="str">
        <f>VLOOKUP(C1566,Customer_Dim!$A:$N,9,FALSE())</f>
        <v>David Arnold</v>
      </c>
      <c r="T1566" s="4" t="str">
        <f>VLOOKUP(D1566,Product_Dim!$A:$M,3,FALSE())</f>
        <v>Home</v>
      </c>
      <c r="U1566" s="11" t="str">
        <f>VLOOKUP(D1566,Product_Dim!$A:$M,2,FALSE())</f>
        <v>Decorative Floor Vase</v>
      </c>
      <c r="V1566" s="11" t="str">
        <f>VLOOKUP(E1566,Store_Dim!$A:$E,3,FALSE())</f>
        <v>West</v>
      </c>
      <c r="W1566" s="11" t="str">
        <f>VLOOKUP(C1566,Customer_Dim!$A:$N,13,FALSE())</f>
        <v>Silver</v>
      </c>
      <c r="X1566" s="11" t="str">
        <f t="shared" si="174"/>
        <v>Low</v>
      </c>
    </row>
    <row r="1567" spans="1:24" ht="15.75" customHeight="1">
      <c r="A1567" s="4" t="s">
        <v>3563</v>
      </c>
      <c r="B1567" s="9">
        <v>45583</v>
      </c>
      <c r="C1567" s="4" t="s">
        <v>1363</v>
      </c>
      <c r="D1567" s="4" t="s">
        <v>1867</v>
      </c>
      <c r="E1567" s="4" t="s">
        <v>1955</v>
      </c>
      <c r="F1567" s="4">
        <v>3</v>
      </c>
      <c r="G1567" s="4">
        <v>926.85</v>
      </c>
      <c r="H1567" s="4">
        <v>0.18</v>
      </c>
      <c r="I1567" s="4" t="s">
        <v>2004</v>
      </c>
      <c r="J1567" s="10">
        <v>2280.0509999999999</v>
      </c>
      <c r="K1567" s="4" t="str">
        <f t="shared" si="168"/>
        <v>18-10-2024</v>
      </c>
      <c r="L1567" s="4" t="str">
        <f>TEXT(Sales_Fact!$B1567,"mmm")</f>
        <v>Oct</v>
      </c>
      <c r="M1567" s="4">
        <f t="shared" si="169"/>
        <v>3</v>
      </c>
      <c r="N1567" s="10">
        <f t="shared" si="170"/>
        <v>926.85</v>
      </c>
      <c r="O1567" s="10">
        <f t="shared" si="171"/>
        <v>2280.0510000000004</v>
      </c>
      <c r="P1567" s="10">
        <f t="shared" si="172"/>
        <v>2780.55</v>
      </c>
      <c r="Q1567" s="3">
        <f t="shared" si="173"/>
        <v>0.17999999999999991</v>
      </c>
      <c r="R1567" s="4" t="str">
        <f>IF(Sales_Fact!$O1567&gt;1000,"High","Low")</f>
        <v>High</v>
      </c>
      <c r="S1567" s="4" t="str">
        <f>VLOOKUP(C1567,Customer_Dim!$A:$N,9,FALSE())</f>
        <v>Kimberly Roberts</v>
      </c>
      <c r="T1567" s="4" t="str">
        <f>VLOOKUP(D1567,Product_Dim!$A:$M,3,FALSE())</f>
        <v>Home</v>
      </c>
      <c r="U1567" s="11" t="str">
        <f>VLOOKUP(D1567,Product_Dim!$A:$M,2,FALSE())</f>
        <v>LED Bedside Lamp</v>
      </c>
      <c r="V1567" s="11" t="str">
        <f>VLOOKUP(E1567,Store_Dim!$A:$E,3,FALSE())</f>
        <v>East</v>
      </c>
      <c r="W1567" s="11" t="str">
        <f>VLOOKUP(C1567,Customer_Dim!$A:$N,13,FALSE())</f>
        <v>Gold</v>
      </c>
      <c r="X1567" s="11" t="str">
        <f t="shared" si="174"/>
        <v>Low</v>
      </c>
    </row>
    <row r="1568" spans="1:24" ht="15.75" customHeight="1">
      <c r="A1568" s="4" t="s">
        <v>3564</v>
      </c>
      <c r="B1568" s="9">
        <v>45662</v>
      </c>
      <c r="C1568" s="4" t="s">
        <v>1027</v>
      </c>
      <c r="D1568" s="4" t="s">
        <v>1622</v>
      </c>
      <c r="E1568" s="4" t="s">
        <v>1957</v>
      </c>
      <c r="F1568" s="4">
        <v>1</v>
      </c>
      <c r="G1568" s="4">
        <v>874.59</v>
      </c>
      <c r="H1568" s="4">
        <v>0.28999999999999998</v>
      </c>
      <c r="I1568" s="4" t="s">
        <v>1998</v>
      </c>
      <c r="J1568" s="10">
        <v>620.95889999999997</v>
      </c>
      <c r="K1568" s="4" t="str">
        <f t="shared" si="168"/>
        <v>05-01-2025</v>
      </c>
      <c r="L1568" s="4" t="str">
        <f>TEXT(Sales_Fact!$B1568,"mmm")</f>
        <v>Jan</v>
      </c>
      <c r="M1568" s="4">
        <f t="shared" si="169"/>
        <v>1</v>
      </c>
      <c r="N1568" s="10">
        <f t="shared" si="170"/>
        <v>874.59</v>
      </c>
      <c r="O1568" s="10">
        <f t="shared" si="171"/>
        <v>620.95889999999997</v>
      </c>
      <c r="P1568" s="10">
        <f t="shared" si="172"/>
        <v>874.59</v>
      </c>
      <c r="Q1568" s="3">
        <f t="shared" si="173"/>
        <v>0.29000000000000004</v>
      </c>
      <c r="R1568" s="4" t="str">
        <f>IF(Sales_Fact!$O1568&gt;1000,"High","Low")</f>
        <v>Low</v>
      </c>
      <c r="S1568" s="4" t="str">
        <f>VLOOKUP(C1568,Customer_Dim!$A:$N,9,FALSE())</f>
        <v>Tiffany Williams</v>
      </c>
      <c r="T1568" s="4" t="str">
        <f>VLOOKUP(D1568,Product_Dim!$A:$M,3,FALSE())</f>
        <v>Home</v>
      </c>
      <c r="U1568" s="11" t="str">
        <f>VLOOKUP(D1568,Product_Dim!$A:$M,2,FALSE())</f>
        <v>Ceramic Kitchen Bowl Set</v>
      </c>
      <c r="V1568" s="11" t="str">
        <f>VLOOKUP(E1568,Store_Dim!$A:$E,3,FALSE())</f>
        <v>South</v>
      </c>
      <c r="W1568" s="11" t="str">
        <f>VLOOKUP(C1568,Customer_Dim!$A:$N,13,FALSE())</f>
        <v>Gold</v>
      </c>
      <c r="X1568" s="11" t="str">
        <f t="shared" si="174"/>
        <v>Low</v>
      </c>
    </row>
    <row r="1569" spans="1:24" ht="15.75" customHeight="1">
      <c r="A1569" s="4" t="s">
        <v>3565</v>
      </c>
      <c r="B1569" s="9">
        <v>45921</v>
      </c>
      <c r="C1569" s="4" t="s">
        <v>1478</v>
      </c>
      <c r="D1569" s="4" t="s">
        <v>1640</v>
      </c>
      <c r="E1569" s="4" t="s">
        <v>1915</v>
      </c>
      <c r="F1569" s="4">
        <v>4</v>
      </c>
      <c r="G1569" s="4">
        <v>479.11</v>
      </c>
      <c r="H1569" s="4">
        <v>0.24</v>
      </c>
      <c r="I1569" s="4" t="s">
        <v>1998</v>
      </c>
      <c r="J1569" s="10">
        <v>1456.4944</v>
      </c>
      <c r="K1569" s="4" t="str">
        <f t="shared" si="168"/>
        <v>21-09-2025</v>
      </c>
      <c r="L1569" s="4" t="str">
        <f>TEXT(Sales_Fact!$B1569,"mmm")</f>
        <v>Sep</v>
      </c>
      <c r="M1569" s="4">
        <f t="shared" si="169"/>
        <v>4</v>
      </c>
      <c r="N1569" s="10">
        <f t="shared" si="170"/>
        <v>479.11</v>
      </c>
      <c r="O1569" s="10">
        <f t="shared" si="171"/>
        <v>1456.4944</v>
      </c>
      <c r="P1569" s="10">
        <f t="shared" si="172"/>
        <v>1916.44</v>
      </c>
      <c r="Q1569" s="3">
        <f t="shared" si="173"/>
        <v>0.24</v>
      </c>
      <c r="R1569" s="4" t="str">
        <f>IF(Sales_Fact!$O1569&gt;1000,"High","Low")</f>
        <v>High</v>
      </c>
      <c r="S1569" s="4" t="str">
        <f>VLOOKUP(C1569,Customer_Dim!$A:$N,9,FALSE())</f>
        <v>Manuel Fisher</v>
      </c>
      <c r="T1569" s="4" t="str">
        <f>VLOOKUP(D1569,Product_Dim!$A:$M,3,FALSE())</f>
        <v>Electronics</v>
      </c>
      <c r="U1569" s="11" t="str">
        <f>VLOOKUP(D1569,Product_Dim!$A:$M,2,FALSE())</f>
        <v>4K Home Projector</v>
      </c>
      <c r="V1569" s="11" t="str">
        <f>VLOOKUP(E1569,Store_Dim!$A:$E,3,FALSE())</f>
        <v>North</v>
      </c>
      <c r="W1569" s="11" t="str">
        <f>VLOOKUP(C1569,Customer_Dim!$A:$N,13,FALSE())</f>
        <v>Gold</v>
      </c>
      <c r="X1569" s="11" t="str">
        <f t="shared" si="174"/>
        <v>High</v>
      </c>
    </row>
    <row r="1570" spans="1:24" ht="15.75" customHeight="1">
      <c r="A1570" s="4" t="s">
        <v>3566</v>
      </c>
      <c r="B1570" s="9">
        <v>45716</v>
      </c>
      <c r="C1570" s="4" t="s">
        <v>795</v>
      </c>
      <c r="D1570" s="4" t="s">
        <v>1654</v>
      </c>
      <c r="E1570" s="4" t="s">
        <v>1937</v>
      </c>
      <c r="F1570" s="4">
        <v>1</v>
      </c>
      <c r="G1570" s="4">
        <v>374.92</v>
      </c>
      <c r="H1570" s="4">
        <v>0.18</v>
      </c>
      <c r="I1570" s="4" t="s">
        <v>1998</v>
      </c>
      <c r="J1570" s="10">
        <v>307.43439999999998</v>
      </c>
      <c r="K1570" s="4" t="str">
        <f t="shared" si="168"/>
        <v>28-02-2025</v>
      </c>
      <c r="L1570" s="4" t="str">
        <f>TEXT(Sales_Fact!$B1570,"mmm")</f>
        <v>Feb</v>
      </c>
      <c r="M1570" s="4">
        <f t="shared" si="169"/>
        <v>1</v>
      </c>
      <c r="N1570" s="10">
        <f t="shared" si="170"/>
        <v>374.92</v>
      </c>
      <c r="O1570" s="10">
        <f t="shared" si="171"/>
        <v>307.43440000000004</v>
      </c>
      <c r="P1570" s="10">
        <f t="shared" si="172"/>
        <v>374.92</v>
      </c>
      <c r="Q1570" s="3">
        <f t="shared" si="173"/>
        <v>0.17999999999999994</v>
      </c>
      <c r="R1570" s="4" t="str">
        <f>IF(Sales_Fact!$O1570&gt;1000,"High","Low")</f>
        <v>Low</v>
      </c>
      <c r="S1570" s="4" t="str">
        <f>VLOOKUP(C1570,Customer_Dim!$A:$N,9,FALSE())</f>
        <v>Maria Hill</v>
      </c>
      <c r="T1570" s="4" t="str">
        <f>VLOOKUP(D1570,Product_Dim!$A:$M,3,FALSE())</f>
        <v>Sports</v>
      </c>
      <c r="U1570" s="11" t="str">
        <f>VLOOKUP(D1570,Product_Dim!$A:$M,2,FALSE())</f>
        <v>Knee Support Brace</v>
      </c>
      <c r="V1570" s="11" t="str">
        <f>VLOOKUP(E1570,Store_Dim!$A:$E,3,FALSE())</f>
        <v>South</v>
      </c>
      <c r="W1570" s="11" t="str">
        <f>VLOOKUP(C1570,Customer_Dim!$A:$N,13,FALSE())</f>
        <v>Platinum</v>
      </c>
      <c r="X1570" s="11" t="str">
        <f t="shared" si="174"/>
        <v>Low</v>
      </c>
    </row>
    <row r="1571" spans="1:24" ht="15.75" customHeight="1">
      <c r="A1571" s="4" t="s">
        <v>3567</v>
      </c>
      <c r="B1571" s="9">
        <v>45490</v>
      </c>
      <c r="C1571" s="4" t="s">
        <v>718</v>
      </c>
      <c r="D1571" s="4" t="s">
        <v>1697</v>
      </c>
      <c r="E1571" s="4" t="s">
        <v>1965</v>
      </c>
      <c r="F1571" s="4">
        <v>3</v>
      </c>
      <c r="G1571" s="4">
        <v>182.91</v>
      </c>
      <c r="H1571" s="4">
        <v>0.28999999999999998</v>
      </c>
      <c r="I1571" s="4" t="s">
        <v>1996</v>
      </c>
      <c r="J1571" s="10">
        <v>389.59829999999999</v>
      </c>
      <c r="K1571" s="4" t="str">
        <f t="shared" si="168"/>
        <v>17-07-2024</v>
      </c>
      <c r="L1571" s="4" t="str">
        <f>TEXT(Sales_Fact!$B1571,"mmm")</f>
        <v>Jul</v>
      </c>
      <c r="M1571" s="4">
        <f t="shared" si="169"/>
        <v>3</v>
      </c>
      <c r="N1571" s="10">
        <f t="shared" si="170"/>
        <v>182.91</v>
      </c>
      <c r="O1571" s="10">
        <f t="shared" si="171"/>
        <v>389.59829999999999</v>
      </c>
      <c r="P1571" s="10">
        <f t="shared" si="172"/>
        <v>548.73</v>
      </c>
      <c r="Q1571" s="3">
        <f t="shared" si="173"/>
        <v>0.29000000000000004</v>
      </c>
      <c r="R1571" s="4" t="str">
        <f>IF(Sales_Fact!$O1571&gt;1000,"High","Low")</f>
        <v>Low</v>
      </c>
      <c r="S1571" s="4" t="str">
        <f>VLOOKUP(C1571,Customer_Dim!$A:$N,9,FALSE())</f>
        <v>Stuart Johnson</v>
      </c>
      <c r="T1571" s="4" t="str">
        <f>VLOOKUP(D1571,Product_Dim!$A:$M,3,FALSE())</f>
        <v>Beauty</v>
      </c>
      <c r="U1571" s="11" t="str">
        <f>VLOOKUP(D1571,Product_Dim!$A:$M,2,FALSE())</f>
        <v>Vitamin C Face Serum</v>
      </c>
      <c r="V1571" s="11" t="str">
        <f>VLOOKUP(E1571,Store_Dim!$A:$E,3,FALSE())</f>
        <v>North</v>
      </c>
      <c r="W1571" s="11" t="str">
        <f>VLOOKUP(C1571,Customer_Dim!$A:$N,13,FALSE())</f>
        <v>Platinum</v>
      </c>
      <c r="X1571" s="11" t="str">
        <f t="shared" si="174"/>
        <v>Low</v>
      </c>
    </row>
    <row r="1572" spans="1:24" ht="15.75" customHeight="1">
      <c r="A1572" s="4" t="s">
        <v>3568</v>
      </c>
      <c r="B1572" s="9">
        <v>45652</v>
      </c>
      <c r="C1572" s="4" t="s">
        <v>894</v>
      </c>
      <c r="D1572" s="4" t="s">
        <v>1703</v>
      </c>
      <c r="E1572" s="4" t="s">
        <v>1931</v>
      </c>
      <c r="F1572" s="4">
        <v>4</v>
      </c>
      <c r="G1572" s="4">
        <v>745.51</v>
      </c>
      <c r="H1572" s="4">
        <v>0.05</v>
      </c>
      <c r="I1572" s="4" t="s">
        <v>1996</v>
      </c>
      <c r="J1572" s="10">
        <v>2832.9380000000001</v>
      </c>
      <c r="K1572" s="4" t="str">
        <f t="shared" si="168"/>
        <v>26-12-2024</v>
      </c>
      <c r="L1572" s="4" t="str">
        <f>TEXT(Sales_Fact!$B1572,"mmm")</f>
        <v>Dec</v>
      </c>
      <c r="M1572" s="4">
        <f t="shared" si="169"/>
        <v>4</v>
      </c>
      <c r="N1572" s="10">
        <f t="shared" si="170"/>
        <v>745.51</v>
      </c>
      <c r="O1572" s="10">
        <f t="shared" si="171"/>
        <v>2832.9379999999996</v>
      </c>
      <c r="P1572" s="10">
        <f t="shared" si="172"/>
        <v>2982.04</v>
      </c>
      <c r="Q1572" s="3">
        <f t="shared" si="173"/>
        <v>5.0000000000000107E-2</v>
      </c>
      <c r="R1572" s="4" t="str">
        <f>IF(Sales_Fact!$O1572&gt;1000,"High","Low")</f>
        <v>High</v>
      </c>
      <c r="S1572" s="4" t="str">
        <f>VLOOKUP(C1572,Customer_Dim!$A:$N,9,FALSE())</f>
        <v>Adam Rowland</v>
      </c>
      <c r="T1572" s="4" t="str">
        <f>VLOOKUP(D1572,Product_Dim!$A:$M,3,FALSE())</f>
        <v>Electronics</v>
      </c>
      <c r="U1572" s="11" t="str">
        <f>VLOOKUP(D1572,Product_Dim!$A:$M,2,FALSE())</f>
        <v>Gaming Mechanical Keyboard</v>
      </c>
      <c r="V1572" s="11" t="str">
        <f>VLOOKUP(E1572,Store_Dim!$A:$E,3,FALSE())</f>
        <v>North</v>
      </c>
      <c r="W1572" s="11" t="str">
        <f>VLOOKUP(C1572,Customer_Dim!$A:$N,13,FALSE())</f>
        <v>Gold</v>
      </c>
      <c r="X1572" s="11" t="str">
        <f t="shared" si="174"/>
        <v>High</v>
      </c>
    </row>
    <row r="1573" spans="1:24" ht="15.75" customHeight="1">
      <c r="A1573" s="4" t="s">
        <v>3569</v>
      </c>
      <c r="B1573" s="9">
        <v>45598</v>
      </c>
      <c r="C1573" s="4" t="s">
        <v>1510</v>
      </c>
      <c r="D1573" s="4" t="s">
        <v>1870</v>
      </c>
      <c r="E1573" s="4" t="s">
        <v>1959</v>
      </c>
      <c r="F1573" s="4">
        <v>3</v>
      </c>
      <c r="G1573" s="4">
        <v>920.61</v>
      </c>
      <c r="H1573" s="4">
        <v>0.04</v>
      </c>
      <c r="I1573" s="4" t="s">
        <v>1996</v>
      </c>
      <c r="J1573" s="10">
        <v>2651.3568</v>
      </c>
      <c r="K1573" s="4" t="str">
        <f t="shared" si="168"/>
        <v>02-11-2024</v>
      </c>
      <c r="L1573" s="4" t="str">
        <f>TEXT(Sales_Fact!$B1573,"mmm")</f>
        <v>Nov</v>
      </c>
      <c r="M1573" s="4">
        <f t="shared" si="169"/>
        <v>3</v>
      </c>
      <c r="N1573" s="10">
        <f t="shared" si="170"/>
        <v>920.61</v>
      </c>
      <c r="O1573" s="10">
        <f t="shared" si="171"/>
        <v>2651.3568</v>
      </c>
      <c r="P1573" s="10">
        <f t="shared" si="172"/>
        <v>2761.83</v>
      </c>
      <c r="Q1573" s="3">
        <f t="shared" si="173"/>
        <v>3.9999999999999966E-2</v>
      </c>
      <c r="R1573" s="4" t="str">
        <f>IF(Sales_Fact!$O1573&gt;1000,"High","Low")</f>
        <v>High</v>
      </c>
      <c r="S1573" s="4" t="str">
        <f>VLOOKUP(C1573,Customer_Dim!$A:$N,9,FALSE())</f>
        <v>Bryan Tran</v>
      </c>
      <c r="T1573" s="4" t="str">
        <f>VLOOKUP(D1573,Product_Dim!$A:$M,3,FALSE())</f>
        <v>Sports</v>
      </c>
      <c r="U1573" s="11" t="str">
        <f>VLOOKUP(D1573,Product_Dim!$A:$M,2,FALSE())</f>
        <v>Sports Wrist Sweatbands</v>
      </c>
      <c r="V1573" s="11" t="str">
        <f>VLOOKUP(E1573,Store_Dim!$A:$E,3,FALSE())</f>
        <v>North</v>
      </c>
      <c r="W1573" s="11" t="str">
        <f>VLOOKUP(C1573,Customer_Dim!$A:$N,13,FALSE())</f>
        <v>Gold</v>
      </c>
      <c r="X1573" s="11" t="str">
        <f t="shared" si="174"/>
        <v>Low</v>
      </c>
    </row>
    <row r="1574" spans="1:24" ht="15.75" customHeight="1">
      <c r="A1574" s="4" t="s">
        <v>3570</v>
      </c>
      <c r="B1574" s="9">
        <v>45772</v>
      </c>
      <c r="C1574" s="4" t="s">
        <v>1348</v>
      </c>
      <c r="D1574" s="4" t="s">
        <v>1831</v>
      </c>
      <c r="E1574" s="4" t="s">
        <v>1947</v>
      </c>
      <c r="F1574" s="4">
        <v>4</v>
      </c>
      <c r="G1574" s="4">
        <v>659.03</v>
      </c>
      <c r="H1574" s="4">
        <v>0.15</v>
      </c>
      <c r="I1574" s="4" t="s">
        <v>1996</v>
      </c>
      <c r="J1574" s="10">
        <v>2240.7020000000002</v>
      </c>
      <c r="K1574" s="4" t="str">
        <f t="shared" si="168"/>
        <v>25-04-2025</v>
      </c>
      <c r="L1574" s="4" t="str">
        <f>TEXT(Sales_Fact!$B1574,"mmm")</f>
        <v>Apr</v>
      </c>
      <c r="M1574" s="4">
        <f t="shared" si="169"/>
        <v>4</v>
      </c>
      <c r="N1574" s="10">
        <f t="shared" si="170"/>
        <v>659.03</v>
      </c>
      <c r="O1574" s="10">
        <f t="shared" si="171"/>
        <v>2240.7019999999998</v>
      </c>
      <c r="P1574" s="10">
        <f t="shared" si="172"/>
        <v>2636.12</v>
      </c>
      <c r="Q1574" s="3">
        <f t="shared" si="173"/>
        <v>0.15000000000000005</v>
      </c>
      <c r="R1574" s="4" t="str">
        <f>IF(Sales_Fact!$O1574&gt;1000,"High","Low")</f>
        <v>High</v>
      </c>
      <c r="S1574" s="4" t="str">
        <f>VLOOKUP(C1574,Customer_Dim!$A:$N,9,FALSE())</f>
        <v>Bryce Hawkins</v>
      </c>
      <c r="T1574" s="4" t="str">
        <f>VLOOKUP(D1574,Product_Dim!$A:$M,3,FALSE())</f>
        <v>Clothing</v>
      </c>
      <c r="U1574" s="11" t="str">
        <f>VLOOKUP(D1574,Product_Dim!$A:$M,2,FALSE())</f>
        <v>Women's Ankle Boots</v>
      </c>
      <c r="V1574" s="11" t="str">
        <f>VLOOKUP(E1574,Store_Dim!$A:$E,3,FALSE())</f>
        <v>East</v>
      </c>
      <c r="W1574" s="11" t="str">
        <f>VLOOKUP(C1574,Customer_Dim!$A:$N,13,FALSE())</f>
        <v>Bronze</v>
      </c>
      <c r="X1574" s="11" t="str">
        <f t="shared" si="174"/>
        <v>High</v>
      </c>
    </row>
    <row r="1575" spans="1:24" ht="15.75" customHeight="1">
      <c r="A1575" s="4" t="s">
        <v>3571</v>
      </c>
      <c r="B1575" s="9">
        <v>45338</v>
      </c>
      <c r="C1575" s="4" t="s">
        <v>1539</v>
      </c>
      <c r="D1575" s="4" t="s">
        <v>1617</v>
      </c>
      <c r="E1575" s="4" t="s">
        <v>1919</v>
      </c>
      <c r="F1575" s="4">
        <v>1</v>
      </c>
      <c r="G1575" s="4">
        <v>312.91000000000003</v>
      </c>
      <c r="H1575" s="4">
        <v>0.12</v>
      </c>
      <c r="I1575" s="4" t="s">
        <v>1998</v>
      </c>
      <c r="J1575" s="10">
        <v>275.36079999999998</v>
      </c>
      <c r="K1575" s="4" t="str">
        <f t="shared" si="168"/>
        <v>16-02-2024</v>
      </c>
      <c r="L1575" s="4" t="str">
        <f>TEXT(Sales_Fact!$B1575,"mmm")</f>
        <v>Feb</v>
      </c>
      <c r="M1575" s="4">
        <f t="shared" si="169"/>
        <v>1</v>
      </c>
      <c r="N1575" s="10">
        <f t="shared" si="170"/>
        <v>312.91000000000003</v>
      </c>
      <c r="O1575" s="10">
        <f t="shared" si="171"/>
        <v>275.36080000000004</v>
      </c>
      <c r="P1575" s="10">
        <f t="shared" si="172"/>
        <v>312.91000000000003</v>
      </c>
      <c r="Q1575" s="3">
        <f t="shared" si="173"/>
        <v>0.11999999999999994</v>
      </c>
      <c r="R1575" s="4" t="str">
        <f>IF(Sales_Fact!$O1575&gt;1000,"High","Low")</f>
        <v>Low</v>
      </c>
      <c r="S1575" s="4" t="str">
        <f>VLOOKUP(C1575,Customer_Dim!$A:$N,9,FALSE())</f>
        <v>Kaitlin Brown</v>
      </c>
      <c r="T1575" s="4" t="str">
        <f>VLOOKUP(D1575,Product_Dim!$A:$M,3,FALSE())</f>
        <v>Sports</v>
      </c>
      <c r="U1575" s="11" t="str">
        <f>VLOOKUP(D1575,Product_Dim!$A:$M,2,FALSE())</f>
        <v>Adjustable Dumbbell Set</v>
      </c>
      <c r="V1575" s="11" t="str">
        <f>VLOOKUP(E1575,Store_Dim!$A:$E,3,FALSE())</f>
        <v>South</v>
      </c>
      <c r="W1575" s="11" t="str">
        <f>VLOOKUP(C1575,Customer_Dim!$A:$N,13,FALSE())</f>
        <v>Gold</v>
      </c>
      <c r="X1575" s="11" t="str">
        <f t="shared" si="174"/>
        <v>Low</v>
      </c>
    </row>
    <row r="1576" spans="1:24" ht="15.75" customHeight="1">
      <c r="A1576" s="4" t="s">
        <v>3572</v>
      </c>
      <c r="B1576" s="9">
        <v>45524</v>
      </c>
      <c r="C1576" s="4" t="s">
        <v>763</v>
      </c>
      <c r="D1576" s="4" t="s">
        <v>1629</v>
      </c>
      <c r="E1576" s="4" t="s">
        <v>1968</v>
      </c>
      <c r="F1576" s="4">
        <v>4</v>
      </c>
      <c r="G1576" s="4">
        <v>705.64</v>
      </c>
      <c r="H1576" s="4">
        <v>0.11</v>
      </c>
      <c r="I1576" s="4" t="s">
        <v>1998</v>
      </c>
      <c r="J1576" s="10">
        <v>2512.0783999999999</v>
      </c>
      <c r="K1576" s="4" t="str">
        <f t="shared" si="168"/>
        <v>20-08-2024</v>
      </c>
      <c r="L1576" s="4" t="str">
        <f>TEXT(Sales_Fact!$B1576,"mmm")</f>
        <v>Aug</v>
      </c>
      <c r="M1576" s="4">
        <f t="shared" si="169"/>
        <v>4</v>
      </c>
      <c r="N1576" s="10">
        <f t="shared" si="170"/>
        <v>705.64</v>
      </c>
      <c r="O1576" s="10">
        <f t="shared" si="171"/>
        <v>2512.0783999999999</v>
      </c>
      <c r="P1576" s="10">
        <f t="shared" si="172"/>
        <v>2822.56</v>
      </c>
      <c r="Q1576" s="3">
        <f t="shared" si="173"/>
        <v>0.11000000000000003</v>
      </c>
      <c r="R1576" s="4" t="str">
        <f>IF(Sales_Fact!$O1576&gt;1000,"High","Low")</f>
        <v>High</v>
      </c>
      <c r="S1576" s="4" t="str">
        <f>VLOOKUP(C1576,Customer_Dim!$A:$N,9,FALSE())</f>
        <v>Casey Flores</v>
      </c>
      <c r="T1576" s="4" t="str">
        <f>VLOOKUP(D1576,Product_Dim!$A:$M,3,FALSE())</f>
        <v>Beauty</v>
      </c>
      <c r="U1576" s="11" t="str">
        <f>VLOOKUP(D1576,Product_Dim!$A:$M,2,FALSE())</f>
        <v>Hair Strengthening Shampoo</v>
      </c>
      <c r="V1576" s="11" t="str">
        <f>VLOOKUP(E1576,Store_Dim!$A:$E,3,FALSE())</f>
        <v>East</v>
      </c>
      <c r="W1576" s="11" t="str">
        <f>VLOOKUP(C1576,Customer_Dim!$A:$N,13,FALSE())</f>
        <v>Gold</v>
      </c>
      <c r="X1576" s="11" t="str">
        <f t="shared" si="174"/>
        <v>High</v>
      </c>
    </row>
    <row r="1577" spans="1:24" ht="15.75" customHeight="1">
      <c r="A1577" s="4" t="s">
        <v>3573</v>
      </c>
      <c r="B1577" s="9">
        <v>45497</v>
      </c>
      <c r="C1577" s="4" t="s">
        <v>511</v>
      </c>
      <c r="D1577" s="4" t="s">
        <v>1617</v>
      </c>
      <c r="E1577" s="4" t="s">
        <v>1947</v>
      </c>
      <c r="F1577" s="4">
        <v>4</v>
      </c>
      <c r="G1577" s="4">
        <v>386.41</v>
      </c>
      <c r="H1577" s="4">
        <v>0.13</v>
      </c>
      <c r="I1577" s="4" t="s">
        <v>2004</v>
      </c>
      <c r="J1577" s="10">
        <v>1344.7067999999999</v>
      </c>
      <c r="K1577" s="4" t="str">
        <f t="shared" si="168"/>
        <v>24-07-2024</v>
      </c>
      <c r="L1577" s="4" t="str">
        <f>TEXT(Sales_Fact!$B1577,"mmm")</f>
        <v>Jul</v>
      </c>
      <c r="M1577" s="4">
        <f t="shared" si="169"/>
        <v>4</v>
      </c>
      <c r="N1577" s="10">
        <f t="shared" si="170"/>
        <v>386.41</v>
      </c>
      <c r="O1577" s="10">
        <f t="shared" si="171"/>
        <v>1344.7068000000002</v>
      </c>
      <c r="P1577" s="10">
        <f t="shared" si="172"/>
        <v>1545.64</v>
      </c>
      <c r="Q1577" s="3">
        <f t="shared" si="173"/>
        <v>0.12999999999999995</v>
      </c>
      <c r="R1577" s="4" t="str">
        <f>IF(Sales_Fact!$O1577&gt;1000,"High","Low")</f>
        <v>High</v>
      </c>
      <c r="S1577" s="4" t="str">
        <f>VLOOKUP(C1577,Customer_Dim!$A:$N,9,FALSE())</f>
        <v>Justin Cross</v>
      </c>
      <c r="T1577" s="4" t="str">
        <f>VLOOKUP(D1577,Product_Dim!$A:$M,3,FALSE())</f>
        <v>Sports</v>
      </c>
      <c r="U1577" s="11" t="str">
        <f>VLOOKUP(D1577,Product_Dim!$A:$M,2,FALSE())</f>
        <v>Adjustable Dumbbell Set</v>
      </c>
      <c r="V1577" s="11" t="str">
        <f>VLOOKUP(E1577,Store_Dim!$A:$E,3,FALSE())</f>
        <v>East</v>
      </c>
      <c r="W1577" s="11" t="str">
        <f>VLOOKUP(C1577,Customer_Dim!$A:$N,13,FALSE())</f>
        <v>Bronze</v>
      </c>
      <c r="X1577" s="11" t="str">
        <f t="shared" si="174"/>
        <v>High</v>
      </c>
    </row>
    <row r="1578" spans="1:24" ht="15.75" customHeight="1">
      <c r="A1578" s="4" t="s">
        <v>3574</v>
      </c>
      <c r="B1578" s="9">
        <v>45534</v>
      </c>
      <c r="C1578" s="4" t="s">
        <v>142</v>
      </c>
      <c r="D1578" s="4" t="s">
        <v>1888</v>
      </c>
      <c r="E1578" s="4" t="s">
        <v>1950</v>
      </c>
      <c r="F1578" s="4">
        <v>3</v>
      </c>
      <c r="G1578" s="4">
        <v>265.89</v>
      </c>
      <c r="H1578" s="4">
        <v>0.08</v>
      </c>
      <c r="I1578" s="4" t="s">
        <v>2004</v>
      </c>
      <c r="J1578" s="10">
        <v>733.85640000000001</v>
      </c>
      <c r="K1578" s="4" t="str">
        <f t="shared" si="168"/>
        <v>30-08-2024</v>
      </c>
      <c r="L1578" s="4" t="str">
        <f>TEXT(Sales_Fact!$B1578,"mmm")</f>
        <v>Aug</v>
      </c>
      <c r="M1578" s="4">
        <f t="shared" si="169"/>
        <v>3</v>
      </c>
      <c r="N1578" s="10">
        <f t="shared" si="170"/>
        <v>265.89</v>
      </c>
      <c r="O1578" s="10">
        <f t="shared" si="171"/>
        <v>733.85640000000001</v>
      </c>
      <c r="P1578" s="10">
        <f t="shared" si="172"/>
        <v>797.67</v>
      </c>
      <c r="Q1578" s="3">
        <f t="shared" si="173"/>
        <v>7.9999999999999946E-2</v>
      </c>
      <c r="R1578" s="4" t="str">
        <f>IF(Sales_Fact!$O1578&gt;1000,"High","Low")</f>
        <v>Low</v>
      </c>
      <c r="S1578" s="4" t="str">
        <f>VLOOKUP(C1578,Customer_Dim!$A:$N,9,FALSE())</f>
        <v>David Arnold</v>
      </c>
      <c r="T1578" s="4" t="str">
        <f>VLOOKUP(D1578,Product_Dim!$A:$M,3,FALSE())</f>
        <v>Beauty</v>
      </c>
      <c r="U1578" s="11" t="str">
        <f>VLOOKUP(D1578,Product_Dim!$A:$M,2,FALSE())</f>
        <v>Vitamin E Body Lotion</v>
      </c>
      <c r="V1578" s="11" t="str">
        <f>VLOOKUP(E1578,Store_Dim!$A:$E,3,FALSE())</f>
        <v>South</v>
      </c>
      <c r="W1578" s="11" t="str">
        <f>VLOOKUP(C1578,Customer_Dim!$A:$N,13,FALSE())</f>
        <v>Silver</v>
      </c>
      <c r="X1578" s="11" t="str">
        <f t="shared" si="174"/>
        <v>Low</v>
      </c>
    </row>
    <row r="1579" spans="1:24" ht="15.75" customHeight="1">
      <c r="A1579" s="4" t="s">
        <v>3575</v>
      </c>
      <c r="B1579" s="9">
        <v>45925</v>
      </c>
      <c r="C1579" s="4" t="s">
        <v>296</v>
      </c>
      <c r="D1579" s="4" t="s">
        <v>1690</v>
      </c>
      <c r="E1579" s="4" t="s">
        <v>1962</v>
      </c>
      <c r="F1579" s="4">
        <v>1</v>
      </c>
      <c r="G1579" s="4">
        <v>703.16</v>
      </c>
      <c r="H1579" s="4">
        <v>0.28999999999999998</v>
      </c>
      <c r="I1579" s="4" t="s">
        <v>1996</v>
      </c>
      <c r="J1579" s="10">
        <v>499.24360000000001</v>
      </c>
      <c r="K1579" s="4" t="str">
        <f t="shared" si="168"/>
        <v>25-09-2025</v>
      </c>
      <c r="L1579" s="4" t="str">
        <f>TEXT(Sales_Fact!$B1579,"mmm")</f>
        <v>Sep</v>
      </c>
      <c r="M1579" s="4">
        <f t="shared" si="169"/>
        <v>1</v>
      </c>
      <c r="N1579" s="10">
        <f t="shared" si="170"/>
        <v>703.16</v>
      </c>
      <c r="O1579" s="10">
        <f t="shared" si="171"/>
        <v>499.24359999999996</v>
      </c>
      <c r="P1579" s="10">
        <f t="shared" si="172"/>
        <v>703.16</v>
      </c>
      <c r="Q1579" s="3">
        <f t="shared" si="173"/>
        <v>0.29000000000000004</v>
      </c>
      <c r="R1579" s="4" t="str">
        <f>IF(Sales_Fact!$O1579&gt;1000,"High","Low")</f>
        <v>Low</v>
      </c>
      <c r="S1579" s="4" t="str">
        <f>VLOOKUP(C1579,Customer_Dim!$A:$N,9,FALSE())</f>
        <v>Rhonda Morales</v>
      </c>
      <c r="T1579" s="4" t="str">
        <f>VLOOKUP(D1579,Product_Dim!$A:$M,3,FALSE())</f>
        <v>Home</v>
      </c>
      <c r="U1579" s="11" t="str">
        <f>VLOOKUP(D1579,Product_Dim!$A:$M,2,FALSE())</f>
        <v>Stainless Steel Cutlery Set</v>
      </c>
      <c r="V1579" s="11" t="str">
        <f>VLOOKUP(E1579,Store_Dim!$A:$E,3,FALSE())</f>
        <v>West</v>
      </c>
      <c r="W1579" s="11" t="str">
        <f>VLOOKUP(C1579,Customer_Dim!$A:$N,13,FALSE())</f>
        <v>Gold</v>
      </c>
      <c r="X1579" s="11" t="str">
        <f t="shared" si="174"/>
        <v>Low</v>
      </c>
    </row>
    <row r="1580" spans="1:24" ht="15.75" customHeight="1">
      <c r="A1580" s="4" t="s">
        <v>3576</v>
      </c>
      <c r="B1580" s="9">
        <v>45765</v>
      </c>
      <c r="C1580" s="4" t="s">
        <v>1481</v>
      </c>
      <c r="D1580" s="4" t="s">
        <v>1897</v>
      </c>
      <c r="E1580" s="4" t="s">
        <v>1955</v>
      </c>
      <c r="F1580" s="4">
        <v>2</v>
      </c>
      <c r="G1580" s="4">
        <v>394.5</v>
      </c>
      <c r="H1580" s="4">
        <v>0.28999999999999998</v>
      </c>
      <c r="I1580" s="4" t="s">
        <v>2004</v>
      </c>
      <c r="J1580" s="10">
        <v>560.19000000000005</v>
      </c>
      <c r="K1580" s="4" t="str">
        <f t="shared" si="168"/>
        <v>18-04-2025</v>
      </c>
      <c r="L1580" s="4" t="str">
        <f>TEXT(Sales_Fact!$B1580,"mmm")</f>
        <v>Apr</v>
      </c>
      <c r="M1580" s="4">
        <f t="shared" si="169"/>
        <v>2</v>
      </c>
      <c r="N1580" s="10">
        <f t="shared" si="170"/>
        <v>394.5</v>
      </c>
      <c r="O1580" s="10">
        <f t="shared" si="171"/>
        <v>560.18999999999994</v>
      </c>
      <c r="P1580" s="10">
        <f t="shared" si="172"/>
        <v>789</v>
      </c>
      <c r="Q1580" s="3">
        <f t="shared" si="173"/>
        <v>0.29000000000000009</v>
      </c>
      <c r="R1580" s="4" t="str">
        <f>IF(Sales_Fact!$O1580&gt;1000,"High","Low")</f>
        <v>Low</v>
      </c>
      <c r="S1580" s="4" t="str">
        <f>VLOOKUP(C1580,Customer_Dim!$A:$N,9,FALSE())</f>
        <v>Debra Mccullough</v>
      </c>
      <c r="T1580" s="4" t="str">
        <f>VLOOKUP(D1580,Product_Dim!$A:$M,3,FALSE())</f>
        <v>Sports</v>
      </c>
      <c r="U1580" s="11" t="str">
        <f>VLOOKUP(D1580,Product_Dim!$A:$M,2,FALSE())</f>
        <v>Cricket Bat</v>
      </c>
      <c r="V1580" s="11" t="str">
        <f>VLOOKUP(E1580,Store_Dim!$A:$E,3,FALSE())</f>
        <v>East</v>
      </c>
      <c r="W1580" s="11" t="str">
        <f>VLOOKUP(C1580,Customer_Dim!$A:$N,13,FALSE())</f>
        <v>Platinum</v>
      </c>
      <c r="X1580" s="11" t="str">
        <f t="shared" si="174"/>
        <v>Low</v>
      </c>
    </row>
    <row r="1581" spans="1:24" ht="15.75" customHeight="1">
      <c r="A1581" s="4" t="s">
        <v>3577</v>
      </c>
      <c r="B1581" s="9">
        <v>45515</v>
      </c>
      <c r="C1581" s="4" t="s">
        <v>1460</v>
      </c>
      <c r="D1581" s="4" t="s">
        <v>1885</v>
      </c>
      <c r="E1581" s="4" t="s">
        <v>1962</v>
      </c>
      <c r="F1581" s="4">
        <v>1</v>
      </c>
      <c r="G1581" s="4">
        <v>468.94</v>
      </c>
      <c r="H1581" s="4">
        <v>0.12</v>
      </c>
      <c r="I1581" s="4" t="s">
        <v>1996</v>
      </c>
      <c r="J1581" s="10">
        <v>412.66719999999998</v>
      </c>
      <c r="K1581" s="4" t="str">
        <f t="shared" si="168"/>
        <v>11-08-2024</v>
      </c>
      <c r="L1581" s="4" t="str">
        <f>TEXT(Sales_Fact!$B1581,"mmm")</f>
        <v>Aug</v>
      </c>
      <c r="M1581" s="4">
        <f t="shared" si="169"/>
        <v>1</v>
      </c>
      <c r="N1581" s="10">
        <f t="shared" si="170"/>
        <v>468.94</v>
      </c>
      <c r="O1581" s="10">
        <f t="shared" si="171"/>
        <v>412.66719999999998</v>
      </c>
      <c r="P1581" s="10">
        <f t="shared" si="172"/>
        <v>468.94</v>
      </c>
      <c r="Q1581" s="3">
        <f t="shared" si="173"/>
        <v>0.12000000000000004</v>
      </c>
      <c r="R1581" s="4" t="str">
        <f>IF(Sales_Fact!$O1581&gt;1000,"High","Low")</f>
        <v>Low</v>
      </c>
      <c r="S1581" s="4" t="str">
        <f>VLOOKUP(C1581,Customer_Dim!$A:$N,9,FALSE())</f>
        <v>David Pierce</v>
      </c>
      <c r="T1581" s="4" t="str">
        <f>VLOOKUP(D1581,Product_Dim!$A:$M,3,FALSE())</f>
        <v>Electronics</v>
      </c>
      <c r="U1581" s="11" t="str">
        <f>VLOOKUP(D1581,Product_Dim!$A:$M,2,FALSE())</f>
        <v>USB-C Laptop Charger</v>
      </c>
      <c r="V1581" s="11" t="str">
        <f>VLOOKUP(E1581,Store_Dim!$A:$E,3,FALSE())</f>
        <v>West</v>
      </c>
      <c r="W1581" s="11" t="str">
        <f>VLOOKUP(C1581,Customer_Dim!$A:$N,13,FALSE())</f>
        <v>Platinum</v>
      </c>
      <c r="X1581" s="11" t="str">
        <f t="shared" si="174"/>
        <v>Low</v>
      </c>
    </row>
    <row r="1582" spans="1:24" ht="15.75" customHeight="1">
      <c r="A1582" s="4" t="s">
        <v>3578</v>
      </c>
      <c r="B1582" s="9">
        <v>45882</v>
      </c>
      <c r="C1582" s="4" t="s">
        <v>429</v>
      </c>
      <c r="D1582" s="4" t="s">
        <v>1897</v>
      </c>
      <c r="E1582" s="4" t="s">
        <v>1937</v>
      </c>
      <c r="F1582" s="4">
        <v>3</v>
      </c>
      <c r="G1582" s="4">
        <v>411.25</v>
      </c>
      <c r="H1582" s="4">
        <v>0.05</v>
      </c>
      <c r="I1582" s="4" t="s">
        <v>1996</v>
      </c>
      <c r="J1582" s="10">
        <v>1172.0625</v>
      </c>
      <c r="K1582" s="4" t="str">
        <f t="shared" si="168"/>
        <v>13-08-2025</v>
      </c>
      <c r="L1582" s="4" t="str">
        <f>TEXT(Sales_Fact!$B1582,"mmm")</f>
        <v>Aug</v>
      </c>
      <c r="M1582" s="4">
        <f t="shared" si="169"/>
        <v>3</v>
      </c>
      <c r="N1582" s="10">
        <f t="shared" si="170"/>
        <v>411.25</v>
      </c>
      <c r="O1582" s="10">
        <f t="shared" si="171"/>
        <v>1172.0625</v>
      </c>
      <c r="P1582" s="10">
        <f t="shared" si="172"/>
        <v>1233.75</v>
      </c>
      <c r="Q1582" s="3">
        <f t="shared" si="173"/>
        <v>0.05</v>
      </c>
      <c r="R1582" s="4" t="str">
        <f>IF(Sales_Fact!$O1582&gt;1000,"High","Low")</f>
        <v>High</v>
      </c>
      <c r="S1582" s="4" t="str">
        <f>VLOOKUP(C1582,Customer_Dim!$A:$N,9,FALSE())</f>
        <v>Colleen Mccarthy</v>
      </c>
      <c r="T1582" s="4" t="str">
        <f>VLOOKUP(D1582,Product_Dim!$A:$M,3,FALSE())</f>
        <v>Sports</v>
      </c>
      <c r="U1582" s="11" t="str">
        <f>VLOOKUP(D1582,Product_Dim!$A:$M,2,FALSE())</f>
        <v>Cricket Bat</v>
      </c>
      <c r="V1582" s="11" t="str">
        <f>VLOOKUP(E1582,Store_Dim!$A:$E,3,FALSE())</f>
        <v>South</v>
      </c>
      <c r="W1582" s="11" t="str">
        <f>VLOOKUP(C1582,Customer_Dim!$A:$N,13,FALSE())</f>
        <v>Platinum</v>
      </c>
      <c r="X1582" s="11" t="str">
        <f t="shared" si="174"/>
        <v>Low</v>
      </c>
    </row>
    <row r="1583" spans="1:24" ht="15.75" customHeight="1">
      <c r="A1583" s="4" t="s">
        <v>3579</v>
      </c>
      <c r="B1583" s="9">
        <v>45923</v>
      </c>
      <c r="C1583" s="4" t="s">
        <v>1135</v>
      </c>
      <c r="D1583" s="4" t="s">
        <v>1748</v>
      </c>
      <c r="E1583" s="4" t="s">
        <v>1919</v>
      </c>
      <c r="F1583" s="4">
        <v>4</v>
      </c>
      <c r="G1583" s="4">
        <v>395.45</v>
      </c>
      <c r="H1583" s="4">
        <v>0.01</v>
      </c>
      <c r="I1583" s="4" t="s">
        <v>1996</v>
      </c>
      <c r="J1583" s="10">
        <v>1565.982</v>
      </c>
      <c r="K1583" s="4" t="str">
        <f t="shared" si="168"/>
        <v>23-09-2025</v>
      </c>
      <c r="L1583" s="4" t="str">
        <f>TEXT(Sales_Fact!$B1583,"mmm")</f>
        <v>Sep</v>
      </c>
      <c r="M1583" s="4">
        <f t="shared" si="169"/>
        <v>4</v>
      </c>
      <c r="N1583" s="10">
        <f t="shared" si="170"/>
        <v>395.45</v>
      </c>
      <c r="O1583" s="10">
        <f t="shared" si="171"/>
        <v>1565.982</v>
      </c>
      <c r="P1583" s="10">
        <f t="shared" si="172"/>
        <v>1581.8</v>
      </c>
      <c r="Q1583" s="3">
        <f t="shared" si="173"/>
        <v>9.9999999999999898E-3</v>
      </c>
      <c r="R1583" s="4" t="str">
        <f>IF(Sales_Fact!$O1583&gt;1000,"High","Low")</f>
        <v>High</v>
      </c>
      <c r="S1583" s="4" t="str">
        <f>VLOOKUP(C1583,Customer_Dim!$A:$N,9,FALSE())</f>
        <v>Laura Green</v>
      </c>
      <c r="T1583" s="4" t="str">
        <f>VLOOKUP(D1583,Product_Dim!$A:$M,3,FALSE())</f>
        <v>Electronics</v>
      </c>
      <c r="U1583" s="11" t="str">
        <f>VLOOKUP(D1583,Product_Dim!$A:$M,2,FALSE())</f>
        <v>Car Dashboard Phone Holder</v>
      </c>
      <c r="V1583" s="11" t="str">
        <f>VLOOKUP(E1583,Store_Dim!$A:$E,3,FALSE())</f>
        <v>South</v>
      </c>
      <c r="W1583" s="11" t="str">
        <f>VLOOKUP(C1583,Customer_Dim!$A:$N,13,FALSE())</f>
        <v>Platinum</v>
      </c>
      <c r="X1583" s="11" t="str">
        <f t="shared" si="174"/>
        <v>High</v>
      </c>
    </row>
    <row r="1584" spans="1:24" ht="15.75" customHeight="1">
      <c r="A1584" s="4" t="s">
        <v>3580</v>
      </c>
      <c r="B1584" s="9">
        <v>45421</v>
      </c>
      <c r="C1584" s="4" t="s">
        <v>165</v>
      </c>
      <c r="D1584" s="4" t="s">
        <v>1876</v>
      </c>
      <c r="E1584" s="4" t="s">
        <v>1931</v>
      </c>
      <c r="F1584" s="4">
        <v>2</v>
      </c>
      <c r="G1584" s="4">
        <v>678.98</v>
      </c>
      <c r="H1584" s="4">
        <v>0.23</v>
      </c>
      <c r="I1584" s="4" t="s">
        <v>1996</v>
      </c>
      <c r="J1584" s="10">
        <v>1045.6292000000001</v>
      </c>
      <c r="K1584" s="4" t="str">
        <f t="shared" si="168"/>
        <v>09-05-2024</v>
      </c>
      <c r="L1584" s="4" t="str">
        <f>TEXT(Sales_Fact!$B1584,"mmm")</f>
        <v>May</v>
      </c>
      <c r="M1584" s="4">
        <f t="shared" si="169"/>
        <v>2</v>
      </c>
      <c r="N1584" s="10">
        <f t="shared" si="170"/>
        <v>678.98</v>
      </c>
      <c r="O1584" s="10">
        <f t="shared" si="171"/>
        <v>1045.6292000000001</v>
      </c>
      <c r="P1584" s="10">
        <f t="shared" si="172"/>
        <v>1357.96</v>
      </c>
      <c r="Q1584" s="3">
        <f t="shared" si="173"/>
        <v>0.22999999999999995</v>
      </c>
      <c r="R1584" s="4" t="str">
        <f>IF(Sales_Fact!$O1584&gt;1000,"High","Low")</f>
        <v>High</v>
      </c>
      <c r="S1584" s="4" t="str">
        <f>VLOOKUP(C1584,Customer_Dim!$A:$N,9,FALSE())</f>
        <v>Thomas Phillips</v>
      </c>
      <c r="T1584" s="4" t="str">
        <f>VLOOKUP(D1584,Product_Dim!$A:$M,3,FALSE())</f>
        <v>Electronics</v>
      </c>
      <c r="U1584" s="11" t="str">
        <f>VLOOKUP(D1584,Product_Dim!$A:$M,2,FALSE())</f>
        <v>Gaming Mouse Pad XL</v>
      </c>
      <c r="V1584" s="11" t="str">
        <f>VLOOKUP(E1584,Store_Dim!$A:$E,3,FALSE())</f>
        <v>North</v>
      </c>
      <c r="W1584" s="11" t="str">
        <f>VLOOKUP(C1584,Customer_Dim!$A:$N,13,FALSE())</f>
        <v>Gold</v>
      </c>
      <c r="X1584" s="11" t="str">
        <f t="shared" si="174"/>
        <v>Low</v>
      </c>
    </row>
    <row r="1585" spans="1:24" ht="15.75" customHeight="1">
      <c r="A1585" s="4" t="s">
        <v>3581</v>
      </c>
      <c r="B1585" s="9">
        <v>45608</v>
      </c>
      <c r="C1585" s="4" t="s">
        <v>285</v>
      </c>
      <c r="D1585" s="4" t="s">
        <v>1681</v>
      </c>
      <c r="E1585" s="4" t="s">
        <v>1957</v>
      </c>
      <c r="F1585" s="4">
        <v>4</v>
      </c>
      <c r="G1585" s="4">
        <v>757.71</v>
      </c>
      <c r="H1585" s="4">
        <v>0.26</v>
      </c>
      <c r="I1585" s="4" t="s">
        <v>2004</v>
      </c>
      <c r="J1585" s="10">
        <v>2242.8216000000002</v>
      </c>
      <c r="K1585" s="4" t="str">
        <f t="shared" si="168"/>
        <v>12-11-2024</v>
      </c>
      <c r="L1585" s="4" t="str">
        <f>TEXT(Sales_Fact!$B1585,"mmm")</f>
        <v>Nov</v>
      </c>
      <c r="M1585" s="4">
        <f t="shared" si="169"/>
        <v>4</v>
      </c>
      <c r="N1585" s="10">
        <f t="shared" si="170"/>
        <v>757.71</v>
      </c>
      <c r="O1585" s="10">
        <f t="shared" si="171"/>
        <v>2242.8216000000002</v>
      </c>
      <c r="P1585" s="10">
        <f t="shared" si="172"/>
        <v>3030.84</v>
      </c>
      <c r="Q1585" s="3">
        <f t="shared" si="173"/>
        <v>0.25999999999999995</v>
      </c>
      <c r="R1585" s="4" t="str">
        <f>IF(Sales_Fact!$O1585&gt;1000,"High","Low")</f>
        <v>High</v>
      </c>
      <c r="S1585" s="4" t="str">
        <f>VLOOKUP(C1585,Customer_Dim!$A:$N,9,FALSE())</f>
        <v>Tonya Burch</v>
      </c>
      <c r="T1585" s="4" t="str">
        <f>VLOOKUP(D1585,Product_Dim!$A:$M,3,FALSE())</f>
        <v>Home</v>
      </c>
      <c r="U1585" s="11" t="str">
        <f>VLOOKUP(D1585,Product_Dim!$A:$M,2,FALSE())</f>
        <v>Decorative Floor Vase</v>
      </c>
      <c r="V1585" s="11" t="str">
        <f>VLOOKUP(E1585,Store_Dim!$A:$E,3,FALSE())</f>
        <v>South</v>
      </c>
      <c r="W1585" s="11" t="str">
        <f>VLOOKUP(C1585,Customer_Dim!$A:$N,13,FALSE())</f>
        <v>Gold</v>
      </c>
      <c r="X1585" s="11" t="str">
        <f t="shared" si="174"/>
        <v>High</v>
      </c>
    </row>
    <row r="1586" spans="1:24" ht="15.75" customHeight="1">
      <c r="A1586" s="4" t="s">
        <v>3582</v>
      </c>
      <c r="B1586" s="9">
        <v>45644</v>
      </c>
      <c r="C1586" s="4" t="s">
        <v>242</v>
      </c>
      <c r="D1586" s="4" t="s">
        <v>1888</v>
      </c>
      <c r="E1586" s="4" t="s">
        <v>1927</v>
      </c>
      <c r="F1586" s="4">
        <v>1</v>
      </c>
      <c r="G1586" s="4">
        <v>647.86</v>
      </c>
      <c r="H1586" s="4">
        <v>0.05</v>
      </c>
      <c r="I1586" s="4" t="s">
        <v>2004</v>
      </c>
      <c r="J1586" s="10">
        <v>615.46699999999998</v>
      </c>
      <c r="K1586" s="4" t="str">
        <f t="shared" si="168"/>
        <v>18-12-2024</v>
      </c>
      <c r="L1586" s="4" t="str">
        <f>TEXT(Sales_Fact!$B1586,"mmm")</f>
        <v>Dec</v>
      </c>
      <c r="M1586" s="4">
        <f t="shared" si="169"/>
        <v>1</v>
      </c>
      <c r="N1586" s="10">
        <f t="shared" si="170"/>
        <v>647.86</v>
      </c>
      <c r="O1586" s="10">
        <f t="shared" si="171"/>
        <v>615.46699999999998</v>
      </c>
      <c r="P1586" s="10">
        <f t="shared" si="172"/>
        <v>647.86</v>
      </c>
      <c r="Q1586" s="3">
        <f t="shared" si="173"/>
        <v>5.0000000000000044E-2</v>
      </c>
      <c r="R1586" s="4" t="str">
        <f>IF(Sales_Fact!$O1586&gt;1000,"High","Low")</f>
        <v>Low</v>
      </c>
      <c r="S1586" s="4" t="str">
        <f>VLOOKUP(C1586,Customer_Dim!$A:$N,9,FALSE())</f>
        <v>Alyssa Vargas</v>
      </c>
      <c r="T1586" s="4" t="str">
        <f>VLOOKUP(D1586,Product_Dim!$A:$M,3,FALSE())</f>
        <v>Beauty</v>
      </c>
      <c r="U1586" s="11" t="str">
        <f>VLOOKUP(D1586,Product_Dim!$A:$M,2,FALSE())</f>
        <v>Vitamin E Body Lotion</v>
      </c>
      <c r="V1586" s="11" t="str">
        <f>VLOOKUP(E1586,Store_Dim!$A:$E,3,FALSE())</f>
        <v>South</v>
      </c>
      <c r="W1586" s="11" t="str">
        <f>VLOOKUP(C1586,Customer_Dim!$A:$N,13,FALSE())</f>
        <v>Platinum</v>
      </c>
      <c r="X1586" s="11" t="str">
        <f t="shared" si="174"/>
        <v>Low</v>
      </c>
    </row>
    <row r="1587" spans="1:24" ht="15.75" customHeight="1">
      <c r="A1587" s="4" t="s">
        <v>3583</v>
      </c>
      <c r="B1587" s="9">
        <v>45517</v>
      </c>
      <c r="C1587" s="4" t="s">
        <v>485</v>
      </c>
      <c r="D1587" s="4" t="s">
        <v>1629</v>
      </c>
      <c r="E1587" s="4" t="s">
        <v>1934</v>
      </c>
      <c r="F1587" s="4">
        <v>2</v>
      </c>
      <c r="G1587" s="4">
        <v>179.64</v>
      </c>
      <c r="H1587" s="4">
        <v>0.1</v>
      </c>
      <c r="I1587" s="4" t="s">
        <v>1998</v>
      </c>
      <c r="J1587" s="10">
        <v>323.35199999999998</v>
      </c>
      <c r="K1587" s="4" t="str">
        <f t="shared" si="168"/>
        <v>13-08-2024</v>
      </c>
      <c r="L1587" s="4" t="str">
        <f>TEXT(Sales_Fact!$B1587,"mmm")</f>
        <v>Aug</v>
      </c>
      <c r="M1587" s="4">
        <f t="shared" si="169"/>
        <v>2</v>
      </c>
      <c r="N1587" s="10">
        <f t="shared" si="170"/>
        <v>179.64</v>
      </c>
      <c r="O1587" s="10">
        <f t="shared" si="171"/>
        <v>323.35199999999998</v>
      </c>
      <c r="P1587" s="10">
        <f t="shared" si="172"/>
        <v>359.28</v>
      </c>
      <c r="Q1587" s="3">
        <f t="shared" si="173"/>
        <v>0.1</v>
      </c>
      <c r="R1587" s="4" t="str">
        <f>IF(Sales_Fact!$O1587&gt;1000,"High","Low")</f>
        <v>Low</v>
      </c>
      <c r="S1587" s="4" t="str">
        <f>VLOOKUP(C1587,Customer_Dim!$A:$N,9,FALSE())</f>
        <v>Matthew Hanna</v>
      </c>
      <c r="T1587" s="4" t="str">
        <f>VLOOKUP(D1587,Product_Dim!$A:$M,3,FALSE())</f>
        <v>Beauty</v>
      </c>
      <c r="U1587" s="11" t="str">
        <f>VLOOKUP(D1587,Product_Dim!$A:$M,2,FALSE())</f>
        <v>Hair Strengthening Shampoo</v>
      </c>
      <c r="V1587" s="11" t="str">
        <f>VLOOKUP(E1587,Store_Dim!$A:$E,3,FALSE())</f>
        <v>East</v>
      </c>
      <c r="W1587" s="11" t="str">
        <f>VLOOKUP(C1587,Customer_Dim!$A:$N,13,FALSE())</f>
        <v>Platinum</v>
      </c>
      <c r="X1587" s="11" t="str">
        <f t="shared" si="174"/>
        <v>Low</v>
      </c>
    </row>
    <row r="1588" spans="1:24" ht="15.75" customHeight="1">
      <c r="A1588" s="4" t="s">
        <v>3584</v>
      </c>
      <c r="B1588" s="9">
        <v>45545</v>
      </c>
      <c r="C1588" s="4" t="s">
        <v>1264</v>
      </c>
      <c r="D1588" s="4" t="s">
        <v>1791</v>
      </c>
      <c r="E1588" s="4" t="s">
        <v>1927</v>
      </c>
      <c r="F1588" s="4">
        <v>3</v>
      </c>
      <c r="G1588" s="4">
        <v>392.65</v>
      </c>
      <c r="H1588" s="4">
        <v>0.17</v>
      </c>
      <c r="I1588" s="4" t="s">
        <v>1998</v>
      </c>
      <c r="J1588" s="10">
        <v>977.69849999999997</v>
      </c>
      <c r="K1588" s="4" t="str">
        <f t="shared" si="168"/>
        <v>10-09-2024</v>
      </c>
      <c r="L1588" s="4" t="str">
        <f>TEXT(Sales_Fact!$B1588,"mmm")</f>
        <v>Sep</v>
      </c>
      <c r="M1588" s="4">
        <f t="shared" si="169"/>
        <v>3</v>
      </c>
      <c r="N1588" s="10">
        <f t="shared" si="170"/>
        <v>392.65</v>
      </c>
      <c r="O1588" s="10">
        <f t="shared" si="171"/>
        <v>977.69849999999985</v>
      </c>
      <c r="P1588" s="10">
        <f t="shared" si="172"/>
        <v>1177.9499999999998</v>
      </c>
      <c r="Q1588" s="3">
        <f t="shared" si="173"/>
        <v>0.16999999999999998</v>
      </c>
      <c r="R1588" s="4" t="str">
        <f>IF(Sales_Fact!$O1588&gt;1000,"High","Low")</f>
        <v>Low</v>
      </c>
      <c r="S1588" s="4" t="str">
        <f>VLOOKUP(C1588,Customer_Dim!$A:$N,9,FALSE())</f>
        <v>Alexander Byrd</v>
      </c>
      <c r="T1588" s="4" t="str">
        <f>VLOOKUP(D1588,Product_Dim!$A:$M,3,FALSE())</f>
        <v>Electronics</v>
      </c>
      <c r="U1588" s="11" t="str">
        <f>VLOOKUP(D1588,Product_Dim!$A:$M,2,FALSE())</f>
        <v>Laptop Cooling Pad</v>
      </c>
      <c r="V1588" s="11" t="str">
        <f>VLOOKUP(E1588,Store_Dim!$A:$E,3,FALSE())</f>
        <v>South</v>
      </c>
      <c r="W1588" s="11" t="str">
        <f>VLOOKUP(C1588,Customer_Dim!$A:$N,13,FALSE())</f>
        <v>Silver</v>
      </c>
      <c r="X1588" s="11" t="str">
        <f t="shared" si="174"/>
        <v>Low</v>
      </c>
    </row>
    <row r="1589" spans="1:24" ht="15.75" customHeight="1">
      <c r="A1589" s="4" t="s">
        <v>3585</v>
      </c>
      <c r="B1589" s="9">
        <v>45547</v>
      </c>
      <c r="C1589" s="4" t="s">
        <v>607</v>
      </c>
      <c r="D1589" s="4" t="s">
        <v>1879</v>
      </c>
      <c r="E1589" s="4" t="s">
        <v>1962</v>
      </c>
      <c r="F1589" s="4">
        <v>4</v>
      </c>
      <c r="G1589" s="4">
        <v>969.55</v>
      </c>
      <c r="H1589" s="4">
        <v>0.09</v>
      </c>
      <c r="I1589" s="4" t="s">
        <v>2004</v>
      </c>
      <c r="J1589" s="10">
        <v>3529.1619999999998</v>
      </c>
      <c r="K1589" s="4" t="str">
        <f t="shared" si="168"/>
        <v>12-09-2024</v>
      </c>
      <c r="L1589" s="4" t="str">
        <f>TEXT(Sales_Fact!$B1589,"mmm")</f>
        <v>Sep</v>
      </c>
      <c r="M1589" s="4">
        <f t="shared" si="169"/>
        <v>4</v>
      </c>
      <c r="N1589" s="10">
        <f t="shared" si="170"/>
        <v>969.55</v>
      </c>
      <c r="O1589" s="10">
        <f t="shared" si="171"/>
        <v>3529.1619999999998</v>
      </c>
      <c r="P1589" s="10">
        <f t="shared" si="172"/>
        <v>3878.2</v>
      </c>
      <c r="Q1589" s="3">
        <f t="shared" si="173"/>
        <v>9.0000000000000011E-2</v>
      </c>
      <c r="R1589" s="4" t="str">
        <f>IF(Sales_Fact!$O1589&gt;1000,"High","Low")</f>
        <v>High</v>
      </c>
      <c r="S1589" s="4" t="str">
        <f>VLOOKUP(C1589,Customer_Dim!$A:$N,9,FALSE())</f>
        <v>John Bradford</v>
      </c>
      <c r="T1589" s="4" t="str">
        <f>VLOOKUP(D1589,Product_Dim!$A:$M,3,FALSE())</f>
        <v>Clothing</v>
      </c>
      <c r="U1589" s="11" t="str">
        <f>VLOOKUP(D1589,Product_Dim!$A:$M,2,FALSE())</f>
        <v>Women's High Heels</v>
      </c>
      <c r="V1589" s="11" t="str">
        <f>VLOOKUP(E1589,Store_Dim!$A:$E,3,FALSE())</f>
        <v>West</v>
      </c>
      <c r="W1589" s="11" t="str">
        <f>VLOOKUP(C1589,Customer_Dim!$A:$N,13,FALSE())</f>
        <v>Silver</v>
      </c>
      <c r="X1589" s="11" t="str">
        <f t="shared" si="174"/>
        <v>High</v>
      </c>
    </row>
    <row r="1590" spans="1:24" ht="15.75" customHeight="1">
      <c r="A1590" s="4" t="s">
        <v>3586</v>
      </c>
      <c r="B1590" s="9">
        <v>45433</v>
      </c>
      <c r="C1590" s="4" t="s">
        <v>1454</v>
      </c>
      <c r="D1590" s="4" t="s">
        <v>1828</v>
      </c>
      <c r="E1590" s="4" t="s">
        <v>1952</v>
      </c>
      <c r="F1590" s="4">
        <v>3</v>
      </c>
      <c r="G1590" s="4">
        <v>322.94</v>
      </c>
      <c r="H1590" s="4">
        <v>0.01</v>
      </c>
      <c r="I1590" s="4" t="s">
        <v>1996</v>
      </c>
      <c r="J1590" s="10">
        <v>959.1318</v>
      </c>
      <c r="K1590" s="4" t="str">
        <f t="shared" si="168"/>
        <v>21-05-2024</v>
      </c>
      <c r="L1590" s="4" t="str">
        <f>TEXT(Sales_Fact!$B1590,"mmm")</f>
        <v>May</v>
      </c>
      <c r="M1590" s="4">
        <f t="shared" si="169"/>
        <v>3</v>
      </c>
      <c r="N1590" s="10">
        <f t="shared" si="170"/>
        <v>322.94</v>
      </c>
      <c r="O1590" s="10">
        <f t="shared" si="171"/>
        <v>959.13179999999988</v>
      </c>
      <c r="P1590" s="10">
        <f t="shared" si="172"/>
        <v>968.81999999999994</v>
      </c>
      <c r="Q1590" s="3">
        <f t="shared" si="173"/>
        <v>1.0000000000000054E-2</v>
      </c>
      <c r="R1590" s="4" t="str">
        <f>IF(Sales_Fact!$O1590&gt;1000,"High","Low")</f>
        <v>Low</v>
      </c>
      <c r="S1590" s="4" t="str">
        <f>VLOOKUP(C1590,Customer_Dim!$A:$N,9,FALSE())</f>
        <v>Beth Martin</v>
      </c>
      <c r="T1590" s="4" t="str">
        <f>VLOOKUP(D1590,Product_Dim!$A:$M,3,FALSE())</f>
        <v>Electronics</v>
      </c>
      <c r="U1590" s="11" t="str">
        <f>VLOOKUP(D1590,Product_Dim!$A:$M,2,FALSE())</f>
        <v>Bluetooth Car Audio System</v>
      </c>
      <c r="V1590" s="11" t="str">
        <f>VLOOKUP(E1590,Store_Dim!$A:$E,3,FALSE())</f>
        <v>North</v>
      </c>
      <c r="W1590" s="11" t="str">
        <f>VLOOKUP(C1590,Customer_Dim!$A:$N,13,FALSE())</f>
        <v>Silver</v>
      </c>
      <c r="X1590" s="11" t="str">
        <f t="shared" si="174"/>
        <v>Low</v>
      </c>
    </row>
    <row r="1591" spans="1:24" ht="15.75" customHeight="1">
      <c r="A1591" s="4" t="s">
        <v>3587</v>
      </c>
      <c r="B1591" s="9">
        <v>45792</v>
      </c>
      <c r="C1591" s="4" t="s">
        <v>1162</v>
      </c>
      <c r="D1591" s="4" t="s">
        <v>1855</v>
      </c>
      <c r="E1591" s="4" t="s">
        <v>1910</v>
      </c>
      <c r="F1591" s="4">
        <v>1</v>
      </c>
      <c r="G1591" s="4">
        <v>92.83</v>
      </c>
      <c r="H1591" s="4">
        <v>0.26</v>
      </c>
      <c r="I1591" s="4" t="s">
        <v>1998</v>
      </c>
      <c r="J1591" s="10">
        <v>68.694199999999995</v>
      </c>
      <c r="K1591" s="4" t="str">
        <f t="shared" si="168"/>
        <v>15-05-2025</v>
      </c>
      <c r="L1591" s="4" t="str">
        <f>TEXT(Sales_Fact!$B1591,"mmm")</f>
        <v>May</v>
      </c>
      <c r="M1591" s="4">
        <f t="shared" si="169"/>
        <v>1</v>
      </c>
      <c r="N1591" s="10">
        <f t="shared" si="170"/>
        <v>92.83</v>
      </c>
      <c r="O1591" s="10">
        <f t="shared" si="171"/>
        <v>68.694199999999995</v>
      </c>
      <c r="P1591" s="10">
        <f t="shared" si="172"/>
        <v>92.83</v>
      </c>
      <c r="Q1591" s="3">
        <f t="shared" si="173"/>
        <v>0.26000000000000006</v>
      </c>
      <c r="R1591" s="4" t="str">
        <f>IF(Sales_Fact!$O1591&gt;1000,"High","Low")</f>
        <v>Low</v>
      </c>
      <c r="S1591" s="4" t="str">
        <f>VLOOKUP(C1591,Customer_Dim!$A:$N,9,FALSE())</f>
        <v>Joshua Smith Dvm</v>
      </c>
      <c r="T1591" s="4" t="str">
        <f>VLOOKUP(D1591,Product_Dim!$A:$M,3,FALSE())</f>
        <v>Beauty</v>
      </c>
      <c r="U1591" s="11" t="str">
        <f>VLOOKUP(D1591,Product_Dim!$A:$M,2,FALSE())</f>
        <v>Hydrating Face Cleanser</v>
      </c>
      <c r="V1591" s="11" t="str">
        <f>VLOOKUP(E1591,Store_Dim!$A:$E,3,FALSE())</f>
        <v>East</v>
      </c>
      <c r="W1591" s="11" t="str">
        <f>VLOOKUP(C1591,Customer_Dim!$A:$N,13,FALSE())</f>
        <v>Gold</v>
      </c>
      <c r="X1591" s="11" t="str">
        <f t="shared" si="174"/>
        <v>Low</v>
      </c>
    </row>
    <row r="1592" spans="1:24" ht="15.75" customHeight="1">
      <c r="A1592" s="4" t="s">
        <v>3588</v>
      </c>
      <c r="B1592" s="9">
        <v>45927</v>
      </c>
      <c r="C1592" s="4" t="s">
        <v>457</v>
      </c>
      <c r="D1592" s="4" t="s">
        <v>1873</v>
      </c>
      <c r="E1592" s="4" t="s">
        <v>1952</v>
      </c>
      <c r="F1592" s="4">
        <v>2</v>
      </c>
      <c r="G1592" s="4">
        <v>121.37</v>
      </c>
      <c r="H1592" s="4">
        <v>0.05</v>
      </c>
      <c r="I1592" s="4" t="s">
        <v>1996</v>
      </c>
      <c r="J1592" s="10">
        <v>230.60300000000001</v>
      </c>
      <c r="K1592" s="4" t="str">
        <f t="shared" si="168"/>
        <v>27-09-2025</v>
      </c>
      <c r="L1592" s="4" t="str">
        <f>TEXT(Sales_Fact!$B1592,"mmm")</f>
        <v>Sep</v>
      </c>
      <c r="M1592" s="4">
        <f t="shared" si="169"/>
        <v>2</v>
      </c>
      <c r="N1592" s="10">
        <f t="shared" si="170"/>
        <v>121.37</v>
      </c>
      <c r="O1592" s="10">
        <f t="shared" si="171"/>
        <v>230.60300000000001</v>
      </c>
      <c r="P1592" s="10">
        <f t="shared" si="172"/>
        <v>242.74</v>
      </c>
      <c r="Q1592" s="3">
        <f t="shared" si="173"/>
        <v>0.05</v>
      </c>
      <c r="R1592" s="4" t="str">
        <f>IF(Sales_Fact!$O1592&gt;1000,"High","Low")</f>
        <v>Low</v>
      </c>
      <c r="S1592" s="4" t="str">
        <f>VLOOKUP(C1592,Customer_Dim!$A:$N,9,FALSE())</f>
        <v>James Wolfe</v>
      </c>
      <c r="T1592" s="4" t="str">
        <f>VLOOKUP(D1592,Product_Dim!$A:$M,3,FALSE())</f>
        <v>Beauty</v>
      </c>
      <c r="U1592" s="11" t="str">
        <f>VLOOKUP(D1592,Product_Dim!$A:$M,2,FALSE())</f>
        <v>Face Foundation Kit</v>
      </c>
      <c r="V1592" s="11" t="str">
        <f>VLOOKUP(E1592,Store_Dim!$A:$E,3,FALSE())</f>
        <v>North</v>
      </c>
      <c r="W1592" s="11" t="str">
        <f>VLOOKUP(C1592,Customer_Dim!$A:$N,13,FALSE())</f>
        <v>Gold</v>
      </c>
      <c r="X1592" s="11" t="str">
        <f t="shared" si="174"/>
        <v>Low</v>
      </c>
    </row>
    <row r="1593" spans="1:24" ht="15.75" customHeight="1">
      <c r="A1593" s="4" t="s">
        <v>3589</v>
      </c>
      <c r="B1593" s="9">
        <v>45804</v>
      </c>
      <c r="C1593" s="4" t="s">
        <v>1333</v>
      </c>
      <c r="D1593" s="4" t="s">
        <v>1613</v>
      </c>
      <c r="E1593" s="4" t="s">
        <v>1924</v>
      </c>
      <c r="F1593" s="4">
        <v>4</v>
      </c>
      <c r="G1593" s="4">
        <v>432.29</v>
      </c>
      <c r="H1593" s="4">
        <v>0.16</v>
      </c>
      <c r="I1593" s="4" t="s">
        <v>2004</v>
      </c>
      <c r="J1593" s="10">
        <v>1452.4944</v>
      </c>
      <c r="K1593" s="4" t="str">
        <f t="shared" si="168"/>
        <v>27-05-2025</v>
      </c>
      <c r="L1593" s="4" t="str">
        <f>TEXT(Sales_Fact!$B1593,"mmm")</f>
        <v>May</v>
      </c>
      <c r="M1593" s="4">
        <f t="shared" si="169"/>
        <v>4</v>
      </c>
      <c r="N1593" s="10">
        <f t="shared" si="170"/>
        <v>432.29</v>
      </c>
      <c r="O1593" s="10">
        <f t="shared" si="171"/>
        <v>1452.4944</v>
      </c>
      <c r="P1593" s="10">
        <f t="shared" si="172"/>
        <v>1729.16</v>
      </c>
      <c r="Q1593" s="3">
        <f t="shared" si="173"/>
        <v>0.16</v>
      </c>
      <c r="R1593" s="4" t="str">
        <f>IF(Sales_Fact!$O1593&gt;1000,"High","Low")</f>
        <v>High</v>
      </c>
      <c r="S1593" s="4" t="str">
        <f>VLOOKUP(C1593,Customer_Dim!$A:$N,9,FALSE())</f>
        <v>Dr. Tamara White Md</v>
      </c>
      <c r="T1593" s="4" t="str">
        <f>VLOOKUP(D1593,Product_Dim!$A:$M,3,FALSE())</f>
        <v>Electronics</v>
      </c>
      <c r="U1593" s="11" t="str">
        <f>VLOOKUP(D1593,Product_Dim!$A:$M,2,FALSE())</f>
        <v>Wireless Bluetooth Earbuds</v>
      </c>
      <c r="V1593" s="11" t="str">
        <f>VLOOKUP(E1593,Store_Dim!$A:$E,3,FALSE())</f>
        <v>North</v>
      </c>
      <c r="W1593" s="11" t="str">
        <f>VLOOKUP(C1593,Customer_Dim!$A:$N,13,FALSE())</f>
        <v>Bronze</v>
      </c>
      <c r="X1593" s="11" t="str">
        <f t="shared" si="174"/>
        <v>High</v>
      </c>
    </row>
    <row r="1594" spans="1:24" ht="15.75" customHeight="1">
      <c r="A1594" s="4" t="s">
        <v>3590</v>
      </c>
      <c r="B1594" s="9">
        <v>45311</v>
      </c>
      <c r="C1594" s="4" t="s">
        <v>313</v>
      </c>
      <c r="D1594" s="4" t="s">
        <v>1719</v>
      </c>
      <c r="E1594" s="4" t="s">
        <v>1955</v>
      </c>
      <c r="F1594" s="4">
        <v>2</v>
      </c>
      <c r="G1594" s="4">
        <v>925.78</v>
      </c>
      <c r="H1594" s="4">
        <v>0.14000000000000001</v>
      </c>
      <c r="I1594" s="4" t="s">
        <v>2004</v>
      </c>
      <c r="J1594" s="10">
        <v>1592.3416</v>
      </c>
      <c r="K1594" s="4" t="str">
        <f t="shared" si="168"/>
        <v>20-01-2024</v>
      </c>
      <c r="L1594" s="4" t="str">
        <f>TEXT(Sales_Fact!$B1594,"mmm")</f>
        <v>Jan</v>
      </c>
      <c r="M1594" s="4">
        <f t="shared" si="169"/>
        <v>2</v>
      </c>
      <c r="N1594" s="10">
        <f t="shared" si="170"/>
        <v>925.78</v>
      </c>
      <c r="O1594" s="10">
        <f t="shared" si="171"/>
        <v>1592.3416</v>
      </c>
      <c r="P1594" s="10">
        <f t="shared" si="172"/>
        <v>1851.56</v>
      </c>
      <c r="Q1594" s="3">
        <f t="shared" si="173"/>
        <v>0.13999999999999999</v>
      </c>
      <c r="R1594" s="4" t="str">
        <f>IF(Sales_Fact!$O1594&gt;1000,"High","Low")</f>
        <v>High</v>
      </c>
      <c r="S1594" s="4" t="str">
        <f>VLOOKUP(C1594,Customer_Dim!$A:$N,9,FALSE())</f>
        <v>Jennifer Garcia</v>
      </c>
      <c r="T1594" s="4" t="str">
        <f>VLOOKUP(D1594,Product_Dim!$A:$M,3,FALSE())</f>
        <v>Electronics</v>
      </c>
      <c r="U1594" s="11" t="str">
        <f>VLOOKUP(D1594,Product_Dim!$A:$M,2,FALSE())</f>
        <v>Portable Power Bank</v>
      </c>
      <c r="V1594" s="11" t="str">
        <f>VLOOKUP(E1594,Store_Dim!$A:$E,3,FALSE())</f>
        <v>East</v>
      </c>
      <c r="W1594" s="11" t="str">
        <f>VLOOKUP(C1594,Customer_Dim!$A:$N,13,FALSE())</f>
        <v>Bronze</v>
      </c>
      <c r="X1594" s="11" t="str">
        <f t="shared" si="174"/>
        <v>Low</v>
      </c>
    </row>
    <row r="1595" spans="1:24" ht="15.75" customHeight="1">
      <c r="A1595" s="4" t="s">
        <v>3591</v>
      </c>
      <c r="B1595" s="9">
        <v>45605</v>
      </c>
      <c r="C1595" s="4" t="s">
        <v>1498</v>
      </c>
      <c r="D1595" s="4" t="s">
        <v>1675</v>
      </c>
      <c r="E1595" s="4" t="s">
        <v>1950</v>
      </c>
      <c r="F1595" s="4">
        <v>2</v>
      </c>
      <c r="G1595" s="4">
        <v>151.47</v>
      </c>
      <c r="H1595" s="4">
        <v>0.21</v>
      </c>
      <c r="I1595" s="4" t="s">
        <v>1998</v>
      </c>
      <c r="J1595" s="10">
        <v>239.32259999999999</v>
      </c>
      <c r="K1595" s="4" t="str">
        <f t="shared" si="168"/>
        <v>09-11-2024</v>
      </c>
      <c r="L1595" s="4" t="str">
        <f>TEXT(Sales_Fact!$B1595,"mmm")</f>
        <v>Nov</v>
      </c>
      <c r="M1595" s="4">
        <f t="shared" si="169"/>
        <v>2</v>
      </c>
      <c r="N1595" s="10">
        <f t="shared" si="170"/>
        <v>151.47</v>
      </c>
      <c r="O1595" s="10">
        <f t="shared" si="171"/>
        <v>239.32260000000002</v>
      </c>
      <c r="P1595" s="10">
        <f t="shared" si="172"/>
        <v>302.94</v>
      </c>
      <c r="Q1595" s="3">
        <f t="shared" si="173"/>
        <v>0.20999999999999991</v>
      </c>
      <c r="R1595" s="4" t="str">
        <f>IF(Sales_Fact!$O1595&gt;1000,"High","Low")</f>
        <v>Low</v>
      </c>
      <c r="S1595" s="4" t="str">
        <f>VLOOKUP(C1595,Customer_Dim!$A:$N,9,FALSE())</f>
        <v>Andrea Harris</v>
      </c>
      <c r="T1595" s="4" t="str">
        <f>VLOOKUP(D1595,Product_Dim!$A:$M,3,FALSE())</f>
        <v>Clothing</v>
      </c>
      <c r="U1595" s="11" t="str">
        <f>VLOOKUP(D1595,Product_Dim!$A:$M,2,FALSE())</f>
        <v>Women's Scarf Set</v>
      </c>
      <c r="V1595" s="11" t="str">
        <f>VLOOKUP(E1595,Store_Dim!$A:$E,3,FALSE())</f>
        <v>South</v>
      </c>
      <c r="W1595" s="11" t="str">
        <f>VLOOKUP(C1595,Customer_Dim!$A:$N,13,FALSE())</f>
        <v>Platinum</v>
      </c>
      <c r="X1595" s="11" t="str">
        <f t="shared" si="174"/>
        <v>Low</v>
      </c>
    </row>
    <row r="1596" spans="1:24" ht="15.75" customHeight="1">
      <c r="A1596" s="4" t="s">
        <v>3592</v>
      </c>
      <c r="B1596" s="9">
        <v>45338</v>
      </c>
      <c r="C1596" s="4" t="s">
        <v>1418</v>
      </c>
      <c r="D1596" s="4" t="s">
        <v>1855</v>
      </c>
      <c r="E1596" s="4" t="s">
        <v>1947</v>
      </c>
      <c r="F1596" s="4">
        <v>1</v>
      </c>
      <c r="G1596" s="4">
        <v>343.05</v>
      </c>
      <c r="H1596" s="4">
        <v>0.28000000000000003</v>
      </c>
      <c r="I1596" s="4" t="s">
        <v>1998</v>
      </c>
      <c r="J1596" s="10">
        <v>246.99600000000001</v>
      </c>
      <c r="K1596" s="4" t="str">
        <f t="shared" si="168"/>
        <v>16-02-2024</v>
      </c>
      <c r="L1596" s="4" t="str">
        <f>TEXT(Sales_Fact!$B1596,"mmm")</f>
        <v>Feb</v>
      </c>
      <c r="M1596" s="4">
        <f t="shared" si="169"/>
        <v>1</v>
      </c>
      <c r="N1596" s="10">
        <f t="shared" si="170"/>
        <v>343.05</v>
      </c>
      <c r="O1596" s="10">
        <f t="shared" si="171"/>
        <v>246.99600000000001</v>
      </c>
      <c r="P1596" s="10">
        <f t="shared" si="172"/>
        <v>343.05</v>
      </c>
      <c r="Q1596" s="3">
        <f t="shared" si="173"/>
        <v>0.27999999999999997</v>
      </c>
      <c r="R1596" s="4" t="str">
        <f>IF(Sales_Fact!$O1596&gt;1000,"High","Low")</f>
        <v>Low</v>
      </c>
      <c r="S1596" s="4" t="str">
        <f>VLOOKUP(C1596,Customer_Dim!$A:$N,9,FALSE())</f>
        <v>William Cortez</v>
      </c>
      <c r="T1596" s="4" t="str">
        <f>VLOOKUP(D1596,Product_Dim!$A:$M,3,FALSE())</f>
        <v>Beauty</v>
      </c>
      <c r="U1596" s="11" t="str">
        <f>VLOOKUP(D1596,Product_Dim!$A:$M,2,FALSE())</f>
        <v>Hydrating Face Cleanser</v>
      </c>
      <c r="V1596" s="11" t="str">
        <f>VLOOKUP(E1596,Store_Dim!$A:$E,3,FALSE())</f>
        <v>East</v>
      </c>
      <c r="W1596" s="11" t="str">
        <f>VLOOKUP(C1596,Customer_Dim!$A:$N,13,FALSE())</f>
        <v>Bronze</v>
      </c>
      <c r="X1596" s="11" t="str">
        <f t="shared" si="174"/>
        <v>Low</v>
      </c>
    </row>
    <row r="1597" spans="1:24" ht="15.75" customHeight="1">
      <c r="A1597" s="4" t="s">
        <v>3593</v>
      </c>
      <c r="B1597" s="9">
        <v>45642</v>
      </c>
      <c r="C1597" s="4" t="s">
        <v>265</v>
      </c>
      <c r="D1597" s="4" t="s">
        <v>1648</v>
      </c>
      <c r="E1597" s="4" t="s">
        <v>1927</v>
      </c>
      <c r="F1597" s="4">
        <v>1</v>
      </c>
      <c r="G1597" s="4">
        <v>373.06</v>
      </c>
      <c r="H1597" s="4">
        <v>0.11</v>
      </c>
      <c r="I1597" s="4" t="s">
        <v>1998</v>
      </c>
      <c r="J1597" s="10">
        <v>332.02339999999998</v>
      </c>
      <c r="K1597" s="4" t="str">
        <f t="shared" si="168"/>
        <v>16-12-2024</v>
      </c>
      <c r="L1597" s="4" t="str">
        <f>TEXT(Sales_Fact!$B1597,"mmm")</f>
        <v>Dec</v>
      </c>
      <c r="M1597" s="4">
        <f t="shared" si="169"/>
        <v>1</v>
      </c>
      <c r="N1597" s="10">
        <f t="shared" si="170"/>
        <v>373.06</v>
      </c>
      <c r="O1597" s="10">
        <f t="shared" si="171"/>
        <v>332.02339999999998</v>
      </c>
      <c r="P1597" s="10">
        <f t="shared" si="172"/>
        <v>373.06</v>
      </c>
      <c r="Q1597" s="3">
        <f t="shared" si="173"/>
        <v>0.11000000000000006</v>
      </c>
      <c r="R1597" s="4" t="str">
        <f>IF(Sales_Fact!$O1597&gt;1000,"High","Low")</f>
        <v>Low</v>
      </c>
      <c r="S1597" s="4" t="str">
        <f>VLOOKUP(C1597,Customer_Dim!$A:$N,9,FALSE())</f>
        <v>Cody Diaz</v>
      </c>
      <c r="T1597" s="4" t="str">
        <f>VLOOKUP(D1597,Product_Dim!$A:$M,3,FALSE())</f>
        <v>Sports</v>
      </c>
      <c r="U1597" s="11" t="str">
        <f>VLOOKUP(D1597,Product_Dim!$A:$M,2,FALSE())</f>
        <v>Soccer Training Cone Set</v>
      </c>
      <c r="V1597" s="11" t="str">
        <f>VLOOKUP(E1597,Store_Dim!$A:$E,3,FALSE())</f>
        <v>South</v>
      </c>
      <c r="W1597" s="11" t="str">
        <f>VLOOKUP(C1597,Customer_Dim!$A:$N,13,FALSE())</f>
        <v>Silver</v>
      </c>
      <c r="X1597" s="11" t="str">
        <f t="shared" si="174"/>
        <v>Low</v>
      </c>
    </row>
    <row r="1598" spans="1:24" ht="15.75" customHeight="1">
      <c r="A1598" s="4" t="s">
        <v>3594</v>
      </c>
      <c r="B1598" s="9">
        <v>45693</v>
      </c>
      <c r="C1598" s="4" t="s">
        <v>1307</v>
      </c>
      <c r="D1598" s="4" t="s">
        <v>1651</v>
      </c>
      <c r="E1598" s="4" t="s">
        <v>1959</v>
      </c>
      <c r="F1598" s="4">
        <v>1</v>
      </c>
      <c r="G1598" s="4">
        <v>124.98</v>
      </c>
      <c r="H1598" s="4">
        <v>7.0000000000000007E-2</v>
      </c>
      <c r="I1598" s="4" t="s">
        <v>2004</v>
      </c>
      <c r="J1598" s="10">
        <v>116.23139999999999</v>
      </c>
      <c r="K1598" s="4" t="str">
        <f t="shared" si="168"/>
        <v>05-02-2025</v>
      </c>
      <c r="L1598" s="4" t="str">
        <f>TEXT(Sales_Fact!$B1598,"mmm")</f>
        <v>Feb</v>
      </c>
      <c r="M1598" s="4">
        <f t="shared" si="169"/>
        <v>1</v>
      </c>
      <c r="N1598" s="10">
        <f t="shared" si="170"/>
        <v>124.98</v>
      </c>
      <c r="O1598" s="10">
        <f t="shared" si="171"/>
        <v>116.23139999999999</v>
      </c>
      <c r="P1598" s="10">
        <f t="shared" si="172"/>
        <v>124.98</v>
      </c>
      <c r="Q1598" s="3">
        <f t="shared" si="173"/>
        <v>7.0000000000000076E-2</v>
      </c>
      <c r="R1598" s="4" t="str">
        <f>IF(Sales_Fact!$O1598&gt;1000,"High","Low")</f>
        <v>Low</v>
      </c>
      <c r="S1598" s="4" t="str">
        <f>VLOOKUP(C1598,Customer_Dim!$A:$N,9,FALSE())</f>
        <v>Katrina Perez</v>
      </c>
      <c r="T1598" s="4" t="str">
        <f>VLOOKUP(D1598,Product_Dim!$A:$M,3,FALSE())</f>
        <v>Clothing</v>
      </c>
      <c r="U1598" s="11" t="str">
        <f>VLOOKUP(D1598,Product_Dim!$A:$M,2,FALSE())</f>
        <v>Women's Denim Jeans</v>
      </c>
      <c r="V1598" s="11" t="str">
        <f>VLOOKUP(E1598,Store_Dim!$A:$E,3,FALSE())</f>
        <v>North</v>
      </c>
      <c r="W1598" s="11" t="str">
        <f>VLOOKUP(C1598,Customer_Dim!$A:$N,13,FALSE())</f>
        <v>Silver</v>
      </c>
      <c r="X1598" s="11" t="str">
        <f t="shared" si="174"/>
        <v>Low</v>
      </c>
    </row>
    <row r="1599" spans="1:24" ht="15.75" customHeight="1">
      <c r="A1599" s="4" t="s">
        <v>3595</v>
      </c>
      <c r="B1599" s="9">
        <v>45763</v>
      </c>
      <c r="C1599" s="4" t="s">
        <v>894</v>
      </c>
      <c r="D1599" s="4" t="s">
        <v>1825</v>
      </c>
      <c r="E1599" s="4" t="s">
        <v>1971</v>
      </c>
      <c r="F1599" s="4">
        <v>4</v>
      </c>
      <c r="G1599" s="4">
        <v>221.49</v>
      </c>
      <c r="H1599" s="4">
        <v>0.26</v>
      </c>
      <c r="I1599" s="4" t="s">
        <v>1998</v>
      </c>
      <c r="J1599" s="10">
        <v>655.61040000000003</v>
      </c>
      <c r="K1599" s="4" t="str">
        <f t="shared" si="168"/>
        <v>16-04-2025</v>
      </c>
      <c r="L1599" s="4" t="str">
        <f>TEXT(Sales_Fact!$B1599,"mmm")</f>
        <v>Apr</v>
      </c>
      <c r="M1599" s="4">
        <f t="shared" si="169"/>
        <v>4</v>
      </c>
      <c r="N1599" s="10">
        <f t="shared" si="170"/>
        <v>221.49</v>
      </c>
      <c r="O1599" s="10">
        <f t="shared" si="171"/>
        <v>655.61040000000003</v>
      </c>
      <c r="P1599" s="10">
        <f t="shared" si="172"/>
        <v>885.96</v>
      </c>
      <c r="Q1599" s="3">
        <f t="shared" si="173"/>
        <v>0.26</v>
      </c>
      <c r="R1599" s="4" t="str">
        <f>IF(Sales_Fact!$O1599&gt;1000,"High","Low")</f>
        <v>Low</v>
      </c>
      <c r="S1599" s="4" t="str">
        <f>VLOOKUP(C1599,Customer_Dim!$A:$N,9,FALSE())</f>
        <v>Adam Rowland</v>
      </c>
      <c r="T1599" s="4" t="str">
        <f>VLOOKUP(D1599,Product_Dim!$A:$M,3,FALSE())</f>
        <v>Sports</v>
      </c>
      <c r="U1599" s="11" t="str">
        <f>VLOOKUP(D1599,Product_Dim!$A:$M,2,FALSE())</f>
        <v>Shin Guards – Adult</v>
      </c>
      <c r="V1599" s="11" t="str">
        <f>VLOOKUP(E1599,Store_Dim!$A:$E,3,FALSE())</f>
        <v>East</v>
      </c>
      <c r="W1599" s="11" t="str">
        <f>VLOOKUP(C1599,Customer_Dim!$A:$N,13,FALSE())</f>
        <v>Gold</v>
      </c>
      <c r="X1599" s="11" t="str">
        <f t="shared" si="174"/>
        <v>High</v>
      </c>
    </row>
    <row r="1600" spans="1:24" ht="15.75" customHeight="1">
      <c r="A1600" s="4" t="s">
        <v>3596</v>
      </c>
      <c r="B1600" s="9">
        <v>45572</v>
      </c>
      <c r="C1600" s="4" t="s">
        <v>589</v>
      </c>
      <c r="D1600" s="4" t="s">
        <v>1668</v>
      </c>
      <c r="E1600" s="4" t="s">
        <v>1959</v>
      </c>
      <c r="F1600" s="4">
        <v>1</v>
      </c>
      <c r="G1600" s="4">
        <v>563.32000000000005</v>
      </c>
      <c r="H1600" s="4">
        <v>0.01</v>
      </c>
      <c r="I1600" s="4" t="s">
        <v>1998</v>
      </c>
      <c r="J1600" s="10">
        <v>557.68679999999995</v>
      </c>
      <c r="K1600" s="4" t="str">
        <f t="shared" si="168"/>
        <v>07-10-2024</v>
      </c>
      <c r="L1600" s="4" t="str">
        <f>TEXT(Sales_Fact!$B1600,"mmm")</f>
        <v>Oct</v>
      </c>
      <c r="M1600" s="4">
        <f t="shared" si="169"/>
        <v>1</v>
      </c>
      <c r="N1600" s="10">
        <f t="shared" si="170"/>
        <v>563.32000000000005</v>
      </c>
      <c r="O1600" s="10">
        <f t="shared" si="171"/>
        <v>557.68680000000006</v>
      </c>
      <c r="P1600" s="10">
        <f t="shared" si="172"/>
        <v>563.32000000000005</v>
      </c>
      <c r="Q1600" s="3">
        <f t="shared" si="173"/>
        <v>9.9999999999999777E-3</v>
      </c>
      <c r="R1600" s="4" t="str">
        <f>IF(Sales_Fact!$O1600&gt;1000,"High","Low")</f>
        <v>Low</v>
      </c>
      <c r="S1600" s="4" t="str">
        <f>VLOOKUP(C1600,Customer_Dim!$A:$N,9,FALSE())</f>
        <v>Christopher Garcia Dds</v>
      </c>
      <c r="T1600" s="4" t="str">
        <f>VLOOKUP(D1600,Product_Dim!$A:$M,3,FALSE())</f>
        <v>Clothing</v>
      </c>
      <c r="U1600" s="11" t="str">
        <f>VLOOKUP(D1600,Product_Dim!$A:$M,2,FALSE())</f>
        <v>Men's Formal Shirt</v>
      </c>
      <c r="V1600" s="11" t="str">
        <f>VLOOKUP(E1600,Store_Dim!$A:$E,3,FALSE())</f>
        <v>North</v>
      </c>
      <c r="W1600" s="11" t="str">
        <f>VLOOKUP(C1600,Customer_Dim!$A:$N,13,FALSE())</f>
        <v>Gold</v>
      </c>
      <c r="X1600" s="11" t="str">
        <f t="shared" si="174"/>
        <v>Low</v>
      </c>
    </row>
    <row r="1601" spans="1:24" ht="15.75" customHeight="1">
      <c r="A1601" s="4" t="s">
        <v>3597</v>
      </c>
      <c r="B1601" s="9">
        <v>45338</v>
      </c>
      <c r="C1601" s="4" t="s">
        <v>1246</v>
      </c>
      <c r="D1601" s="4" t="s">
        <v>1626</v>
      </c>
      <c r="E1601" s="4" t="s">
        <v>1910</v>
      </c>
      <c r="F1601" s="4">
        <v>1</v>
      </c>
      <c r="G1601" s="4">
        <v>362.93</v>
      </c>
      <c r="H1601" s="4">
        <v>0.27</v>
      </c>
      <c r="I1601" s="4" t="s">
        <v>1996</v>
      </c>
      <c r="J1601" s="10">
        <v>264.93889999999999</v>
      </c>
      <c r="K1601" s="4" t="str">
        <f t="shared" si="168"/>
        <v>16-02-2024</v>
      </c>
      <c r="L1601" s="4" t="str">
        <f>TEXT(Sales_Fact!$B1601,"mmm")</f>
        <v>Feb</v>
      </c>
      <c r="M1601" s="4">
        <f t="shared" si="169"/>
        <v>1</v>
      </c>
      <c r="N1601" s="10">
        <f t="shared" si="170"/>
        <v>362.93</v>
      </c>
      <c r="O1601" s="10">
        <f t="shared" si="171"/>
        <v>264.93889999999999</v>
      </c>
      <c r="P1601" s="10">
        <f t="shared" si="172"/>
        <v>362.93</v>
      </c>
      <c r="Q1601" s="3">
        <f t="shared" si="173"/>
        <v>0.27</v>
      </c>
      <c r="R1601" s="4" t="str">
        <f>IF(Sales_Fact!$O1601&gt;1000,"High","Low")</f>
        <v>Low</v>
      </c>
      <c r="S1601" s="4" t="str">
        <f>VLOOKUP(C1601,Customer_Dim!$A:$N,9,FALSE())</f>
        <v>Daniel Bell</v>
      </c>
      <c r="T1601" s="4" t="str">
        <f>VLOOKUP(D1601,Product_Dim!$A:$M,3,FALSE())</f>
        <v>Electronics</v>
      </c>
      <c r="U1601" s="11" t="str">
        <f>VLOOKUP(D1601,Product_Dim!$A:$M,2,FALSE())</f>
        <v>HD Smart TV Stick</v>
      </c>
      <c r="V1601" s="11" t="str">
        <f>VLOOKUP(E1601,Store_Dim!$A:$E,3,FALSE())</f>
        <v>East</v>
      </c>
      <c r="W1601" s="11" t="str">
        <f>VLOOKUP(C1601,Customer_Dim!$A:$N,13,FALSE())</f>
        <v>Silver</v>
      </c>
      <c r="X1601" s="11" t="str">
        <f t="shared" si="174"/>
        <v>Low</v>
      </c>
    </row>
    <row r="1602" spans="1:24" ht="15.75" customHeight="1">
      <c r="A1602" s="4" t="s">
        <v>3598</v>
      </c>
      <c r="B1602" s="9">
        <v>45373</v>
      </c>
      <c r="C1602" s="4" t="s">
        <v>1084</v>
      </c>
      <c r="D1602" s="4" t="s">
        <v>1626</v>
      </c>
      <c r="E1602" s="4" t="s">
        <v>1959</v>
      </c>
      <c r="F1602" s="4">
        <v>4</v>
      </c>
      <c r="G1602" s="4">
        <v>369.22</v>
      </c>
      <c r="H1602" s="4">
        <v>0.18</v>
      </c>
      <c r="I1602" s="4" t="s">
        <v>2004</v>
      </c>
      <c r="J1602" s="10">
        <v>1211.0416</v>
      </c>
      <c r="K1602" s="4" t="str">
        <f t="shared" ref="K1602:K1665" si="175">TEXT(B1602,"dd-mm-yyyy")</f>
        <v>22-03-2024</v>
      </c>
      <c r="L1602" s="4" t="str">
        <f>TEXT(Sales_Fact!$B1602,"mmm")</f>
        <v>Mar</v>
      </c>
      <c r="M1602" s="4">
        <f t="shared" ref="M1602:M1665" si="176">IF(ISBLANK(F1602),1,F1602)</f>
        <v>4</v>
      </c>
      <c r="N1602" s="10">
        <f t="shared" ref="N1602:N1665" si="177">ROUNDUP(IF(ISBLANK(G1602),AVERAGE(C:C,G1602,G:G),G1602),2)</f>
        <v>369.22</v>
      </c>
      <c r="O1602" s="10">
        <f t="shared" ref="O1602:O1665" si="178">M1602*N1602*(1-H1602)</f>
        <v>1211.0416000000002</v>
      </c>
      <c r="P1602" s="10">
        <f t="shared" ref="P1602:P1665" si="179">M1602*N1602</f>
        <v>1476.88</v>
      </c>
      <c r="Q1602" s="3">
        <f t="shared" ref="Q1602:Q1665" si="180">(P1602-O1602)/P1602</f>
        <v>0.17999999999999988</v>
      </c>
      <c r="R1602" s="4" t="str">
        <f>IF(Sales_Fact!$O1602&gt;1000,"High","Low")</f>
        <v>High</v>
      </c>
      <c r="S1602" s="4" t="str">
        <f>VLOOKUP(C1602,Customer_Dim!$A:$N,9,FALSE())</f>
        <v>John Jones</v>
      </c>
      <c r="T1602" s="4" t="str">
        <f>VLOOKUP(D1602,Product_Dim!$A:$M,3,FALSE())</f>
        <v>Electronics</v>
      </c>
      <c r="U1602" s="11" t="str">
        <f>VLOOKUP(D1602,Product_Dim!$A:$M,2,FALSE())</f>
        <v>HD Smart TV Stick</v>
      </c>
      <c r="V1602" s="11" t="str">
        <f>VLOOKUP(E1602,Store_Dim!$A:$E,3,FALSE())</f>
        <v>North</v>
      </c>
      <c r="W1602" s="11" t="str">
        <f>VLOOKUP(C1602,Customer_Dim!$A:$N,13,FALSE())</f>
        <v>Silver</v>
      </c>
      <c r="X1602" s="11" t="str">
        <f t="shared" ref="X1602:X1665" si="181">IF(F1602&gt;3,"High","Low")</f>
        <v>High</v>
      </c>
    </row>
    <row r="1603" spans="1:24" ht="15.75" customHeight="1">
      <c r="A1603" s="4" t="s">
        <v>3599</v>
      </c>
      <c r="B1603" s="9">
        <v>45914</v>
      </c>
      <c r="C1603" s="4" t="s">
        <v>843</v>
      </c>
      <c r="D1603" s="4" t="s">
        <v>1764</v>
      </c>
      <c r="E1603" s="4" t="s">
        <v>1947</v>
      </c>
      <c r="F1603" s="4">
        <v>3</v>
      </c>
      <c r="G1603" s="4">
        <v>480.06</v>
      </c>
      <c r="H1603" s="4">
        <v>0.01</v>
      </c>
      <c r="I1603" s="4" t="s">
        <v>1996</v>
      </c>
      <c r="J1603" s="10"/>
      <c r="K1603" s="4" t="str">
        <f t="shared" si="175"/>
        <v>14-09-2025</v>
      </c>
      <c r="L1603" s="4" t="str">
        <f>TEXT(Sales_Fact!$B1603,"mmm")</f>
        <v>Sep</v>
      </c>
      <c r="M1603" s="4">
        <f t="shared" si="176"/>
        <v>3</v>
      </c>
      <c r="N1603" s="10">
        <f t="shared" si="177"/>
        <v>480.06</v>
      </c>
      <c r="O1603" s="10">
        <f t="shared" si="178"/>
        <v>1425.7782</v>
      </c>
      <c r="P1603" s="10">
        <f t="shared" si="179"/>
        <v>1440.18</v>
      </c>
      <c r="Q1603" s="3">
        <f t="shared" si="180"/>
        <v>1.0000000000000064E-2</v>
      </c>
      <c r="R1603" s="4" t="str">
        <f>IF(Sales_Fact!$O1603&gt;1000,"High","Low")</f>
        <v>High</v>
      </c>
      <c r="S1603" s="4" t="str">
        <f>VLOOKUP(C1603,Customer_Dim!$A:$N,9,FALSE())</f>
        <v>Damon Perez</v>
      </c>
      <c r="T1603" s="4" t="str">
        <f>VLOOKUP(D1603,Product_Dim!$A:$M,3,FALSE())</f>
        <v>Clothing</v>
      </c>
      <c r="U1603" s="11" t="str">
        <f>VLOOKUP(D1603,Product_Dim!$A:$M,2,FALSE())</f>
        <v>Men's Track Pants</v>
      </c>
      <c r="V1603" s="11" t="str">
        <f>VLOOKUP(E1603,Store_Dim!$A:$E,3,FALSE())</f>
        <v>East</v>
      </c>
      <c r="W1603" s="11" t="str">
        <f>VLOOKUP(C1603,Customer_Dim!$A:$N,13,FALSE())</f>
        <v>Gold</v>
      </c>
      <c r="X1603" s="11" t="str">
        <f t="shared" si="181"/>
        <v>Low</v>
      </c>
    </row>
    <row r="1604" spans="1:24" ht="15.75" customHeight="1">
      <c r="A1604" s="4" t="s">
        <v>3600</v>
      </c>
      <c r="B1604" s="9">
        <v>45590</v>
      </c>
      <c r="C1604" s="4" t="s">
        <v>1304</v>
      </c>
      <c r="D1604" s="4" t="s">
        <v>1894</v>
      </c>
      <c r="E1604" s="4" t="s">
        <v>1957</v>
      </c>
      <c r="F1604" s="4">
        <v>3</v>
      </c>
      <c r="G1604" s="4">
        <v>950.83</v>
      </c>
      <c r="H1604" s="4">
        <v>0.06</v>
      </c>
      <c r="I1604" s="4" t="s">
        <v>1998</v>
      </c>
      <c r="J1604" s="10">
        <v>2681.3406</v>
      </c>
      <c r="K1604" s="4" t="str">
        <f t="shared" si="175"/>
        <v>25-10-2024</v>
      </c>
      <c r="L1604" s="4" t="str">
        <f>TEXT(Sales_Fact!$B1604,"mmm")</f>
        <v>Oct</v>
      </c>
      <c r="M1604" s="4">
        <f t="shared" si="176"/>
        <v>3</v>
      </c>
      <c r="N1604" s="10">
        <f t="shared" si="177"/>
        <v>950.83</v>
      </c>
      <c r="O1604" s="10">
        <f t="shared" si="178"/>
        <v>2681.3406</v>
      </c>
      <c r="P1604" s="10">
        <f t="shared" si="179"/>
        <v>2852.4900000000002</v>
      </c>
      <c r="Q1604" s="3">
        <f t="shared" si="180"/>
        <v>6.0000000000000081E-2</v>
      </c>
      <c r="R1604" s="4" t="str">
        <f>IF(Sales_Fact!$O1604&gt;1000,"High","Low")</f>
        <v>High</v>
      </c>
      <c r="S1604" s="4" t="str">
        <f>VLOOKUP(C1604,Customer_Dim!$A:$N,9,FALSE())</f>
        <v>Jackie Thompson</v>
      </c>
      <c r="T1604" s="4" t="str">
        <f>VLOOKUP(D1604,Product_Dim!$A:$M,3,FALSE())</f>
        <v>Clothing</v>
      </c>
      <c r="U1604" s="11" t="str">
        <f>VLOOKUP(D1604,Product_Dim!$A:$M,2,FALSE())</f>
        <v>Women's Formal Blazer</v>
      </c>
      <c r="V1604" s="11" t="str">
        <f>VLOOKUP(E1604,Store_Dim!$A:$E,3,FALSE())</f>
        <v>South</v>
      </c>
      <c r="W1604" s="11" t="str">
        <f>VLOOKUP(C1604,Customer_Dim!$A:$N,13,FALSE())</f>
        <v>Bronze</v>
      </c>
      <c r="X1604" s="11" t="str">
        <f t="shared" si="181"/>
        <v>Low</v>
      </c>
    </row>
    <row r="1605" spans="1:24" ht="15.75" customHeight="1">
      <c r="A1605" s="4" t="s">
        <v>3601</v>
      </c>
      <c r="B1605" s="9">
        <v>45365</v>
      </c>
      <c r="C1605" s="4" t="s">
        <v>508</v>
      </c>
      <c r="D1605" s="4" t="s">
        <v>1712</v>
      </c>
      <c r="E1605" s="4" t="s">
        <v>1955</v>
      </c>
      <c r="F1605" s="4">
        <v>3</v>
      </c>
      <c r="G1605" s="4">
        <v>338.79</v>
      </c>
      <c r="H1605" s="4">
        <v>0.01</v>
      </c>
      <c r="I1605" s="4" t="s">
        <v>1996</v>
      </c>
      <c r="J1605" s="10">
        <v>1006.2063000000001</v>
      </c>
      <c r="K1605" s="4" t="str">
        <f t="shared" si="175"/>
        <v>14-03-2024</v>
      </c>
      <c r="L1605" s="4" t="str">
        <f>TEXT(Sales_Fact!$B1605,"mmm")</f>
        <v>Mar</v>
      </c>
      <c r="M1605" s="4">
        <f t="shared" si="176"/>
        <v>3</v>
      </c>
      <c r="N1605" s="10">
        <f t="shared" si="177"/>
        <v>338.79</v>
      </c>
      <c r="O1605" s="10">
        <f t="shared" si="178"/>
        <v>1006.2063000000001</v>
      </c>
      <c r="P1605" s="10">
        <f t="shared" si="179"/>
        <v>1016.3700000000001</v>
      </c>
      <c r="Q1605" s="3">
        <f t="shared" si="180"/>
        <v>1.0000000000000061E-2</v>
      </c>
      <c r="R1605" s="4" t="str">
        <f>IF(Sales_Fact!$O1605&gt;1000,"High","Low")</f>
        <v>High</v>
      </c>
      <c r="S1605" s="4" t="str">
        <f>VLOOKUP(C1605,Customer_Dim!$A:$N,9,FALSE())</f>
        <v>Carlos Skinner</v>
      </c>
      <c r="T1605" s="4" t="str">
        <f>VLOOKUP(D1605,Product_Dim!$A:$M,3,FALSE())</f>
        <v>Clothing</v>
      </c>
      <c r="U1605" s="11" t="str">
        <f>VLOOKUP(D1605,Product_Dim!$A:$M,2,FALSE())</f>
        <v>Men's Casual Sneakers</v>
      </c>
      <c r="V1605" s="11" t="str">
        <f>VLOOKUP(E1605,Store_Dim!$A:$E,3,FALSE())</f>
        <v>East</v>
      </c>
      <c r="W1605" s="11" t="str">
        <f>VLOOKUP(C1605,Customer_Dim!$A:$N,13,FALSE())</f>
        <v>Bronze</v>
      </c>
      <c r="X1605" s="11" t="str">
        <f t="shared" si="181"/>
        <v>Low</v>
      </c>
    </row>
    <row r="1606" spans="1:24" ht="15.75" customHeight="1">
      <c r="A1606" s="4" t="s">
        <v>3602</v>
      </c>
      <c r="B1606" s="9">
        <v>45711</v>
      </c>
      <c r="C1606" s="4" t="s">
        <v>517</v>
      </c>
      <c r="D1606" s="4" t="s">
        <v>1876</v>
      </c>
      <c r="E1606" s="4" t="s">
        <v>1915</v>
      </c>
      <c r="F1606" s="4">
        <v>3</v>
      </c>
      <c r="G1606" s="4">
        <v>853.32</v>
      </c>
      <c r="H1606" s="4">
        <v>7.0000000000000007E-2</v>
      </c>
      <c r="I1606" s="4" t="s">
        <v>2004</v>
      </c>
      <c r="J1606" s="10">
        <v>2380.7628</v>
      </c>
      <c r="K1606" s="4" t="str">
        <f t="shared" si="175"/>
        <v>23-02-2025</v>
      </c>
      <c r="L1606" s="4" t="str">
        <f>TEXT(Sales_Fact!$B1606,"mmm")</f>
        <v>Feb</v>
      </c>
      <c r="M1606" s="4">
        <f t="shared" si="176"/>
        <v>3</v>
      </c>
      <c r="N1606" s="10">
        <f t="shared" si="177"/>
        <v>853.32</v>
      </c>
      <c r="O1606" s="10">
        <f t="shared" si="178"/>
        <v>2380.7628</v>
      </c>
      <c r="P1606" s="10">
        <f t="shared" si="179"/>
        <v>2559.96</v>
      </c>
      <c r="Q1606" s="3">
        <f t="shared" si="180"/>
        <v>7.0000000000000021E-2</v>
      </c>
      <c r="R1606" s="4" t="str">
        <f>IF(Sales_Fact!$O1606&gt;1000,"High","Low")</f>
        <v>High</v>
      </c>
      <c r="S1606" s="4" t="str">
        <f>VLOOKUP(C1606,Customer_Dim!$A:$N,9,FALSE())</f>
        <v>Edward Rivera</v>
      </c>
      <c r="T1606" s="4" t="str">
        <f>VLOOKUP(D1606,Product_Dim!$A:$M,3,FALSE())</f>
        <v>Electronics</v>
      </c>
      <c r="U1606" s="11" t="str">
        <f>VLOOKUP(D1606,Product_Dim!$A:$M,2,FALSE())</f>
        <v>Gaming Mouse Pad XL</v>
      </c>
      <c r="V1606" s="11" t="str">
        <f>VLOOKUP(E1606,Store_Dim!$A:$E,3,FALSE())</f>
        <v>North</v>
      </c>
      <c r="W1606" s="11" t="str">
        <f>VLOOKUP(C1606,Customer_Dim!$A:$N,13,FALSE())</f>
        <v>Gold</v>
      </c>
      <c r="X1606" s="11" t="str">
        <f t="shared" si="181"/>
        <v>Low</v>
      </c>
    </row>
    <row r="1607" spans="1:24" ht="15.75" customHeight="1">
      <c r="A1607" s="4" t="s">
        <v>3603</v>
      </c>
      <c r="B1607" s="9">
        <v>45586</v>
      </c>
      <c r="C1607" s="4" t="s">
        <v>526</v>
      </c>
      <c r="D1607" s="4" t="s">
        <v>1834</v>
      </c>
      <c r="E1607" s="4" t="s">
        <v>1934</v>
      </c>
      <c r="F1607" s="4">
        <v>3</v>
      </c>
      <c r="G1607" s="4">
        <v>89.78</v>
      </c>
      <c r="H1607" s="4">
        <v>0.2</v>
      </c>
      <c r="I1607" s="4" t="s">
        <v>2004</v>
      </c>
      <c r="J1607" s="10">
        <v>215.47200000000001</v>
      </c>
      <c r="K1607" s="4" t="str">
        <f t="shared" si="175"/>
        <v>21-10-2024</v>
      </c>
      <c r="L1607" s="4" t="str">
        <f>TEXT(Sales_Fact!$B1607,"mmm")</f>
        <v>Oct</v>
      </c>
      <c r="M1607" s="4">
        <f t="shared" si="176"/>
        <v>3</v>
      </c>
      <c r="N1607" s="10">
        <f t="shared" si="177"/>
        <v>89.78</v>
      </c>
      <c r="O1607" s="10">
        <f t="shared" si="178"/>
        <v>215.47200000000004</v>
      </c>
      <c r="P1607" s="10">
        <f t="shared" si="179"/>
        <v>269.34000000000003</v>
      </c>
      <c r="Q1607" s="3">
        <f t="shared" si="180"/>
        <v>0.19999999999999996</v>
      </c>
      <c r="R1607" s="4" t="str">
        <f>IF(Sales_Fact!$O1607&gt;1000,"High","Low")</f>
        <v>Low</v>
      </c>
      <c r="S1607" s="4" t="str">
        <f>VLOOKUP(C1607,Customer_Dim!$A:$N,9,FALSE())</f>
        <v>Denise Griffin</v>
      </c>
      <c r="T1607" s="4" t="str">
        <f>VLOOKUP(D1607,Product_Dim!$A:$M,3,FALSE())</f>
        <v>Electronics</v>
      </c>
      <c r="U1607" s="11" t="str">
        <f>VLOOKUP(D1607,Product_Dim!$A:$M,2,FALSE())</f>
        <v>Wireless Mouse</v>
      </c>
      <c r="V1607" s="11" t="str">
        <f>VLOOKUP(E1607,Store_Dim!$A:$E,3,FALSE())</f>
        <v>East</v>
      </c>
      <c r="W1607" s="11" t="str">
        <f>VLOOKUP(C1607,Customer_Dim!$A:$N,13,FALSE())</f>
        <v>Platinum</v>
      </c>
      <c r="X1607" s="11" t="str">
        <f t="shared" si="181"/>
        <v>Low</v>
      </c>
    </row>
    <row r="1608" spans="1:24" ht="15.75" customHeight="1">
      <c r="A1608" s="4" t="s">
        <v>3604</v>
      </c>
      <c r="B1608" s="9">
        <v>45334</v>
      </c>
      <c r="C1608" s="4" t="s">
        <v>653</v>
      </c>
      <c r="D1608" s="4" t="s">
        <v>1770</v>
      </c>
      <c r="E1608" s="4" t="s">
        <v>1915</v>
      </c>
      <c r="F1608" s="4">
        <v>1</v>
      </c>
      <c r="G1608" s="4">
        <v>172.04</v>
      </c>
      <c r="H1608" s="4">
        <v>0.04</v>
      </c>
      <c r="I1608" s="4" t="s">
        <v>1998</v>
      </c>
      <c r="J1608" s="10">
        <v>165.1584</v>
      </c>
      <c r="K1608" s="4" t="str">
        <f t="shared" si="175"/>
        <v>12-02-2024</v>
      </c>
      <c r="L1608" s="4" t="str">
        <f>TEXT(Sales_Fact!$B1608,"mmm")</f>
        <v>Feb</v>
      </c>
      <c r="M1608" s="4">
        <f t="shared" si="176"/>
        <v>1</v>
      </c>
      <c r="N1608" s="10">
        <f t="shared" si="177"/>
        <v>172.04</v>
      </c>
      <c r="O1608" s="10">
        <f t="shared" si="178"/>
        <v>165.1584</v>
      </c>
      <c r="P1608" s="10">
        <f t="shared" si="179"/>
        <v>172.04</v>
      </c>
      <c r="Q1608" s="3">
        <f t="shared" si="180"/>
        <v>3.9999999999999952E-2</v>
      </c>
      <c r="R1608" s="4" t="str">
        <f>IF(Sales_Fact!$O1608&gt;1000,"High","Low")</f>
        <v>Low</v>
      </c>
      <c r="S1608" s="4" t="str">
        <f>VLOOKUP(C1608,Customer_Dim!$A:$N,9,FALSE())</f>
        <v>Todd Poole</v>
      </c>
      <c r="T1608" s="4" t="str">
        <f>VLOOKUP(D1608,Product_Dim!$A:$M,3,FALSE())</f>
        <v>Home</v>
      </c>
      <c r="U1608" s="11" t="str">
        <f>VLOOKUP(D1608,Product_Dim!$A:$M,2,FALSE())</f>
        <v>Ceramic Plant Pot</v>
      </c>
      <c r="V1608" s="11" t="str">
        <f>VLOOKUP(E1608,Store_Dim!$A:$E,3,FALSE())</f>
        <v>North</v>
      </c>
      <c r="W1608" s="11" t="str">
        <f>VLOOKUP(C1608,Customer_Dim!$A:$N,13,FALSE())</f>
        <v>Bronze</v>
      </c>
      <c r="X1608" s="11" t="str">
        <f t="shared" si="181"/>
        <v>Low</v>
      </c>
    </row>
    <row r="1609" spans="1:24" ht="15.75" customHeight="1">
      <c r="A1609" s="4" t="s">
        <v>3605</v>
      </c>
      <c r="B1609" s="9">
        <v>45333</v>
      </c>
      <c r="C1609" s="4" t="s">
        <v>1469</v>
      </c>
      <c r="D1609" s="4" t="s">
        <v>1767</v>
      </c>
      <c r="E1609" s="4" t="s">
        <v>1915</v>
      </c>
      <c r="F1609" s="4">
        <v>1</v>
      </c>
      <c r="G1609" s="4">
        <v>389.2</v>
      </c>
      <c r="H1609" s="4">
        <v>0.05</v>
      </c>
      <c r="I1609" s="4" t="s">
        <v>1996</v>
      </c>
      <c r="J1609" s="10">
        <v>369.74</v>
      </c>
      <c r="K1609" s="4" t="str">
        <f t="shared" si="175"/>
        <v>11-02-2024</v>
      </c>
      <c r="L1609" s="4" t="str">
        <f>TEXT(Sales_Fact!$B1609,"mmm")</f>
        <v>Feb</v>
      </c>
      <c r="M1609" s="4">
        <f t="shared" si="176"/>
        <v>1</v>
      </c>
      <c r="N1609" s="10">
        <f t="shared" si="177"/>
        <v>389.2</v>
      </c>
      <c r="O1609" s="10">
        <f t="shared" si="178"/>
        <v>369.73999999999995</v>
      </c>
      <c r="P1609" s="10">
        <f t="shared" si="179"/>
        <v>389.2</v>
      </c>
      <c r="Q1609" s="3">
        <f t="shared" si="180"/>
        <v>5.0000000000000093E-2</v>
      </c>
      <c r="R1609" s="4" t="str">
        <f>IF(Sales_Fact!$O1609&gt;1000,"High","Low")</f>
        <v>Low</v>
      </c>
      <c r="S1609" s="4" t="str">
        <f>VLOOKUP(C1609,Customer_Dim!$A:$N,9,FALSE())</f>
        <v>Michael Foley</v>
      </c>
      <c r="T1609" s="4" t="str">
        <f>VLOOKUP(D1609,Product_Dim!$A:$M,3,FALSE())</f>
        <v>Sports</v>
      </c>
      <c r="U1609" s="11" t="str">
        <f>VLOOKUP(D1609,Product_Dim!$A:$M,2,FALSE())</f>
        <v>Sports Stopwatch Pro</v>
      </c>
      <c r="V1609" s="11" t="str">
        <f>VLOOKUP(E1609,Store_Dim!$A:$E,3,FALSE())</f>
        <v>North</v>
      </c>
      <c r="W1609" s="11" t="str">
        <f>VLOOKUP(C1609,Customer_Dim!$A:$N,13,FALSE())</f>
        <v>Gold</v>
      </c>
      <c r="X1609" s="11" t="str">
        <f t="shared" si="181"/>
        <v>Low</v>
      </c>
    </row>
    <row r="1610" spans="1:24" ht="15.75" customHeight="1">
      <c r="A1610" s="4" t="s">
        <v>3606</v>
      </c>
      <c r="B1610" s="9">
        <v>45778</v>
      </c>
      <c r="C1610" s="4" t="s">
        <v>1451</v>
      </c>
      <c r="D1610" s="4" t="s">
        <v>1837</v>
      </c>
      <c r="E1610" s="4" t="s">
        <v>1955</v>
      </c>
      <c r="F1610" s="4">
        <v>3</v>
      </c>
      <c r="G1610" s="4">
        <v>865.96</v>
      </c>
      <c r="H1610" s="4">
        <v>0.12</v>
      </c>
      <c r="I1610" s="4" t="s">
        <v>1998</v>
      </c>
      <c r="J1610" s="10">
        <v>2286.1343999999999</v>
      </c>
      <c r="K1610" s="4" t="str">
        <f t="shared" si="175"/>
        <v>01-05-2025</v>
      </c>
      <c r="L1610" s="4" t="str">
        <f>TEXT(Sales_Fact!$B1610,"mmm")</f>
        <v>May</v>
      </c>
      <c r="M1610" s="4">
        <f t="shared" si="176"/>
        <v>3</v>
      </c>
      <c r="N1610" s="10">
        <f t="shared" si="177"/>
        <v>865.96</v>
      </c>
      <c r="O1610" s="10">
        <f t="shared" si="178"/>
        <v>2286.1343999999999</v>
      </c>
      <c r="P1610" s="10">
        <f t="shared" si="179"/>
        <v>2597.88</v>
      </c>
      <c r="Q1610" s="3">
        <f t="shared" si="180"/>
        <v>0.12000000000000006</v>
      </c>
      <c r="R1610" s="4" t="str">
        <f>IF(Sales_Fact!$O1610&gt;1000,"High","Low")</f>
        <v>High</v>
      </c>
      <c r="S1610" s="4" t="str">
        <f>VLOOKUP(C1610,Customer_Dim!$A:$N,9,FALSE())</f>
        <v>Paul Cox</v>
      </c>
      <c r="T1610" s="4" t="str">
        <f>VLOOKUP(D1610,Product_Dim!$A:$M,3,FALSE())</f>
        <v>Electronics</v>
      </c>
      <c r="U1610" s="11" t="str">
        <f>VLOOKUP(D1610,Product_Dim!$A:$M,2,FALSE())</f>
        <v>WiFi Mesh Router</v>
      </c>
      <c r="V1610" s="11" t="str">
        <f>VLOOKUP(E1610,Store_Dim!$A:$E,3,FALSE())</f>
        <v>East</v>
      </c>
      <c r="W1610" s="11" t="str">
        <f>VLOOKUP(C1610,Customer_Dim!$A:$N,13,FALSE())</f>
        <v>Silver</v>
      </c>
      <c r="X1610" s="11" t="str">
        <f t="shared" si="181"/>
        <v>Low</v>
      </c>
    </row>
    <row r="1611" spans="1:24" ht="15.75" customHeight="1">
      <c r="A1611" s="4" t="s">
        <v>3607</v>
      </c>
      <c r="B1611" s="9">
        <v>45592</v>
      </c>
      <c r="C1611" s="4" t="s">
        <v>586</v>
      </c>
      <c r="D1611" s="4" t="s">
        <v>1654</v>
      </c>
      <c r="E1611" s="4" t="s">
        <v>1915</v>
      </c>
      <c r="F1611" s="4">
        <v>3</v>
      </c>
      <c r="G1611" s="4">
        <v>79.95</v>
      </c>
      <c r="H1611" s="4">
        <v>0.2</v>
      </c>
      <c r="I1611" s="4" t="s">
        <v>2004</v>
      </c>
      <c r="J1611" s="10">
        <v>191.88</v>
      </c>
      <c r="K1611" s="4" t="str">
        <f t="shared" si="175"/>
        <v>27-10-2024</v>
      </c>
      <c r="L1611" s="4" t="str">
        <f>TEXT(Sales_Fact!$B1611,"mmm")</f>
        <v>Oct</v>
      </c>
      <c r="M1611" s="4">
        <f t="shared" si="176"/>
        <v>3</v>
      </c>
      <c r="N1611" s="10">
        <f t="shared" si="177"/>
        <v>79.95</v>
      </c>
      <c r="O1611" s="10">
        <f t="shared" si="178"/>
        <v>191.88000000000002</v>
      </c>
      <c r="P1611" s="10">
        <f t="shared" si="179"/>
        <v>239.85000000000002</v>
      </c>
      <c r="Q1611" s="3">
        <f t="shared" si="180"/>
        <v>0.19999999999999998</v>
      </c>
      <c r="R1611" s="4" t="str">
        <f>IF(Sales_Fact!$O1611&gt;1000,"High","Low")</f>
        <v>Low</v>
      </c>
      <c r="S1611" s="4" t="str">
        <f>VLOOKUP(C1611,Customer_Dim!$A:$N,9,FALSE())</f>
        <v>Steve Mclaughlin</v>
      </c>
      <c r="T1611" s="4" t="str">
        <f>VLOOKUP(D1611,Product_Dim!$A:$M,3,FALSE())</f>
        <v>Sports</v>
      </c>
      <c r="U1611" s="11" t="str">
        <f>VLOOKUP(D1611,Product_Dim!$A:$M,2,FALSE())</f>
        <v>Knee Support Brace</v>
      </c>
      <c r="V1611" s="11" t="str">
        <f>VLOOKUP(E1611,Store_Dim!$A:$E,3,FALSE())</f>
        <v>North</v>
      </c>
      <c r="W1611" s="11" t="str">
        <f>VLOOKUP(C1611,Customer_Dim!$A:$N,13,FALSE())</f>
        <v>Bronze</v>
      </c>
      <c r="X1611" s="11" t="str">
        <f t="shared" si="181"/>
        <v>Low</v>
      </c>
    </row>
    <row r="1612" spans="1:24" ht="15.75" customHeight="1">
      <c r="A1612" s="4" t="s">
        <v>3608</v>
      </c>
      <c r="B1612" s="9">
        <v>45259</v>
      </c>
      <c r="C1612" s="4" t="s">
        <v>1219</v>
      </c>
      <c r="D1612" s="4" t="s">
        <v>1678</v>
      </c>
      <c r="E1612" s="4" t="s">
        <v>1937</v>
      </c>
      <c r="F1612" s="4">
        <v>1</v>
      </c>
      <c r="G1612" s="4">
        <v>566.5</v>
      </c>
      <c r="H1612" s="4">
        <v>0.25</v>
      </c>
      <c r="I1612" s="4" t="s">
        <v>2004</v>
      </c>
      <c r="J1612" s="10">
        <v>424.875</v>
      </c>
      <c r="K1612" s="4" t="str">
        <f t="shared" si="175"/>
        <v>29-11-2023</v>
      </c>
      <c r="L1612" s="4" t="str">
        <f>TEXT(Sales_Fact!$B1612,"mmm")</f>
        <v>Nov</v>
      </c>
      <c r="M1612" s="4">
        <f t="shared" si="176"/>
        <v>1</v>
      </c>
      <c r="N1612" s="10">
        <f t="shared" si="177"/>
        <v>566.5</v>
      </c>
      <c r="O1612" s="10">
        <f t="shared" si="178"/>
        <v>424.875</v>
      </c>
      <c r="P1612" s="10">
        <f t="shared" si="179"/>
        <v>566.5</v>
      </c>
      <c r="Q1612" s="3">
        <f t="shared" si="180"/>
        <v>0.25</v>
      </c>
      <c r="R1612" s="4" t="str">
        <f>IF(Sales_Fact!$O1612&gt;1000,"High","Low")</f>
        <v>Low</v>
      </c>
      <c r="S1612" s="4" t="str">
        <f>VLOOKUP(C1612,Customer_Dim!$A:$N,9,FALSE())</f>
        <v>Erika Padilla</v>
      </c>
      <c r="T1612" s="4" t="str">
        <f>VLOOKUP(D1612,Product_Dim!$A:$M,3,FALSE())</f>
        <v>Electronics</v>
      </c>
      <c r="U1612" s="11" t="str">
        <f>VLOOKUP(D1612,Product_Dim!$A:$M,2,FALSE())</f>
        <v>Wireless Bluetooth Speaker</v>
      </c>
      <c r="V1612" s="11" t="str">
        <f>VLOOKUP(E1612,Store_Dim!$A:$E,3,FALSE())</f>
        <v>South</v>
      </c>
      <c r="W1612" s="11" t="str">
        <f>VLOOKUP(C1612,Customer_Dim!$A:$N,13,FALSE())</f>
        <v>Silver</v>
      </c>
      <c r="X1612" s="11" t="str">
        <f t="shared" si="181"/>
        <v>Low</v>
      </c>
    </row>
    <row r="1613" spans="1:24" ht="15.75" customHeight="1">
      <c r="A1613" s="4" t="s">
        <v>3609</v>
      </c>
      <c r="B1613" s="9">
        <v>45801</v>
      </c>
      <c r="C1613" s="4" t="s">
        <v>1281</v>
      </c>
      <c r="D1613" s="4" t="s">
        <v>1661</v>
      </c>
      <c r="E1613" s="4" t="s">
        <v>1910</v>
      </c>
      <c r="F1613" s="4">
        <v>2</v>
      </c>
      <c r="G1613" s="4">
        <v>347.95</v>
      </c>
      <c r="H1613" s="4">
        <v>0.13</v>
      </c>
      <c r="I1613" s="4" t="s">
        <v>2004</v>
      </c>
      <c r="J1613" s="10">
        <v>605.43299999999999</v>
      </c>
      <c r="K1613" s="4" t="str">
        <f t="shared" si="175"/>
        <v>24-05-2025</v>
      </c>
      <c r="L1613" s="4" t="str">
        <f>TEXT(Sales_Fact!$B1613,"mmm")</f>
        <v>May</v>
      </c>
      <c r="M1613" s="4">
        <f t="shared" si="176"/>
        <v>2</v>
      </c>
      <c r="N1613" s="10">
        <f t="shared" si="177"/>
        <v>347.95</v>
      </c>
      <c r="O1613" s="10">
        <f t="shared" si="178"/>
        <v>605.43299999999999</v>
      </c>
      <c r="P1613" s="10">
        <f t="shared" si="179"/>
        <v>695.9</v>
      </c>
      <c r="Q1613" s="3">
        <f t="shared" si="180"/>
        <v>0.12999999999999998</v>
      </c>
      <c r="R1613" s="4" t="str">
        <f>IF(Sales_Fact!$O1613&gt;1000,"High","Low")</f>
        <v>Low</v>
      </c>
      <c r="S1613" s="4" t="str">
        <f>VLOOKUP(C1613,Customer_Dim!$A:$N,9,FALSE())</f>
        <v>Cassandra Perez</v>
      </c>
      <c r="T1613" s="4" t="str">
        <f>VLOOKUP(D1613,Product_Dim!$A:$M,3,FALSE())</f>
        <v>Home</v>
      </c>
      <c r="U1613" s="11" t="str">
        <f>VLOOKUP(D1613,Product_Dim!$A:$M,2,FALSE())</f>
        <v>Multi-Purpose Storage Box</v>
      </c>
      <c r="V1613" s="11" t="str">
        <f>VLOOKUP(E1613,Store_Dim!$A:$E,3,FALSE())</f>
        <v>East</v>
      </c>
      <c r="W1613" s="11" t="str">
        <f>VLOOKUP(C1613,Customer_Dim!$A:$N,13,FALSE())</f>
        <v>Bronze</v>
      </c>
      <c r="X1613" s="11" t="str">
        <f t="shared" si="181"/>
        <v>Low</v>
      </c>
    </row>
    <row r="1614" spans="1:24" ht="15.75" customHeight="1">
      <c r="A1614" s="4" t="s">
        <v>3610</v>
      </c>
      <c r="B1614" s="9">
        <v>45290</v>
      </c>
      <c r="C1614" s="4" t="s">
        <v>565</v>
      </c>
      <c r="D1614" s="4" t="s">
        <v>1903</v>
      </c>
      <c r="E1614" s="4" t="s">
        <v>1965</v>
      </c>
      <c r="F1614" s="4">
        <v>2</v>
      </c>
      <c r="G1614" s="4">
        <v>856.57</v>
      </c>
      <c r="H1614" s="4">
        <v>0.24</v>
      </c>
      <c r="I1614" s="4" t="s">
        <v>1996</v>
      </c>
      <c r="J1614" s="10">
        <v>1301.9864</v>
      </c>
      <c r="K1614" s="4" t="str">
        <f t="shared" si="175"/>
        <v>30-12-2023</v>
      </c>
      <c r="L1614" s="4" t="str">
        <f>TEXT(Sales_Fact!$B1614,"mmm")</f>
        <v>Dec</v>
      </c>
      <c r="M1614" s="4">
        <f t="shared" si="176"/>
        <v>2</v>
      </c>
      <c r="N1614" s="10">
        <f t="shared" si="177"/>
        <v>856.57</v>
      </c>
      <c r="O1614" s="10">
        <f t="shared" si="178"/>
        <v>1301.9864</v>
      </c>
      <c r="P1614" s="10">
        <f t="shared" si="179"/>
        <v>1713.14</v>
      </c>
      <c r="Q1614" s="3">
        <f t="shared" si="180"/>
        <v>0.24000000000000005</v>
      </c>
      <c r="R1614" s="4" t="str">
        <f>IF(Sales_Fact!$O1614&gt;1000,"High","Low")</f>
        <v>High</v>
      </c>
      <c r="S1614" s="4" t="str">
        <f>VLOOKUP(C1614,Customer_Dim!$A:$N,9,FALSE())</f>
        <v>Mariah Brown</v>
      </c>
      <c r="T1614" s="4" t="str">
        <f>VLOOKUP(D1614,Product_Dim!$A:$M,3,FALSE())</f>
        <v>Home</v>
      </c>
      <c r="U1614" s="11" t="str">
        <f>VLOOKUP(D1614,Product_Dim!$A:$M,2,FALSE())</f>
        <v>Stainless Steel Cookware Set</v>
      </c>
      <c r="V1614" s="11" t="str">
        <f>VLOOKUP(E1614,Store_Dim!$A:$E,3,FALSE())</f>
        <v>North</v>
      </c>
      <c r="W1614" s="11" t="str">
        <f>VLOOKUP(C1614,Customer_Dim!$A:$N,13,FALSE())</f>
        <v>Silver</v>
      </c>
      <c r="X1614" s="11" t="str">
        <f t="shared" si="181"/>
        <v>Low</v>
      </c>
    </row>
    <row r="1615" spans="1:24" ht="15.75" customHeight="1">
      <c r="A1615" s="4" t="s">
        <v>3611</v>
      </c>
      <c r="B1615" s="9">
        <v>45347</v>
      </c>
      <c r="C1615" s="4" t="s">
        <v>706</v>
      </c>
      <c r="D1615" s="4" t="s">
        <v>1779</v>
      </c>
      <c r="E1615" s="4" t="s">
        <v>1924</v>
      </c>
      <c r="F1615" s="4">
        <v>2</v>
      </c>
      <c r="G1615" s="4">
        <v>250.83</v>
      </c>
      <c r="H1615" s="4">
        <v>0.15</v>
      </c>
      <c r="I1615" s="4" t="s">
        <v>1998</v>
      </c>
      <c r="J1615" s="10">
        <v>426.411</v>
      </c>
      <c r="K1615" s="4" t="str">
        <f t="shared" si="175"/>
        <v>25-02-2024</v>
      </c>
      <c r="L1615" s="4" t="str">
        <f>TEXT(Sales_Fact!$B1615,"mmm")</f>
        <v>Feb</v>
      </c>
      <c r="M1615" s="4">
        <f t="shared" si="176"/>
        <v>2</v>
      </c>
      <c r="N1615" s="10">
        <f t="shared" si="177"/>
        <v>250.83</v>
      </c>
      <c r="O1615" s="10">
        <f t="shared" si="178"/>
        <v>426.411</v>
      </c>
      <c r="P1615" s="10">
        <f t="shared" si="179"/>
        <v>501.66</v>
      </c>
      <c r="Q1615" s="3">
        <f t="shared" si="180"/>
        <v>0.15000000000000005</v>
      </c>
      <c r="R1615" s="4" t="str">
        <f>IF(Sales_Fact!$O1615&gt;1000,"High","Low")</f>
        <v>Low</v>
      </c>
      <c r="S1615" s="4" t="str">
        <f>VLOOKUP(C1615,Customer_Dim!$A:$N,9,FALSE())</f>
        <v>Joan Johnson</v>
      </c>
      <c r="T1615" s="4" t="str">
        <f>VLOOKUP(D1615,Product_Dim!$A:$M,3,FALSE())</f>
        <v>Clothing</v>
      </c>
      <c r="U1615" s="11" t="str">
        <f>VLOOKUP(D1615,Product_Dim!$A:$M,2,FALSE())</f>
        <v>Womens Cotton Scarf</v>
      </c>
      <c r="V1615" s="11" t="str">
        <f>VLOOKUP(E1615,Store_Dim!$A:$E,3,FALSE())</f>
        <v>North</v>
      </c>
      <c r="W1615" s="11" t="str">
        <f>VLOOKUP(C1615,Customer_Dim!$A:$N,13,FALSE())</f>
        <v>Platinum</v>
      </c>
      <c r="X1615" s="11" t="str">
        <f t="shared" si="181"/>
        <v>Low</v>
      </c>
    </row>
    <row r="1616" spans="1:24" ht="15.75" customHeight="1">
      <c r="A1616" s="4" t="s">
        <v>3612</v>
      </c>
      <c r="B1616" s="9">
        <v>45721</v>
      </c>
      <c r="C1616" s="4" t="s">
        <v>526</v>
      </c>
      <c r="D1616" s="4" t="s">
        <v>1819</v>
      </c>
      <c r="E1616" s="4" t="s">
        <v>1915</v>
      </c>
      <c r="F1616" s="4">
        <v>1</v>
      </c>
      <c r="G1616" s="4">
        <v>888.05</v>
      </c>
      <c r="H1616" s="4">
        <v>0.2</v>
      </c>
      <c r="I1616" s="4" t="s">
        <v>1998</v>
      </c>
      <c r="J1616" s="10">
        <v>710.44</v>
      </c>
      <c r="K1616" s="4" t="str">
        <f t="shared" si="175"/>
        <v>05-03-2025</v>
      </c>
      <c r="L1616" s="4" t="str">
        <f>TEXT(Sales_Fact!$B1616,"mmm")</f>
        <v>Mar</v>
      </c>
      <c r="M1616" s="4">
        <f t="shared" si="176"/>
        <v>1</v>
      </c>
      <c r="N1616" s="10">
        <f t="shared" si="177"/>
        <v>888.05</v>
      </c>
      <c r="O1616" s="10">
        <f t="shared" si="178"/>
        <v>710.44</v>
      </c>
      <c r="P1616" s="10">
        <f t="shared" si="179"/>
        <v>888.05</v>
      </c>
      <c r="Q1616" s="3">
        <f t="shared" si="180"/>
        <v>0.1999999999999999</v>
      </c>
      <c r="R1616" s="4" t="str">
        <f>IF(Sales_Fact!$O1616&gt;1000,"High","Low")</f>
        <v>Low</v>
      </c>
      <c r="S1616" s="4" t="str">
        <f>VLOOKUP(C1616,Customer_Dim!$A:$N,9,FALSE())</f>
        <v>Denise Griffin</v>
      </c>
      <c r="T1616" s="4" t="str">
        <f>VLOOKUP(D1616,Product_Dim!$A:$M,3,FALSE())</f>
        <v>Beauty</v>
      </c>
      <c r="U1616" s="11" t="str">
        <f>VLOOKUP(D1616,Product_Dim!$A:$M,2,FALSE())</f>
        <v>Hair Repair Oil Treatment</v>
      </c>
      <c r="V1616" s="11" t="str">
        <f>VLOOKUP(E1616,Store_Dim!$A:$E,3,FALSE())</f>
        <v>North</v>
      </c>
      <c r="W1616" s="11" t="str">
        <f>VLOOKUP(C1616,Customer_Dim!$A:$N,13,FALSE())</f>
        <v>Platinum</v>
      </c>
      <c r="X1616" s="11" t="str">
        <f t="shared" si="181"/>
        <v>Low</v>
      </c>
    </row>
    <row r="1617" spans="1:24" ht="15.75" customHeight="1">
      <c r="A1617" s="4" t="s">
        <v>3613</v>
      </c>
      <c r="B1617" s="9">
        <v>45531</v>
      </c>
      <c r="C1617" s="4" t="s">
        <v>55</v>
      </c>
      <c r="D1617" s="4" t="s">
        <v>1719</v>
      </c>
      <c r="E1617" s="4" t="s">
        <v>1968</v>
      </c>
      <c r="F1617" s="4">
        <v>2</v>
      </c>
      <c r="G1617" s="4">
        <v>673.02</v>
      </c>
      <c r="H1617" s="4">
        <v>0.11</v>
      </c>
      <c r="I1617" s="4" t="s">
        <v>1998</v>
      </c>
      <c r="J1617" s="10">
        <v>1197.9756</v>
      </c>
      <c r="K1617" s="4" t="str">
        <f t="shared" si="175"/>
        <v>27-08-2024</v>
      </c>
      <c r="L1617" s="4" t="str">
        <f>TEXT(Sales_Fact!$B1617,"mmm")</f>
        <v>Aug</v>
      </c>
      <c r="M1617" s="4">
        <f t="shared" si="176"/>
        <v>2</v>
      </c>
      <c r="N1617" s="10">
        <f t="shared" si="177"/>
        <v>673.02</v>
      </c>
      <c r="O1617" s="10">
        <f t="shared" si="178"/>
        <v>1197.9756</v>
      </c>
      <c r="P1617" s="10">
        <f t="shared" si="179"/>
        <v>1346.04</v>
      </c>
      <c r="Q1617" s="3">
        <f t="shared" si="180"/>
        <v>0.10999999999999999</v>
      </c>
      <c r="R1617" s="4" t="str">
        <f>IF(Sales_Fact!$O1617&gt;1000,"High","Low")</f>
        <v>High</v>
      </c>
      <c r="S1617" s="4" t="str">
        <f>VLOOKUP(C1617,Customer_Dim!$A:$N,9,FALSE())</f>
        <v>Amber Jackson</v>
      </c>
      <c r="T1617" s="4" t="str">
        <f>VLOOKUP(D1617,Product_Dim!$A:$M,3,FALSE())</f>
        <v>Electronics</v>
      </c>
      <c r="U1617" s="11" t="str">
        <f>VLOOKUP(D1617,Product_Dim!$A:$M,2,FALSE())</f>
        <v>Portable Power Bank</v>
      </c>
      <c r="V1617" s="11" t="str">
        <f>VLOOKUP(E1617,Store_Dim!$A:$E,3,FALSE())</f>
        <v>East</v>
      </c>
      <c r="W1617" s="11" t="str">
        <f>VLOOKUP(C1617,Customer_Dim!$A:$N,13,FALSE())</f>
        <v>Platinum</v>
      </c>
      <c r="X1617" s="11" t="str">
        <f t="shared" si="181"/>
        <v>Low</v>
      </c>
    </row>
    <row r="1618" spans="1:24" ht="15.75" customHeight="1">
      <c r="A1618" s="4" t="s">
        <v>3614</v>
      </c>
      <c r="B1618" s="9">
        <v>45332</v>
      </c>
      <c r="C1618" s="4" t="s">
        <v>1391</v>
      </c>
      <c r="D1618" s="4" t="s">
        <v>1797</v>
      </c>
      <c r="E1618" s="4" t="s">
        <v>1924</v>
      </c>
      <c r="F1618" s="4">
        <v>2</v>
      </c>
      <c r="G1618" s="4">
        <v>492.62</v>
      </c>
      <c r="H1618" s="4">
        <v>0.26</v>
      </c>
      <c r="I1618" s="4" t="s">
        <v>2004</v>
      </c>
      <c r="J1618" s="10">
        <v>729.07759999999996</v>
      </c>
      <c r="K1618" s="4" t="str">
        <f t="shared" si="175"/>
        <v>10-02-2024</v>
      </c>
      <c r="L1618" s="4" t="str">
        <f>TEXT(Sales_Fact!$B1618,"mmm")</f>
        <v>Feb</v>
      </c>
      <c r="M1618" s="4">
        <f t="shared" si="176"/>
        <v>2</v>
      </c>
      <c r="N1618" s="10">
        <f t="shared" si="177"/>
        <v>492.62</v>
      </c>
      <c r="O1618" s="10">
        <f t="shared" si="178"/>
        <v>729.07759999999996</v>
      </c>
      <c r="P1618" s="10">
        <f t="shared" si="179"/>
        <v>985.24</v>
      </c>
      <c r="Q1618" s="3">
        <f t="shared" si="180"/>
        <v>0.26000000000000006</v>
      </c>
      <c r="R1618" s="4" t="str">
        <f>IF(Sales_Fact!$O1618&gt;1000,"High","Low")</f>
        <v>Low</v>
      </c>
      <c r="S1618" s="4" t="str">
        <f>VLOOKUP(C1618,Customer_Dim!$A:$N,9,FALSE())</f>
        <v>Tammy Trevino</v>
      </c>
      <c r="T1618" s="4" t="str">
        <f>VLOOKUP(D1618,Product_Dim!$A:$M,3,FALSE())</f>
        <v>Beauty</v>
      </c>
      <c r="U1618" s="11" t="str">
        <f>VLOOKUP(D1618,Product_Dim!$A:$M,2,FALSE())</f>
        <v>Matte Lipstick Set</v>
      </c>
      <c r="V1618" s="11" t="str">
        <f>VLOOKUP(E1618,Store_Dim!$A:$E,3,FALSE())</f>
        <v>North</v>
      </c>
      <c r="W1618" s="11" t="str">
        <f>VLOOKUP(C1618,Customer_Dim!$A:$N,13,FALSE())</f>
        <v>Silver</v>
      </c>
      <c r="X1618" s="11" t="str">
        <f t="shared" si="181"/>
        <v>Low</v>
      </c>
    </row>
    <row r="1619" spans="1:24" ht="15.75" customHeight="1">
      <c r="A1619" s="4" t="s">
        <v>3615</v>
      </c>
      <c r="B1619" s="9">
        <v>45344</v>
      </c>
      <c r="C1619" s="4" t="s">
        <v>1204</v>
      </c>
      <c r="D1619" s="4" t="s">
        <v>1861</v>
      </c>
      <c r="E1619" s="4" t="s">
        <v>1924</v>
      </c>
      <c r="F1619" s="4">
        <v>4</v>
      </c>
      <c r="G1619" s="4">
        <v>986.93</v>
      </c>
      <c r="H1619" s="4">
        <v>0.01</v>
      </c>
      <c r="I1619" s="4" t="s">
        <v>1996</v>
      </c>
      <c r="J1619" s="10">
        <v>3908.2428</v>
      </c>
      <c r="K1619" s="4" t="str">
        <f t="shared" si="175"/>
        <v>22-02-2024</v>
      </c>
      <c r="L1619" s="4" t="str">
        <f>TEXT(Sales_Fact!$B1619,"mmm")</f>
        <v>Feb</v>
      </c>
      <c r="M1619" s="4">
        <f t="shared" si="176"/>
        <v>4</v>
      </c>
      <c r="N1619" s="10">
        <f t="shared" si="177"/>
        <v>986.93</v>
      </c>
      <c r="O1619" s="10">
        <f t="shared" si="178"/>
        <v>3908.2428</v>
      </c>
      <c r="P1619" s="10">
        <f t="shared" si="179"/>
        <v>3947.72</v>
      </c>
      <c r="Q1619" s="3">
        <f t="shared" si="180"/>
        <v>9.9999999999999534E-3</v>
      </c>
      <c r="R1619" s="4" t="str">
        <f>IF(Sales_Fact!$O1619&gt;1000,"High","Low")</f>
        <v>High</v>
      </c>
      <c r="S1619" s="4" t="str">
        <f>VLOOKUP(C1619,Customer_Dim!$A:$N,9,FALSE())</f>
        <v>Michele Burke</v>
      </c>
      <c r="T1619" s="4" t="str">
        <f>VLOOKUP(D1619,Product_Dim!$A:$M,3,FALSE())</f>
        <v>Clothing</v>
      </c>
      <c r="U1619" s="11" t="str">
        <f>VLOOKUP(D1619,Product_Dim!$A:$M,2,FALSE())</f>
        <v>Women's Beanie Hat</v>
      </c>
      <c r="V1619" s="11" t="str">
        <f>VLOOKUP(E1619,Store_Dim!$A:$E,3,FALSE())</f>
        <v>North</v>
      </c>
      <c r="W1619" s="11" t="str">
        <f>VLOOKUP(C1619,Customer_Dim!$A:$N,13,FALSE())</f>
        <v>Bronze</v>
      </c>
      <c r="X1619" s="11" t="str">
        <f t="shared" si="181"/>
        <v>High</v>
      </c>
    </row>
    <row r="1620" spans="1:24" ht="15.75" customHeight="1">
      <c r="A1620" s="4" t="s">
        <v>3616</v>
      </c>
      <c r="B1620" s="9">
        <v>45388</v>
      </c>
      <c r="C1620" s="4" t="s">
        <v>1504</v>
      </c>
      <c r="D1620" s="4" t="s">
        <v>1665</v>
      </c>
      <c r="E1620" s="4" t="s">
        <v>1952</v>
      </c>
      <c r="F1620" s="4">
        <v>4</v>
      </c>
      <c r="G1620" s="4">
        <v>411.68</v>
      </c>
      <c r="H1620" s="4">
        <v>0.06</v>
      </c>
      <c r="I1620" s="4" t="s">
        <v>1998</v>
      </c>
      <c r="J1620" s="10">
        <v>1547.9168</v>
      </c>
      <c r="K1620" s="4" t="str">
        <f t="shared" si="175"/>
        <v>06-04-2024</v>
      </c>
      <c r="L1620" s="4" t="str">
        <f>TEXT(Sales_Fact!$B1620,"mmm")</f>
        <v>Apr</v>
      </c>
      <c r="M1620" s="4">
        <f t="shared" si="176"/>
        <v>4</v>
      </c>
      <c r="N1620" s="10">
        <f t="shared" si="177"/>
        <v>411.68</v>
      </c>
      <c r="O1620" s="10">
        <f t="shared" si="178"/>
        <v>1547.9168</v>
      </c>
      <c r="P1620" s="10">
        <f t="shared" si="179"/>
        <v>1646.72</v>
      </c>
      <c r="Q1620" s="3">
        <f t="shared" si="180"/>
        <v>6.0000000000000032E-2</v>
      </c>
      <c r="R1620" s="4" t="str">
        <f>IF(Sales_Fact!$O1620&gt;1000,"High","Low")</f>
        <v>High</v>
      </c>
      <c r="S1620" s="4" t="str">
        <f>VLOOKUP(C1620,Customer_Dim!$A:$N,9,FALSE())</f>
        <v>Dylan Gutierrez</v>
      </c>
      <c r="T1620" s="4" t="str">
        <f>VLOOKUP(D1620,Product_Dim!$A:$M,3,FALSE())</f>
        <v>Sports</v>
      </c>
      <c r="U1620" s="11" t="str">
        <f>VLOOKUP(D1620,Product_Dim!$A:$M,2,FALSE())</f>
        <v>Carbon Fiber Tennis Racket</v>
      </c>
      <c r="V1620" s="11" t="str">
        <f>VLOOKUP(E1620,Store_Dim!$A:$E,3,FALSE())</f>
        <v>North</v>
      </c>
      <c r="W1620" s="11" t="str">
        <f>VLOOKUP(C1620,Customer_Dim!$A:$N,13,FALSE())</f>
        <v>Bronze</v>
      </c>
      <c r="X1620" s="11" t="str">
        <f t="shared" si="181"/>
        <v>High</v>
      </c>
    </row>
    <row r="1621" spans="1:24" ht="15.75" customHeight="1">
      <c r="A1621" s="4" t="s">
        <v>3617</v>
      </c>
      <c r="B1621" s="9">
        <v>45397</v>
      </c>
      <c r="C1621" s="4" t="s">
        <v>736</v>
      </c>
      <c r="D1621" s="4" t="s">
        <v>1709</v>
      </c>
      <c r="E1621" s="4" t="s">
        <v>1965</v>
      </c>
      <c r="F1621" s="4">
        <v>2</v>
      </c>
      <c r="G1621" s="4">
        <v>637.55999999999995</v>
      </c>
      <c r="H1621" s="4">
        <v>0.05</v>
      </c>
      <c r="I1621" s="4" t="s">
        <v>2004</v>
      </c>
      <c r="J1621" s="10">
        <v>1211.364</v>
      </c>
      <c r="K1621" s="4" t="str">
        <f t="shared" si="175"/>
        <v>15-04-2024</v>
      </c>
      <c r="L1621" s="4" t="str">
        <f>TEXT(Sales_Fact!$B1621,"mmm")</f>
        <v>Apr</v>
      </c>
      <c r="M1621" s="4">
        <f t="shared" si="176"/>
        <v>2</v>
      </c>
      <c r="N1621" s="10">
        <f t="shared" si="177"/>
        <v>637.55999999999995</v>
      </c>
      <c r="O1621" s="10">
        <f t="shared" si="178"/>
        <v>1211.3639999999998</v>
      </c>
      <c r="P1621" s="10">
        <f t="shared" si="179"/>
        <v>1275.1199999999999</v>
      </c>
      <c r="Q1621" s="3">
        <f t="shared" si="180"/>
        <v>5.0000000000000072E-2</v>
      </c>
      <c r="R1621" s="4" t="str">
        <f>IF(Sales_Fact!$O1621&gt;1000,"High","Low")</f>
        <v>High</v>
      </c>
      <c r="S1621" s="4" t="str">
        <f>VLOOKUP(C1621,Customer_Dim!$A:$N,9,FALSE())</f>
        <v>Jordan Wells</v>
      </c>
      <c r="T1621" s="4" t="str">
        <f>VLOOKUP(D1621,Product_Dim!$A:$M,3,FALSE())</f>
        <v>Clothing</v>
      </c>
      <c r="U1621" s="11" t="str">
        <f>VLOOKUP(D1621,Product_Dim!$A:$M,2,FALSE())</f>
        <v>Women's Summer Dress</v>
      </c>
      <c r="V1621" s="11" t="str">
        <f>VLOOKUP(E1621,Store_Dim!$A:$E,3,FALSE())</f>
        <v>North</v>
      </c>
      <c r="W1621" s="11" t="str">
        <f>VLOOKUP(C1621,Customer_Dim!$A:$N,13,FALSE())</f>
        <v>Gold</v>
      </c>
      <c r="X1621" s="11" t="str">
        <f t="shared" si="181"/>
        <v>Low</v>
      </c>
    </row>
    <row r="1622" spans="1:24" ht="15.75" customHeight="1">
      <c r="A1622" s="4" t="s">
        <v>3618</v>
      </c>
      <c r="B1622" s="9">
        <v>45633</v>
      </c>
      <c r="C1622" s="4" t="s">
        <v>87</v>
      </c>
      <c r="D1622" s="4" t="s">
        <v>1633</v>
      </c>
      <c r="E1622" s="4" t="s">
        <v>1924</v>
      </c>
      <c r="F1622" s="4">
        <v>3</v>
      </c>
      <c r="G1622" s="4">
        <v>706.87</v>
      </c>
      <c r="H1622" s="4">
        <v>0.27</v>
      </c>
      <c r="I1622" s="4" t="s">
        <v>1996</v>
      </c>
      <c r="J1622" s="10">
        <v>1548.0453</v>
      </c>
      <c r="K1622" s="4" t="str">
        <f t="shared" si="175"/>
        <v>07-12-2024</v>
      </c>
      <c r="L1622" s="4" t="str">
        <f>TEXT(Sales_Fact!$B1622,"mmm")</f>
        <v>Dec</v>
      </c>
      <c r="M1622" s="4">
        <f t="shared" si="176"/>
        <v>3</v>
      </c>
      <c r="N1622" s="10">
        <f t="shared" si="177"/>
        <v>706.87</v>
      </c>
      <c r="O1622" s="10">
        <f t="shared" si="178"/>
        <v>1548.0453</v>
      </c>
      <c r="P1622" s="10">
        <f t="shared" si="179"/>
        <v>2120.61</v>
      </c>
      <c r="Q1622" s="3">
        <f t="shared" si="180"/>
        <v>0.27</v>
      </c>
      <c r="R1622" s="4" t="str">
        <f>IF(Sales_Fact!$O1622&gt;1000,"High","Low")</f>
        <v>High</v>
      </c>
      <c r="S1622" s="4" t="str">
        <f>VLOOKUP(C1622,Customer_Dim!$A:$N,9,FALSE())</f>
        <v>Ashley Cohen</v>
      </c>
      <c r="T1622" s="4" t="str">
        <f>VLOOKUP(D1622,Product_Dim!$A:$M,3,FALSE())</f>
        <v>Electronics</v>
      </c>
      <c r="U1622" s="11" t="str">
        <f>VLOOKUP(D1622,Product_Dim!$A:$M,2,FALSE())</f>
        <v>USB-C Fast Charger</v>
      </c>
      <c r="V1622" s="11" t="str">
        <f>VLOOKUP(E1622,Store_Dim!$A:$E,3,FALSE())</f>
        <v>North</v>
      </c>
      <c r="W1622" s="11" t="str">
        <f>VLOOKUP(C1622,Customer_Dim!$A:$N,13,FALSE())</f>
        <v>Silver</v>
      </c>
      <c r="X1622" s="11" t="str">
        <f t="shared" si="181"/>
        <v>Low</v>
      </c>
    </row>
    <row r="1623" spans="1:24" ht="15.75" customHeight="1">
      <c r="A1623" s="4" t="s">
        <v>3619</v>
      </c>
      <c r="B1623" s="9">
        <v>45629</v>
      </c>
      <c r="C1623" s="4" t="s">
        <v>229</v>
      </c>
      <c r="D1623" s="4" t="s">
        <v>1640</v>
      </c>
      <c r="E1623" s="4" t="s">
        <v>1934</v>
      </c>
      <c r="F1623" s="4">
        <v>2</v>
      </c>
      <c r="G1623" s="4">
        <v>884.48</v>
      </c>
      <c r="H1623" s="4">
        <v>0</v>
      </c>
      <c r="I1623" s="4" t="s">
        <v>2004</v>
      </c>
      <c r="J1623" s="10">
        <v>1768.96</v>
      </c>
      <c r="K1623" s="4" t="str">
        <f t="shared" si="175"/>
        <v>03-12-2024</v>
      </c>
      <c r="L1623" s="4" t="str">
        <f>TEXT(Sales_Fact!$B1623,"mmm")</f>
        <v>Dec</v>
      </c>
      <c r="M1623" s="4">
        <f t="shared" si="176"/>
        <v>2</v>
      </c>
      <c r="N1623" s="10">
        <f t="shared" si="177"/>
        <v>884.48</v>
      </c>
      <c r="O1623" s="10">
        <f t="shared" si="178"/>
        <v>1768.96</v>
      </c>
      <c r="P1623" s="10">
        <f t="shared" si="179"/>
        <v>1768.96</v>
      </c>
      <c r="Q1623" s="3">
        <f t="shared" si="180"/>
        <v>0</v>
      </c>
      <c r="R1623" s="4" t="str">
        <f>IF(Sales_Fact!$O1623&gt;1000,"High","Low")</f>
        <v>High</v>
      </c>
      <c r="S1623" s="4" t="str">
        <f>VLOOKUP(C1623,Customer_Dim!$A:$N,9,FALSE())</f>
        <v>Wayne Mcpherson</v>
      </c>
      <c r="T1623" s="4" t="str">
        <f>VLOOKUP(D1623,Product_Dim!$A:$M,3,FALSE())</f>
        <v>Electronics</v>
      </c>
      <c r="U1623" s="11" t="str">
        <f>VLOOKUP(D1623,Product_Dim!$A:$M,2,FALSE())</f>
        <v>4K Home Projector</v>
      </c>
      <c r="V1623" s="11" t="str">
        <f>VLOOKUP(E1623,Store_Dim!$A:$E,3,FALSE())</f>
        <v>East</v>
      </c>
      <c r="W1623" s="11" t="str">
        <f>VLOOKUP(C1623,Customer_Dim!$A:$N,13,FALSE())</f>
        <v>Bronze</v>
      </c>
      <c r="X1623" s="11" t="str">
        <f t="shared" si="181"/>
        <v>Low</v>
      </c>
    </row>
    <row r="1624" spans="1:24" ht="15.75" customHeight="1">
      <c r="A1624" s="4" t="s">
        <v>3620</v>
      </c>
      <c r="B1624" s="9">
        <v>45291</v>
      </c>
      <c r="C1624" s="4" t="s">
        <v>202</v>
      </c>
      <c r="D1624" s="4" t="s">
        <v>1882</v>
      </c>
      <c r="E1624" s="4" t="s">
        <v>1927</v>
      </c>
      <c r="F1624" s="4">
        <v>3</v>
      </c>
      <c r="G1624" s="4">
        <v>718.23</v>
      </c>
      <c r="H1624" s="4">
        <v>0.19</v>
      </c>
      <c r="I1624" s="4" t="s">
        <v>1998</v>
      </c>
      <c r="J1624" s="10">
        <v>1745.2989</v>
      </c>
      <c r="K1624" s="4" t="str">
        <f t="shared" si="175"/>
        <v>31-12-2023</v>
      </c>
      <c r="L1624" s="4" t="str">
        <f>TEXT(Sales_Fact!$B1624,"mmm")</f>
        <v>Dec</v>
      </c>
      <c r="M1624" s="4">
        <f t="shared" si="176"/>
        <v>3</v>
      </c>
      <c r="N1624" s="10">
        <f t="shared" si="177"/>
        <v>718.23</v>
      </c>
      <c r="O1624" s="10">
        <f t="shared" si="178"/>
        <v>1745.2989000000002</v>
      </c>
      <c r="P1624" s="10">
        <f t="shared" si="179"/>
        <v>2154.69</v>
      </c>
      <c r="Q1624" s="3">
        <f t="shared" si="180"/>
        <v>0.18999999999999992</v>
      </c>
      <c r="R1624" s="4" t="str">
        <f>IF(Sales_Fact!$O1624&gt;1000,"High","Low")</f>
        <v>High</v>
      </c>
      <c r="S1624" s="4" t="str">
        <f>VLOOKUP(C1624,Customer_Dim!$A:$N,9,FALSE())</f>
        <v>Gina Knight</v>
      </c>
      <c r="T1624" s="4" t="str">
        <f>VLOOKUP(D1624,Product_Dim!$A:$M,3,FALSE())</f>
        <v>Home</v>
      </c>
      <c r="U1624" s="11" t="str">
        <f>VLOOKUP(D1624,Product_Dim!$A:$M,2,FALSE())</f>
        <v>Microwave Oven</v>
      </c>
      <c r="V1624" s="11" t="str">
        <f>VLOOKUP(E1624,Store_Dim!$A:$E,3,FALSE())</f>
        <v>South</v>
      </c>
      <c r="W1624" s="11" t="str">
        <f>VLOOKUP(C1624,Customer_Dim!$A:$N,13,FALSE())</f>
        <v>Silver</v>
      </c>
      <c r="X1624" s="11" t="str">
        <f t="shared" si="181"/>
        <v>Low</v>
      </c>
    </row>
    <row r="1625" spans="1:24" ht="15.75" customHeight="1">
      <c r="A1625" s="4" t="s">
        <v>3621</v>
      </c>
      <c r="B1625" s="9">
        <v>45213</v>
      </c>
      <c r="C1625" s="4" t="s">
        <v>885</v>
      </c>
      <c r="D1625" s="4" t="s">
        <v>1837</v>
      </c>
      <c r="E1625" s="4" t="s">
        <v>1919</v>
      </c>
      <c r="F1625" s="4">
        <v>4</v>
      </c>
      <c r="G1625" s="4">
        <v>814.25</v>
      </c>
      <c r="H1625" s="4">
        <v>0.18</v>
      </c>
      <c r="I1625" s="4" t="s">
        <v>1996</v>
      </c>
      <c r="J1625" s="10">
        <v>2670.74</v>
      </c>
      <c r="K1625" s="4" t="str">
        <f t="shared" si="175"/>
        <v>14-10-2023</v>
      </c>
      <c r="L1625" s="4" t="str">
        <f>TEXT(Sales_Fact!$B1625,"mmm")</f>
        <v>Oct</v>
      </c>
      <c r="M1625" s="4">
        <f t="shared" si="176"/>
        <v>4</v>
      </c>
      <c r="N1625" s="10">
        <f t="shared" si="177"/>
        <v>814.25</v>
      </c>
      <c r="O1625" s="10">
        <f t="shared" si="178"/>
        <v>2670.7400000000002</v>
      </c>
      <c r="P1625" s="10">
        <f t="shared" si="179"/>
        <v>3257</v>
      </c>
      <c r="Q1625" s="3">
        <f t="shared" si="180"/>
        <v>0.17999999999999994</v>
      </c>
      <c r="R1625" s="4" t="str">
        <f>IF(Sales_Fact!$O1625&gt;1000,"High","Low")</f>
        <v>High</v>
      </c>
      <c r="S1625" s="4" t="str">
        <f>VLOOKUP(C1625,Customer_Dim!$A:$N,9,FALSE())</f>
        <v>Tyrone Olson</v>
      </c>
      <c r="T1625" s="4" t="str">
        <f>VLOOKUP(D1625,Product_Dim!$A:$M,3,FALSE())</f>
        <v>Electronics</v>
      </c>
      <c r="U1625" s="11" t="str">
        <f>VLOOKUP(D1625,Product_Dim!$A:$M,2,FALSE())</f>
        <v>WiFi Mesh Router</v>
      </c>
      <c r="V1625" s="11" t="str">
        <f>VLOOKUP(E1625,Store_Dim!$A:$E,3,FALSE())</f>
        <v>South</v>
      </c>
      <c r="W1625" s="11" t="str">
        <f>VLOOKUP(C1625,Customer_Dim!$A:$N,13,FALSE())</f>
        <v>Silver</v>
      </c>
      <c r="X1625" s="11" t="str">
        <f t="shared" si="181"/>
        <v>High</v>
      </c>
    </row>
    <row r="1626" spans="1:24" ht="15.75" customHeight="1">
      <c r="A1626" s="4" t="s">
        <v>3622</v>
      </c>
      <c r="B1626" s="9">
        <v>45914</v>
      </c>
      <c r="C1626" s="4" t="s">
        <v>620</v>
      </c>
      <c r="D1626" s="4" t="s">
        <v>1876</v>
      </c>
      <c r="E1626" s="4" t="s">
        <v>1968</v>
      </c>
      <c r="F1626" s="4">
        <v>3</v>
      </c>
      <c r="G1626" s="4">
        <v>107.44</v>
      </c>
      <c r="H1626" s="4">
        <v>0.27</v>
      </c>
      <c r="I1626" s="4" t="s">
        <v>1998</v>
      </c>
      <c r="J1626" s="10">
        <v>235.2936</v>
      </c>
      <c r="K1626" s="4" t="str">
        <f t="shared" si="175"/>
        <v>14-09-2025</v>
      </c>
      <c r="L1626" s="4" t="str">
        <f>TEXT(Sales_Fact!$B1626,"mmm")</f>
        <v>Sep</v>
      </c>
      <c r="M1626" s="4">
        <f t="shared" si="176"/>
        <v>3</v>
      </c>
      <c r="N1626" s="10">
        <f t="shared" si="177"/>
        <v>107.44</v>
      </c>
      <c r="O1626" s="10">
        <f t="shared" si="178"/>
        <v>235.2936</v>
      </c>
      <c r="P1626" s="10">
        <f t="shared" si="179"/>
        <v>322.32</v>
      </c>
      <c r="Q1626" s="3">
        <f t="shared" si="180"/>
        <v>0.27</v>
      </c>
      <c r="R1626" s="4" t="str">
        <f>IF(Sales_Fact!$O1626&gt;1000,"High","Low")</f>
        <v>Low</v>
      </c>
      <c r="S1626" s="4" t="str">
        <f>VLOOKUP(C1626,Customer_Dim!$A:$N,9,FALSE())</f>
        <v>Wesley Thompson</v>
      </c>
      <c r="T1626" s="4" t="str">
        <f>VLOOKUP(D1626,Product_Dim!$A:$M,3,FALSE())</f>
        <v>Electronics</v>
      </c>
      <c r="U1626" s="11" t="str">
        <f>VLOOKUP(D1626,Product_Dim!$A:$M,2,FALSE())</f>
        <v>Gaming Mouse Pad XL</v>
      </c>
      <c r="V1626" s="11" t="str">
        <f>VLOOKUP(E1626,Store_Dim!$A:$E,3,FALSE())</f>
        <v>East</v>
      </c>
      <c r="W1626" s="11" t="str">
        <f>VLOOKUP(C1626,Customer_Dim!$A:$N,13,FALSE())</f>
        <v>Bronze</v>
      </c>
      <c r="X1626" s="11" t="str">
        <f t="shared" si="181"/>
        <v>Low</v>
      </c>
    </row>
    <row r="1627" spans="1:24" ht="15.75" customHeight="1">
      <c r="A1627" s="4" t="s">
        <v>3623</v>
      </c>
      <c r="B1627" s="9">
        <v>45673</v>
      </c>
      <c r="C1627" s="4" t="s">
        <v>232</v>
      </c>
      <c r="D1627" s="4" t="s">
        <v>1741</v>
      </c>
      <c r="E1627" s="4" t="s">
        <v>1924</v>
      </c>
      <c r="F1627" s="4">
        <v>4</v>
      </c>
      <c r="G1627" s="4">
        <v>608.97</v>
      </c>
      <c r="H1627" s="4">
        <v>0.14000000000000001</v>
      </c>
      <c r="I1627" s="4" t="s">
        <v>2004</v>
      </c>
      <c r="J1627" s="10">
        <v>2094.8568</v>
      </c>
      <c r="K1627" s="4" t="str">
        <f t="shared" si="175"/>
        <v>16-01-2025</v>
      </c>
      <c r="L1627" s="4" t="str">
        <f>TEXT(Sales_Fact!$B1627,"mmm")</f>
        <v>Jan</v>
      </c>
      <c r="M1627" s="4">
        <f t="shared" si="176"/>
        <v>4</v>
      </c>
      <c r="N1627" s="10">
        <f t="shared" si="177"/>
        <v>608.97</v>
      </c>
      <c r="O1627" s="10">
        <f t="shared" si="178"/>
        <v>2094.8568</v>
      </c>
      <c r="P1627" s="10">
        <f t="shared" si="179"/>
        <v>2435.88</v>
      </c>
      <c r="Q1627" s="3">
        <f t="shared" si="180"/>
        <v>0.14000000000000004</v>
      </c>
      <c r="R1627" s="4" t="str">
        <f>IF(Sales_Fact!$O1627&gt;1000,"High","Low")</f>
        <v>High</v>
      </c>
      <c r="S1627" s="4" t="str">
        <f>VLOOKUP(C1627,Customer_Dim!$A:$N,9,FALSE())</f>
        <v>Christopher Sutton</v>
      </c>
      <c r="T1627" s="4" t="str">
        <f>VLOOKUP(D1627,Product_Dim!$A:$M,3,FALSE())</f>
        <v>Clothing</v>
      </c>
      <c r="U1627" s="11" t="str">
        <f>VLOOKUP(D1627,Product_Dim!$A:$M,2,FALSE())</f>
        <v>Men's Winter Jacket</v>
      </c>
      <c r="V1627" s="11" t="str">
        <f>VLOOKUP(E1627,Store_Dim!$A:$E,3,FALSE())</f>
        <v>North</v>
      </c>
      <c r="W1627" s="11" t="str">
        <f>VLOOKUP(C1627,Customer_Dim!$A:$N,13,FALSE())</f>
        <v>Gold</v>
      </c>
      <c r="X1627" s="11" t="str">
        <f t="shared" si="181"/>
        <v>High</v>
      </c>
    </row>
    <row r="1628" spans="1:24" ht="15.75" customHeight="1">
      <c r="A1628" s="4" t="s">
        <v>3624</v>
      </c>
      <c r="B1628" s="9">
        <v>45689</v>
      </c>
      <c r="C1628" s="4" t="s">
        <v>1138</v>
      </c>
      <c r="D1628" s="4" t="s">
        <v>1788</v>
      </c>
      <c r="E1628" s="4" t="s">
        <v>1934</v>
      </c>
      <c r="F1628" s="4">
        <v>3</v>
      </c>
      <c r="G1628" s="4">
        <v>260.45999999999998</v>
      </c>
      <c r="H1628" s="4">
        <v>0.09</v>
      </c>
      <c r="I1628" s="4" t="s">
        <v>1996</v>
      </c>
      <c r="J1628" s="10">
        <v>711.05579999999998</v>
      </c>
      <c r="K1628" s="4" t="str">
        <f t="shared" si="175"/>
        <v>01-02-2025</v>
      </c>
      <c r="L1628" s="4" t="str">
        <f>TEXT(Sales_Fact!$B1628,"mmm")</f>
        <v>Feb</v>
      </c>
      <c r="M1628" s="4">
        <f t="shared" si="176"/>
        <v>3</v>
      </c>
      <c r="N1628" s="10">
        <f t="shared" si="177"/>
        <v>260.45999999999998</v>
      </c>
      <c r="O1628" s="10">
        <f t="shared" si="178"/>
        <v>711.05579999999986</v>
      </c>
      <c r="P1628" s="10">
        <f t="shared" si="179"/>
        <v>781.37999999999988</v>
      </c>
      <c r="Q1628" s="3">
        <f t="shared" si="180"/>
        <v>9.0000000000000038E-2</v>
      </c>
      <c r="R1628" s="4" t="str">
        <f>IF(Sales_Fact!$O1628&gt;1000,"High","Low")</f>
        <v>Low</v>
      </c>
      <c r="S1628" s="4" t="str">
        <f>VLOOKUP(C1628,Customer_Dim!$A:$N,9,FALSE())</f>
        <v>Ryan Torres</v>
      </c>
      <c r="T1628" s="4" t="str">
        <f>VLOOKUP(D1628,Product_Dim!$A:$M,3,FALSE())</f>
        <v>Sports</v>
      </c>
      <c r="U1628" s="11" t="str">
        <f>VLOOKUP(D1628,Product_Dim!$A:$M,2,FALSE())</f>
        <v>Tennis Ball 3-Pack</v>
      </c>
      <c r="V1628" s="11" t="str">
        <f>VLOOKUP(E1628,Store_Dim!$A:$E,3,FALSE())</f>
        <v>East</v>
      </c>
      <c r="W1628" s="11" t="str">
        <f>VLOOKUP(C1628,Customer_Dim!$A:$N,13,FALSE())</f>
        <v>Silver</v>
      </c>
      <c r="X1628" s="11" t="str">
        <f t="shared" si="181"/>
        <v>Low</v>
      </c>
    </row>
    <row r="1629" spans="1:24" ht="15.75" customHeight="1">
      <c r="A1629" s="4" t="s">
        <v>3625</v>
      </c>
      <c r="B1629" s="9">
        <v>45646</v>
      </c>
      <c r="C1629" s="4" t="s">
        <v>447</v>
      </c>
      <c r="D1629" s="4" t="s">
        <v>1665</v>
      </c>
      <c r="E1629" s="4" t="s">
        <v>1934</v>
      </c>
      <c r="F1629" s="4">
        <v>1</v>
      </c>
      <c r="G1629" s="4">
        <v>747.03</v>
      </c>
      <c r="H1629" s="4">
        <v>0.01</v>
      </c>
      <c r="I1629" s="4" t="s">
        <v>1996</v>
      </c>
      <c r="J1629" s="10">
        <v>739.55970000000002</v>
      </c>
      <c r="K1629" s="4" t="str">
        <f t="shared" si="175"/>
        <v>20-12-2024</v>
      </c>
      <c r="L1629" s="4" t="str">
        <f>TEXT(Sales_Fact!$B1629,"mmm")</f>
        <v>Dec</v>
      </c>
      <c r="M1629" s="4">
        <f t="shared" si="176"/>
        <v>1</v>
      </c>
      <c r="N1629" s="10">
        <f t="shared" si="177"/>
        <v>747.03</v>
      </c>
      <c r="O1629" s="10">
        <f t="shared" si="178"/>
        <v>739.55970000000002</v>
      </c>
      <c r="P1629" s="10">
        <f t="shared" si="179"/>
        <v>747.03</v>
      </c>
      <c r="Q1629" s="3">
        <f t="shared" si="180"/>
        <v>9.999999999999936E-3</v>
      </c>
      <c r="R1629" s="4" t="str">
        <f>IF(Sales_Fact!$O1629&gt;1000,"High","Low")</f>
        <v>Low</v>
      </c>
      <c r="S1629" s="4" t="str">
        <f>VLOOKUP(C1629,Customer_Dim!$A:$N,9,FALSE())</f>
        <v>Erin Hopkins</v>
      </c>
      <c r="T1629" s="4" t="str">
        <f>VLOOKUP(D1629,Product_Dim!$A:$M,3,FALSE())</f>
        <v>Sports</v>
      </c>
      <c r="U1629" s="11" t="str">
        <f>VLOOKUP(D1629,Product_Dim!$A:$M,2,FALSE())</f>
        <v>Carbon Fiber Tennis Racket</v>
      </c>
      <c r="V1629" s="11" t="str">
        <f>VLOOKUP(E1629,Store_Dim!$A:$E,3,FALSE())</f>
        <v>East</v>
      </c>
      <c r="W1629" s="11" t="str">
        <f>VLOOKUP(C1629,Customer_Dim!$A:$N,13,FALSE())</f>
        <v>Silver</v>
      </c>
      <c r="X1629" s="11" t="str">
        <f t="shared" si="181"/>
        <v>Low</v>
      </c>
    </row>
    <row r="1630" spans="1:24" ht="15.75" customHeight="1">
      <c r="A1630" s="4" t="s">
        <v>3626</v>
      </c>
      <c r="B1630" s="9">
        <v>45475</v>
      </c>
      <c r="C1630" s="4" t="s">
        <v>1286</v>
      </c>
      <c r="D1630" s="4" t="s">
        <v>1644</v>
      </c>
      <c r="E1630" s="4" t="s">
        <v>1940</v>
      </c>
      <c r="F1630" s="4">
        <v>4</v>
      </c>
      <c r="G1630" s="4">
        <v>700.88</v>
      </c>
      <c r="H1630" s="4">
        <v>0.23</v>
      </c>
      <c r="I1630" s="4" t="s">
        <v>1998</v>
      </c>
      <c r="J1630" s="10">
        <v>2158.7103999999999</v>
      </c>
      <c r="K1630" s="4" t="str">
        <f t="shared" si="175"/>
        <v>02-07-2024</v>
      </c>
      <c r="L1630" s="4" t="str">
        <f>TEXT(Sales_Fact!$B1630,"mmm")</f>
        <v>Jul</v>
      </c>
      <c r="M1630" s="4">
        <f t="shared" si="176"/>
        <v>4</v>
      </c>
      <c r="N1630" s="10">
        <f t="shared" si="177"/>
        <v>700.88</v>
      </c>
      <c r="O1630" s="10">
        <f t="shared" si="178"/>
        <v>2158.7103999999999</v>
      </c>
      <c r="P1630" s="10">
        <f t="shared" si="179"/>
        <v>2803.52</v>
      </c>
      <c r="Q1630" s="3">
        <f t="shared" si="180"/>
        <v>0.23</v>
      </c>
      <c r="R1630" s="4" t="str">
        <f>IF(Sales_Fact!$O1630&gt;1000,"High","Low")</f>
        <v>High</v>
      </c>
      <c r="S1630" s="4" t="str">
        <f>VLOOKUP(C1630,Customer_Dim!$A:$N,9,FALSE())</f>
        <v>David Ross</v>
      </c>
      <c r="T1630" s="4" t="str">
        <f>VLOOKUP(D1630,Product_Dim!$A:$M,3,FALSE())</f>
        <v>Beauty</v>
      </c>
      <c r="U1630" s="11" t="str">
        <f>VLOOKUP(D1630,Product_Dim!$A:$M,2,FALSE())</f>
        <v>Beard Grooming Kit</v>
      </c>
      <c r="V1630" s="11" t="str">
        <f>VLOOKUP(E1630,Store_Dim!$A:$E,3,FALSE())</f>
        <v>West</v>
      </c>
      <c r="W1630" s="11" t="str">
        <f>VLOOKUP(C1630,Customer_Dim!$A:$N,13,FALSE())</f>
        <v>Silver</v>
      </c>
      <c r="X1630" s="11" t="str">
        <f t="shared" si="181"/>
        <v>High</v>
      </c>
    </row>
    <row r="1631" spans="1:24" ht="15.75" customHeight="1">
      <c r="A1631" s="4" t="s">
        <v>3627</v>
      </c>
      <c r="B1631" s="9">
        <v>45781</v>
      </c>
      <c r="C1631" s="4" t="s">
        <v>206</v>
      </c>
      <c r="D1631" s="4" t="s">
        <v>1891</v>
      </c>
      <c r="E1631" s="4" t="s">
        <v>1957</v>
      </c>
      <c r="F1631" s="4">
        <v>4</v>
      </c>
      <c r="G1631" s="4">
        <v>20.09</v>
      </c>
      <c r="H1631" s="4">
        <v>0.16</v>
      </c>
      <c r="I1631" s="4" t="s">
        <v>1998</v>
      </c>
      <c r="J1631" s="10">
        <v>67.502399999999994</v>
      </c>
      <c r="K1631" s="4" t="str">
        <f t="shared" si="175"/>
        <v>04-05-2025</v>
      </c>
      <c r="L1631" s="4" t="str">
        <f>TEXT(Sales_Fact!$B1631,"mmm")</f>
        <v>May</v>
      </c>
      <c r="M1631" s="4">
        <f t="shared" si="176"/>
        <v>4</v>
      </c>
      <c r="N1631" s="10">
        <f t="shared" si="177"/>
        <v>20.09</v>
      </c>
      <c r="O1631" s="10">
        <f t="shared" si="178"/>
        <v>67.502399999999994</v>
      </c>
      <c r="P1631" s="10">
        <f t="shared" si="179"/>
        <v>80.36</v>
      </c>
      <c r="Q1631" s="3">
        <f t="shared" si="180"/>
        <v>0.16000000000000006</v>
      </c>
      <c r="R1631" s="4" t="str">
        <f>IF(Sales_Fact!$O1631&gt;1000,"High","Low")</f>
        <v>Low</v>
      </c>
      <c r="S1631" s="4" t="str">
        <f>VLOOKUP(C1631,Customer_Dim!$A:$N,9,FALSE())</f>
        <v>April Mullins</v>
      </c>
      <c r="T1631" s="4" t="str">
        <f>VLOOKUP(D1631,Product_Dim!$A:$M,3,FALSE())</f>
        <v>Sports</v>
      </c>
      <c r="U1631" s="11" t="str">
        <f>VLOOKUP(D1631,Product_Dim!$A:$M,2,FALSE())</f>
        <v>Sports Stopwatch Basic</v>
      </c>
      <c r="V1631" s="11" t="str">
        <f>VLOOKUP(E1631,Store_Dim!$A:$E,3,FALSE())</f>
        <v>South</v>
      </c>
      <c r="W1631" s="11" t="str">
        <f>VLOOKUP(C1631,Customer_Dim!$A:$N,13,FALSE())</f>
        <v>Platinum</v>
      </c>
      <c r="X1631" s="11" t="str">
        <f t="shared" si="181"/>
        <v>High</v>
      </c>
    </row>
    <row r="1632" spans="1:24" ht="15.75" customHeight="1">
      <c r="A1632" s="4" t="s">
        <v>3628</v>
      </c>
      <c r="B1632" s="9">
        <v>45654</v>
      </c>
      <c r="C1632" s="4" t="s">
        <v>251</v>
      </c>
      <c r="D1632" s="4" t="s">
        <v>1712</v>
      </c>
      <c r="E1632" s="4" t="s">
        <v>1950</v>
      </c>
      <c r="F1632" s="4">
        <v>3</v>
      </c>
      <c r="G1632" s="4">
        <v>917.64</v>
      </c>
      <c r="H1632" s="4">
        <v>0.24</v>
      </c>
      <c r="I1632" s="4" t="s">
        <v>1998</v>
      </c>
      <c r="J1632" s="10">
        <v>2092.2192</v>
      </c>
      <c r="K1632" s="4" t="str">
        <f t="shared" si="175"/>
        <v>28-12-2024</v>
      </c>
      <c r="L1632" s="4" t="str">
        <f>TEXT(Sales_Fact!$B1632,"mmm")</f>
        <v>Dec</v>
      </c>
      <c r="M1632" s="4">
        <f t="shared" si="176"/>
        <v>3</v>
      </c>
      <c r="N1632" s="10">
        <f t="shared" si="177"/>
        <v>917.64</v>
      </c>
      <c r="O1632" s="10">
        <f t="shared" si="178"/>
        <v>2092.2192</v>
      </c>
      <c r="P1632" s="10">
        <f t="shared" si="179"/>
        <v>2752.92</v>
      </c>
      <c r="Q1632" s="3">
        <f t="shared" si="180"/>
        <v>0.24000000000000002</v>
      </c>
      <c r="R1632" s="4" t="str">
        <f>IF(Sales_Fact!$O1632&gt;1000,"High","Low")</f>
        <v>High</v>
      </c>
      <c r="S1632" s="4" t="str">
        <f>VLOOKUP(C1632,Customer_Dim!$A:$N,9,FALSE())</f>
        <v>James Bean</v>
      </c>
      <c r="T1632" s="4" t="str">
        <f>VLOOKUP(D1632,Product_Dim!$A:$M,3,FALSE())</f>
        <v>Clothing</v>
      </c>
      <c r="U1632" s="11" t="str">
        <f>VLOOKUP(D1632,Product_Dim!$A:$M,2,FALSE())</f>
        <v>Men's Casual Sneakers</v>
      </c>
      <c r="V1632" s="11" t="str">
        <f>VLOOKUP(E1632,Store_Dim!$A:$E,3,FALSE())</f>
        <v>South</v>
      </c>
      <c r="W1632" s="11" t="str">
        <f>VLOOKUP(C1632,Customer_Dim!$A:$N,13,FALSE())</f>
        <v>Bronze</v>
      </c>
      <c r="X1632" s="11" t="str">
        <f t="shared" si="181"/>
        <v>Low</v>
      </c>
    </row>
    <row r="1633" spans="1:24" ht="15.75" customHeight="1">
      <c r="A1633" s="4" t="s">
        <v>3629</v>
      </c>
      <c r="B1633" s="9">
        <v>45594</v>
      </c>
      <c r="C1633" s="4" t="s">
        <v>216</v>
      </c>
      <c r="D1633" s="4" t="s">
        <v>1661</v>
      </c>
      <c r="E1633" s="4" t="s">
        <v>1910</v>
      </c>
      <c r="F1633" s="4">
        <v>1</v>
      </c>
      <c r="G1633" s="4">
        <v>242.08</v>
      </c>
      <c r="H1633" s="4">
        <v>0.18</v>
      </c>
      <c r="I1633" s="4" t="s">
        <v>1998</v>
      </c>
      <c r="J1633" s="10">
        <v>198.50559999999999</v>
      </c>
      <c r="K1633" s="4" t="str">
        <f t="shared" si="175"/>
        <v>29-10-2024</v>
      </c>
      <c r="L1633" s="4" t="str">
        <f>TEXT(Sales_Fact!$B1633,"mmm")</f>
        <v>Oct</v>
      </c>
      <c r="M1633" s="4">
        <f t="shared" si="176"/>
        <v>1</v>
      </c>
      <c r="N1633" s="10">
        <f t="shared" si="177"/>
        <v>242.08</v>
      </c>
      <c r="O1633" s="10">
        <f t="shared" si="178"/>
        <v>198.50560000000002</v>
      </c>
      <c r="P1633" s="10">
        <f t="shared" si="179"/>
        <v>242.08</v>
      </c>
      <c r="Q1633" s="3">
        <f t="shared" si="180"/>
        <v>0.17999999999999997</v>
      </c>
      <c r="R1633" s="4" t="str">
        <f>IF(Sales_Fact!$O1633&gt;1000,"High","Low")</f>
        <v>Low</v>
      </c>
      <c r="S1633" s="4" t="str">
        <f>VLOOKUP(C1633,Customer_Dim!$A:$N,9,FALSE())</f>
        <v>Sarah Rodgers</v>
      </c>
      <c r="T1633" s="4" t="str">
        <f>VLOOKUP(D1633,Product_Dim!$A:$M,3,FALSE())</f>
        <v>Home</v>
      </c>
      <c r="U1633" s="11" t="str">
        <f>VLOOKUP(D1633,Product_Dim!$A:$M,2,FALSE())</f>
        <v>Multi-Purpose Storage Box</v>
      </c>
      <c r="V1633" s="11" t="str">
        <f>VLOOKUP(E1633,Store_Dim!$A:$E,3,FALSE())</f>
        <v>East</v>
      </c>
      <c r="W1633" s="11" t="str">
        <f>VLOOKUP(C1633,Customer_Dim!$A:$N,13,FALSE())</f>
        <v>Gold</v>
      </c>
      <c r="X1633" s="11" t="str">
        <f t="shared" si="181"/>
        <v>Low</v>
      </c>
    </row>
    <row r="1634" spans="1:24" ht="15.75" customHeight="1">
      <c r="A1634" s="4" t="s">
        <v>3630</v>
      </c>
      <c r="B1634" s="9">
        <v>45581</v>
      </c>
      <c r="C1634" s="4" t="s">
        <v>235</v>
      </c>
      <c r="D1634" s="4" t="s">
        <v>1794</v>
      </c>
      <c r="E1634" s="4" t="s">
        <v>1937</v>
      </c>
      <c r="F1634" s="4">
        <v>1</v>
      </c>
      <c r="G1634" s="4">
        <v>536.67999999999995</v>
      </c>
      <c r="H1634" s="4">
        <v>0.27</v>
      </c>
      <c r="I1634" s="4" t="s">
        <v>1996</v>
      </c>
      <c r="J1634" s="10">
        <v>391.77640000000002</v>
      </c>
      <c r="K1634" s="4" t="str">
        <f t="shared" si="175"/>
        <v>16-10-2024</v>
      </c>
      <c r="L1634" s="4" t="str">
        <f>TEXT(Sales_Fact!$B1634,"mmm")</f>
        <v>Oct</v>
      </c>
      <c r="M1634" s="4">
        <f t="shared" si="176"/>
        <v>1</v>
      </c>
      <c r="N1634" s="10">
        <f t="shared" si="177"/>
        <v>536.67999999999995</v>
      </c>
      <c r="O1634" s="10">
        <f t="shared" si="178"/>
        <v>391.77639999999997</v>
      </c>
      <c r="P1634" s="10">
        <f t="shared" si="179"/>
        <v>536.67999999999995</v>
      </c>
      <c r="Q1634" s="3">
        <f t="shared" si="180"/>
        <v>0.27</v>
      </c>
      <c r="R1634" s="4" t="str">
        <f>IF(Sales_Fact!$O1634&gt;1000,"High","Low")</f>
        <v>Low</v>
      </c>
      <c r="S1634" s="4" t="str">
        <f>VLOOKUP(C1634,Customer_Dim!$A:$N,9,FALSE())</f>
        <v>Jay Patel</v>
      </c>
      <c r="T1634" s="4" t="str">
        <f>VLOOKUP(D1634,Product_Dim!$A:$M,3,FALSE())</f>
        <v>Beauty</v>
      </c>
      <c r="U1634" s="11" t="str">
        <f>VLOOKUP(D1634,Product_Dim!$A:$M,2,FALSE())</f>
        <v>Organic Sunscreen Lotion</v>
      </c>
      <c r="V1634" s="11" t="str">
        <f>VLOOKUP(E1634,Store_Dim!$A:$E,3,FALSE())</f>
        <v>South</v>
      </c>
      <c r="W1634" s="11" t="str">
        <f>VLOOKUP(C1634,Customer_Dim!$A:$N,13,FALSE())</f>
        <v>Platinum</v>
      </c>
      <c r="X1634" s="11" t="str">
        <f t="shared" si="181"/>
        <v>Low</v>
      </c>
    </row>
    <row r="1635" spans="1:24" ht="15.75" customHeight="1">
      <c r="A1635" s="4" t="s">
        <v>3631</v>
      </c>
      <c r="B1635" s="9">
        <v>45748</v>
      </c>
      <c r="C1635" s="4" t="s">
        <v>359</v>
      </c>
      <c r="D1635" s="4" t="s">
        <v>1687</v>
      </c>
      <c r="E1635" s="4" t="s">
        <v>1927</v>
      </c>
      <c r="F1635" s="4">
        <v>2</v>
      </c>
      <c r="G1635" s="4">
        <v>145.18</v>
      </c>
      <c r="H1635" s="4">
        <v>0.26</v>
      </c>
      <c r="I1635" s="4" t="s">
        <v>1998</v>
      </c>
      <c r="J1635" s="10">
        <v>214.8664</v>
      </c>
      <c r="K1635" s="4" t="str">
        <f t="shared" si="175"/>
        <v>01-04-2025</v>
      </c>
      <c r="L1635" s="4" t="str">
        <f>TEXT(Sales_Fact!$B1635,"mmm")</f>
        <v>Apr</v>
      </c>
      <c r="M1635" s="4">
        <f t="shared" si="176"/>
        <v>2</v>
      </c>
      <c r="N1635" s="10">
        <f t="shared" si="177"/>
        <v>145.18</v>
      </c>
      <c r="O1635" s="10">
        <f t="shared" si="178"/>
        <v>214.8664</v>
      </c>
      <c r="P1635" s="10">
        <f t="shared" si="179"/>
        <v>290.36</v>
      </c>
      <c r="Q1635" s="3">
        <f t="shared" si="180"/>
        <v>0.26000000000000006</v>
      </c>
      <c r="R1635" s="4" t="str">
        <f>IF(Sales_Fact!$O1635&gt;1000,"High","Low")</f>
        <v>Low</v>
      </c>
      <c r="S1635" s="4" t="str">
        <f>VLOOKUP(C1635,Customer_Dim!$A:$N,9,FALSE())</f>
        <v>David Patterson</v>
      </c>
      <c r="T1635" s="4" t="str">
        <f>VLOOKUP(D1635,Product_Dim!$A:$M,3,FALSE())</f>
        <v>Home</v>
      </c>
      <c r="U1635" s="11" t="str">
        <f>VLOOKUP(D1635,Product_Dim!$A:$M,2,FALSE())</f>
        <v>Fabric Sofa Throw Blanket</v>
      </c>
      <c r="V1635" s="11" t="str">
        <f>VLOOKUP(E1635,Store_Dim!$A:$E,3,FALSE())</f>
        <v>South</v>
      </c>
      <c r="W1635" s="11" t="str">
        <f>VLOOKUP(C1635,Customer_Dim!$A:$N,13,FALSE())</f>
        <v>Gold</v>
      </c>
      <c r="X1635" s="11" t="str">
        <f t="shared" si="181"/>
        <v>Low</v>
      </c>
    </row>
    <row r="1636" spans="1:24" ht="15.75" customHeight="1">
      <c r="A1636" s="4" t="s">
        <v>3632</v>
      </c>
      <c r="B1636" s="9">
        <v>45255</v>
      </c>
      <c r="C1636" s="4" t="s">
        <v>1516</v>
      </c>
      <c r="D1636" s="4" t="s">
        <v>1629</v>
      </c>
      <c r="E1636" s="4" t="s">
        <v>1919</v>
      </c>
      <c r="F1636" s="4">
        <v>1</v>
      </c>
      <c r="G1636" s="4">
        <v>989.17</v>
      </c>
      <c r="H1636" s="4">
        <v>0.2</v>
      </c>
      <c r="I1636" s="4" t="s">
        <v>1998</v>
      </c>
      <c r="J1636" s="10">
        <v>791.33600000000001</v>
      </c>
      <c r="K1636" s="4" t="str">
        <f t="shared" si="175"/>
        <v>25-11-2023</v>
      </c>
      <c r="L1636" s="4" t="str">
        <f>TEXT(Sales_Fact!$B1636,"mmm")</f>
        <v>Nov</v>
      </c>
      <c r="M1636" s="4">
        <f t="shared" si="176"/>
        <v>1</v>
      </c>
      <c r="N1636" s="10">
        <f t="shared" si="177"/>
        <v>989.17</v>
      </c>
      <c r="O1636" s="10">
        <f t="shared" si="178"/>
        <v>791.33600000000001</v>
      </c>
      <c r="P1636" s="10">
        <f t="shared" si="179"/>
        <v>989.17</v>
      </c>
      <c r="Q1636" s="3">
        <f t="shared" si="180"/>
        <v>0.19999999999999996</v>
      </c>
      <c r="R1636" s="4" t="str">
        <f>IF(Sales_Fact!$O1636&gt;1000,"High","Low")</f>
        <v>Low</v>
      </c>
      <c r="S1636" s="4" t="str">
        <f>VLOOKUP(C1636,Customer_Dim!$A:$N,9,FALSE())</f>
        <v>Sarah Smith</v>
      </c>
      <c r="T1636" s="4" t="str">
        <f>VLOOKUP(D1636,Product_Dim!$A:$M,3,FALSE())</f>
        <v>Beauty</v>
      </c>
      <c r="U1636" s="11" t="str">
        <f>VLOOKUP(D1636,Product_Dim!$A:$M,2,FALSE())</f>
        <v>Hair Strengthening Shampoo</v>
      </c>
      <c r="V1636" s="11" t="str">
        <f>VLOOKUP(E1636,Store_Dim!$A:$E,3,FALSE())</f>
        <v>South</v>
      </c>
      <c r="W1636" s="11" t="str">
        <f>VLOOKUP(C1636,Customer_Dim!$A:$N,13,FALSE())</f>
        <v>Gold</v>
      </c>
      <c r="X1636" s="11" t="str">
        <f t="shared" si="181"/>
        <v>Low</v>
      </c>
    </row>
    <row r="1637" spans="1:24" ht="15.75" customHeight="1">
      <c r="A1637" s="4" t="s">
        <v>3633</v>
      </c>
      <c r="B1637" s="9">
        <v>45369</v>
      </c>
      <c r="C1637" s="4" t="s">
        <v>743</v>
      </c>
      <c r="D1637" s="4" t="s">
        <v>1806</v>
      </c>
      <c r="E1637" s="4" t="s">
        <v>1927</v>
      </c>
      <c r="F1637" s="4">
        <v>2</v>
      </c>
      <c r="G1637" s="4">
        <v>132.77000000000001</v>
      </c>
      <c r="H1637" s="4">
        <v>0.13</v>
      </c>
      <c r="I1637" s="4" t="s">
        <v>2004</v>
      </c>
      <c r="J1637" s="10">
        <v>231.0198</v>
      </c>
      <c r="K1637" s="4" t="str">
        <f t="shared" si="175"/>
        <v>18-03-2024</v>
      </c>
      <c r="L1637" s="4" t="str">
        <f>TEXT(Sales_Fact!$B1637,"mmm")</f>
        <v>Mar</v>
      </c>
      <c r="M1637" s="4">
        <f t="shared" si="176"/>
        <v>2</v>
      </c>
      <c r="N1637" s="10">
        <f t="shared" si="177"/>
        <v>132.77000000000001</v>
      </c>
      <c r="O1637" s="10">
        <f t="shared" si="178"/>
        <v>231.0198</v>
      </c>
      <c r="P1637" s="10">
        <f t="shared" si="179"/>
        <v>265.54000000000002</v>
      </c>
      <c r="Q1637" s="3">
        <f t="shared" si="180"/>
        <v>0.13000000000000006</v>
      </c>
      <c r="R1637" s="4" t="str">
        <f>IF(Sales_Fact!$O1637&gt;1000,"High","Low")</f>
        <v>Low</v>
      </c>
      <c r="S1637" s="4" t="str">
        <f>VLOOKUP(C1637,Customer_Dim!$A:$N,9,FALSE())</f>
        <v>Lisa Young</v>
      </c>
      <c r="T1637" s="4" t="str">
        <f>VLOOKUP(D1637,Product_Dim!$A:$M,3,FALSE())</f>
        <v>Electronics</v>
      </c>
      <c r="U1637" s="11" t="str">
        <f>VLOOKUP(D1637,Product_Dim!$A:$M,2,FALSE())</f>
        <v>Smart LED Light Strip</v>
      </c>
      <c r="V1637" s="11" t="str">
        <f>VLOOKUP(E1637,Store_Dim!$A:$E,3,FALSE())</f>
        <v>South</v>
      </c>
      <c r="W1637" s="11" t="str">
        <f>VLOOKUP(C1637,Customer_Dim!$A:$N,13,FALSE())</f>
        <v>Platinum</v>
      </c>
      <c r="X1637" s="11" t="str">
        <f t="shared" si="181"/>
        <v>Low</v>
      </c>
    </row>
    <row r="1638" spans="1:24" ht="15.75" customHeight="1">
      <c r="A1638" s="4" t="s">
        <v>3634</v>
      </c>
      <c r="B1638" s="9">
        <v>45701</v>
      </c>
      <c r="C1638" s="4" t="s">
        <v>83</v>
      </c>
      <c r="D1638" s="4" t="s">
        <v>1726</v>
      </c>
      <c r="E1638" s="4" t="s">
        <v>1944</v>
      </c>
      <c r="F1638" s="4">
        <v>4</v>
      </c>
      <c r="G1638" s="4">
        <v>682.11</v>
      </c>
      <c r="H1638" s="4">
        <v>0.14000000000000001</v>
      </c>
      <c r="I1638" s="4" t="s">
        <v>1996</v>
      </c>
      <c r="J1638" s="10">
        <v>2346.4584</v>
      </c>
      <c r="K1638" s="4" t="str">
        <f t="shared" si="175"/>
        <v>13-02-2025</v>
      </c>
      <c r="L1638" s="4" t="str">
        <f>TEXT(Sales_Fact!$B1638,"mmm")</f>
        <v>Feb</v>
      </c>
      <c r="M1638" s="4">
        <f t="shared" si="176"/>
        <v>4</v>
      </c>
      <c r="N1638" s="10">
        <f t="shared" si="177"/>
        <v>682.11</v>
      </c>
      <c r="O1638" s="10">
        <f t="shared" si="178"/>
        <v>2346.4584</v>
      </c>
      <c r="P1638" s="10">
        <f t="shared" si="179"/>
        <v>2728.44</v>
      </c>
      <c r="Q1638" s="3">
        <f t="shared" si="180"/>
        <v>0.14000000000000001</v>
      </c>
      <c r="R1638" s="4" t="str">
        <f>IF(Sales_Fact!$O1638&gt;1000,"High","Low")</f>
        <v>High</v>
      </c>
      <c r="S1638" s="4" t="str">
        <f>VLOOKUP(C1638,Customer_Dim!$A:$N,9,FALSE())</f>
        <v>Nathan Hernandez</v>
      </c>
      <c r="T1638" s="4" t="str">
        <f>VLOOKUP(D1638,Product_Dim!$A:$M,3,FALSE())</f>
        <v>Sports</v>
      </c>
      <c r="U1638" s="11" t="str">
        <f>VLOOKUP(D1638,Product_Dim!$A:$M,2,FALSE())</f>
        <v>Yoga Exercise Mat</v>
      </c>
      <c r="V1638" s="11" t="str">
        <f>VLOOKUP(E1638,Store_Dim!$A:$E,3,FALSE())</f>
        <v>South</v>
      </c>
      <c r="W1638" s="11" t="str">
        <f>VLOOKUP(C1638,Customer_Dim!$A:$N,13,FALSE())</f>
        <v>Silver</v>
      </c>
      <c r="X1638" s="11" t="str">
        <f t="shared" si="181"/>
        <v>High</v>
      </c>
    </row>
    <row r="1639" spans="1:24" ht="15.75" customHeight="1">
      <c r="A1639" s="4" t="s">
        <v>3635</v>
      </c>
      <c r="B1639" s="9">
        <v>45510</v>
      </c>
      <c r="C1639" s="4" t="s">
        <v>1524</v>
      </c>
      <c r="D1639" s="4" t="s">
        <v>1723</v>
      </c>
      <c r="E1639" s="4" t="s">
        <v>1965</v>
      </c>
      <c r="F1639" s="4">
        <v>4</v>
      </c>
      <c r="G1639" s="4">
        <v>502.95</v>
      </c>
      <c r="H1639" s="4">
        <v>0.14000000000000001</v>
      </c>
      <c r="I1639" s="4" t="s">
        <v>2004</v>
      </c>
      <c r="J1639" s="10">
        <v>1730.1479999999999</v>
      </c>
      <c r="K1639" s="4" t="str">
        <f t="shared" si="175"/>
        <v>06-08-2024</v>
      </c>
      <c r="L1639" s="4" t="str">
        <f>TEXT(Sales_Fact!$B1639,"mmm")</f>
        <v>Aug</v>
      </c>
      <c r="M1639" s="4">
        <f t="shared" si="176"/>
        <v>4</v>
      </c>
      <c r="N1639" s="10">
        <f t="shared" si="177"/>
        <v>502.95</v>
      </c>
      <c r="O1639" s="10">
        <f t="shared" si="178"/>
        <v>1730.1479999999999</v>
      </c>
      <c r="P1639" s="10">
        <f t="shared" si="179"/>
        <v>2011.8</v>
      </c>
      <c r="Q1639" s="3">
        <f t="shared" si="180"/>
        <v>0.14000000000000001</v>
      </c>
      <c r="R1639" s="4" t="str">
        <f>IF(Sales_Fact!$O1639&gt;1000,"High","Low")</f>
        <v>High</v>
      </c>
      <c r="S1639" s="4" t="str">
        <f>VLOOKUP(C1639,Customer_Dim!$A:$N,9,FALSE())</f>
        <v>Eric Lee</v>
      </c>
      <c r="T1639" s="4" t="str">
        <f>VLOOKUP(D1639,Product_Dim!$A:$M,3,FALSE())</f>
        <v>Electronics</v>
      </c>
      <c r="U1639" s="11" t="str">
        <f>VLOOKUP(D1639,Product_Dim!$A:$M,2,FALSE())</f>
        <v>Noise-Canceling Headphones</v>
      </c>
      <c r="V1639" s="11" t="str">
        <f>VLOOKUP(E1639,Store_Dim!$A:$E,3,FALSE())</f>
        <v>North</v>
      </c>
      <c r="W1639" s="11" t="str">
        <f>VLOOKUP(C1639,Customer_Dim!$A:$N,13,FALSE())</f>
        <v>Bronze</v>
      </c>
      <c r="X1639" s="11" t="str">
        <f t="shared" si="181"/>
        <v>High</v>
      </c>
    </row>
    <row r="1640" spans="1:24" ht="15.75" customHeight="1">
      <c r="A1640" s="4" t="s">
        <v>3636</v>
      </c>
      <c r="B1640" s="9">
        <v>45538</v>
      </c>
      <c r="C1640" s="4" t="s">
        <v>780</v>
      </c>
      <c r="D1640" s="4" t="s">
        <v>1712</v>
      </c>
      <c r="E1640" s="4" t="s">
        <v>1962</v>
      </c>
      <c r="F1640" s="4">
        <v>2</v>
      </c>
      <c r="G1640" s="4">
        <v>472.08</v>
      </c>
      <c r="H1640" s="4">
        <v>7.0000000000000007E-2</v>
      </c>
      <c r="I1640" s="4" t="s">
        <v>1996</v>
      </c>
      <c r="J1640" s="10">
        <v>878.06880000000001</v>
      </c>
      <c r="K1640" s="4" t="str">
        <f t="shared" si="175"/>
        <v>03-09-2024</v>
      </c>
      <c r="L1640" s="4" t="str">
        <f>TEXT(Sales_Fact!$B1640,"mmm")</f>
        <v>Sep</v>
      </c>
      <c r="M1640" s="4">
        <f t="shared" si="176"/>
        <v>2</v>
      </c>
      <c r="N1640" s="10">
        <f t="shared" si="177"/>
        <v>472.08</v>
      </c>
      <c r="O1640" s="10">
        <f t="shared" si="178"/>
        <v>878.0687999999999</v>
      </c>
      <c r="P1640" s="10">
        <f t="shared" si="179"/>
        <v>944.16</v>
      </c>
      <c r="Q1640" s="3">
        <f t="shared" si="180"/>
        <v>7.0000000000000076E-2</v>
      </c>
      <c r="R1640" s="4" t="str">
        <f>IF(Sales_Fact!$O1640&gt;1000,"High","Low")</f>
        <v>Low</v>
      </c>
      <c r="S1640" s="4" t="str">
        <f>VLOOKUP(C1640,Customer_Dim!$A:$N,9,FALSE())</f>
        <v>Nathaniel Hill</v>
      </c>
      <c r="T1640" s="4" t="str">
        <f>VLOOKUP(D1640,Product_Dim!$A:$M,3,FALSE())</f>
        <v>Clothing</v>
      </c>
      <c r="U1640" s="11" t="str">
        <f>VLOOKUP(D1640,Product_Dim!$A:$M,2,FALSE())</f>
        <v>Men's Casual Sneakers</v>
      </c>
      <c r="V1640" s="11" t="str">
        <f>VLOOKUP(E1640,Store_Dim!$A:$E,3,FALSE())</f>
        <v>West</v>
      </c>
      <c r="W1640" s="11" t="str">
        <f>VLOOKUP(C1640,Customer_Dim!$A:$N,13,FALSE())</f>
        <v>Gold</v>
      </c>
      <c r="X1640" s="11" t="str">
        <f t="shared" si="181"/>
        <v>Low</v>
      </c>
    </row>
    <row r="1641" spans="1:24" ht="15.75" customHeight="1">
      <c r="A1641" s="4" t="s">
        <v>3637</v>
      </c>
      <c r="B1641" s="9">
        <v>45665</v>
      </c>
      <c r="C1641" s="4" t="s">
        <v>1487</v>
      </c>
      <c r="D1641" s="4" t="s">
        <v>1776</v>
      </c>
      <c r="E1641" s="4" t="s">
        <v>1965</v>
      </c>
      <c r="F1641" s="4">
        <v>2</v>
      </c>
      <c r="G1641" s="4">
        <v>218.11</v>
      </c>
      <c r="H1641" s="4">
        <v>0.02</v>
      </c>
      <c r="I1641" s="4" t="s">
        <v>2004</v>
      </c>
      <c r="J1641" s="10">
        <v>427.49560000000002</v>
      </c>
      <c r="K1641" s="4" t="str">
        <f t="shared" si="175"/>
        <v>08-01-2025</v>
      </c>
      <c r="L1641" s="4" t="str">
        <f>TEXT(Sales_Fact!$B1641,"mmm")</f>
        <v>Jan</v>
      </c>
      <c r="M1641" s="4">
        <f t="shared" si="176"/>
        <v>2</v>
      </c>
      <c r="N1641" s="10">
        <f t="shared" si="177"/>
        <v>218.11</v>
      </c>
      <c r="O1641" s="10">
        <f t="shared" si="178"/>
        <v>427.49560000000002</v>
      </c>
      <c r="P1641" s="10">
        <f t="shared" si="179"/>
        <v>436.22</v>
      </c>
      <c r="Q1641" s="3">
        <f t="shared" si="180"/>
        <v>2.0000000000000004E-2</v>
      </c>
      <c r="R1641" s="4" t="str">
        <f>IF(Sales_Fact!$O1641&gt;1000,"High","Low")</f>
        <v>Low</v>
      </c>
      <c r="S1641" s="4" t="str">
        <f>VLOOKUP(C1641,Customer_Dim!$A:$N,9,FALSE())</f>
        <v>Laura Mathews</v>
      </c>
      <c r="T1641" s="4" t="str">
        <f>VLOOKUP(D1641,Product_Dim!$A:$M,3,FALSE())</f>
        <v>Sports</v>
      </c>
      <c r="U1641" s="11" t="str">
        <f>VLOOKUP(D1641,Product_Dim!$A:$M,2,FALSE())</f>
        <v>Foam Roller</v>
      </c>
      <c r="V1641" s="11" t="str">
        <f>VLOOKUP(E1641,Store_Dim!$A:$E,3,FALSE())</f>
        <v>North</v>
      </c>
      <c r="W1641" s="11" t="str">
        <f>VLOOKUP(C1641,Customer_Dim!$A:$N,13,FALSE())</f>
        <v>Bronze</v>
      </c>
      <c r="X1641" s="11" t="str">
        <f t="shared" si="181"/>
        <v>Low</v>
      </c>
    </row>
    <row r="1642" spans="1:24" ht="15.75" customHeight="1">
      <c r="A1642" s="4" t="s">
        <v>3638</v>
      </c>
      <c r="B1642" s="9">
        <v>45859</v>
      </c>
      <c r="C1642" s="4" t="s">
        <v>235</v>
      </c>
      <c r="D1642" s="4" t="s">
        <v>1583</v>
      </c>
      <c r="E1642" s="4" t="s">
        <v>1934</v>
      </c>
      <c r="F1642" s="4">
        <v>4</v>
      </c>
      <c r="G1642" s="4">
        <v>845.58</v>
      </c>
      <c r="H1642" s="4">
        <v>0.06</v>
      </c>
      <c r="I1642" s="4" t="s">
        <v>1998</v>
      </c>
      <c r="J1642" s="10">
        <v>3179.3807999999999</v>
      </c>
      <c r="K1642" s="4" t="str">
        <f t="shared" si="175"/>
        <v>21-07-2025</v>
      </c>
      <c r="L1642" s="4" t="str">
        <f>TEXT(Sales_Fact!$B1642,"mmm")</f>
        <v>Jul</v>
      </c>
      <c r="M1642" s="4">
        <f t="shared" si="176"/>
        <v>4</v>
      </c>
      <c r="N1642" s="10">
        <f t="shared" si="177"/>
        <v>845.58</v>
      </c>
      <c r="O1642" s="10">
        <f t="shared" si="178"/>
        <v>3179.3807999999999</v>
      </c>
      <c r="P1642" s="10">
        <f t="shared" si="179"/>
        <v>3382.32</v>
      </c>
      <c r="Q1642" s="3">
        <f t="shared" si="180"/>
        <v>6.0000000000000074E-2</v>
      </c>
      <c r="R1642" s="4" t="str">
        <f>IF(Sales_Fact!$O1642&gt;1000,"High","Low")</f>
        <v>High</v>
      </c>
      <c r="S1642" s="4" t="str">
        <f>VLOOKUP(C1642,Customer_Dim!$A:$N,9,FALSE())</f>
        <v>Jay Patel</v>
      </c>
      <c r="T1642" s="4" t="str">
        <f>VLOOKUP(D1642,Product_Dim!$A:$M,3,FALSE())</f>
        <v>Clothing</v>
      </c>
      <c r="U1642" s="11" t="str">
        <f>VLOOKUP(D1642,Product_Dim!$A:$M,2,FALSE())</f>
        <v>Men's Graphic T-Shirt</v>
      </c>
      <c r="V1642" s="11" t="str">
        <f>VLOOKUP(E1642,Store_Dim!$A:$E,3,FALSE())</f>
        <v>East</v>
      </c>
      <c r="W1642" s="11" t="str">
        <f>VLOOKUP(C1642,Customer_Dim!$A:$N,13,FALSE())</f>
        <v>Platinum</v>
      </c>
      <c r="X1642" s="11" t="str">
        <f t="shared" si="181"/>
        <v>High</v>
      </c>
    </row>
    <row r="1643" spans="1:24" ht="15.75" customHeight="1">
      <c r="A1643" s="4" t="s">
        <v>3639</v>
      </c>
      <c r="B1643" s="9">
        <v>45255</v>
      </c>
      <c r="C1643" s="4" t="s">
        <v>463</v>
      </c>
      <c r="D1643" s="4" t="s">
        <v>1846</v>
      </c>
      <c r="E1643" s="4" t="s">
        <v>1919</v>
      </c>
      <c r="F1643" s="4">
        <v>2</v>
      </c>
      <c r="G1643" s="4">
        <v>111.28</v>
      </c>
      <c r="H1643" s="4">
        <v>0.14000000000000001</v>
      </c>
      <c r="I1643" s="4" t="s">
        <v>1996</v>
      </c>
      <c r="J1643" s="10">
        <v>191.4016</v>
      </c>
      <c r="K1643" s="4" t="str">
        <f t="shared" si="175"/>
        <v>25-11-2023</v>
      </c>
      <c r="L1643" s="4" t="str">
        <f>TEXT(Sales_Fact!$B1643,"mmm")</f>
        <v>Nov</v>
      </c>
      <c r="M1643" s="4">
        <f t="shared" si="176"/>
        <v>2</v>
      </c>
      <c r="N1643" s="10">
        <f t="shared" si="177"/>
        <v>111.28</v>
      </c>
      <c r="O1643" s="10">
        <f t="shared" si="178"/>
        <v>191.4016</v>
      </c>
      <c r="P1643" s="10">
        <f t="shared" si="179"/>
        <v>222.56</v>
      </c>
      <c r="Q1643" s="3">
        <f t="shared" si="180"/>
        <v>0.14000000000000001</v>
      </c>
      <c r="R1643" s="4" t="str">
        <f>IF(Sales_Fact!$O1643&gt;1000,"High","Low")</f>
        <v>Low</v>
      </c>
      <c r="S1643" s="4" t="str">
        <f>VLOOKUP(C1643,Customer_Dim!$A:$N,9,FALSE())</f>
        <v>Susan Mcdonald</v>
      </c>
      <c r="T1643" s="4" t="str">
        <f>VLOOKUP(D1643,Product_Dim!$A:$M,3,FALSE())</f>
        <v>Home</v>
      </c>
      <c r="U1643" s="11" t="str">
        <f>VLOOKUP(D1643,Product_Dim!$A:$M,2,FALSE())</f>
        <v>Wall-Mounted Spice Rack</v>
      </c>
      <c r="V1643" s="11" t="str">
        <f>VLOOKUP(E1643,Store_Dim!$A:$E,3,FALSE())</f>
        <v>South</v>
      </c>
      <c r="W1643" s="11" t="str">
        <f>VLOOKUP(C1643,Customer_Dim!$A:$N,13,FALSE())</f>
        <v>Silver</v>
      </c>
      <c r="X1643" s="11" t="str">
        <f t="shared" si="181"/>
        <v>Low</v>
      </c>
    </row>
    <row r="1644" spans="1:24" ht="15.75" customHeight="1">
      <c r="A1644" s="4" t="s">
        <v>3640</v>
      </c>
      <c r="B1644" s="9">
        <v>45842</v>
      </c>
      <c r="C1644" s="4" t="s">
        <v>610</v>
      </c>
      <c r="D1644" s="4" t="s">
        <v>1782</v>
      </c>
      <c r="E1644" s="4" t="s">
        <v>1957</v>
      </c>
      <c r="F1644" s="4">
        <v>2</v>
      </c>
      <c r="G1644" s="4">
        <v>37.21</v>
      </c>
      <c r="H1644" s="4">
        <v>0.19</v>
      </c>
      <c r="I1644" s="4" t="s">
        <v>1996</v>
      </c>
      <c r="J1644" s="10">
        <v>60.280200000000001</v>
      </c>
      <c r="K1644" s="4" t="str">
        <f t="shared" si="175"/>
        <v>04-07-2025</v>
      </c>
      <c r="L1644" s="4" t="str">
        <f>TEXT(Sales_Fact!$B1644,"mmm")</f>
        <v>Jul</v>
      </c>
      <c r="M1644" s="4">
        <f t="shared" si="176"/>
        <v>2</v>
      </c>
      <c r="N1644" s="10">
        <f t="shared" si="177"/>
        <v>37.21</v>
      </c>
      <c r="O1644" s="10">
        <f t="shared" si="178"/>
        <v>60.280200000000008</v>
      </c>
      <c r="P1644" s="10">
        <f t="shared" si="179"/>
        <v>74.42</v>
      </c>
      <c r="Q1644" s="3">
        <f t="shared" si="180"/>
        <v>0.18999999999999992</v>
      </c>
      <c r="R1644" s="4" t="str">
        <f>IF(Sales_Fact!$O1644&gt;1000,"High","Low")</f>
        <v>Low</v>
      </c>
      <c r="S1644" s="4" t="str">
        <f>VLOOKUP(C1644,Customer_Dim!$A:$N,9,FALSE())</f>
        <v>Curtis Lam</v>
      </c>
      <c r="T1644" s="4" t="str">
        <f>VLOOKUP(D1644,Product_Dim!$A:$M,3,FALSE())</f>
        <v>Beauty</v>
      </c>
      <c r="U1644" s="11" t="str">
        <f>VLOOKUP(D1644,Product_Dim!$A:$M,2,FALSE())</f>
        <v>Men's Hair Styling Gel</v>
      </c>
      <c r="V1644" s="11" t="str">
        <f>VLOOKUP(E1644,Store_Dim!$A:$E,3,FALSE())</f>
        <v>South</v>
      </c>
      <c r="W1644" s="11" t="str">
        <f>VLOOKUP(C1644,Customer_Dim!$A:$N,13,FALSE())</f>
        <v>Platinum</v>
      </c>
      <c r="X1644" s="11" t="str">
        <f t="shared" si="181"/>
        <v>Low</v>
      </c>
    </row>
    <row r="1645" spans="1:24" ht="15.75" customHeight="1">
      <c r="A1645" s="4" t="s">
        <v>3641</v>
      </c>
      <c r="B1645" s="9">
        <v>45220</v>
      </c>
      <c r="C1645" s="4" t="s">
        <v>1324</v>
      </c>
      <c r="D1645" s="4" t="s">
        <v>1791</v>
      </c>
      <c r="E1645" s="4" t="s">
        <v>1955</v>
      </c>
      <c r="F1645" s="4">
        <v>1</v>
      </c>
      <c r="G1645" s="4">
        <v>331.73</v>
      </c>
      <c r="H1645" s="4">
        <v>0.04</v>
      </c>
      <c r="I1645" s="4" t="s">
        <v>1996</v>
      </c>
      <c r="J1645" s="10">
        <v>318.46080000000001</v>
      </c>
      <c r="K1645" s="4" t="str">
        <f t="shared" si="175"/>
        <v>21-10-2023</v>
      </c>
      <c r="L1645" s="4" t="str">
        <f>TEXT(Sales_Fact!$B1645,"mmm")</f>
        <v>Oct</v>
      </c>
      <c r="M1645" s="4">
        <f t="shared" si="176"/>
        <v>1</v>
      </c>
      <c r="N1645" s="10">
        <f t="shared" si="177"/>
        <v>331.73</v>
      </c>
      <c r="O1645" s="10">
        <f t="shared" si="178"/>
        <v>318.46080000000001</v>
      </c>
      <c r="P1645" s="10">
        <f t="shared" si="179"/>
        <v>331.73</v>
      </c>
      <c r="Q1645" s="3">
        <f t="shared" si="180"/>
        <v>4.0000000000000036E-2</v>
      </c>
      <c r="R1645" s="4" t="str">
        <f>IF(Sales_Fact!$O1645&gt;1000,"High","Low")</f>
        <v>Low</v>
      </c>
      <c r="S1645" s="4" t="str">
        <f>VLOOKUP(C1645,Customer_Dim!$A:$N,9,FALSE())</f>
        <v>Karen King</v>
      </c>
      <c r="T1645" s="4" t="str">
        <f>VLOOKUP(D1645,Product_Dim!$A:$M,3,FALSE())</f>
        <v>Electronics</v>
      </c>
      <c r="U1645" s="11" t="str">
        <f>VLOOKUP(D1645,Product_Dim!$A:$M,2,FALSE())</f>
        <v>Laptop Cooling Pad</v>
      </c>
      <c r="V1645" s="11" t="str">
        <f>VLOOKUP(E1645,Store_Dim!$A:$E,3,FALSE())</f>
        <v>East</v>
      </c>
      <c r="W1645" s="11" t="str">
        <f>VLOOKUP(C1645,Customer_Dim!$A:$N,13,FALSE())</f>
        <v>Bronze</v>
      </c>
      <c r="X1645" s="11" t="str">
        <f t="shared" si="181"/>
        <v>Low</v>
      </c>
    </row>
    <row r="1646" spans="1:24" ht="15.75" customHeight="1">
      <c r="A1646" s="4" t="s">
        <v>3642</v>
      </c>
      <c r="B1646" s="9">
        <v>45273</v>
      </c>
      <c r="C1646" s="4" t="s">
        <v>1168</v>
      </c>
      <c r="D1646" s="4" t="s">
        <v>1816</v>
      </c>
      <c r="E1646" s="4" t="s">
        <v>1952</v>
      </c>
      <c r="F1646" s="4">
        <v>3</v>
      </c>
      <c r="G1646" s="4">
        <v>306.70999999999998</v>
      </c>
      <c r="H1646" s="4">
        <v>0.09</v>
      </c>
      <c r="I1646" s="4" t="s">
        <v>1998</v>
      </c>
      <c r="J1646" s="10">
        <v>837.31830000000002</v>
      </c>
      <c r="K1646" s="4" t="str">
        <f t="shared" si="175"/>
        <v>13-12-2023</v>
      </c>
      <c r="L1646" s="4" t="str">
        <f>TEXT(Sales_Fact!$B1646,"mmm")</f>
        <v>Dec</v>
      </c>
      <c r="M1646" s="4">
        <f t="shared" si="176"/>
        <v>3</v>
      </c>
      <c r="N1646" s="10">
        <f t="shared" si="177"/>
        <v>306.70999999999998</v>
      </c>
      <c r="O1646" s="10">
        <f t="shared" si="178"/>
        <v>837.31829999999991</v>
      </c>
      <c r="P1646" s="10">
        <f t="shared" si="179"/>
        <v>920.12999999999988</v>
      </c>
      <c r="Q1646" s="3">
        <f t="shared" si="180"/>
        <v>8.9999999999999983E-2</v>
      </c>
      <c r="R1646" s="4" t="str">
        <f>IF(Sales_Fact!$O1646&gt;1000,"High","Low")</f>
        <v>Low</v>
      </c>
      <c r="S1646" s="4" t="str">
        <f>VLOOKUP(C1646,Customer_Dim!$A:$N,9,FALSE())</f>
        <v>Chloe Aguilar</v>
      </c>
      <c r="T1646" s="4" t="str">
        <f>VLOOKUP(D1646,Product_Dim!$A:$M,3,FALSE())</f>
        <v>Home</v>
      </c>
      <c r="U1646" s="11" t="str">
        <f>VLOOKUP(D1646,Product_Dim!$A:$M,2,FALSE())</f>
        <v>Kitchen Storage Rack</v>
      </c>
      <c r="V1646" s="11" t="str">
        <f>VLOOKUP(E1646,Store_Dim!$A:$E,3,FALSE())</f>
        <v>North</v>
      </c>
      <c r="W1646" s="11" t="str">
        <f>VLOOKUP(C1646,Customer_Dim!$A:$N,13,FALSE())</f>
        <v>Bronze</v>
      </c>
      <c r="X1646" s="11" t="str">
        <f t="shared" si="181"/>
        <v>Low</v>
      </c>
    </row>
    <row r="1647" spans="1:24" ht="15.75" customHeight="1">
      <c r="A1647" s="4" t="s">
        <v>3643</v>
      </c>
      <c r="B1647" s="9">
        <v>45270</v>
      </c>
      <c r="C1647" s="4" t="s">
        <v>1192</v>
      </c>
      <c r="D1647" s="4" t="s">
        <v>1822</v>
      </c>
      <c r="E1647" s="4" t="s">
        <v>1947</v>
      </c>
      <c r="F1647" s="4">
        <v>4</v>
      </c>
      <c r="G1647" s="4">
        <v>62.48</v>
      </c>
      <c r="H1647" s="4">
        <v>0.18</v>
      </c>
      <c r="I1647" s="4" t="s">
        <v>1996</v>
      </c>
      <c r="J1647" s="10">
        <v>204.93440000000001</v>
      </c>
      <c r="K1647" s="4" t="str">
        <f t="shared" si="175"/>
        <v>10-12-2023</v>
      </c>
      <c r="L1647" s="4" t="str">
        <f>TEXT(Sales_Fact!$B1647,"mmm")</f>
        <v>Dec</v>
      </c>
      <c r="M1647" s="4">
        <f t="shared" si="176"/>
        <v>4</v>
      </c>
      <c r="N1647" s="10">
        <f t="shared" si="177"/>
        <v>62.48</v>
      </c>
      <c r="O1647" s="10">
        <f t="shared" si="178"/>
        <v>204.93440000000001</v>
      </c>
      <c r="P1647" s="10">
        <f t="shared" si="179"/>
        <v>249.92</v>
      </c>
      <c r="Q1647" s="3">
        <f t="shared" si="180"/>
        <v>0.17999999999999991</v>
      </c>
      <c r="R1647" s="4" t="str">
        <f>IF(Sales_Fact!$O1647&gt;1000,"High","Low")</f>
        <v>Low</v>
      </c>
      <c r="S1647" s="4" t="str">
        <f>VLOOKUP(C1647,Customer_Dim!$A:$N,9,FALSE())</f>
        <v>Jacqueline Anthony</v>
      </c>
      <c r="T1647" s="4" t="str">
        <f>VLOOKUP(D1647,Product_Dim!$A:$M,3,FALSE())</f>
        <v>Sports</v>
      </c>
      <c r="U1647" s="11" t="str">
        <f>VLOOKUP(D1647,Product_Dim!$A:$M,2,FALSE())</f>
        <v>Professional Jump Rope</v>
      </c>
      <c r="V1647" s="11" t="str">
        <f>VLOOKUP(E1647,Store_Dim!$A:$E,3,FALSE())</f>
        <v>East</v>
      </c>
      <c r="W1647" s="11" t="str">
        <f>VLOOKUP(C1647,Customer_Dim!$A:$N,13,FALSE())</f>
        <v>Bronze</v>
      </c>
      <c r="X1647" s="11" t="str">
        <f t="shared" si="181"/>
        <v>High</v>
      </c>
    </row>
    <row r="1648" spans="1:24" ht="15.75" customHeight="1">
      <c r="A1648" s="4" t="s">
        <v>3644</v>
      </c>
      <c r="B1648" s="9">
        <v>45456</v>
      </c>
      <c r="C1648" s="4" t="s">
        <v>888</v>
      </c>
      <c r="D1648" s="4" t="s">
        <v>1675</v>
      </c>
      <c r="E1648" s="4" t="s">
        <v>1934</v>
      </c>
      <c r="F1648" s="4">
        <v>4</v>
      </c>
      <c r="G1648" s="4">
        <v>484.92</v>
      </c>
      <c r="H1648" s="4">
        <v>0.28000000000000003</v>
      </c>
      <c r="I1648" s="4" t="s">
        <v>1998</v>
      </c>
      <c r="J1648" s="10">
        <v>1396.5696</v>
      </c>
      <c r="K1648" s="4" t="str">
        <f t="shared" si="175"/>
        <v>13-06-2024</v>
      </c>
      <c r="L1648" s="4" t="str">
        <f>TEXT(Sales_Fact!$B1648,"mmm")</f>
        <v>Jun</v>
      </c>
      <c r="M1648" s="4">
        <f t="shared" si="176"/>
        <v>4</v>
      </c>
      <c r="N1648" s="10">
        <f t="shared" si="177"/>
        <v>484.92</v>
      </c>
      <c r="O1648" s="10">
        <f t="shared" si="178"/>
        <v>1396.5696</v>
      </c>
      <c r="P1648" s="10">
        <f t="shared" si="179"/>
        <v>1939.68</v>
      </c>
      <c r="Q1648" s="3">
        <f t="shared" si="180"/>
        <v>0.28000000000000003</v>
      </c>
      <c r="R1648" s="4" t="str">
        <f>IF(Sales_Fact!$O1648&gt;1000,"High","Low")</f>
        <v>High</v>
      </c>
      <c r="S1648" s="4" t="str">
        <f>VLOOKUP(C1648,Customer_Dim!$A:$N,9,FALSE())</f>
        <v>Brian Garcia</v>
      </c>
      <c r="T1648" s="4" t="str">
        <f>VLOOKUP(D1648,Product_Dim!$A:$M,3,FALSE())</f>
        <v>Clothing</v>
      </c>
      <c r="U1648" s="11" t="str">
        <f>VLOOKUP(D1648,Product_Dim!$A:$M,2,FALSE())</f>
        <v>Women's Scarf Set</v>
      </c>
      <c r="V1648" s="11" t="str">
        <f>VLOOKUP(E1648,Store_Dim!$A:$E,3,FALSE())</f>
        <v>East</v>
      </c>
      <c r="W1648" s="11" t="str">
        <f>VLOOKUP(C1648,Customer_Dim!$A:$N,13,FALSE())</f>
        <v>Gold</v>
      </c>
      <c r="X1648" s="11" t="str">
        <f t="shared" si="181"/>
        <v>High</v>
      </c>
    </row>
    <row r="1649" spans="1:24" ht="15.75" customHeight="1">
      <c r="A1649" s="4" t="s">
        <v>3645</v>
      </c>
      <c r="B1649" s="9">
        <v>45292</v>
      </c>
      <c r="C1649" s="4" t="s">
        <v>189</v>
      </c>
      <c r="D1649" s="4" t="s">
        <v>1755</v>
      </c>
      <c r="E1649" s="4" t="s">
        <v>1931</v>
      </c>
      <c r="F1649" s="4">
        <v>2</v>
      </c>
      <c r="G1649" s="4">
        <v>42.04</v>
      </c>
      <c r="H1649" s="4">
        <v>7.0000000000000007E-2</v>
      </c>
      <c r="I1649" s="4" t="s">
        <v>1996</v>
      </c>
      <c r="J1649" s="10">
        <v>78.194400000000002</v>
      </c>
      <c r="K1649" s="4" t="str">
        <f t="shared" si="175"/>
        <v>01-01-2024</v>
      </c>
      <c r="L1649" s="4" t="str">
        <f>TEXT(Sales_Fact!$B1649,"mmm")</f>
        <v>Jan</v>
      </c>
      <c r="M1649" s="4">
        <f t="shared" si="176"/>
        <v>2</v>
      </c>
      <c r="N1649" s="10">
        <f t="shared" si="177"/>
        <v>42.04</v>
      </c>
      <c r="O1649" s="10">
        <f t="shared" si="178"/>
        <v>78.194399999999987</v>
      </c>
      <c r="P1649" s="10">
        <f t="shared" si="179"/>
        <v>84.08</v>
      </c>
      <c r="Q1649" s="3">
        <f t="shared" si="180"/>
        <v>7.0000000000000132E-2</v>
      </c>
      <c r="R1649" s="4" t="str">
        <f>IF(Sales_Fact!$O1649&gt;1000,"High","Low")</f>
        <v>Low</v>
      </c>
      <c r="S1649" s="4" t="str">
        <f>VLOOKUP(C1649,Customer_Dim!$A:$N,9,FALSE())</f>
        <v>Joseph Snow</v>
      </c>
      <c r="T1649" s="4" t="str">
        <f>VLOOKUP(D1649,Product_Dim!$A:$M,3,FALSE())</f>
        <v>Sports</v>
      </c>
      <c r="U1649" s="11" t="str">
        <f>VLOOKUP(D1649,Product_Dim!$A:$M,2,FALSE())</f>
        <v>Boxing Hand Wraps</v>
      </c>
      <c r="V1649" s="11" t="str">
        <f>VLOOKUP(E1649,Store_Dim!$A:$E,3,FALSE())</f>
        <v>North</v>
      </c>
      <c r="W1649" s="11" t="str">
        <f>VLOOKUP(C1649,Customer_Dim!$A:$N,13,FALSE())</f>
        <v>Gold</v>
      </c>
      <c r="X1649" s="11" t="str">
        <f t="shared" si="181"/>
        <v>Low</v>
      </c>
    </row>
    <row r="1650" spans="1:24" ht="15.75" customHeight="1">
      <c r="A1650" s="4" t="s">
        <v>3646</v>
      </c>
      <c r="B1650" s="9">
        <v>45278</v>
      </c>
      <c r="C1650" s="4" t="s">
        <v>921</v>
      </c>
      <c r="D1650" s="4" t="s">
        <v>1770</v>
      </c>
      <c r="E1650" s="4" t="s">
        <v>1934</v>
      </c>
      <c r="F1650" s="4">
        <v>3</v>
      </c>
      <c r="G1650" s="4">
        <v>599.48</v>
      </c>
      <c r="H1650" s="4">
        <v>0.22</v>
      </c>
      <c r="I1650" s="4" t="s">
        <v>1998</v>
      </c>
      <c r="J1650" s="10">
        <v>1402.7832000000001</v>
      </c>
      <c r="K1650" s="4" t="str">
        <f t="shared" si="175"/>
        <v>18-12-2023</v>
      </c>
      <c r="L1650" s="4" t="str">
        <f>TEXT(Sales_Fact!$B1650,"mmm")</f>
        <v>Dec</v>
      </c>
      <c r="M1650" s="4">
        <f t="shared" si="176"/>
        <v>3</v>
      </c>
      <c r="N1650" s="10">
        <f t="shared" si="177"/>
        <v>599.48</v>
      </c>
      <c r="O1650" s="10">
        <f t="shared" si="178"/>
        <v>1402.7832000000001</v>
      </c>
      <c r="P1650" s="10">
        <f t="shared" si="179"/>
        <v>1798.44</v>
      </c>
      <c r="Q1650" s="3">
        <f t="shared" si="180"/>
        <v>0.21999999999999997</v>
      </c>
      <c r="R1650" s="4" t="str">
        <f>IF(Sales_Fact!$O1650&gt;1000,"High","Low")</f>
        <v>High</v>
      </c>
      <c r="S1650" s="4" t="str">
        <f>VLOOKUP(C1650,Customer_Dim!$A:$N,9,FALSE())</f>
        <v>Brittany Watson</v>
      </c>
      <c r="T1650" s="4" t="str">
        <f>VLOOKUP(D1650,Product_Dim!$A:$M,3,FALSE())</f>
        <v>Home</v>
      </c>
      <c r="U1650" s="11" t="str">
        <f>VLOOKUP(D1650,Product_Dim!$A:$M,2,FALSE())</f>
        <v>Ceramic Plant Pot</v>
      </c>
      <c r="V1650" s="11" t="str">
        <f>VLOOKUP(E1650,Store_Dim!$A:$E,3,FALSE())</f>
        <v>East</v>
      </c>
      <c r="W1650" s="11" t="str">
        <f>VLOOKUP(C1650,Customer_Dim!$A:$N,13,FALSE())</f>
        <v>Platinum</v>
      </c>
      <c r="X1650" s="11" t="str">
        <f t="shared" si="181"/>
        <v>Low</v>
      </c>
    </row>
    <row r="1651" spans="1:24" ht="15.75" customHeight="1">
      <c r="A1651" s="4" t="s">
        <v>3647</v>
      </c>
      <c r="B1651" s="9">
        <v>45232</v>
      </c>
      <c r="C1651" s="4" t="s">
        <v>1147</v>
      </c>
      <c r="D1651" s="4" t="s">
        <v>1648</v>
      </c>
      <c r="E1651" s="4" t="s">
        <v>1915</v>
      </c>
      <c r="F1651" s="4">
        <v>3</v>
      </c>
      <c r="G1651" s="4">
        <v>401.42</v>
      </c>
      <c r="H1651" s="4">
        <v>0.01</v>
      </c>
      <c r="I1651" s="4" t="s">
        <v>2004</v>
      </c>
      <c r="J1651" s="10">
        <v>1192.2174</v>
      </c>
      <c r="K1651" s="4" t="str">
        <f t="shared" si="175"/>
        <v>02-11-2023</v>
      </c>
      <c r="L1651" s="4" t="str">
        <f>TEXT(Sales_Fact!$B1651,"mmm")</f>
        <v>Nov</v>
      </c>
      <c r="M1651" s="4">
        <f t="shared" si="176"/>
        <v>3</v>
      </c>
      <c r="N1651" s="10">
        <f t="shared" si="177"/>
        <v>401.42</v>
      </c>
      <c r="O1651" s="10">
        <f t="shared" si="178"/>
        <v>1192.2174</v>
      </c>
      <c r="P1651" s="10">
        <f t="shared" si="179"/>
        <v>1204.26</v>
      </c>
      <c r="Q1651" s="3">
        <f t="shared" si="180"/>
        <v>9.999999999999995E-3</v>
      </c>
      <c r="R1651" s="4" t="str">
        <f>IF(Sales_Fact!$O1651&gt;1000,"High","Low")</f>
        <v>High</v>
      </c>
      <c r="S1651" s="4" t="str">
        <f>VLOOKUP(C1651,Customer_Dim!$A:$N,9,FALSE())</f>
        <v>Manuel Castillo</v>
      </c>
      <c r="T1651" s="4" t="str">
        <f>VLOOKUP(D1651,Product_Dim!$A:$M,3,FALSE())</f>
        <v>Sports</v>
      </c>
      <c r="U1651" s="11" t="str">
        <f>VLOOKUP(D1651,Product_Dim!$A:$M,2,FALSE())</f>
        <v>Soccer Training Cone Set</v>
      </c>
      <c r="V1651" s="11" t="str">
        <f>VLOOKUP(E1651,Store_Dim!$A:$E,3,FALSE())</f>
        <v>North</v>
      </c>
      <c r="W1651" s="11" t="str">
        <f>VLOOKUP(C1651,Customer_Dim!$A:$N,13,FALSE())</f>
        <v>Gold</v>
      </c>
      <c r="X1651" s="11" t="str">
        <f t="shared" si="181"/>
        <v>Low</v>
      </c>
    </row>
    <row r="1652" spans="1:24" ht="15.75" customHeight="1">
      <c r="A1652" s="4" t="s">
        <v>3648</v>
      </c>
      <c r="B1652" s="9">
        <v>45907</v>
      </c>
      <c r="C1652" s="4" t="s">
        <v>656</v>
      </c>
      <c r="D1652" s="4" t="s">
        <v>1741</v>
      </c>
      <c r="E1652" s="4" t="s">
        <v>1940</v>
      </c>
      <c r="F1652" s="4">
        <v>4</v>
      </c>
      <c r="G1652" s="4">
        <v>442.54</v>
      </c>
      <c r="H1652" s="4">
        <v>0.06</v>
      </c>
      <c r="I1652" s="4" t="s">
        <v>1996</v>
      </c>
      <c r="J1652" s="10">
        <v>1663.9503999999999</v>
      </c>
      <c r="K1652" s="4" t="str">
        <f t="shared" si="175"/>
        <v>07-09-2025</v>
      </c>
      <c r="L1652" s="4" t="str">
        <f>TEXT(Sales_Fact!$B1652,"mmm")</f>
        <v>Sep</v>
      </c>
      <c r="M1652" s="4">
        <f t="shared" si="176"/>
        <v>4</v>
      </c>
      <c r="N1652" s="10">
        <f t="shared" si="177"/>
        <v>442.54</v>
      </c>
      <c r="O1652" s="10">
        <f t="shared" si="178"/>
        <v>1663.9503999999999</v>
      </c>
      <c r="P1652" s="10">
        <f t="shared" si="179"/>
        <v>1770.16</v>
      </c>
      <c r="Q1652" s="3">
        <f t="shared" si="180"/>
        <v>6.0000000000000074E-2</v>
      </c>
      <c r="R1652" s="4" t="str">
        <f>IF(Sales_Fact!$O1652&gt;1000,"High","Low")</f>
        <v>High</v>
      </c>
      <c r="S1652" s="4" t="str">
        <f>VLOOKUP(C1652,Customer_Dim!$A:$N,9,FALSE())</f>
        <v>Jacob Wood</v>
      </c>
      <c r="T1652" s="4" t="str">
        <f>VLOOKUP(D1652,Product_Dim!$A:$M,3,FALSE())</f>
        <v>Clothing</v>
      </c>
      <c r="U1652" s="11" t="str">
        <f>VLOOKUP(D1652,Product_Dim!$A:$M,2,FALSE())</f>
        <v>Men's Winter Jacket</v>
      </c>
      <c r="V1652" s="11" t="str">
        <f>VLOOKUP(E1652,Store_Dim!$A:$E,3,FALSE())</f>
        <v>West</v>
      </c>
      <c r="W1652" s="11" t="str">
        <f>VLOOKUP(C1652,Customer_Dim!$A:$N,13,FALSE())</f>
        <v>Gold</v>
      </c>
      <c r="X1652" s="11" t="str">
        <f t="shared" si="181"/>
        <v>High</v>
      </c>
    </row>
    <row r="1653" spans="1:24" ht="15.75" customHeight="1">
      <c r="A1653" s="4" t="s">
        <v>3649</v>
      </c>
      <c r="B1653" s="9">
        <v>45270</v>
      </c>
      <c r="C1653" s="4" t="s">
        <v>1437</v>
      </c>
      <c r="D1653" s="4" t="s">
        <v>1870</v>
      </c>
      <c r="E1653" s="4" t="s">
        <v>1955</v>
      </c>
      <c r="F1653" s="4">
        <v>4</v>
      </c>
      <c r="G1653" s="4">
        <v>451.41</v>
      </c>
      <c r="H1653" s="4">
        <v>0.06</v>
      </c>
      <c r="I1653" s="4" t="s">
        <v>1998</v>
      </c>
      <c r="J1653" s="10">
        <v>1697.3016</v>
      </c>
      <c r="K1653" s="4" t="str">
        <f t="shared" si="175"/>
        <v>10-12-2023</v>
      </c>
      <c r="L1653" s="4" t="str">
        <f>TEXT(Sales_Fact!$B1653,"mmm")</f>
        <v>Dec</v>
      </c>
      <c r="M1653" s="4">
        <f t="shared" si="176"/>
        <v>4</v>
      </c>
      <c r="N1653" s="10">
        <f t="shared" si="177"/>
        <v>451.41</v>
      </c>
      <c r="O1653" s="10">
        <f t="shared" si="178"/>
        <v>1697.3016</v>
      </c>
      <c r="P1653" s="10">
        <f t="shared" si="179"/>
        <v>1805.64</v>
      </c>
      <c r="Q1653" s="3">
        <f t="shared" si="180"/>
        <v>6.0000000000000046E-2</v>
      </c>
      <c r="R1653" s="4" t="str">
        <f>IF(Sales_Fact!$O1653&gt;1000,"High","Low")</f>
        <v>High</v>
      </c>
      <c r="S1653" s="4" t="str">
        <f>VLOOKUP(C1653,Customer_Dim!$A:$N,9,FALSE())</f>
        <v>Julie Powell</v>
      </c>
      <c r="T1653" s="4" t="str">
        <f>VLOOKUP(D1653,Product_Dim!$A:$M,3,FALSE())</f>
        <v>Sports</v>
      </c>
      <c r="U1653" s="11" t="str">
        <f>VLOOKUP(D1653,Product_Dim!$A:$M,2,FALSE())</f>
        <v>Sports Wrist Sweatbands</v>
      </c>
      <c r="V1653" s="11" t="str">
        <f>VLOOKUP(E1653,Store_Dim!$A:$E,3,FALSE())</f>
        <v>East</v>
      </c>
      <c r="W1653" s="11" t="str">
        <f>VLOOKUP(C1653,Customer_Dim!$A:$N,13,FALSE())</f>
        <v>Gold</v>
      </c>
      <c r="X1653" s="11" t="str">
        <f t="shared" si="181"/>
        <v>High</v>
      </c>
    </row>
    <row r="1654" spans="1:24" ht="15.75" customHeight="1">
      <c r="A1654" s="4" t="s">
        <v>3650</v>
      </c>
      <c r="B1654" s="9">
        <v>45942</v>
      </c>
      <c r="C1654" s="4" t="s">
        <v>874</v>
      </c>
      <c r="D1654" s="4" t="s">
        <v>1879</v>
      </c>
      <c r="E1654" s="4" t="s">
        <v>1944</v>
      </c>
      <c r="F1654" s="4">
        <v>4</v>
      </c>
      <c r="G1654" s="4">
        <v>547.21</v>
      </c>
      <c r="H1654" s="4">
        <v>0.25</v>
      </c>
      <c r="I1654" s="4" t="s">
        <v>1996</v>
      </c>
      <c r="J1654" s="10">
        <v>1641.63</v>
      </c>
      <c r="K1654" s="4" t="str">
        <f t="shared" si="175"/>
        <v>12-10-2025</v>
      </c>
      <c r="L1654" s="4" t="str">
        <f>TEXT(Sales_Fact!$B1654,"mmm")</f>
        <v>Oct</v>
      </c>
      <c r="M1654" s="4">
        <f t="shared" si="176"/>
        <v>4</v>
      </c>
      <c r="N1654" s="10">
        <f t="shared" si="177"/>
        <v>547.21</v>
      </c>
      <c r="O1654" s="10">
        <f t="shared" si="178"/>
        <v>1641.63</v>
      </c>
      <c r="P1654" s="10">
        <f t="shared" si="179"/>
        <v>2188.84</v>
      </c>
      <c r="Q1654" s="3">
        <f t="shared" si="180"/>
        <v>0.25</v>
      </c>
      <c r="R1654" s="4" t="str">
        <f>IF(Sales_Fact!$O1654&gt;1000,"High","Low")</f>
        <v>High</v>
      </c>
      <c r="S1654" s="4" t="str">
        <f>VLOOKUP(C1654,Customer_Dim!$A:$N,9,FALSE())</f>
        <v>Tracy Kelly</v>
      </c>
      <c r="T1654" s="4" t="str">
        <f>VLOOKUP(D1654,Product_Dim!$A:$M,3,FALSE())</f>
        <v>Clothing</v>
      </c>
      <c r="U1654" s="11" t="str">
        <f>VLOOKUP(D1654,Product_Dim!$A:$M,2,FALSE())</f>
        <v>Women's High Heels</v>
      </c>
      <c r="V1654" s="11" t="str">
        <f>VLOOKUP(E1654,Store_Dim!$A:$E,3,FALSE())</f>
        <v>South</v>
      </c>
      <c r="W1654" s="11" t="str">
        <f>VLOOKUP(C1654,Customer_Dim!$A:$N,13,FALSE())</f>
        <v>Silver</v>
      </c>
      <c r="X1654" s="11" t="str">
        <f t="shared" si="181"/>
        <v>High</v>
      </c>
    </row>
    <row r="1655" spans="1:24" ht="15.75" customHeight="1">
      <c r="A1655" s="4" t="s">
        <v>3651</v>
      </c>
      <c r="B1655" s="9">
        <v>45750</v>
      </c>
      <c r="C1655" s="4" t="s">
        <v>688</v>
      </c>
      <c r="D1655" s="4" t="s">
        <v>1867</v>
      </c>
      <c r="E1655" s="4" t="s">
        <v>1927</v>
      </c>
      <c r="F1655" s="4">
        <v>1</v>
      </c>
      <c r="G1655" s="4">
        <v>979.28</v>
      </c>
      <c r="H1655" s="4">
        <v>0.2</v>
      </c>
      <c r="I1655" s="4" t="s">
        <v>1998</v>
      </c>
      <c r="J1655" s="10">
        <v>783.42399999999998</v>
      </c>
      <c r="K1655" s="4" t="str">
        <f t="shared" si="175"/>
        <v>03-04-2025</v>
      </c>
      <c r="L1655" s="4" t="str">
        <f>TEXT(Sales_Fact!$B1655,"mmm")</f>
        <v>Apr</v>
      </c>
      <c r="M1655" s="4">
        <f t="shared" si="176"/>
        <v>1</v>
      </c>
      <c r="N1655" s="10">
        <f t="shared" si="177"/>
        <v>979.28</v>
      </c>
      <c r="O1655" s="10">
        <f t="shared" si="178"/>
        <v>783.42399999999998</v>
      </c>
      <c r="P1655" s="10">
        <f t="shared" si="179"/>
        <v>979.28</v>
      </c>
      <c r="Q1655" s="3">
        <f t="shared" si="180"/>
        <v>0.2</v>
      </c>
      <c r="R1655" s="4" t="str">
        <f>IF(Sales_Fact!$O1655&gt;1000,"High","Low")</f>
        <v>Low</v>
      </c>
      <c r="S1655" s="4" t="str">
        <f>VLOOKUP(C1655,Customer_Dim!$A:$N,9,FALSE())</f>
        <v>Sarah Brady</v>
      </c>
      <c r="T1655" s="4" t="str">
        <f>VLOOKUP(D1655,Product_Dim!$A:$M,3,FALSE())</f>
        <v>Home</v>
      </c>
      <c r="U1655" s="11" t="str">
        <f>VLOOKUP(D1655,Product_Dim!$A:$M,2,FALSE())</f>
        <v>LED Bedside Lamp</v>
      </c>
      <c r="V1655" s="11" t="str">
        <f>VLOOKUP(E1655,Store_Dim!$A:$E,3,FALSE())</f>
        <v>South</v>
      </c>
      <c r="W1655" s="11" t="str">
        <f>VLOOKUP(C1655,Customer_Dim!$A:$N,13,FALSE())</f>
        <v>Platinum</v>
      </c>
      <c r="X1655" s="11" t="str">
        <f t="shared" si="181"/>
        <v>Low</v>
      </c>
    </row>
    <row r="1656" spans="1:24" ht="15.75" customHeight="1">
      <c r="A1656" s="4" t="s">
        <v>3652</v>
      </c>
      <c r="B1656" s="9">
        <v>45300</v>
      </c>
      <c r="C1656" s="4" t="s">
        <v>1460</v>
      </c>
      <c r="D1656" s="4" t="s">
        <v>1773</v>
      </c>
      <c r="E1656" s="4" t="s">
        <v>1937</v>
      </c>
      <c r="F1656" s="4">
        <v>4</v>
      </c>
      <c r="G1656" s="4">
        <v>263.58999999999997</v>
      </c>
      <c r="H1656" s="4">
        <v>0.04</v>
      </c>
      <c r="I1656" s="4" t="s">
        <v>1996</v>
      </c>
      <c r="J1656" s="10">
        <v>1012.1856</v>
      </c>
      <c r="K1656" s="4" t="str">
        <f t="shared" si="175"/>
        <v>09-01-2024</v>
      </c>
      <c r="L1656" s="4" t="str">
        <f>TEXT(Sales_Fact!$B1656,"mmm")</f>
        <v>Jan</v>
      </c>
      <c r="M1656" s="4">
        <f t="shared" si="176"/>
        <v>4</v>
      </c>
      <c r="N1656" s="10">
        <f t="shared" si="177"/>
        <v>263.58999999999997</v>
      </c>
      <c r="O1656" s="10">
        <f t="shared" si="178"/>
        <v>1012.1855999999999</v>
      </c>
      <c r="P1656" s="10">
        <f t="shared" si="179"/>
        <v>1054.3599999999999</v>
      </c>
      <c r="Q1656" s="3">
        <f t="shared" si="180"/>
        <v>3.9999999999999994E-2</v>
      </c>
      <c r="R1656" s="4" t="str">
        <f>IF(Sales_Fact!$O1656&gt;1000,"High","Low")</f>
        <v>High</v>
      </c>
      <c r="S1656" s="4" t="str">
        <f>VLOOKUP(C1656,Customer_Dim!$A:$N,9,FALSE())</f>
        <v>David Pierce</v>
      </c>
      <c r="T1656" s="4" t="str">
        <f>VLOOKUP(D1656,Product_Dim!$A:$M,3,FALSE())</f>
        <v>Home</v>
      </c>
      <c r="U1656" s="11" t="str">
        <f>VLOOKUP(D1656,Product_Dim!$A:$M,2,FALSE())</f>
        <v>Premium Blanket Throw</v>
      </c>
      <c r="V1656" s="11" t="str">
        <f>VLOOKUP(E1656,Store_Dim!$A:$E,3,FALSE())</f>
        <v>South</v>
      </c>
      <c r="W1656" s="11" t="str">
        <f>VLOOKUP(C1656,Customer_Dim!$A:$N,13,FALSE())</f>
        <v>Platinum</v>
      </c>
      <c r="X1656" s="11" t="str">
        <f t="shared" si="181"/>
        <v>High</v>
      </c>
    </row>
    <row r="1657" spans="1:24" ht="15.75" customHeight="1">
      <c r="A1657" s="4" t="s">
        <v>3653</v>
      </c>
      <c r="B1657" s="9">
        <v>45876</v>
      </c>
      <c r="C1657" s="4" t="s">
        <v>35</v>
      </c>
      <c r="D1657" s="4" t="s">
        <v>1767</v>
      </c>
      <c r="E1657" s="4" t="s">
        <v>1931</v>
      </c>
      <c r="F1657" s="4">
        <v>1</v>
      </c>
      <c r="G1657" s="4">
        <v>692.75</v>
      </c>
      <c r="H1657" s="4">
        <v>0.11</v>
      </c>
      <c r="I1657" s="4" t="s">
        <v>2004</v>
      </c>
      <c r="J1657" s="10">
        <v>616.54750000000001</v>
      </c>
      <c r="K1657" s="4" t="str">
        <f t="shared" si="175"/>
        <v>07-08-2025</v>
      </c>
      <c r="L1657" s="4" t="str">
        <f>TEXT(Sales_Fact!$B1657,"mmm")</f>
        <v>Aug</v>
      </c>
      <c r="M1657" s="4">
        <f t="shared" si="176"/>
        <v>1</v>
      </c>
      <c r="N1657" s="10">
        <f t="shared" si="177"/>
        <v>692.75</v>
      </c>
      <c r="O1657" s="10">
        <f t="shared" si="178"/>
        <v>616.54750000000001</v>
      </c>
      <c r="P1657" s="10">
        <f t="shared" si="179"/>
        <v>692.75</v>
      </c>
      <c r="Q1657" s="3">
        <f t="shared" si="180"/>
        <v>0.10999999999999999</v>
      </c>
      <c r="R1657" s="4" t="str">
        <f>IF(Sales_Fact!$O1657&gt;1000,"High","Low")</f>
        <v>Low</v>
      </c>
      <c r="S1657" s="4" t="str">
        <f>VLOOKUP(C1657,Customer_Dim!$A:$N,9,FALSE())</f>
        <v>Dr. Benjamin Price</v>
      </c>
      <c r="T1657" s="4" t="str">
        <f>VLOOKUP(D1657,Product_Dim!$A:$M,3,FALSE())</f>
        <v>Sports</v>
      </c>
      <c r="U1657" s="11" t="str">
        <f>VLOOKUP(D1657,Product_Dim!$A:$M,2,FALSE())</f>
        <v>Sports Stopwatch Pro</v>
      </c>
      <c r="V1657" s="11" t="str">
        <f>VLOOKUP(E1657,Store_Dim!$A:$E,3,FALSE())</f>
        <v>North</v>
      </c>
      <c r="W1657" s="11" t="str">
        <f>VLOOKUP(C1657,Customer_Dim!$A:$N,13,FALSE())</f>
        <v>Platinum</v>
      </c>
      <c r="X1657" s="11" t="str">
        <f t="shared" si="181"/>
        <v>Low</v>
      </c>
    </row>
    <row r="1658" spans="1:24" ht="15.75" customHeight="1">
      <c r="A1658" s="4" t="s">
        <v>3654</v>
      </c>
      <c r="B1658" s="9">
        <v>45897</v>
      </c>
      <c r="C1658" s="4" t="s">
        <v>1342</v>
      </c>
      <c r="D1658" s="4" t="s">
        <v>1633</v>
      </c>
      <c r="E1658" s="4" t="s">
        <v>1962</v>
      </c>
      <c r="F1658" s="4">
        <v>4</v>
      </c>
      <c r="G1658" s="4">
        <v>561.24</v>
      </c>
      <c r="H1658" s="4">
        <v>0.24</v>
      </c>
      <c r="I1658" s="4" t="s">
        <v>1996</v>
      </c>
      <c r="J1658" s="10">
        <v>1706.1695999999999</v>
      </c>
      <c r="K1658" s="4" t="str">
        <f t="shared" si="175"/>
        <v>28-08-2025</v>
      </c>
      <c r="L1658" s="4" t="str">
        <f>TEXT(Sales_Fact!$B1658,"mmm")</f>
        <v>Aug</v>
      </c>
      <c r="M1658" s="4">
        <f t="shared" si="176"/>
        <v>4</v>
      </c>
      <c r="N1658" s="10">
        <f t="shared" si="177"/>
        <v>561.24</v>
      </c>
      <c r="O1658" s="10">
        <f t="shared" si="178"/>
        <v>1706.1695999999999</v>
      </c>
      <c r="P1658" s="10">
        <f t="shared" si="179"/>
        <v>2244.96</v>
      </c>
      <c r="Q1658" s="3">
        <f t="shared" si="180"/>
        <v>0.24000000000000005</v>
      </c>
      <c r="R1658" s="4" t="str">
        <f>IF(Sales_Fact!$O1658&gt;1000,"High","Low")</f>
        <v>High</v>
      </c>
      <c r="S1658" s="4" t="str">
        <f>VLOOKUP(C1658,Customer_Dim!$A:$N,9,FALSE())</f>
        <v>Rebecca Baker</v>
      </c>
      <c r="T1658" s="4" t="str">
        <f>VLOOKUP(D1658,Product_Dim!$A:$M,3,FALSE())</f>
        <v>Electronics</v>
      </c>
      <c r="U1658" s="11" t="str">
        <f>VLOOKUP(D1658,Product_Dim!$A:$M,2,FALSE())</f>
        <v>USB-C Fast Charger</v>
      </c>
      <c r="V1658" s="11" t="str">
        <f>VLOOKUP(E1658,Store_Dim!$A:$E,3,FALSE())</f>
        <v>West</v>
      </c>
      <c r="W1658" s="11" t="str">
        <f>VLOOKUP(C1658,Customer_Dim!$A:$N,13,FALSE())</f>
        <v>Silver</v>
      </c>
      <c r="X1658" s="11" t="str">
        <f t="shared" si="181"/>
        <v>High</v>
      </c>
    </row>
    <row r="1659" spans="1:24" ht="15.75" customHeight="1">
      <c r="A1659" s="4" t="s">
        <v>3655</v>
      </c>
      <c r="B1659" s="9">
        <v>45301</v>
      </c>
      <c r="C1659" s="4" t="s">
        <v>568</v>
      </c>
      <c r="D1659" s="4" t="s">
        <v>1794</v>
      </c>
      <c r="E1659" s="4" t="s">
        <v>1924</v>
      </c>
      <c r="F1659" s="4">
        <v>3</v>
      </c>
      <c r="G1659" s="4">
        <v>142.83000000000001</v>
      </c>
      <c r="H1659" s="4">
        <v>0.01</v>
      </c>
      <c r="I1659" s="4" t="s">
        <v>1996</v>
      </c>
      <c r="J1659" s="10">
        <v>424.20510000000002</v>
      </c>
      <c r="K1659" s="4" t="str">
        <f t="shared" si="175"/>
        <v>10-01-2024</v>
      </c>
      <c r="L1659" s="4" t="str">
        <f>TEXT(Sales_Fact!$B1659,"mmm")</f>
        <v>Jan</v>
      </c>
      <c r="M1659" s="4">
        <f t="shared" si="176"/>
        <v>3</v>
      </c>
      <c r="N1659" s="10">
        <f t="shared" si="177"/>
        <v>142.83000000000001</v>
      </c>
      <c r="O1659" s="10">
        <f t="shared" si="178"/>
        <v>424.20510000000002</v>
      </c>
      <c r="P1659" s="10">
        <f t="shared" si="179"/>
        <v>428.49</v>
      </c>
      <c r="Q1659" s="3">
        <f t="shared" si="180"/>
        <v>9.9999999999999846E-3</v>
      </c>
      <c r="R1659" s="4" t="str">
        <f>IF(Sales_Fact!$O1659&gt;1000,"High","Low")</f>
        <v>Low</v>
      </c>
      <c r="S1659" s="4" t="str">
        <f>VLOOKUP(C1659,Customer_Dim!$A:$N,9,FALSE())</f>
        <v>Joseph Jones</v>
      </c>
      <c r="T1659" s="4" t="str">
        <f>VLOOKUP(D1659,Product_Dim!$A:$M,3,FALSE())</f>
        <v>Beauty</v>
      </c>
      <c r="U1659" s="11" t="str">
        <f>VLOOKUP(D1659,Product_Dim!$A:$M,2,FALSE())</f>
        <v>Organic Sunscreen Lotion</v>
      </c>
      <c r="V1659" s="11" t="str">
        <f>VLOOKUP(E1659,Store_Dim!$A:$E,3,FALSE())</f>
        <v>North</v>
      </c>
      <c r="W1659" s="11" t="str">
        <f>VLOOKUP(C1659,Customer_Dim!$A:$N,13,FALSE())</f>
        <v>Bronze</v>
      </c>
      <c r="X1659" s="11" t="str">
        <f t="shared" si="181"/>
        <v>Low</v>
      </c>
    </row>
    <row r="1660" spans="1:24" ht="15.75" customHeight="1">
      <c r="A1660" s="4" t="s">
        <v>3656</v>
      </c>
      <c r="B1660" s="9">
        <v>45857</v>
      </c>
      <c r="C1660" s="4" t="s">
        <v>450</v>
      </c>
      <c r="D1660" s="4" t="s">
        <v>1665</v>
      </c>
      <c r="E1660" s="4" t="s">
        <v>1919</v>
      </c>
      <c r="F1660" s="4">
        <v>2</v>
      </c>
      <c r="G1660" s="4">
        <v>419.25</v>
      </c>
      <c r="H1660" s="4">
        <v>0.17</v>
      </c>
      <c r="I1660" s="4" t="s">
        <v>1998</v>
      </c>
      <c r="J1660" s="10">
        <v>695.95500000000004</v>
      </c>
      <c r="K1660" s="4" t="str">
        <f t="shared" si="175"/>
        <v>19-07-2025</v>
      </c>
      <c r="L1660" s="4" t="str">
        <f>TEXT(Sales_Fact!$B1660,"mmm")</f>
        <v>Jul</v>
      </c>
      <c r="M1660" s="4">
        <f t="shared" si="176"/>
        <v>2</v>
      </c>
      <c r="N1660" s="10">
        <f t="shared" si="177"/>
        <v>419.25</v>
      </c>
      <c r="O1660" s="10">
        <f t="shared" si="178"/>
        <v>695.95499999999993</v>
      </c>
      <c r="P1660" s="10">
        <f t="shared" si="179"/>
        <v>838.5</v>
      </c>
      <c r="Q1660" s="3">
        <f t="shared" si="180"/>
        <v>0.1700000000000001</v>
      </c>
      <c r="R1660" s="4" t="str">
        <f>IF(Sales_Fact!$O1660&gt;1000,"High","Low")</f>
        <v>Low</v>
      </c>
      <c r="S1660" s="4" t="str">
        <f>VLOOKUP(C1660,Customer_Dim!$A:$N,9,FALSE())</f>
        <v>Donald Lee</v>
      </c>
      <c r="T1660" s="4" t="str">
        <f>VLOOKUP(D1660,Product_Dim!$A:$M,3,FALSE())</f>
        <v>Sports</v>
      </c>
      <c r="U1660" s="11" t="str">
        <f>VLOOKUP(D1660,Product_Dim!$A:$M,2,FALSE())</f>
        <v>Carbon Fiber Tennis Racket</v>
      </c>
      <c r="V1660" s="11" t="str">
        <f>VLOOKUP(E1660,Store_Dim!$A:$E,3,FALSE())</f>
        <v>South</v>
      </c>
      <c r="W1660" s="11" t="str">
        <f>VLOOKUP(C1660,Customer_Dim!$A:$N,13,FALSE())</f>
        <v>Bronze</v>
      </c>
      <c r="X1660" s="11" t="str">
        <f t="shared" si="181"/>
        <v>Low</v>
      </c>
    </row>
    <row r="1661" spans="1:24" ht="15.75" customHeight="1">
      <c r="A1661" s="4" t="s">
        <v>3657</v>
      </c>
      <c r="B1661" s="9">
        <v>45650</v>
      </c>
      <c r="C1661" s="4" t="s">
        <v>798</v>
      </c>
      <c r="D1661" s="4" t="s">
        <v>1678</v>
      </c>
      <c r="E1661" s="4" t="s">
        <v>1971</v>
      </c>
      <c r="F1661" s="4">
        <v>2</v>
      </c>
      <c r="G1661" s="4">
        <v>800.84</v>
      </c>
      <c r="H1661" s="4">
        <v>0.27</v>
      </c>
      <c r="I1661" s="4" t="s">
        <v>2004</v>
      </c>
      <c r="J1661" s="10">
        <v>1169.2264</v>
      </c>
      <c r="K1661" s="4" t="str">
        <f t="shared" si="175"/>
        <v>24-12-2024</v>
      </c>
      <c r="L1661" s="4" t="str">
        <f>TEXT(Sales_Fact!$B1661,"mmm")</f>
        <v>Dec</v>
      </c>
      <c r="M1661" s="4">
        <f t="shared" si="176"/>
        <v>2</v>
      </c>
      <c r="N1661" s="10">
        <f t="shared" si="177"/>
        <v>800.84</v>
      </c>
      <c r="O1661" s="10">
        <f t="shared" si="178"/>
        <v>1169.2264</v>
      </c>
      <c r="P1661" s="10">
        <f t="shared" si="179"/>
        <v>1601.68</v>
      </c>
      <c r="Q1661" s="3">
        <f t="shared" si="180"/>
        <v>0.27</v>
      </c>
      <c r="R1661" s="4" t="str">
        <f>IF(Sales_Fact!$O1661&gt;1000,"High","Low")</f>
        <v>High</v>
      </c>
      <c r="S1661" s="4" t="str">
        <f>VLOOKUP(C1661,Customer_Dim!$A:$N,9,FALSE())</f>
        <v>William Hull</v>
      </c>
      <c r="T1661" s="4" t="str">
        <f>VLOOKUP(D1661,Product_Dim!$A:$M,3,FALSE())</f>
        <v>Electronics</v>
      </c>
      <c r="U1661" s="11" t="str">
        <f>VLOOKUP(D1661,Product_Dim!$A:$M,2,FALSE())</f>
        <v>Wireless Bluetooth Speaker</v>
      </c>
      <c r="V1661" s="11" t="str">
        <f>VLOOKUP(E1661,Store_Dim!$A:$E,3,FALSE())</f>
        <v>East</v>
      </c>
      <c r="W1661" s="11" t="str">
        <f>VLOOKUP(C1661,Customer_Dim!$A:$N,13,FALSE())</f>
        <v>Platinum</v>
      </c>
      <c r="X1661" s="11" t="str">
        <f t="shared" si="181"/>
        <v>Low</v>
      </c>
    </row>
    <row r="1662" spans="1:24" ht="15.75" customHeight="1">
      <c r="A1662" s="4" t="s">
        <v>3658</v>
      </c>
      <c r="B1662" s="9">
        <v>45520</v>
      </c>
      <c r="C1662" s="4" t="s">
        <v>29</v>
      </c>
      <c r="D1662" s="4" t="s">
        <v>1748</v>
      </c>
      <c r="E1662" s="4" t="s">
        <v>1919</v>
      </c>
      <c r="F1662" s="4">
        <v>1</v>
      </c>
      <c r="G1662" s="4">
        <v>301.24</v>
      </c>
      <c r="H1662" s="4">
        <v>0.11</v>
      </c>
      <c r="I1662" s="4" t="s">
        <v>1998</v>
      </c>
      <c r="J1662" s="10">
        <v>268.10359999999997</v>
      </c>
      <c r="K1662" s="4" t="str">
        <f t="shared" si="175"/>
        <v>16-08-2024</v>
      </c>
      <c r="L1662" s="4" t="str">
        <f>TEXT(Sales_Fact!$B1662,"mmm")</f>
        <v>Aug</v>
      </c>
      <c r="M1662" s="4">
        <f t="shared" si="176"/>
        <v>1</v>
      </c>
      <c r="N1662" s="10">
        <f t="shared" si="177"/>
        <v>301.24</v>
      </c>
      <c r="O1662" s="10">
        <f t="shared" si="178"/>
        <v>268.10360000000003</v>
      </c>
      <c r="P1662" s="10">
        <f t="shared" si="179"/>
        <v>301.24</v>
      </c>
      <c r="Q1662" s="3">
        <f t="shared" si="180"/>
        <v>0.10999999999999993</v>
      </c>
      <c r="R1662" s="4" t="str">
        <f>IF(Sales_Fact!$O1662&gt;1000,"High","Low")</f>
        <v>Low</v>
      </c>
      <c r="S1662" s="4" t="str">
        <f>VLOOKUP(C1662,Customer_Dim!$A:$N,9,FALSE())</f>
        <v>Eugene Nelson</v>
      </c>
      <c r="T1662" s="4" t="str">
        <f>VLOOKUP(D1662,Product_Dim!$A:$M,3,FALSE())</f>
        <v>Electronics</v>
      </c>
      <c r="U1662" s="11" t="str">
        <f>VLOOKUP(D1662,Product_Dim!$A:$M,2,FALSE())</f>
        <v>Car Dashboard Phone Holder</v>
      </c>
      <c r="V1662" s="11" t="str">
        <f>VLOOKUP(E1662,Store_Dim!$A:$E,3,FALSE())</f>
        <v>South</v>
      </c>
      <c r="W1662" s="11" t="str">
        <f>VLOOKUP(C1662,Customer_Dim!$A:$N,13,FALSE())</f>
        <v>Platinum</v>
      </c>
      <c r="X1662" s="11" t="str">
        <f t="shared" si="181"/>
        <v>Low</v>
      </c>
    </row>
    <row r="1663" spans="1:24" ht="15.75" customHeight="1">
      <c r="A1663" s="4" t="s">
        <v>3659</v>
      </c>
      <c r="B1663" s="9">
        <v>45497</v>
      </c>
      <c r="C1663" s="4" t="s">
        <v>942</v>
      </c>
      <c r="D1663" s="4" t="s">
        <v>1861</v>
      </c>
      <c r="E1663" s="4" t="s">
        <v>1931</v>
      </c>
      <c r="F1663" s="4">
        <v>2</v>
      </c>
      <c r="G1663" s="4">
        <v>701.49</v>
      </c>
      <c r="H1663" s="4">
        <v>0.09</v>
      </c>
      <c r="I1663" s="4" t="s">
        <v>1998</v>
      </c>
      <c r="J1663" s="10">
        <v>1276.7118</v>
      </c>
      <c r="K1663" s="4" t="str">
        <f t="shared" si="175"/>
        <v>24-07-2024</v>
      </c>
      <c r="L1663" s="4" t="str">
        <f>TEXT(Sales_Fact!$B1663,"mmm")</f>
        <v>Jul</v>
      </c>
      <c r="M1663" s="4">
        <f t="shared" si="176"/>
        <v>2</v>
      </c>
      <c r="N1663" s="10">
        <f t="shared" si="177"/>
        <v>701.49</v>
      </c>
      <c r="O1663" s="10">
        <f t="shared" si="178"/>
        <v>1276.7118</v>
      </c>
      <c r="P1663" s="10">
        <f t="shared" si="179"/>
        <v>1402.98</v>
      </c>
      <c r="Q1663" s="3">
        <f t="shared" si="180"/>
        <v>8.9999999999999983E-2</v>
      </c>
      <c r="R1663" s="4" t="str">
        <f>IF(Sales_Fact!$O1663&gt;1000,"High","Low")</f>
        <v>High</v>
      </c>
      <c r="S1663" s="4" t="str">
        <f>VLOOKUP(C1663,Customer_Dim!$A:$N,9,FALSE())</f>
        <v>Misty Ferguson</v>
      </c>
      <c r="T1663" s="4" t="str">
        <f>VLOOKUP(D1663,Product_Dim!$A:$M,3,FALSE())</f>
        <v>Clothing</v>
      </c>
      <c r="U1663" s="11" t="str">
        <f>VLOOKUP(D1663,Product_Dim!$A:$M,2,FALSE())</f>
        <v>Women's Beanie Hat</v>
      </c>
      <c r="V1663" s="11" t="str">
        <f>VLOOKUP(E1663,Store_Dim!$A:$E,3,FALSE())</f>
        <v>North</v>
      </c>
      <c r="W1663" s="11" t="str">
        <f>VLOOKUP(C1663,Customer_Dim!$A:$N,13,FALSE())</f>
        <v>Gold</v>
      </c>
      <c r="X1663" s="11" t="str">
        <f t="shared" si="181"/>
        <v>Low</v>
      </c>
    </row>
    <row r="1664" spans="1:24" ht="15.75" customHeight="1">
      <c r="A1664" s="4" t="s">
        <v>3660</v>
      </c>
      <c r="B1664" s="9">
        <v>45615</v>
      </c>
      <c r="C1664" s="4" t="s">
        <v>1129</v>
      </c>
      <c r="D1664" s="4" t="s">
        <v>1678</v>
      </c>
      <c r="E1664" s="4" t="s">
        <v>1947</v>
      </c>
      <c r="F1664" s="4">
        <v>4</v>
      </c>
      <c r="G1664" s="4">
        <v>413.48</v>
      </c>
      <c r="H1664" s="4">
        <v>0.02</v>
      </c>
      <c r="I1664" s="4" t="s">
        <v>1998</v>
      </c>
      <c r="J1664" s="10">
        <v>1620.8416</v>
      </c>
      <c r="K1664" s="4" t="str">
        <f t="shared" si="175"/>
        <v>19-11-2024</v>
      </c>
      <c r="L1664" s="4" t="str">
        <f>TEXT(Sales_Fact!$B1664,"mmm")</f>
        <v>Nov</v>
      </c>
      <c r="M1664" s="4">
        <f t="shared" si="176"/>
        <v>4</v>
      </c>
      <c r="N1664" s="10">
        <f t="shared" si="177"/>
        <v>413.48</v>
      </c>
      <c r="O1664" s="10">
        <f t="shared" si="178"/>
        <v>1620.8416</v>
      </c>
      <c r="P1664" s="10">
        <f t="shared" si="179"/>
        <v>1653.92</v>
      </c>
      <c r="Q1664" s="3">
        <f t="shared" si="180"/>
        <v>2.0000000000000059E-2</v>
      </c>
      <c r="R1664" s="4" t="str">
        <f>IF(Sales_Fact!$O1664&gt;1000,"High","Low")</f>
        <v>High</v>
      </c>
      <c r="S1664" s="4" t="str">
        <f>VLOOKUP(C1664,Customer_Dim!$A:$N,9,FALSE())</f>
        <v>Jeffrey Mccarthy</v>
      </c>
      <c r="T1664" s="4" t="str">
        <f>VLOOKUP(D1664,Product_Dim!$A:$M,3,FALSE())</f>
        <v>Electronics</v>
      </c>
      <c r="U1664" s="11" t="str">
        <f>VLOOKUP(D1664,Product_Dim!$A:$M,2,FALSE())</f>
        <v>Wireless Bluetooth Speaker</v>
      </c>
      <c r="V1664" s="11" t="str">
        <f>VLOOKUP(E1664,Store_Dim!$A:$E,3,FALSE())</f>
        <v>East</v>
      </c>
      <c r="W1664" s="11" t="str">
        <f>VLOOKUP(C1664,Customer_Dim!$A:$N,13,FALSE())</f>
        <v>Bronze</v>
      </c>
      <c r="X1664" s="11" t="str">
        <f t="shared" si="181"/>
        <v>High</v>
      </c>
    </row>
    <row r="1665" spans="1:24" ht="15.75" customHeight="1">
      <c r="A1665" s="4" t="s">
        <v>3661</v>
      </c>
      <c r="B1665" s="9">
        <v>45365</v>
      </c>
      <c r="C1665" s="4" t="s">
        <v>671</v>
      </c>
      <c r="D1665" s="4" t="s">
        <v>1613</v>
      </c>
      <c r="E1665" s="4" t="s">
        <v>1915</v>
      </c>
      <c r="F1665" s="4">
        <v>4</v>
      </c>
      <c r="G1665" s="4">
        <v>167.83</v>
      </c>
      <c r="H1665" s="4">
        <v>0.15</v>
      </c>
      <c r="I1665" s="4" t="s">
        <v>1996</v>
      </c>
      <c r="J1665" s="10">
        <v>570.62199999999996</v>
      </c>
      <c r="K1665" s="4" t="str">
        <f t="shared" si="175"/>
        <v>14-03-2024</v>
      </c>
      <c r="L1665" s="4" t="str">
        <f>TEXT(Sales_Fact!$B1665,"mmm")</f>
        <v>Mar</v>
      </c>
      <c r="M1665" s="4">
        <f t="shared" si="176"/>
        <v>4</v>
      </c>
      <c r="N1665" s="10">
        <f t="shared" si="177"/>
        <v>167.83</v>
      </c>
      <c r="O1665" s="10">
        <f t="shared" si="178"/>
        <v>570.62200000000007</v>
      </c>
      <c r="P1665" s="10">
        <f t="shared" si="179"/>
        <v>671.32</v>
      </c>
      <c r="Q1665" s="3">
        <f t="shared" si="180"/>
        <v>0.14999999999999997</v>
      </c>
      <c r="R1665" s="4" t="str">
        <f>IF(Sales_Fact!$O1665&gt;1000,"High","Low")</f>
        <v>Low</v>
      </c>
      <c r="S1665" s="4" t="str">
        <f>VLOOKUP(C1665,Customer_Dim!$A:$N,9,FALSE())</f>
        <v>Andrea Jacobs</v>
      </c>
      <c r="T1665" s="4" t="str">
        <f>VLOOKUP(D1665,Product_Dim!$A:$M,3,FALSE())</f>
        <v>Electronics</v>
      </c>
      <c r="U1665" s="11" t="str">
        <f>VLOOKUP(D1665,Product_Dim!$A:$M,2,FALSE())</f>
        <v>Wireless Bluetooth Earbuds</v>
      </c>
      <c r="V1665" s="11" t="str">
        <f>VLOOKUP(E1665,Store_Dim!$A:$E,3,FALSE())</f>
        <v>North</v>
      </c>
      <c r="W1665" s="11" t="str">
        <f>VLOOKUP(C1665,Customer_Dim!$A:$N,13,FALSE())</f>
        <v>Platinum</v>
      </c>
      <c r="X1665" s="11" t="str">
        <f t="shared" si="181"/>
        <v>High</v>
      </c>
    </row>
    <row r="1666" spans="1:24" ht="15.75" customHeight="1">
      <c r="A1666" s="4" t="s">
        <v>3662</v>
      </c>
      <c r="B1666" s="9">
        <v>45832</v>
      </c>
      <c r="C1666" s="4" t="s">
        <v>496</v>
      </c>
      <c r="D1666" s="4" t="s">
        <v>1640</v>
      </c>
      <c r="E1666" s="4" t="s">
        <v>1968</v>
      </c>
      <c r="F1666" s="4">
        <v>2</v>
      </c>
      <c r="G1666" s="4">
        <v>669.12</v>
      </c>
      <c r="H1666" s="4">
        <v>0.22</v>
      </c>
      <c r="I1666" s="4" t="s">
        <v>1996</v>
      </c>
      <c r="J1666" s="10">
        <v>1043.8271999999999</v>
      </c>
      <c r="K1666" s="4" t="str">
        <f t="shared" ref="K1666:K1729" si="182">TEXT(B1666,"dd-mm-yyyy")</f>
        <v>24-06-2025</v>
      </c>
      <c r="L1666" s="4" t="str">
        <f>TEXT(Sales_Fact!$B1666,"mmm")</f>
        <v>Jun</v>
      </c>
      <c r="M1666" s="4">
        <f t="shared" ref="M1666:M1729" si="183">IF(ISBLANK(F1666),1,F1666)</f>
        <v>2</v>
      </c>
      <c r="N1666" s="10">
        <f t="shared" ref="N1666:N1729" si="184">ROUNDUP(IF(ISBLANK(G1666),AVERAGE(C:C,G1666,G:G),G1666),2)</f>
        <v>669.12</v>
      </c>
      <c r="O1666" s="10">
        <f t="shared" ref="O1666:O1729" si="185">M1666*N1666*(1-H1666)</f>
        <v>1043.8271999999999</v>
      </c>
      <c r="P1666" s="10">
        <f t="shared" ref="P1666:P1729" si="186">M1666*N1666</f>
        <v>1338.24</v>
      </c>
      <c r="Q1666" s="3">
        <f t="shared" ref="Q1666:Q1729" si="187">(P1666-O1666)/P1666</f>
        <v>0.22000000000000006</v>
      </c>
      <c r="R1666" s="4" t="str">
        <f>IF(Sales_Fact!$O1666&gt;1000,"High","Low")</f>
        <v>High</v>
      </c>
      <c r="S1666" s="4" t="str">
        <f>VLOOKUP(C1666,Customer_Dim!$A:$N,9,FALSE())</f>
        <v>Brian Holder</v>
      </c>
      <c r="T1666" s="4" t="str">
        <f>VLOOKUP(D1666,Product_Dim!$A:$M,3,FALSE())</f>
        <v>Electronics</v>
      </c>
      <c r="U1666" s="11" t="str">
        <f>VLOOKUP(D1666,Product_Dim!$A:$M,2,FALSE())</f>
        <v>4K Home Projector</v>
      </c>
      <c r="V1666" s="11" t="str">
        <f>VLOOKUP(E1666,Store_Dim!$A:$E,3,FALSE())</f>
        <v>East</v>
      </c>
      <c r="W1666" s="11" t="str">
        <f>VLOOKUP(C1666,Customer_Dim!$A:$N,13,FALSE())</f>
        <v>Bronze</v>
      </c>
      <c r="X1666" s="11" t="str">
        <f t="shared" ref="X1666:X1729" si="188">IF(F1666&gt;3,"High","Low")</f>
        <v>Low</v>
      </c>
    </row>
    <row r="1667" spans="1:24" ht="15.75" customHeight="1">
      <c r="A1667" s="4" t="s">
        <v>3663</v>
      </c>
      <c r="B1667" s="9">
        <v>45530</v>
      </c>
      <c r="C1667" s="4" t="s">
        <v>174</v>
      </c>
      <c r="D1667" s="4" t="s">
        <v>1712</v>
      </c>
      <c r="E1667" s="4" t="s">
        <v>1937</v>
      </c>
      <c r="F1667" s="4">
        <v>3</v>
      </c>
      <c r="G1667" s="4">
        <v>346.77</v>
      </c>
      <c r="H1667" s="4">
        <v>0.18</v>
      </c>
      <c r="I1667" s="4" t="s">
        <v>1998</v>
      </c>
      <c r="J1667" s="10">
        <v>853.05420000000004</v>
      </c>
      <c r="K1667" s="4" t="str">
        <f t="shared" si="182"/>
        <v>26-08-2024</v>
      </c>
      <c r="L1667" s="4" t="str">
        <f>TEXT(Sales_Fact!$B1667,"mmm")</f>
        <v>Aug</v>
      </c>
      <c r="M1667" s="4">
        <f t="shared" si="183"/>
        <v>3</v>
      </c>
      <c r="N1667" s="10">
        <f t="shared" si="184"/>
        <v>346.77</v>
      </c>
      <c r="O1667" s="10">
        <f t="shared" si="185"/>
        <v>853.05420000000004</v>
      </c>
      <c r="P1667" s="10">
        <f t="shared" si="186"/>
        <v>1040.31</v>
      </c>
      <c r="Q1667" s="3">
        <f t="shared" si="187"/>
        <v>0.17999999999999991</v>
      </c>
      <c r="R1667" s="4" t="str">
        <f>IF(Sales_Fact!$O1667&gt;1000,"High","Low")</f>
        <v>Low</v>
      </c>
      <c r="S1667" s="4" t="str">
        <f>VLOOKUP(C1667,Customer_Dim!$A:$N,9,FALSE())</f>
        <v>Tonya Reynolds</v>
      </c>
      <c r="T1667" s="4" t="str">
        <f>VLOOKUP(D1667,Product_Dim!$A:$M,3,FALSE())</f>
        <v>Clothing</v>
      </c>
      <c r="U1667" s="11" t="str">
        <f>VLOOKUP(D1667,Product_Dim!$A:$M,2,FALSE())</f>
        <v>Men's Casual Sneakers</v>
      </c>
      <c r="V1667" s="11" t="str">
        <f>VLOOKUP(E1667,Store_Dim!$A:$E,3,FALSE())</f>
        <v>South</v>
      </c>
      <c r="W1667" s="11" t="str">
        <f>VLOOKUP(C1667,Customer_Dim!$A:$N,13,FALSE())</f>
        <v>Gold</v>
      </c>
      <c r="X1667" s="11" t="str">
        <f t="shared" si="188"/>
        <v>Low</v>
      </c>
    </row>
    <row r="1668" spans="1:24" ht="15.75" customHeight="1">
      <c r="A1668" s="4" t="s">
        <v>3664</v>
      </c>
      <c r="B1668" s="9">
        <v>45939</v>
      </c>
      <c r="C1668" s="4" t="s">
        <v>242</v>
      </c>
      <c r="D1668" s="4" t="s">
        <v>1668</v>
      </c>
      <c r="E1668" s="4" t="s">
        <v>1971</v>
      </c>
      <c r="F1668" s="4">
        <v>3</v>
      </c>
      <c r="G1668" s="4">
        <v>648.33000000000004</v>
      </c>
      <c r="H1668" s="4">
        <v>0.2</v>
      </c>
      <c r="I1668" s="4" t="s">
        <v>2004</v>
      </c>
      <c r="J1668" s="10">
        <v>1555.992</v>
      </c>
      <c r="K1668" s="4" t="str">
        <f t="shared" si="182"/>
        <v>09-10-2025</v>
      </c>
      <c r="L1668" s="4" t="str">
        <f>TEXT(Sales_Fact!$B1668,"mmm")</f>
        <v>Oct</v>
      </c>
      <c r="M1668" s="4">
        <f t="shared" si="183"/>
        <v>3</v>
      </c>
      <c r="N1668" s="10">
        <f t="shared" si="184"/>
        <v>648.33000000000004</v>
      </c>
      <c r="O1668" s="10">
        <f t="shared" si="185"/>
        <v>1555.9920000000002</v>
      </c>
      <c r="P1668" s="10">
        <f t="shared" si="186"/>
        <v>1944.9900000000002</v>
      </c>
      <c r="Q1668" s="3">
        <f t="shared" si="187"/>
        <v>0.2</v>
      </c>
      <c r="R1668" s="4" t="str">
        <f>IF(Sales_Fact!$O1668&gt;1000,"High","Low")</f>
        <v>High</v>
      </c>
      <c r="S1668" s="4" t="str">
        <f>VLOOKUP(C1668,Customer_Dim!$A:$N,9,FALSE())</f>
        <v>Alyssa Vargas</v>
      </c>
      <c r="T1668" s="4" t="str">
        <f>VLOOKUP(D1668,Product_Dim!$A:$M,3,FALSE())</f>
        <v>Clothing</v>
      </c>
      <c r="U1668" s="11" t="str">
        <f>VLOOKUP(D1668,Product_Dim!$A:$M,2,FALSE())</f>
        <v>Men's Formal Shirt</v>
      </c>
      <c r="V1668" s="11" t="str">
        <f>VLOOKUP(E1668,Store_Dim!$A:$E,3,FALSE())</f>
        <v>East</v>
      </c>
      <c r="W1668" s="11" t="str">
        <f>VLOOKUP(C1668,Customer_Dim!$A:$N,13,FALSE())</f>
        <v>Platinum</v>
      </c>
      <c r="X1668" s="11" t="str">
        <f t="shared" si="188"/>
        <v>Low</v>
      </c>
    </row>
    <row r="1669" spans="1:24" ht="15.75" customHeight="1">
      <c r="A1669" s="4" t="s">
        <v>3665</v>
      </c>
      <c r="B1669" s="9">
        <v>45248</v>
      </c>
      <c r="C1669" s="4" t="s">
        <v>535</v>
      </c>
      <c r="D1669" s="4" t="s">
        <v>1816</v>
      </c>
      <c r="E1669" s="4" t="s">
        <v>1940</v>
      </c>
      <c r="F1669" s="4">
        <v>4</v>
      </c>
      <c r="G1669" s="4">
        <v>342.39</v>
      </c>
      <c r="H1669" s="4">
        <v>0.23</v>
      </c>
      <c r="I1669" s="4" t="s">
        <v>1998</v>
      </c>
      <c r="J1669" s="10">
        <v>1054.5612000000001</v>
      </c>
      <c r="K1669" s="4" t="str">
        <f t="shared" si="182"/>
        <v>18-11-2023</v>
      </c>
      <c r="L1669" s="4" t="str">
        <f>TEXT(Sales_Fact!$B1669,"mmm")</f>
        <v>Nov</v>
      </c>
      <c r="M1669" s="4">
        <f t="shared" si="183"/>
        <v>4</v>
      </c>
      <c r="N1669" s="10">
        <f t="shared" si="184"/>
        <v>342.39</v>
      </c>
      <c r="O1669" s="10">
        <f t="shared" si="185"/>
        <v>1054.5611999999999</v>
      </c>
      <c r="P1669" s="10">
        <f t="shared" si="186"/>
        <v>1369.56</v>
      </c>
      <c r="Q1669" s="3">
        <f t="shared" si="187"/>
        <v>0.23000000000000007</v>
      </c>
      <c r="R1669" s="4" t="str">
        <f>IF(Sales_Fact!$O1669&gt;1000,"High","Low")</f>
        <v>High</v>
      </c>
      <c r="S1669" s="4" t="str">
        <f>VLOOKUP(C1669,Customer_Dim!$A:$N,9,FALSE())</f>
        <v>Patrick Roberts</v>
      </c>
      <c r="T1669" s="4" t="str">
        <f>VLOOKUP(D1669,Product_Dim!$A:$M,3,FALSE())</f>
        <v>Home</v>
      </c>
      <c r="U1669" s="11" t="str">
        <f>VLOOKUP(D1669,Product_Dim!$A:$M,2,FALSE())</f>
        <v>Kitchen Storage Rack</v>
      </c>
      <c r="V1669" s="11" t="str">
        <f>VLOOKUP(E1669,Store_Dim!$A:$E,3,FALSE())</f>
        <v>West</v>
      </c>
      <c r="W1669" s="11" t="str">
        <f>VLOOKUP(C1669,Customer_Dim!$A:$N,13,FALSE())</f>
        <v>Platinum</v>
      </c>
      <c r="X1669" s="11" t="str">
        <f t="shared" si="188"/>
        <v>High</v>
      </c>
    </row>
    <row r="1670" spans="1:24" ht="15.75" customHeight="1">
      <c r="A1670" s="4" t="s">
        <v>3666</v>
      </c>
      <c r="B1670" s="9">
        <v>45849</v>
      </c>
      <c r="C1670" s="4" t="s">
        <v>239</v>
      </c>
      <c r="D1670" s="4" t="s">
        <v>1785</v>
      </c>
      <c r="E1670" s="4" t="s">
        <v>1931</v>
      </c>
      <c r="F1670" s="4">
        <v>3</v>
      </c>
      <c r="G1670" s="4">
        <v>92.24</v>
      </c>
      <c r="H1670" s="4">
        <v>0.28000000000000003</v>
      </c>
      <c r="I1670" s="4" t="s">
        <v>2004</v>
      </c>
      <c r="J1670" s="10"/>
      <c r="K1670" s="4" t="str">
        <f t="shared" si="182"/>
        <v>11-07-2025</v>
      </c>
      <c r="L1670" s="4" t="str">
        <f>TEXT(Sales_Fact!$B1670,"mmm")</f>
        <v>Jul</v>
      </c>
      <c r="M1670" s="4">
        <f t="shared" si="183"/>
        <v>3</v>
      </c>
      <c r="N1670" s="10">
        <f t="shared" si="184"/>
        <v>92.24</v>
      </c>
      <c r="O1670" s="10">
        <f t="shared" si="185"/>
        <v>199.23839999999998</v>
      </c>
      <c r="P1670" s="10">
        <f t="shared" si="186"/>
        <v>276.71999999999997</v>
      </c>
      <c r="Q1670" s="3">
        <f t="shared" si="187"/>
        <v>0.27999999999999997</v>
      </c>
      <c r="R1670" s="4" t="str">
        <f>IF(Sales_Fact!$O1670&gt;1000,"High","Low")</f>
        <v>Low</v>
      </c>
      <c r="S1670" s="4" t="str">
        <f>VLOOKUP(C1670,Customer_Dim!$A:$N,9,FALSE())</f>
        <v>Cheryl Copeland</v>
      </c>
      <c r="T1670" s="4" t="str">
        <f>VLOOKUP(D1670,Product_Dim!$A:$M,3,FALSE())</f>
        <v>Beauty</v>
      </c>
      <c r="U1670" s="11" t="str">
        <f>VLOOKUP(D1670,Product_Dim!$A:$M,2,FALSE())</f>
        <v>Luxury Perfume Spray</v>
      </c>
      <c r="V1670" s="11" t="str">
        <f>VLOOKUP(E1670,Store_Dim!$A:$E,3,FALSE())</f>
        <v>North</v>
      </c>
      <c r="W1670" s="11" t="str">
        <f>VLOOKUP(C1670,Customer_Dim!$A:$N,13,FALSE())</f>
        <v>Platinum</v>
      </c>
      <c r="X1670" s="11" t="str">
        <f t="shared" si="188"/>
        <v>Low</v>
      </c>
    </row>
    <row r="1671" spans="1:24" ht="15.75" customHeight="1">
      <c r="A1671" s="4" t="s">
        <v>3667</v>
      </c>
      <c r="B1671" s="9">
        <v>45401</v>
      </c>
      <c r="C1671" s="4" t="s">
        <v>933</v>
      </c>
      <c r="D1671" s="4" t="s">
        <v>1603</v>
      </c>
      <c r="E1671" s="4" t="s">
        <v>1919</v>
      </c>
      <c r="F1671" s="4">
        <v>4</v>
      </c>
      <c r="G1671" s="4">
        <v>254.94</v>
      </c>
      <c r="H1671" s="4">
        <v>0.06</v>
      </c>
      <c r="I1671" s="4" t="s">
        <v>1998</v>
      </c>
      <c r="J1671" s="10">
        <v>958.57439999999997</v>
      </c>
      <c r="K1671" s="4" t="str">
        <f t="shared" si="182"/>
        <v>19-04-2024</v>
      </c>
      <c r="L1671" s="4" t="str">
        <f>TEXT(Sales_Fact!$B1671,"mmm")</f>
        <v>Apr</v>
      </c>
      <c r="M1671" s="4">
        <f t="shared" si="183"/>
        <v>4</v>
      </c>
      <c r="N1671" s="10">
        <f t="shared" si="184"/>
        <v>254.94</v>
      </c>
      <c r="O1671" s="10">
        <f t="shared" si="185"/>
        <v>958.57439999999997</v>
      </c>
      <c r="P1671" s="10">
        <f t="shared" si="186"/>
        <v>1019.76</v>
      </c>
      <c r="Q1671" s="3">
        <f t="shared" si="187"/>
        <v>6.0000000000000026E-2</v>
      </c>
      <c r="R1671" s="4" t="str">
        <f>IF(Sales_Fact!$O1671&gt;1000,"High","Low")</f>
        <v>Low</v>
      </c>
      <c r="S1671" s="4" t="str">
        <f>VLOOKUP(C1671,Customer_Dim!$A:$N,9,FALSE())</f>
        <v>Donna Guerra</v>
      </c>
      <c r="T1671" s="4" t="str">
        <f>VLOOKUP(D1671,Product_Dim!$A:$M,3,FALSE())</f>
        <v>Beauty</v>
      </c>
      <c r="U1671" s="11" t="str">
        <f>VLOOKUP(D1671,Product_Dim!$A:$M,2,FALSE())</f>
        <v>Herbal Face Moisturizer</v>
      </c>
      <c r="V1671" s="11" t="str">
        <f>VLOOKUP(E1671,Store_Dim!$A:$E,3,FALSE())</f>
        <v>South</v>
      </c>
      <c r="W1671" s="11" t="str">
        <f>VLOOKUP(C1671,Customer_Dim!$A:$N,13,FALSE())</f>
        <v>Silver</v>
      </c>
      <c r="X1671" s="11" t="str">
        <f t="shared" si="188"/>
        <v>High</v>
      </c>
    </row>
    <row r="1672" spans="1:24" ht="15.75" customHeight="1">
      <c r="A1672" s="4" t="s">
        <v>3668</v>
      </c>
      <c r="B1672" s="9">
        <v>45420</v>
      </c>
      <c r="C1672" s="4" t="s">
        <v>1090</v>
      </c>
      <c r="D1672" s="4" t="s">
        <v>1849</v>
      </c>
      <c r="E1672" s="4" t="s">
        <v>1927</v>
      </c>
      <c r="F1672" s="4">
        <v>1</v>
      </c>
      <c r="G1672" s="4">
        <v>445.5</v>
      </c>
      <c r="H1672" s="4">
        <v>0.28000000000000003</v>
      </c>
      <c r="I1672" s="4" t="s">
        <v>1996</v>
      </c>
      <c r="J1672" s="10">
        <v>320.76</v>
      </c>
      <c r="K1672" s="4" t="str">
        <f t="shared" si="182"/>
        <v>08-05-2024</v>
      </c>
      <c r="L1672" s="4" t="str">
        <f>TEXT(Sales_Fact!$B1672,"mmm")</f>
        <v>May</v>
      </c>
      <c r="M1672" s="4">
        <f t="shared" si="183"/>
        <v>1</v>
      </c>
      <c r="N1672" s="10">
        <f t="shared" si="184"/>
        <v>445.5</v>
      </c>
      <c r="O1672" s="10">
        <f t="shared" si="185"/>
        <v>320.76</v>
      </c>
      <c r="P1672" s="10">
        <f t="shared" si="186"/>
        <v>445.5</v>
      </c>
      <c r="Q1672" s="3">
        <f t="shared" si="187"/>
        <v>0.28000000000000003</v>
      </c>
      <c r="R1672" s="4" t="str">
        <f>IF(Sales_Fact!$O1672&gt;1000,"High","Low")</f>
        <v>Low</v>
      </c>
      <c r="S1672" s="4" t="str">
        <f>VLOOKUP(C1672,Customer_Dim!$A:$N,9,FALSE())</f>
        <v>Jasmine Snyder</v>
      </c>
      <c r="T1672" s="4" t="str">
        <f>VLOOKUP(D1672,Product_Dim!$A:$M,3,FALSE())</f>
        <v>Sports</v>
      </c>
      <c r="U1672" s="11" t="str">
        <f>VLOOKUP(D1672,Product_Dim!$A:$M,2,FALSE())</f>
        <v>Badminton Racket Set</v>
      </c>
      <c r="V1672" s="11" t="str">
        <f>VLOOKUP(E1672,Store_Dim!$A:$E,3,FALSE())</f>
        <v>South</v>
      </c>
      <c r="W1672" s="11" t="str">
        <f>VLOOKUP(C1672,Customer_Dim!$A:$N,13,FALSE())</f>
        <v>Silver</v>
      </c>
      <c r="X1672" s="11" t="str">
        <f t="shared" si="188"/>
        <v>Low</v>
      </c>
    </row>
    <row r="1673" spans="1:24" ht="15.75" customHeight="1">
      <c r="A1673" s="4" t="s">
        <v>3669</v>
      </c>
      <c r="B1673" s="9">
        <v>45459</v>
      </c>
      <c r="C1673" s="4" t="s">
        <v>743</v>
      </c>
      <c r="D1673" s="4" t="s">
        <v>1876</v>
      </c>
      <c r="E1673" s="4" t="s">
        <v>1927</v>
      </c>
      <c r="F1673" s="4">
        <v>1</v>
      </c>
      <c r="G1673" s="4">
        <v>900.94</v>
      </c>
      <c r="H1673" s="4">
        <v>0.1</v>
      </c>
      <c r="I1673" s="4" t="s">
        <v>1996</v>
      </c>
      <c r="J1673" s="10">
        <v>810.846</v>
      </c>
      <c r="K1673" s="4" t="str">
        <f t="shared" si="182"/>
        <v>16-06-2024</v>
      </c>
      <c r="L1673" s="4" t="str">
        <f>TEXT(Sales_Fact!$B1673,"mmm")</f>
        <v>Jun</v>
      </c>
      <c r="M1673" s="4">
        <f t="shared" si="183"/>
        <v>1</v>
      </c>
      <c r="N1673" s="10">
        <f t="shared" si="184"/>
        <v>900.94</v>
      </c>
      <c r="O1673" s="10">
        <f t="shared" si="185"/>
        <v>810.84600000000012</v>
      </c>
      <c r="P1673" s="10">
        <f t="shared" si="186"/>
        <v>900.94</v>
      </c>
      <c r="Q1673" s="3">
        <f t="shared" si="187"/>
        <v>9.9999999999999922E-2</v>
      </c>
      <c r="R1673" s="4" t="str">
        <f>IF(Sales_Fact!$O1673&gt;1000,"High","Low")</f>
        <v>Low</v>
      </c>
      <c r="S1673" s="4" t="str">
        <f>VLOOKUP(C1673,Customer_Dim!$A:$N,9,FALSE())</f>
        <v>Lisa Young</v>
      </c>
      <c r="T1673" s="4" t="str">
        <f>VLOOKUP(D1673,Product_Dim!$A:$M,3,FALSE())</f>
        <v>Electronics</v>
      </c>
      <c r="U1673" s="11" t="str">
        <f>VLOOKUP(D1673,Product_Dim!$A:$M,2,FALSE())</f>
        <v>Gaming Mouse Pad XL</v>
      </c>
      <c r="V1673" s="11" t="str">
        <f>VLOOKUP(E1673,Store_Dim!$A:$E,3,FALSE())</f>
        <v>South</v>
      </c>
      <c r="W1673" s="11" t="str">
        <f>VLOOKUP(C1673,Customer_Dim!$A:$N,13,FALSE())</f>
        <v>Platinum</v>
      </c>
      <c r="X1673" s="11" t="str">
        <f t="shared" si="188"/>
        <v>Low</v>
      </c>
    </row>
    <row r="1674" spans="1:24" ht="15.75" customHeight="1">
      <c r="A1674" s="4" t="s">
        <v>3670</v>
      </c>
      <c r="B1674" s="9">
        <v>45429</v>
      </c>
      <c r="C1674" s="4" t="s">
        <v>668</v>
      </c>
      <c r="D1674" s="4" t="s">
        <v>1640</v>
      </c>
      <c r="E1674" s="4" t="s">
        <v>1962</v>
      </c>
      <c r="F1674" s="4">
        <v>3</v>
      </c>
      <c r="G1674" s="4">
        <v>262.69</v>
      </c>
      <c r="H1674" s="4">
        <v>0.04</v>
      </c>
      <c r="I1674" s="4" t="s">
        <v>1998</v>
      </c>
      <c r="J1674" s="10">
        <v>756.54719999999998</v>
      </c>
      <c r="K1674" s="4" t="str">
        <f t="shared" si="182"/>
        <v>17-05-2024</v>
      </c>
      <c r="L1674" s="4" t="str">
        <f>TEXT(Sales_Fact!$B1674,"mmm")</f>
        <v>May</v>
      </c>
      <c r="M1674" s="4">
        <f t="shared" si="183"/>
        <v>3</v>
      </c>
      <c r="N1674" s="10">
        <f t="shared" si="184"/>
        <v>262.69</v>
      </c>
      <c r="O1674" s="10">
        <f t="shared" si="185"/>
        <v>756.54719999999986</v>
      </c>
      <c r="P1674" s="10">
        <f t="shared" si="186"/>
        <v>788.06999999999994</v>
      </c>
      <c r="Q1674" s="3">
        <f t="shared" si="187"/>
        <v>4.0000000000000098E-2</v>
      </c>
      <c r="R1674" s="4" t="str">
        <f>IF(Sales_Fact!$O1674&gt;1000,"High","Low")</f>
        <v>Low</v>
      </c>
      <c r="S1674" s="4" t="str">
        <f>VLOOKUP(C1674,Customer_Dim!$A:$N,9,FALSE())</f>
        <v>Megan Greer</v>
      </c>
      <c r="T1674" s="4" t="str">
        <f>VLOOKUP(D1674,Product_Dim!$A:$M,3,FALSE())</f>
        <v>Electronics</v>
      </c>
      <c r="U1674" s="11" t="str">
        <f>VLOOKUP(D1674,Product_Dim!$A:$M,2,FALSE())</f>
        <v>4K Home Projector</v>
      </c>
      <c r="V1674" s="11" t="str">
        <f>VLOOKUP(E1674,Store_Dim!$A:$E,3,FALSE())</f>
        <v>West</v>
      </c>
      <c r="W1674" s="11" t="str">
        <f>VLOOKUP(C1674,Customer_Dim!$A:$N,13,FALSE())</f>
        <v>Platinum</v>
      </c>
      <c r="X1674" s="11" t="str">
        <f t="shared" si="188"/>
        <v>Low</v>
      </c>
    </row>
    <row r="1675" spans="1:24" ht="15.75" customHeight="1">
      <c r="A1675" s="4" t="s">
        <v>3671</v>
      </c>
      <c r="B1675" s="9">
        <v>45386</v>
      </c>
      <c r="C1675" s="4" t="s">
        <v>1513</v>
      </c>
      <c r="D1675" s="4" t="s">
        <v>1809</v>
      </c>
      <c r="E1675" s="4" t="s">
        <v>1919</v>
      </c>
      <c r="F1675" s="4">
        <v>3</v>
      </c>
      <c r="G1675" s="4">
        <v>212.72</v>
      </c>
      <c r="H1675" s="4">
        <v>0.22</v>
      </c>
      <c r="I1675" s="4" t="s">
        <v>1998</v>
      </c>
      <c r="J1675" s="10">
        <v>497.76479999999998</v>
      </c>
      <c r="K1675" s="4" t="str">
        <f t="shared" si="182"/>
        <v>04-04-2024</v>
      </c>
      <c r="L1675" s="4" t="str">
        <f>TEXT(Sales_Fact!$B1675,"mmm")</f>
        <v>Apr</v>
      </c>
      <c r="M1675" s="4">
        <f t="shared" si="183"/>
        <v>3</v>
      </c>
      <c r="N1675" s="10">
        <f t="shared" si="184"/>
        <v>212.72</v>
      </c>
      <c r="O1675" s="10">
        <f t="shared" si="185"/>
        <v>497.76479999999998</v>
      </c>
      <c r="P1675" s="10">
        <f t="shared" si="186"/>
        <v>638.16</v>
      </c>
      <c r="Q1675" s="3">
        <f t="shared" si="187"/>
        <v>0.22</v>
      </c>
      <c r="R1675" s="4" t="str">
        <f>IF(Sales_Fact!$O1675&gt;1000,"High","Low")</f>
        <v>Low</v>
      </c>
      <c r="S1675" s="4" t="str">
        <f>VLOOKUP(C1675,Customer_Dim!$A:$N,9,FALSE())</f>
        <v>Sheri Joyce</v>
      </c>
      <c r="T1675" s="4" t="str">
        <f>VLOOKUP(D1675,Product_Dim!$A:$M,3,FALSE())</f>
        <v>Home</v>
      </c>
      <c r="U1675" s="11" t="str">
        <f>VLOOKUP(D1675,Product_Dim!$A:$M,2,FALSE())</f>
        <v>Wooden Nightstand</v>
      </c>
      <c r="V1675" s="11" t="str">
        <f>VLOOKUP(E1675,Store_Dim!$A:$E,3,FALSE())</f>
        <v>South</v>
      </c>
      <c r="W1675" s="11" t="str">
        <f>VLOOKUP(C1675,Customer_Dim!$A:$N,13,FALSE())</f>
        <v>Platinum</v>
      </c>
      <c r="X1675" s="11" t="str">
        <f t="shared" si="188"/>
        <v>Low</v>
      </c>
    </row>
    <row r="1676" spans="1:24" ht="15.75" customHeight="1">
      <c r="A1676" s="4" t="s">
        <v>3672</v>
      </c>
      <c r="B1676" s="9">
        <v>45803</v>
      </c>
      <c r="C1676" s="4" t="s">
        <v>532</v>
      </c>
      <c r="D1676" s="4" t="s">
        <v>1671</v>
      </c>
      <c r="E1676" s="4" t="s">
        <v>1968</v>
      </c>
      <c r="F1676" s="4">
        <v>4</v>
      </c>
      <c r="G1676" s="4">
        <v>757.9</v>
      </c>
      <c r="H1676" s="4">
        <v>0.22</v>
      </c>
      <c r="I1676" s="4" t="s">
        <v>1998</v>
      </c>
      <c r="J1676" s="10">
        <v>2364.6480000000001</v>
      </c>
      <c r="K1676" s="4" t="str">
        <f t="shared" si="182"/>
        <v>26-05-2025</v>
      </c>
      <c r="L1676" s="4" t="str">
        <f>TEXT(Sales_Fact!$B1676,"mmm")</f>
        <v>May</v>
      </c>
      <c r="M1676" s="4">
        <f t="shared" si="183"/>
        <v>4</v>
      </c>
      <c r="N1676" s="10">
        <f t="shared" si="184"/>
        <v>757.9</v>
      </c>
      <c r="O1676" s="10">
        <f t="shared" si="185"/>
        <v>2364.6480000000001</v>
      </c>
      <c r="P1676" s="10">
        <f t="shared" si="186"/>
        <v>3031.6</v>
      </c>
      <c r="Q1676" s="3">
        <f t="shared" si="187"/>
        <v>0.21999999999999992</v>
      </c>
      <c r="R1676" s="4" t="str">
        <f>IF(Sales_Fact!$O1676&gt;1000,"High","Low")</f>
        <v>High</v>
      </c>
      <c r="S1676" s="4" t="str">
        <f>VLOOKUP(C1676,Customer_Dim!$A:$N,9,FALSE())</f>
        <v>Michael Davies</v>
      </c>
      <c r="T1676" s="4" t="str">
        <f>VLOOKUP(D1676,Product_Dim!$A:$M,3,FALSE())</f>
        <v>Sports</v>
      </c>
      <c r="U1676" s="11" t="str">
        <f>VLOOKUP(D1676,Product_Dim!$A:$M,2,FALSE())</f>
        <v>Foldable Camping Chair</v>
      </c>
      <c r="V1676" s="11" t="str">
        <f>VLOOKUP(E1676,Store_Dim!$A:$E,3,FALSE())</f>
        <v>East</v>
      </c>
      <c r="W1676" s="11" t="str">
        <f>VLOOKUP(C1676,Customer_Dim!$A:$N,13,FALSE())</f>
        <v>Gold</v>
      </c>
      <c r="X1676" s="11" t="str">
        <f t="shared" si="188"/>
        <v>High</v>
      </c>
    </row>
    <row r="1677" spans="1:24" ht="15.75" customHeight="1">
      <c r="A1677" s="4" t="s">
        <v>3673</v>
      </c>
      <c r="B1677" s="9">
        <v>45346</v>
      </c>
      <c r="C1677" s="4" t="s">
        <v>98</v>
      </c>
      <c r="D1677" s="4" t="s">
        <v>1846</v>
      </c>
      <c r="E1677" s="4" t="s">
        <v>1965</v>
      </c>
      <c r="F1677" s="4">
        <v>1</v>
      </c>
      <c r="G1677" s="4">
        <v>846.04</v>
      </c>
      <c r="H1677" s="4">
        <v>0.08</v>
      </c>
      <c r="I1677" s="4" t="s">
        <v>1998</v>
      </c>
      <c r="J1677" s="10">
        <v>778.35680000000002</v>
      </c>
      <c r="K1677" s="4" t="str">
        <f t="shared" si="182"/>
        <v>24-02-2024</v>
      </c>
      <c r="L1677" s="4" t="str">
        <f>TEXT(Sales_Fact!$B1677,"mmm")</f>
        <v>Feb</v>
      </c>
      <c r="M1677" s="4">
        <f t="shared" si="183"/>
        <v>1</v>
      </c>
      <c r="N1677" s="10">
        <f t="shared" si="184"/>
        <v>846.04</v>
      </c>
      <c r="O1677" s="10">
        <f t="shared" si="185"/>
        <v>778.35680000000002</v>
      </c>
      <c r="P1677" s="10">
        <f t="shared" si="186"/>
        <v>846.04</v>
      </c>
      <c r="Q1677" s="3">
        <f t="shared" si="187"/>
        <v>7.9999999999999932E-2</v>
      </c>
      <c r="R1677" s="4" t="str">
        <f>IF(Sales_Fact!$O1677&gt;1000,"High","Low")</f>
        <v>Low</v>
      </c>
      <c r="S1677" s="4" t="str">
        <f>VLOOKUP(C1677,Customer_Dim!$A:$N,9,FALSE())</f>
        <v>Adam Cruz</v>
      </c>
      <c r="T1677" s="4" t="str">
        <f>VLOOKUP(D1677,Product_Dim!$A:$M,3,FALSE())</f>
        <v>Home</v>
      </c>
      <c r="U1677" s="11" t="str">
        <f>VLOOKUP(D1677,Product_Dim!$A:$M,2,FALSE())</f>
        <v>Wall-Mounted Spice Rack</v>
      </c>
      <c r="V1677" s="11" t="str">
        <f>VLOOKUP(E1677,Store_Dim!$A:$E,3,FALSE())</f>
        <v>North</v>
      </c>
      <c r="W1677" s="11" t="str">
        <f>VLOOKUP(C1677,Customer_Dim!$A:$N,13,FALSE())</f>
        <v>Platinum</v>
      </c>
      <c r="X1677" s="11" t="str">
        <f t="shared" si="188"/>
        <v>Low</v>
      </c>
    </row>
    <row r="1678" spans="1:24" ht="15.75" customHeight="1">
      <c r="A1678" s="4" t="s">
        <v>3674</v>
      </c>
      <c r="B1678" s="9">
        <v>45267</v>
      </c>
      <c r="C1678" s="4" t="s">
        <v>556</v>
      </c>
      <c r="D1678" s="4" t="s">
        <v>1716</v>
      </c>
      <c r="E1678" s="4" t="s">
        <v>1937</v>
      </c>
      <c r="F1678" s="4">
        <v>3</v>
      </c>
      <c r="G1678" s="4">
        <v>179.7</v>
      </c>
      <c r="H1678" s="4">
        <v>0.17</v>
      </c>
      <c r="I1678" s="4" t="s">
        <v>2004</v>
      </c>
      <c r="J1678" s="10">
        <v>447.45299999999997</v>
      </c>
      <c r="K1678" s="4" t="str">
        <f t="shared" si="182"/>
        <v>07-12-2023</v>
      </c>
      <c r="L1678" s="4" t="str">
        <f>TEXT(Sales_Fact!$B1678,"mmm")</f>
        <v>Dec</v>
      </c>
      <c r="M1678" s="4">
        <f t="shared" si="183"/>
        <v>3</v>
      </c>
      <c r="N1678" s="10">
        <f t="shared" si="184"/>
        <v>179.7</v>
      </c>
      <c r="O1678" s="10">
        <f t="shared" si="185"/>
        <v>447.45299999999992</v>
      </c>
      <c r="P1678" s="10">
        <f t="shared" si="186"/>
        <v>539.09999999999991</v>
      </c>
      <c r="Q1678" s="3">
        <f t="shared" si="187"/>
        <v>0.17</v>
      </c>
      <c r="R1678" s="4" t="str">
        <f>IF(Sales_Fact!$O1678&gt;1000,"High","Low")</f>
        <v>Low</v>
      </c>
      <c r="S1678" s="4" t="str">
        <f>VLOOKUP(C1678,Customer_Dim!$A:$N,9,FALSE())</f>
        <v>Brian Choi</v>
      </c>
      <c r="T1678" s="4" t="str">
        <f>VLOOKUP(D1678,Product_Dim!$A:$M,3,FALSE())</f>
        <v>Sports</v>
      </c>
      <c r="U1678" s="11" t="str">
        <f>VLOOKUP(D1678,Product_Dim!$A:$M,2,FALSE())</f>
        <v>Sports Water Hydration Pack</v>
      </c>
      <c r="V1678" s="11" t="str">
        <f>VLOOKUP(E1678,Store_Dim!$A:$E,3,FALSE())</f>
        <v>South</v>
      </c>
      <c r="W1678" s="11" t="str">
        <f>VLOOKUP(C1678,Customer_Dim!$A:$N,13,FALSE())</f>
        <v>Gold</v>
      </c>
      <c r="X1678" s="11" t="str">
        <f t="shared" si="188"/>
        <v>Low</v>
      </c>
    </row>
    <row r="1679" spans="1:24" ht="15.75" customHeight="1">
      <c r="A1679" s="4" t="s">
        <v>3675</v>
      </c>
      <c r="B1679" s="9">
        <v>45572</v>
      </c>
      <c r="C1679" s="4" t="s">
        <v>1409</v>
      </c>
      <c r="D1679" s="4" t="s">
        <v>1693</v>
      </c>
      <c r="E1679" s="4" t="s">
        <v>1927</v>
      </c>
      <c r="F1679" s="4">
        <v>4</v>
      </c>
      <c r="G1679" s="4">
        <v>681.08</v>
      </c>
      <c r="H1679" s="4">
        <v>0</v>
      </c>
      <c r="I1679" s="4" t="s">
        <v>1998</v>
      </c>
      <c r="J1679" s="10">
        <v>2724.32</v>
      </c>
      <c r="K1679" s="4" t="str">
        <f t="shared" si="182"/>
        <v>07-10-2024</v>
      </c>
      <c r="L1679" s="4" t="str">
        <f>TEXT(Sales_Fact!$B1679,"mmm")</f>
        <v>Oct</v>
      </c>
      <c r="M1679" s="4">
        <f t="shared" si="183"/>
        <v>4</v>
      </c>
      <c r="N1679" s="10">
        <f t="shared" si="184"/>
        <v>681.08</v>
      </c>
      <c r="O1679" s="10">
        <f t="shared" si="185"/>
        <v>2724.32</v>
      </c>
      <c r="P1679" s="10">
        <f t="shared" si="186"/>
        <v>2724.32</v>
      </c>
      <c r="Q1679" s="3">
        <f t="shared" si="187"/>
        <v>0</v>
      </c>
      <c r="R1679" s="4" t="str">
        <f>IF(Sales_Fact!$O1679&gt;1000,"High","Low")</f>
        <v>High</v>
      </c>
      <c r="S1679" s="4" t="str">
        <f>VLOOKUP(C1679,Customer_Dim!$A:$N,9,FALSE())</f>
        <v>Shannon Turner</v>
      </c>
      <c r="T1679" s="4" t="str">
        <f>VLOOKUP(D1679,Product_Dim!$A:$M,3,FALSE())</f>
        <v>Sports</v>
      </c>
      <c r="U1679" s="11" t="str">
        <f>VLOOKUP(D1679,Product_Dim!$A:$M,2,FALSE())</f>
        <v>Basketball</v>
      </c>
      <c r="V1679" s="11" t="str">
        <f>VLOOKUP(E1679,Store_Dim!$A:$E,3,FALSE())</f>
        <v>South</v>
      </c>
      <c r="W1679" s="11" t="str">
        <f>VLOOKUP(C1679,Customer_Dim!$A:$N,13,FALSE())</f>
        <v>Silver</v>
      </c>
      <c r="X1679" s="11" t="str">
        <f t="shared" si="188"/>
        <v>High</v>
      </c>
    </row>
    <row r="1680" spans="1:24" ht="15.75" customHeight="1">
      <c r="A1680" s="4" t="s">
        <v>3676</v>
      </c>
      <c r="B1680" s="9">
        <v>45252</v>
      </c>
      <c r="C1680" s="4" t="s">
        <v>1283</v>
      </c>
      <c r="D1680" s="4" t="s">
        <v>1595</v>
      </c>
      <c r="E1680" s="4" t="s">
        <v>1937</v>
      </c>
      <c r="F1680" s="4">
        <v>4</v>
      </c>
      <c r="G1680" s="4">
        <v>723.44</v>
      </c>
      <c r="H1680" s="4">
        <v>0.14000000000000001</v>
      </c>
      <c r="I1680" s="4" t="s">
        <v>1998</v>
      </c>
      <c r="J1680" s="10">
        <v>2488.6336000000001</v>
      </c>
      <c r="K1680" s="4" t="str">
        <f t="shared" si="182"/>
        <v>22-11-2023</v>
      </c>
      <c r="L1680" s="4" t="str">
        <f>TEXT(Sales_Fact!$B1680,"mmm")</f>
        <v>Nov</v>
      </c>
      <c r="M1680" s="4">
        <f t="shared" si="183"/>
        <v>4</v>
      </c>
      <c r="N1680" s="10">
        <f t="shared" si="184"/>
        <v>723.44</v>
      </c>
      <c r="O1680" s="10">
        <f t="shared" si="185"/>
        <v>2488.6336000000001</v>
      </c>
      <c r="P1680" s="10">
        <f t="shared" si="186"/>
        <v>2893.76</v>
      </c>
      <c r="Q1680" s="3">
        <f t="shared" si="187"/>
        <v>0.14000000000000001</v>
      </c>
      <c r="R1680" s="4" t="str">
        <f>IF(Sales_Fact!$O1680&gt;1000,"High","Low")</f>
        <v>High</v>
      </c>
      <c r="S1680" s="4" t="str">
        <f>VLOOKUP(C1680,Customer_Dim!$A:$N,9,FALSE())</f>
        <v>Justin Ingram</v>
      </c>
      <c r="T1680" s="4" t="str">
        <f>VLOOKUP(D1680,Product_Dim!$A:$M,3,FALSE())</f>
        <v>Clothing</v>
      </c>
      <c r="U1680" s="11" t="str">
        <f>VLOOKUP(D1680,Product_Dim!$A:$M,2,FALSE())</f>
        <v>Women's Yoga Pants</v>
      </c>
      <c r="V1680" s="11" t="str">
        <f>VLOOKUP(E1680,Store_Dim!$A:$E,3,FALSE())</f>
        <v>South</v>
      </c>
      <c r="W1680" s="11" t="str">
        <f>VLOOKUP(C1680,Customer_Dim!$A:$N,13,FALSE())</f>
        <v>Bronze</v>
      </c>
      <c r="X1680" s="11" t="str">
        <f t="shared" si="188"/>
        <v>High</v>
      </c>
    </row>
    <row r="1681" spans="1:24" ht="15.75" customHeight="1">
      <c r="A1681" s="4" t="s">
        <v>3677</v>
      </c>
      <c r="B1681" s="9">
        <v>45889</v>
      </c>
      <c r="C1681" s="4" t="s">
        <v>583</v>
      </c>
      <c r="D1681" s="4" t="s">
        <v>1822</v>
      </c>
      <c r="E1681" s="4" t="s">
        <v>1915</v>
      </c>
      <c r="F1681" s="4">
        <v>2</v>
      </c>
      <c r="G1681" s="4">
        <v>668.3</v>
      </c>
      <c r="H1681" s="4">
        <v>7.0000000000000007E-2</v>
      </c>
      <c r="I1681" s="4" t="s">
        <v>1996</v>
      </c>
      <c r="J1681" s="10">
        <v>1243.038</v>
      </c>
      <c r="K1681" s="4" t="str">
        <f t="shared" si="182"/>
        <v>20-08-2025</v>
      </c>
      <c r="L1681" s="4" t="str">
        <f>TEXT(Sales_Fact!$B1681,"mmm")</f>
        <v>Aug</v>
      </c>
      <c r="M1681" s="4">
        <f t="shared" si="183"/>
        <v>2</v>
      </c>
      <c r="N1681" s="10">
        <f t="shared" si="184"/>
        <v>668.3</v>
      </c>
      <c r="O1681" s="10">
        <f t="shared" si="185"/>
        <v>1243.0379999999998</v>
      </c>
      <c r="P1681" s="10">
        <f t="shared" si="186"/>
        <v>1336.6</v>
      </c>
      <c r="Q1681" s="3">
        <f t="shared" si="187"/>
        <v>7.0000000000000104E-2</v>
      </c>
      <c r="R1681" s="4" t="str">
        <f>IF(Sales_Fact!$O1681&gt;1000,"High","Low")</f>
        <v>High</v>
      </c>
      <c r="S1681" s="4" t="str">
        <f>VLOOKUP(C1681,Customer_Dim!$A:$N,9,FALSE())</f>
        <v>Daniel Contreras</v>
      </c>
      <c r="T1681" s="4" t="str">
        <f>VLOOKUP(D1681,Product_Dim!$A:$M,3,FALSE())</f>
        <v>Sports</v>
      </c>
      <c r="U1681" s="11" t="str">
        <f>VLOOKUP(D1681,Product_Dim!$A:$M,2,FALSE())</f>
        <v>Professional Jump Rope</v>
      </c>
      <c r="V1681" s="11" t="str">
        <f>VLOOKUP(E1681,Store_Dim!$A:$E,3,FALSE())</f>
        <v>North</v>
      </c>
      <c r="W1681" s="11" t="str">
        <f>VLOOKUP(C1681,Customer_Dim!$A:$N,13,FALSE())</f>
        <v>Platinum</v>
      </c>
      <c r="X1681" s="11" t="str">
        <f t="shared" si="188"/>
        <v>Low</v>
      </c>
    </row>
    <row r="1682" spans="1:24" ht="15.75" customHeight="1">
      <c r="A1682" s="4" t="s">
        <v>3678</v>
      </c>
      <c r="B1682" s="9">
        <v>45939</v>
      </c>
      <c r="C1682" s="4" t="s">
        <v>457</v>
      </c>
      <c r="D1682" s="4" t="s">
        <v>1693</v>
      </c>
      <c r="E1682" s="4" t="s">
        <v>1957</v>
      </c>
      <c r="F1682" s="4">
        <v>4</v>
      </c>
      <c r="G1682" s="4">
        <v>471.89</v>
      </c>
      <c r="H1682" s="4">
        <v>0.12</v>
      </c>
      <c r="I1682" s="4" t="s">
        <v>2004</v>
      </c>
      <c r="J1682" s="10">
        <v>1661.0527999999999</v>
      </c>
      <c r="K1682" s="4" t="str">
        <f t="shared" si="182"/>
        <v>09-10-2025</v>
      </c>
      <c r="L1682" s="4" t="str">
        <f>TEXT(Sales_Fact!$B1682,"mmm")</f>
        <v>Oct</v>
      </c>
      <c r="M1682" s="4">
        <f t="shared" si="183"/>
        <v>4</v>
      </c>
      <c r="N1682" s="10">
        <f t="shared" si="184"/>
        <v>471.89</v>
      </c>
      <c r="O1682" s="10">
        <f t="shared" si="185"/>
        <v>1661.0527999999999</v>
      </c>
      <c r="P1682" s="10">
        <f t="shared" si="186"/>
        <v>1887.56</v>
      </c>
      <c r="Q1682" s="3">
        <f t="shared" si="187"/>
        <v>0.12000000000000001</v>
      </c>
      <c r="R1682" s="4" t="str">
        <f>IF(Sales_Fact!$O1682&gt;1000,"High","Low")</f>
        <v>High</v>
      </c>
      <c r="S1682" s="4" t="str">
        <f>VLOOKUP(C1682,Customer_Dim!$A:$N,9,FALSE())</f>
        <v>James Wolfe</v>
      </c>
      <c r="T1682" s="4" t="str">
        <f>VLOOKUP(D1682,Product_Dim!$A:$M,3,FALSE())</f>
        <v>Sports</v>
      </c>
      <c r="U1682" s="11" t="str">
        <f>VLOOKUP(D1682,Product_Dim!$A:$M,2,FALSE())</f>
        <v>Basketball</v>
      </c>
      <c r="V1682" s="11" t="str">
        <f>VLOOKUP(E1682,Store_Dim!$A:$E,3,FALSE())</f>
        <v>South</v>
      </c>
      <c r="W1682" s="11" t="str">
        <f>VLOOKUP(C1682,Customer_Dim!$A:$N,13,FALSE())</f>
        <v>Gold</v>
      </c>
      <c r="X1682" s="11" t="str">
        <f t="shared" si="188"/>
        <v>High</v>
      </c>
    </row>
    <row r="1683" spans="1:24" ht="15.75" customHeight="1">
      <c r="A1683" s="4" t="s">
        <v>3679</v>
      </c>
      <c r="B1683" s="9">
        <v>45559</v>
      </c>
      <c r="C1683" s="4" t="s">
        <v>1174</v>
      </c>
      <c r="D1683" s="4" t="s">
        <v>1819</v>
      </c>
      <c r="E1683" s="4" t="s">
        <v>1965</v>
      </c>
      <c r="F1683" s="4">
        <v>1</v>
      </c>
      <c r="G1683" s="4">
        <v>613.17999999999995</v>
      </c>
      <c r="H1683" s="4">
        <v>0.14000000000000001</v>
      </c>
      <c r="I1683" s="4" t="s">
        <v>2004</v>
      </c>
      <c r="J1683" s="10">
        <v>527.33479999999997</v>
      </c>
      <c r="K1683" s="4" t="str">
        <f t="shared" si="182"/>
        <v>24-09-2024</v>
      </c>
      <c r="L1683" s="4" t="str">
        <f>TEXT(Sales_Fact!$B1683,"mmm")</f>
        <v>Sep</v>
      </c>
      <c r="M1683" s="4">
        <f t="shared" si="183"/>
        <v>1</v>
      </c>
      <c r="N1683" s="10">
        <f t="shared" si="184"/>
        <v>613.17999999999995</v>
      </c>
      <c r="O1683" s="10">
        <f t="shared" si="185"/>
        <v>527.33479999999997</v>
      </c>
      <c r="P1683" s="10">
        <f t="shared" si="186"/>
        <v>613.17999999999995</v>
      </c>
      <c r="Q1683" s="3">
        <f t="shared" si="187"/>
        <v>0.13999999999999999</v>
      </c>
      <c r="R1683" s="4" t="str">
        <f>IF(Sales_Fact!$O1683&gt;1000,"High","Low")</f>
        <v>Low</v>
      </c>
      <c r="S1683" s="4" t="str">
        <f>VLOOKUP(C1683,Customer_Dim!$A:$N,9,FALSE())</f>
        <v>Mallory Allen</v>
      </c>
      <c r="T1683" s="4" t="str">
        <f>VLOOKUP(D1683,Product_Dim!$A:$M,3,FALSE())</f>
        <v>Beauty</v>
      </c>
      <c r="U1683" s="11" t="str">
        <f>VLOOKUP(D1683,Product_Dim!$A:$M,2,FALSE())</f>
        <v>Hair Repair Oil Treatment</v>
      </c>
      <c r="V1683" s="11" t="str">
        <f>VLOOKUP(E1683,Store_Dim!$A:$E,3,FALSE())</f>
        <v>North</v>
      </c>
      <c r="W1683" s="11" t="str">
        <f>VLOOKUP(C1683,Customer_Dim!$A:$N,13,FALSE())</f>
        <v>Platinum</v>
      </c>
      <c r="X1683" s="11" t="str">
        <f t="shared" si="188"/>
        <v>Low</v>
      </c>
    </row>
    <row r="1684" spans="1:24" ht="15.75" customHeight="1">
      <c r="A1684" s="4" t="s">
        <v>3680</v>
      </c>
      <c r="B1684" s="9">
        <v>45229</v>
      </c>
      <c r="C1684" s="4" t="s">
        <v>216</v>
      </c>
      <c r="D1684" s="4" t="s">
        <v>1732</v>
      </c>
      <c r="E1684" s="4" t="s">
        <v>1927</v>
      </c>
      <c r="F1684" s="4">
        <v>1</v>
      </c>
      <c r="G1684" s="4">
        <v>651.30999999999995</v>
      </c>
      <c r="H1684" s="4">
        <v>0.24</v>
      </c>
      <c r="I1684" s="4" t="s">
        <v>1998</v>
      </c>
      <c r="J1684" s="10">
        <v>494.99560000000002</v>
      </c>
      <c r="K1684" s="4" t="str">
        <f t="shared" si="182"/>
        <v>30-10-2023</v>
      </c>
      <c r="L1684" s="4" t="str">
        <f>TEXT(Sales_Fact!$B1684,"mmm")</f>
        <v>Oct</v>
      </c>
      <c r="M1684" s="4">
        <f t="shared" si="183"/>
        <v>1</v>
      </c>
      <c r="N1684" s="10">
        <f t="shared" si="184"/>
        <v>651.30999999999995</v>
      </c>
      <c r="O1684" s="10">
        <f t="shared" si="185"/>
        <v>494.99559999999997</v>
      </c>
      <c r="P1684" s="10">
        <f t="shared" si="186"/>
        <v>651.30999999999995</v>
      </c>
      <c r="Q1684" s="3">
        <f t="shared" si="187"/>
        <v>0.24</v>
      </c>
      <c r="R1684" s="4" t="str">
        <f>IF(Sales_Fact!$O1684&gt;1000,"High","Low")</f>
        <v>Low</v>
      </c>
      <c r="S1684" s="4" t="str">
        <f>VLOOKUP(C1684,Customer_Dim!$A:$N,9,FALSE())</f>
        <v>Sarah Rodgers</v>
      </c>
      <c r="T1684" s="4" t="str">
        <f>VLOOKUP(D1684,Product_Dim!$A:$M,3,FALSE())</f>
        <v>Electronics</v>
      </c>
      <c r="U1684" s="11" t="str">
        <f>VLOOKUP(D1684,Product_Dim!$A:$M,2,FALSE())</f>
        <v>USB External Hard Drive</v>
      </c>
      <c r="V1684" s="11" t="str">
        <f>VLOOKUP(E1684,Store_Dim!$A:$E,3,FALSE())</f>
        <v>South</v>
      </c>
      <c r="W1684" s="11" t="str">
        <f>VLOOKUP(C1684,Customer_Dim!$A:$N,13,FALSE())</f>
        <v>Gold</v>
      </c>
      <c r="X1684" s="11" t="str">
        <f t="shared" si="188"/>
        <v>Low</v>
      </c>
    </row>
    <row r="1685" spans="1:24" ht="15.75" customHeight="1">
      <c r="A1685" s="4" t="s">
        <v>3681</v>
      </c>
      <c r="B1685" s="9">
        <v>45333</v>
      </c>
      <c r="C1685" s="4" t="s">
        <v>124</v>
      </c>
      <c r="D1685" s="4" t="s">
        <v>1592</v>
      </c>
      <c r="E1685" s="4" t="s">
        <v>1934</v>
      </c>
      <c r="F1685" s="4">
        <v>2</v>
      </c>
      <c r="G1685" s="4">
        <v>635.14</v>
      </c>
      <c r="H1685" s="4">
        <v>0.1</v>
      </c>
      <c r="I1685" s="4" t="s">
        <v>2004</v>
      </c>
      <c r="J1685" s="10">
        <v>1143.252</v>
      </c>
      <c r="K1685" s="4" t="str">
        <f t="shared" si="182"/>
        <v>11-02-2024</v>
      </c>
      <c r="L1685" s="4" t="str">
        <f>TEXT(Sales_Fact!$B1685,"mmm")</f>
        <v>Feb</v>
      </c>
      <c r="M1685" s="4">
        <f t="shared" si="183"/>
        <v>2</v>
      </c>
      <c r="N1685" s="10">
        <f t="shared" si="184"/>
        <v>635.14</v>
      </c>
      <c r="O1685" s="10">
        <f t="shared" si="185"/>
        <v>1143.252</v>
      </c>
      <c r="P1685" s="10">
        <f t="shared" si="186"/>
        <v>1270.28</v>
      </c>
      <c r="Q1685" s="3">
        <f t="shared" si="187"/>
        <v>0.10000000000000002</v>
      </c>
      <c r="R1685" s="4" t="str">
        <f>IF(Sales_Fact!$O1685&gt;1000,"High","Low")</f>
        <v>High</v>
      </c>
      <c r="S1685" s="4" t="str">
        <f>VLOOKUP(C1685,Customer_Dim!$A:$N,9,FALSE())</f>
        <v>Heather Collins</v>
      </c>
      <c r="T1685" s="4" t="str">
        <f>VLOOKUP(D1685,Product_Dim!$A:$M,3,FALSE())</f>
        <v>Clothing</v>
      </c>
      <c r="U1685" s="11" t="str">
        <f>VLOOKUP(D1685,Product_Dim!$A:$M,2,FALSE())</f>
        <v>Men's Running Jacket</v>
      </c>
      <c r="V1685" s="11" t="str">
        <f>VLOOKUP(E1685,Store_Dim!$A:$E,3,FALSE())</f>
        <v>East</v>
      </c>
      <c r="W1685" s="11" t="str">
        <f>VLOOKUP(C1685,Customer_Dim!$A:$N,13,FALSE())</f>
        <v>Platinum</v>
      </c>
      <c r="X1685" s="11" t="str">
        <f t="shared" si="188"/>
        <v>Low</v>
      </c>
    </row>
    <row r="1686" spans="1:24" ht="15.75" customHeight="1">
      <c r="A1686" s="4" t="s">
        <v>3682</v>
      </c>
      <c r="B1686" s="9">
        <v>45752</v>
      </c>
      <c r="C1686" s="4" t="s">
        <v>1216</v>
      </c>
      <c r="D1686" s="4" t="s">
        <v>1900</v>
      </c>
      <c r="E1686" s="4" t="s">
        <v>1957</v>
      </c>
      <c r="F1686" s="4">
        <v>4</v>
      </c>
      <c r="G1686" s="4">
        <v>912.61</v>
      </c>
      <c r="H1686" s="4">
        <v>0.14000000000000001</v>
      </c>
      <c r="I1686" s="4" t="s">
        <v>1996</v>
      </c>
      <c r="J1686" s="10">
        <v>3139.3784000000001</v>
      </c>
      <c r="K1686" s="4" t="str">
        <f t="shared" si="182"/>
        <v>05-04-2025</v>
      </c>
      <c r="L1686" s="4" t="str">
        <f>TEXT(Sales_Fact!$B1686,"mmm")</f>
        <v>Apr</v>
      </c>
      <c r="M1686" s="4">
        <f t="shared" si="183"/>
        <v>4</v>
      </c>
      <c r="N1686" s="10">
        <f t="shared" si="184"/>
        <v>912.61</v>
      </c>
      <c r="O1686" s="10">
        <f t="shared" si="185"/>
        <v>3139.3784000000001</v>
      </c>
      <c r="P1686" s="10">
        <f t="shared" si="186"/>
        <v>3650.44</v>
      </c>
      <c r="Q1686" s="3">
        <f t="shared" si="187"/>
        <v>0.13999999999999999</v>
      </c>
      <c r="R1686" s="4" t="str">
        <f>IF(Sales_Fact!$O1686&gt;1000,"High","Low")</f>
        <v>High</v>
      </c>
      <c r="S1686" s="4" t="str">
        <f>VLOOKUP(C1686,Customer_Dim!$A:$N,9,FALSE())</f>
        <v>Shelley Ponce</v>
      </c>
      <c r="T1686" s="4" t="str">
        <f>VLOOKUP(D1686,Product_Dim!$A:$M,3,FALSE())</f>
        <v>Electronics</v>
      </c>
      <c r="U1686" s="11" t="str">
        <f>VLOOKUP(D1686,Product_Dim!$A:$M,2,FALSE())</f>
        <v>Portable Bluetooth Speaker</v>
      </c>
      <c r="V1686" s="11" t="str">
        <f>VLOOKUP(E1686,Store_Dim!$A:$E,3,FALSE())</f>
        <v>South</v>
      </c>
      <c r="W1686" s="11" t="str">
        <f>VLOOKUP(C1686,Customer_Dim!$A:$N,13,FALSE())</f>
        <v>Gold</v>
      </c>
      <c r="X1686" s="11" t="str">
        <f t="shared" si="188"/>
        <v>High</v>
      </c>
    </row>
    <row r="1687" spans="1:24" ht="15.75" customHeight="1">
      <c r="A1687" s="4" t="s">
        <v>3683</v>
      </c>
      <c r="B1687" s="9">
        <v>45795</v>
      </c>
      <c r="C1687" s="4" t="s">
        <v>900</v>
      </c>
      <c r="D1687" s="4" t="s">
        <v>1744</v>
      </c>
      <c r="E1687" s="4" t="s">
        <v>1937</v>
      </c>
      <c r="F1687" s="4">
        <v>3</v>
      </c>
      <c r="G1687" s="4">
        <v>79.77</v>
      </c>
      <c r="H1687" s="4">
        <v>0.09</v>
      </c>
      <c r="I1687" s="4" t="s">
        <v>1996</v>
      </c>
      <c r="J1687" s="10">
        <v>217.77209999999999</v>
      </c>
      <c r="K1687" s="4" t="str">
        <f t="shared" si="182"/>
        <v>18-05-2025</v>
      </c>
      <c r="L1687" s="4" t="str">
        <f>TEXT(Sales_Fact!$B1687,"mmm")</f>
        <v>May</v>
      </c>
      <c r="M1687" s="4">
        <f t="shared" si="183"/>
        <v>3</v>
      </c>
      <c r="N1687" s="10">
        <f t="shared" si="184"/>
        <v>79.77</v>
      </c>
      <c r="O1687" s="10">
        <f t="shared" si="185"/>
        <v>217.77210000000002</v>
      </c>
      <c r="P1687" s="10">
        <f t="shared" si="186"/>
        <v>239.31</v>
      </c>
      <c r="Q1687" s="3">
        <f t="shared" si="187"/>
        <v>8.9999999999999913E-2</v>
      </c>
      <c r="R1687" s="4" t="str">
        <f>IF(Sales_Fact!$O1687&gt;1000,"High","Low")</f>
        <v>Low</v>
      </c>
      <c r="S1687" s="4" t="str">
        <f>VLOOKUP(C1687,Customer_Dim!$A:$N,9,FALSE())</f>
        <v>Sarah Lane</v>
      </c>
      <c r="T1687" s="4" t="str">
        <f>VLOOKUP(D1687,Product_Dim!$A:$M,3,FALSE())</f>
        <v>Beauty</v>
      </c>
      <c r="U1687" s="11" t="str">
        <f>VLOOKUP(D1687,Product_Dim!$A:$M,2,FALSE())</f>
        <v>Makeup Brush Set</v>
      </c>
      <c r="V1687" s="11" t="str">
        <f>VLOOKUP(E1687,Store_Dim!$A:$E,3,FALSE())</f>
        <v>South</v>
      </c>
      <c r="W1687" s="11" t="str">
        <f>VLOOKUP(C1687,Customer_Dim!$A:$N,13,FALSE())</f>
        <v>Silver</v>
      </c>
      <c r="X1687" s="11" t="str">
        <f t="shared" si="188"/>
        <v>Low</v>
      </c>
    </row>
    <row r="1688" spans="1:24" ht="15.75" customHeight="1">
      <c r="A1688" s="4" t="s">
        <v>3684</v>
      </c>
      <c r="B1688" s="9">
        <v>45755</v>
      </c>
      <c r="C1688" s="4" t="s">
        <v>909</v>
      </c>
      <c r="D1688" s="4" t="s">
        <v>1888</v>
      </c>
      <c r="E1688" s="4" t="s">
        <v>1959</v>
      </c>
      <c r="F1688" s="4">
        <v>4</v>
      </c>
      <c r="G1688" s="4">
        <v>603.52</v>
      </c>
      <c r="H1688" s="4">
        <v>0.25</v>
      </c>
      <c r="I1688" s="4" t="s">
        <v>1996</v>
      </c>
      <c r="J1688" s="10">
        <v>1810.56</v>
      </c>
      <c r="K1688" s="4" t="str">
        <f t="shared" si="182"/>
        <v>08-04-2025</v>
      </c>
      <c r="L1688" s="4" t="str">
        <f>TEXT(Sales_Fact!$B1688,"mmm")</f>
        <v>Apr</v>
      </c>
      <c r="M1688" s="4">
        <f t="shared" si="183"/>
        <v>4</v>
      </c>
      <c r="N1688" s="10">
        <f t="shared" si="184"/>
        <v>603.52</v>
      </c>
      <c r="O1688" s="10">
        <f t="shared" si="185"/>
        <v>1810.56</v>
      </c>
      <c r="P1688" s="10">
        <f t="shared" si="186"/>
        <v>2414.08</v>
      </c>
      <c r="Q1688" s="3">
        <f t="shared" si="187"/>
        <v>0.25</v>
      </c>
      <c r="R1688" s="4" t="str">
        <f>IF(Sales_Fact!$O1688&gt;1000,"High","Low")</f>
        <v>High</v>
      </c>
      <c r="S1688" s="4" t="str">
        <f>VLOOKUP(C1688,Customer_Dim!$A:$N,9,FALSE())</f>
        <v>Jeffrey Gomez</v>
      </c>
      <c r="T1688" s="4" t="str">
        <f>VLOOKUP(D1688,Product_Dim!$A:$M,3,FALSE())</f>
        <v>Beauty</v>
      </c>
      <c r="U1688" s="11" t="str">
        <f>VLOOKUP(D1688,Product_Dim!$A:$M,2,FALSE())</f>
        <v>Vitamin E Body Lotion</v>
      </c>
      <c r="V1688" s="11" t="str">
        <f>VLOOKUP(E1688,Store_Dim!$A:$E,3,FALSE())</f>
        <v>North</v>
      </c>
      <c r="W1688" s="11" t="str">
        <f>VLOOKUP(C1688,Customer_Dim!$A:$N,13,FALSE())</f>
        <v>Platinum</v>
      </c>
      <c r="X1688" s="11" t="str">
        <f t="shared" si="188"/>
        <v>High</v>
      </c>
    </row>
    <row r="1689" spans="1:24" ht="15.75" customHeight="1">
      <c r="A1689" s="4" t="s">
        <v>3685</v>
      </c>
      <c r="B1689" s="9">
        <v>45625</v>
      </c>
      <c r="C1689" s="4" t="s">
        <v>302</v>
      </c>
      <c r="D1689" s="4" t="s">
        <v>1837</v>
      </c>
      <c r="E1689" s="4" t="s">
        <v>1952</v>
      </c>
      <c r="F1689" s="4">
        <v>4</v>
      </c>
      <c r="G1689" s="4">
        <v>453.12</v>
      </c>
      <c r="H1689" s="4">
        <v>0.23</v>
      </c>
      <c r="I1689" s="4" t="s">
        <v>2004</v>
      </c>
      <c r="J1689" s="10">
        <v>1395.6096</v>
      </c>
      <c r="K1689" s="4" t="str">
        <f t="shared" si="182"/>
        <v>29-11-2024</v>
      </c>
      <c r="L1689" s="4" t="str">
        <f>TEXT(Sales_Fact!$B1689,"mmm")</f>
        <v>Nov</v>
      </c>
      <c r="M1689" s="4">
        <f t="shared" si="183"/>
        <v>4</v>
      </c>
      <c r="N1689" s="10">
        <f t="shared" si="184"/>
        <v>453.12</v>
      </c>
      <c r="O1689" s="10">
        <f t="shared" si="185"/>
        <v>1395.6096</v>
      </c>
      <c r="P1689" s="10">
        <f t="shared" si="186"/>
        <v>1812.48</v>
      </c>
      <c r="Q1689" s="3">
        <f t="shared" si="187"/>
        <v>0.23</v>
      </c>
      <c r="R1689" s="4" t="str">
        <f>IF(Sales_Fact!$O1689&gt;1000,"High","Low")</f>
        <v>High</v>
      </c>
      <c r="S1689" s="4" t="str">
        <f>VLOOKUP(C1689,Customer_Dim!$A:$N,9,FALSE())</f>
        <v>Katherine Young</v>
      </c>
      <c r="T1689" s="4" t="str">
        <f>VLOOKUP(D1689,Product_Dim!$A:$M,3,FALSE())</f>
        <v>Electronics</v>
      </c>
      <c r="U1689" s="11" t="str">
        <f>VLOOKUP(D1689,Product_Dim!$A:$M,2,FALSE())</f>
        <v>WiFi Mesh Router</v>
      </c>
      <c r="V1689" s="11" t="str">
        <f>VLOOKUP(E1689,Store_Dim!$A:$E,3,FALSE())</f>
        <v>North</v>
      </c>
      <c r="W1689" s="11" t="str">
        <f>VLOOKUP(C1689,Customer_Dim!$A:$N,13,FALSE())</f>
        <v>Gold</v>
      </c>
      <c r="X1689" s="11" t="str">
        <f t="shared" si="188"/>
        <v>High</v>
      </c>
    </row>
    <row r="1690" spans="1:24" ht="15.75" customHeight="1">
      <c r="A1690" s="4" t="s">
        <v>3686</v>
      </c>
      <c r="B1690" s="9">
        <v>45656</v>
      </c>
      <c r="C1690" s="4" t="s">
        <v>1556</v>
      </c>
      <c r="D1690" s="4" t="s">
        <v>1700</v>
      </c>
      <c r="E1690" s="4" t="s">
        <v>1944</v>
      </c>
      <c r="F1690" s="4">
        <v>2</v>
      </c>
      <c r="G1690" s="4">
        <v>974.35</v>
      </c>
      <c r="H1690" s="4">
        <v>0.15</v>
      </c>
      <c r="I1690" s="4" t="s">
        <v>1996</v>
      </c>
      <c r="J1690" s="10">
        <v>1656.395</v>
      </c>
      <c r="K1690" s="4" t="str">
        <f t="shared" si="182"/>
        <v>30-12-2024</v>
      </c>
      <c r="L1690" s="4" t="str">
        <f>TEXT(Sales_Fact!$B1690,"mmm")</f>
        <v>Dec</v>
      </c>
      <c r="M1690" s="4">
        <f t="shared" si="183"/>
        <v>2</v>
      </c>
      <c r="N1690" s="10">
        <f t="shared" si="184"/>
        <v>974.35</v>
      </c>
      <c r="O1690" s="10">
        <f t="shared" si="185"/>
        <v>1656.395</v>
      </c>
      <c r="P1690" s="10">
        <f t="shared" si="186"/>
        <v>1948.7</v>
      </c>
      <c r="Q1690" s="3">
        <f t="shared" si="187"/>
        <v>0.15000000000000002</v>
      </c>
      <c r="R1690" s="4" t="str">
        <f>IF(Sales_Fact!$O1690&gt;1000,"High","Low")</f>
        <v>High</v>
      </c>
      <c r="S1690" s="4" t="str">
        <f>VLOOKUP(C1690,Customer_Dim!$A:$N,9,FALSE())</f>
        <v>Sarah Marsh</v>
      </c>
      <c r="T1690" s="4" t="str">
        <f>VLOOKUP(D1690,Product_Dim!$A:$M,3,FALSE())</f>
        <v>Home</v>
      </c>
      <c r="U1690" s="11" t="str">
        <f>VLOOKUP(D1690,Product_Dim!$A:$M,2,FALSE())</f>
        <v>Modern Wall Clock</v>
      </c>
      <c r="V1690" s="11" t="str">
        <f>VLOOKUP(E1690,Store_Dim!$A:$E,3,FALSE())</f>
        <v>South</v>
      </c>
      <c r="W1690" s="11" t="str">
        <f>VLOOKUP(C1690,Customer_Dim!$A:$N,13,FALSE())</f>
        <v>Gold</v>
      </c>
      <c r="X1690" s="11" t="str">
        <f t="shared" si="188"/>
        <v>Low</v>
      </c>
    </row>
    <row r="1691" spans="1:24" ht="15.75" customHeight="1">
      <c r="A1691" s="4" t="s">
        <v>3687</v>
      </c>
      <c r="B1691" s="9">
        <v>45824</v>
      </c>
      <c r="C1691" s="4" t="s">
        <v>1495</v>
      </c>
      <c r="D1691" s="4" t="s">
        <v>1891</v>
      </c>
      <c r="E1691" s="4" t="s">
        <v>1965</v>
      </c>
      <c r="F1691" s="4">
        <v>4</v>
      </c>
      <c r="G1691" s="4">
        <v>52.35</v>
      </c>
      <c r="H1691" s="4">
        <v>0.23</v>
      </c>
      <c r="I1691" s="4" t="s">
        <v>2004</v>
      </c>
      <c r="J1691" s="10">
        <v>161.238</v>
      </c>
      <c r="K1691" s="4" t="str">
        <f t="shared" si="182"/>
        <v>16-06-2025</v>
      </c>
      <c r="L1691" s="4" t="str">
        <f>TEXT(Sales_Fact!$B1691,"mmm")</f>
        <v>Jun</v>
      </c>
      <c r="M1691" s="4">
        <f t="shared" si="183"/>
        <v>4</v>
      </c>
      <c r="N1691" s="10">
        <f t="shared" si="184"/>
        <v>52.35</v>
      </c>
      <c r="O1691" s="10">
        <f t="shared" si="185"/>
        <v>161.238</v>
      </c>
      <c r="P1691" s="10">
        <f t="shared" si="186"/>
        <v>209.4</v>
      </c>
      <c r="Q1691" s="3">
        <f t="shared" si="187"/>
        <v>0.23</v>
      </c>
      <c r="R1691" s="4" t="str">
        <f>IF(Sales_Fact!$O1691&gt;1000,"High","Low")</f>
        <v>Low</v>
      </c>
      <c r="S1691" s="4" t="str">
        <f>VLOOKUP(C1691,Customer_Dim!$A:$N,9,FALSE())</f>
        <v>Elizabeth Foster</v>
      </c>
      <c r="T1691" s="4" t="str">
        <f>VLOOKUP(D1691,Product_Dim!$A:$M,3,FALSE())</f>
        <v>Sports</v>
      </c>
      <c r="U1691" s="11" t="str">
        <f>VLOOKUP(D1691,Product_Dim!$A:$M,2,FALSE())</f>
        <v>Sports Stopwatch Basic</v>
      </c>
      <c r="V1691" s="11" t="str">
        <f>VLOOKUP(E1691,Store_Dim!$A:$E,3,FALSE())</f>
        <v>North</v>
      </c>
      <c r="W1691" s="11" t="str">
        <f>VLOOKUP(C1691,Customer_Dim!$A:$N,13,FALSE())</f>
        <v>Gold</v>
      </c>
      <c r="X1691" s="11" t="str">
        <f t="shared" si="188"/>
        <v>High</v>
      </c>
    </row>
    <row r="1692" spans="1:24" ht="15.75" customHeight="1">
      <c r="A1692" s="4" t="s">
        <v>3688</v>
      </c>
      <c r="B1692" s="9">
        <v>45533</v>
      </c>
      <c r="C1692" s="4" t="s">
        <v>1301</v>
      </c>
      <c r="D1692" s="4" t="s">
        <v>1716</v>
      </c>
      <c r="E1692" s="4" t="s">
        <v>1931</v>
      </c>
      <c r="F1692" s="4">
        <v>1</v>
      </c>
      <c r="G1692" s="4">
        <v>553.82000000000005</v>
      </c>
      <c r="H1692" s="4">
        <v>0.09</v>
      </c>
      <c r="I1692" s="4" t="s">
        <v>1996</v>
      </c>
      <c r="J1692" s="10">
        <v>503.97620000000001</v>
      </c>
      <c r="K1692" s="4" t="str">
        <f t="shared" si="182"/>
        <v>29-08-2024</v>
      </c>
      <c r="L1692" s="4" t="str">
        <f>TEXT(Sales_Fact!$B1692,"mmm")</f>
        <v>Aug</v>
      </c>
      <c r="M1692" s="4">
        <f t="shared" si="183"/>
        <v>1</v>
      </c>
      <c r="N1692" s="10">
        <f t="shared" si="184"/>
        <v>553.82000000000005</v>
      </c>
      <c r="O1692" s="10">
        <f t="shared" si="185"/>
        <v>503.97620000000006</v>
      </c>
      <c r="P1692" s="10">
        <f t="shared" si="186"/>
        <v>553.82000000000005</v>
      </c>
      <c r="Q1692" s="3">
        <f t="shared" si="187"/>
        <v>8.9999999999999969E-2</v>
      </c>
      <c r="R1692" s="4" t="str">
        <f>IF(Sales_Fact!$O1692&gt;1000,"High","Low")</f>
        <v>Low</v>
      </c>
      <c r="S1692" s="4" t="str">
        <f>VLOOKUP(C1692,Customer_Dim!$A:$N,9,FALSE())</f>
        <v>Sarah Smith</v>
      </c>
      <c r="T1692" s="4" t="str">
        <f>VLOOKUP(D1692,Product_Dim!$A:$M,3,FALSE())</f>
        <v>Sports</v>
      </c>
      <c r="U1692" s="11" t="str">
        <f>VLOOKUP(D1692,Product_Dim!$A:$M,2,FALSE())</f>
        <v>Sports Water Hydration Pack</v>
      </c>
      <c r="V1692" s="11" t="str">
        <f>VLOOKUP(E1692,Store_Dim!$A:$E,3,FALSE())</f>
        <v>North</v>
      </c>
      <c r="W1692" s="11" t="str">
        <f>VLOOKUP(C1692,Customer_Dim!$A:$N,13,FALSE())</f>
        <v>Gold</v>
      </c>
      <c r="X1692" s="11" t="str">
        <f t="shared" si="188"/>
        <v>Low</v>
      </c>
    </row>
    <row r="1693" spans="1:24" ht="15.75" customHeight="1">
      <c r="A1693" s="4" t="s">
        <v>3689</v>
      </c>
      <c r="B1693" s="9">
        <v>45824</v>
      </c>
      <c r="C1693" s="4" t="s">
        <v>1186</v>
      </c>
      <c r="D1693" s="4" t="s">
        <v>1800</v>
      </c>
      <c r="E1693" s="4" t="s">
        <v>1965</v>
      </c>
      <c r="F1693" s="4">
        <v>3</v>
      </c>
      <c r="G1693" s="4">
        <v>681.58</v>
      </c>
      <c r="H1693" s="4">
        <v>0.23</v>
      </c>
      <c r="I1693" s="4" t="s">
        <v>1996</v>
      </c>
      <c r="J1693" s="10">
        <v>1574.4498000000001</v>
      </c>
      <c r="K1693" s="4" t="str">
        <f t="shared" si="182"/>
        <v>16-06-2025</v>
      </c>
      <c r="L1693" s="4" t="str">
        <f>TEXT(Sales_Fact!$B1693,"mmm")</f>
        <v>Jun</v>
      </c>
      <c r="M1693" s="4">
        <f t="shared" si="183"/>
        <v>3</v>
      </c>
      <c r="N1693" s="10">
        <f t="shared" si="184"/>
        <v>681.58</v>
      </c>
      <c r="O1693" s="10">
        <f t="shared" si="185"/>
        <v>1574.4498000000003</v>
      </c>
      <c r="P1693" s="10">
        <f t="shared" si="186"/>
        <v>2044.7400000000002</v>
      </c>
      <c r="Q1693" s="3">
        <f t="shared" si="187"/>
        <v>0.22999999999999993</v>
      </c>
      <c r="R1693" s="4" t="str">
        <f>IF(Sales_Fact!$O1693&gt;1000,"High","Low")</f>
        <v>High</v>
      </c>
      <c r="S1693" s="4" t="str">
        <f>VLOOKUP(C1693,Customer_Dim!$A:$N,9,FALSE())</f>
        <v>James Holloway Jr.</v>
      </c>
      <c r="T1693" s="4" t="str">
        <f>VLOOKUP(D1693,Product_Dim!$A:$M,3,FALSE())</f>
        <v>Sports</v>
      </c>
      <c r="U1693" s="11" t="str">
        <f>VLOOKUP(D1693,Product_Dim!$A:$M,2,FALSE())</f>
        <v>Adjustable Dumbbells 20kg</v>
      </c>
      <c r="V1693" s="11" t="str">
        <f>VLOOKUP(E1693,Store_Dim!$A:$E,3,FALSE())</f>
        <v>North</v>
      </c>
      <c r="W1693" s="11" t="str">
        <f>VLOOKUP(C1693,Customer_Dim!$A:$N,13,FALSE())</f>
        <v>Silver</v>
      </c>
      <c r="X1693" s="11" t="str">
        <f t="shared" si="188"/>
        <v>Low</v>
      </c>
    </row>
    <row r="1694" spans="1:24" ht="15.75" customHeight="1">
      <c r="A1694" s="4" t="s">
        <v>3690</v>
      </c>
      <c r="B1694" s="9">
        <v>45384</v>
      </c>
      <c r="C1694" s="4" t="s">
        <v>610</v>
      </c>
      <c r="D1694" s="4" t="s">
        <v>1855</v>
      </c>
      <c r="E1694" s="4" t="s">
        <v>1959</v>
      </c>
      <c r="F1694" s="4">
        <v>3</v>
      </c>
      <c r="G1694" s="4">
        <v>71.23</v>
      </c>
      <c r="H1694" s="4">
        <v>0.03</v>
      </c>
      <c r="I1694" s="4" t="s">
        <v>1996</v>
      </c>
      <c r="J1694" s="10">
        <v>207.27930000000001</v>
      </c>
      <c r="K1694" s="4" t="str">
        <f t="shared" si="182"/>
        <v>02-04-2024</v>
      </c>
      <c r="L1694" s="4" t="str">
        <f>TEXT(Sales_Fact!$B1694,"mmm")</f>
        <v>Apr</v>
      </c>
      <c r="M1694" s="4">
        <f t="shared" si="183"/>
        <v>3</v>
      </c>
      <c r="N1694" s="10">
        <f t="shared" si="184"/>
        <v>71.23</v>
      </c>
      <c r="O1694" s="10">
        <f t="shared" si="185"/>
        <v>207.27929999999998</v>
      </c>
      <c r="P1694" s="10">
        <f t="shared" si="186"/>
        <v>213.69</v>
      </c>
      <c r="Q1694" s="3">
        <f t="shared" si="187"/>
        <v>3.0000000000000093E-2</v>
      </c>
      <c r="R1694" s="4" t="str">
        <f>IF(Sales_Fact!$O1694&gt;1000,"High","Low")</f>
        <v>Low</v>
      </c>
      <c r="S1694" s="4" t="str">
        <f>VLOOKUP(C1694,Customer_Dim!$A:$N,9,FALSE())</f>
        <v>Curtis Lam</v>
      </c>
      <c r="T1694" s="4" t="str">
        <f>VLOOKUP(D1694,Product_Dim!$A:$M,3,FALSE())</f>
        <v>Beauty</v>
      </c>
      <c r="U1694" s="11" t="str">
        <f>VLOOKUP(D1694,Product_Dim!$A:$M,2,FALSE())</f>
        <v>Hydrating Face Cleanser</v>
      </c>
      <c r="V1694" s="11" t="str">
        <f>VLOOKUP(E1694,Store_Dim!$A:$E,3,FALSE())</f>
        <v>North</v>
      </c>
      <c r="W1694" s="11" t="str">
        <f>VLOOKUP(C1694,Customer_Dim!$A:$N,13,FALSE())</f>
        <v>Platinum</v>
      </c>
      <c r="X1694" s="11" t="str">
        <f t="shared" si="188"/>
        <v>Low</v>
      </c>
    </row>
    <row r="1695" spans="1:24" ht="15.75" customHeight="1">
      <c r="A1695" s="4" t="s">
        <v>3691</v>
      </c>
      <c r="B1695" s="9">
        <v>45379</v>
      </c>
      <c r="C1695" s="4" t="s">
        <v>801</v>
      </c>
      <c r="D1695" s="4" t="s">
        <v>1640</v>
      </c>
      <c r="E1695" s="4" t="s">
        <v>1957</v>
      </c>
      <c r="F1695" s="4">
        <v>1</v>
      </c>
      <c r="G1695" s="4">
        <v>31.36</v>
      </c>
      <c r="H1695" s="4">
        <v>0.21</v>
      </c>
      <c r="I1695" s="4" t="s">
        <v>2004</v>
      </c>
      <c r="J1695" s="10">
        <v>24.7744</v>
      </c>
      <c r="K1695" s="4" t="str">
        <f t="shared" si="182"/>
        <v>28-03-2024</v>
      </c>
      <c r="L1695" s="4" t="str">
        <f>TEXT(Sales_Fact!$B1695,"mmm")</f>
        <v>Mar</v>
      </c>
      <c r="M1695" s="4">
        <f t="shared" si="183"/>
        <v>1</v>
      </c>
      <c r="N1695" s="10">
        <f t="shared" si="184"/>
        <v>31.36</v>
      </c>
      <c r="O1695" s="10">
        <f t="shared" si="185"/>
        <v>24.7744</v>
      </c>
      <c r="P1695" s="10">
        <f t="shared" si="186"/>
        <v>31.36</v>
      </c>
      <c r="Q1695" s="3">
        <f t="shared" si="187"/>
        <v>0.21</v>
      </c>
      <c r="R1695" s="4" t="str">
        <f>IF(Sales_Fact!$O1695&gt;1000,"High","Low")</f>
        <v>Low</v>
      </c>
      <c r="S1695" s="4" t="str">
        <f>VLOOKUP(C1695,Customer_Dim!$A:$N,9,FALSE())</f>
        <v>Mr. William Horton</v>
      </c>
      <c r="T1695" s="4" t="str">
        <f>VLOOKUP(D1695,Product_Dim!$A:$M,3,FALSE())</f>
        <v>Electronics</v>
      </c>
      <c r="U1695" s="11" t="str">
        <f>VLOOKUP(D1695,Product_Dim!$A:$M,2,FALSE())</f>
        <v>4K Home Projector</v>
      </c>
      <c r="V1695" s="11" t="str">
        <f>VLOOKUP(E1695,Store_Dim!$A:$E,3,FALSE())</f>
        <v>South</v>
      </c>
      <c r="W1695" s="11" t="str">
        <f>VLOOKUP(C1695,Customer_Dim!$A:$N,13,FALSE())</f>
        <v>Platinum</v>
      </c>
      <c r="X1695" s="11" t="str">
        <f t="shared" si="188"/>
        <v>Low</v>
      </c>
    </row>
    <row r="1696" spans="1:24" ht="15.75" customHeight="1">
      <c r="A1696" s="4" t="s">
        <v>3692</v>
      </c>
      <c r="B1696" s="9">
        <v>45674</v>
      </c>
      <c r="C1696" s="4" t="s">
        <v>1099</v>
      </c>
      <c r="D1696" s="4" t="s">
        <v>1726</v>
      </c>
      <c r="E1696" s="4" t="s">
        <v>1955</v>
      </c>
      <c r="F1696" s="4">
        <v>2</v>
      </c>
      <c r="G1696" s="4">
        <v>555.54999999999995</v>
      </c>
      <c r="H1696" s="4">
        <v>0.14000000000000001</v>
      </c>
      <c r="I1696" s="4" t="s">
        <v>1996</v>
      </c>
      <c r="J1696" s="10">
        <v>955.54600000000005</v>
      </c>
      <c r="K1696" s="4" t="str">
        <f t="shared" si="182"/>
        <v>17-01-2025</v>
      </c>
      <c r="L1696" s="4" t="str">
        <f>TEXT(Sales_Fact!$B1696,"mmm")</f>
        <v>Jan</v>
      </c>
      <c r="M1696" s="4">
        <f t="shared" si="183"/>
        <v>2</v>
      </c>
      <c r="N1696" s="10">
        <f t="shared" si="184"/>
        <v>555.54999999999995</v>
      </c>
      <c r="O1696" s="10">
        <f t="shared" si="185"/>
        <v>955.54599999999994</v>
      </c>
      <c r="P1696" s="10">
        <f t="shared" si="186"/>
        <v>1111.0999999999999</v>
      </c>
      <c r="Q1696" s="3">
        <f t="shared" si="187"/>
        <v>0.13999999999999999</v>
      </c>
      <c r="R1696" s="4" t="str">
        <f>IF(Sales_Fact!$O1696&gt;1000,"High","Low")</f>
        <v>Low</v>
      </c>
      <c r="S1696" s="4" t="str">
        <f>VLOOKUP(C1696,Customer_Dim!$A:$N,9,FALSE())</f>
        <v>Angela Williams</v>
      </c>
      <c r="T1696" s="4" t="str">
        <f>VLOOKUP(D1696,Product_Dim!$A:$M,3,FALSE())</f>
        <v>Sports</v>
      </c>
      <c r="U1696" s="11" t="str">
        <f>VLOOKUP(D1696,Product_Dim!$A:$M,2,FALSE())</f>
        <v>Yoga Exercise Mat</v>
      </c>
      <c r="V1696" s="11" t="str">
        <f>VLOOKUP(E1696,Store_Dim!$A:$E,3,FALSE())</f>
        <v>East</v>
      </c>
      <c r="W1696" s="11" t="str">
        <f>VLOOKUP(C1696,Customer_Dim!$A:$N,13,FALSE())</f>
        <v>Bronze</v>
      </c>
      <c r="X1696" s="11" t="str">
        <f t="shared" si="188"/>
        <v>Low</v>
      </c>
    </row>
    <row r="1697" spans="1:24" ht="15.75" customHeight="1">
      <c r="A1697" s="4" t="s">
        <v>3693</v>
      </c>
      <c r="B1697" s="9">
        <v>45760</v>
      </c>
      <c r="C1697" s="4" t="s">
        <v>831</v>
      </c>
      <c r="D1697" s="4" t="s">
        <v>1803</v>
      </c>
      <c r="E1697" s="4" t="s">
        <v>1962</v>
      </c>
      <c r="F1697" s="4">
        <v>4</v>
      </c>
      <c r="G1697" s="4">
        <v>805.99</v>
      </c>
      <c r="H1697" s="4">
        <v>0.06</v>
      </c>
      <c r="I1697" s="4" t="s">
        <v>1996</v>
      </c>
      <c r="J1697" s="10">
        <v>3030.5223999999998</v>
      </c>
      <c r="K1697" s="4" t="str">
        <f t="shared" si="182"/>
        <v>13-04-2025</v>
      </c>
      <c r="L1697" s="4" t="str">
        <f>TEXT(Sales_Fact!$B1697,"mmm")</f>
        <v>Apr</v>
      </c>
      <c r="M1697" s="4">
        <f t="shared" si="183"/>
        <v>4</v>
      </c>
      <c r="N1697" s="10">
        <f t="shared" si="184"/>
        <v>805.99</v>
      </c>
      <c r="O1697" s="10">
        <f t="shared" si="185"/>
        <v>3030.5223999999998</v>
      </c>
      <c r="P1697" s="10">
        <f t="shared" si="186"/>
        <v>3223.96</v>
      </c>
      <c r="Q1697" s="3">
        <f t="shared" si="187"/>
        <v>6.000000000000006E-2</v>
      </c>
      <c r="R1697" s="4" t="str">
        <f>IF(Sales_Fact!$O1697&gt;1000,"High","Low")</f>
        <v>High</v>
      </c>
      <c r="S1697" s="4" t="str">
        <f>VLOOKUP(C1697,Customer_Dim!$A:$N,9,FALSE())</f>
        <v>Tyler Garner</v>
      </c>
      <c r="T1697" s="4" t="str">
        <f>VLOOKUP(D1697,Product_Dim!$A:$M,3,FALSE())</f>
        <v>Beauty</v>
      </c>
      <c r="U1697" s="11" t="str">
        <f>VLOOKUP(D1697,Product_Dim!$A:$M,2,FALSE())</f>
        <v>Women's Hair Dryer Brush</v>
      </c>
      <c r="V1697" s="11" t="str">
        <f>VLOOKUP(E1697,Store_Dim!$A:$E,3,FALSE())</f>
        <v>West</v>
      </c>
      <c r="W1697" s="11" t="str">
        <f>VLOOKUP(C1697,Customer_Dim!$A:$N,13,FALSE())</f>
        <v>Silver</v>
      </c>
      <c r="X1697" s="11" t="str">
        <f t="shared" si="188"/>
        <v>High</v>
      </c>
    </row>
    <row r="1698" spans="1:24" ht="15.75" customHeight="1">
      <c r="A1698" s="4" t="s">
        <v>3694</v>
      </c>
      <c r="B1698" s="9">
        <v>45474</v>
      </c>
      <c r="C1698" s="4" t="s">
        <v>1240</v>
      </c>
      <c r="D1698" s="4" t="s">
        <v>1819</v>
      </c>
      <c r="E1698" s="4" t="s">
        <v>1915</v>
      </c>
      <c r="F1698" s="4">
        <v>1</v>
      </c>
      <c r="G1698" s="4">
        <v>506.55</v>
      </c>
      <c r="H1698" s="4">
        <v>0.28000000000000003</v>
      </c>
      <c r="I1698" s="4" t="s">
        <v>1996</v>
      </c>
      <c r="J1698" s="10">
        <v>364.71600000000001</v>
      </c>
      <c r="K1698" s="4" t="str">
        <f t="shared" si="182"/>
        <v>01-07-2024</v>
      </c>
      <c r="L1698" s="4" t="str">
        <f>TEXT(Sales_Fact!$B1698,"mmm")</f>
        <v>Jul</v>
      </c>
      <c r="M1698" s="4">
        <f t="shared" si="183"/>
        <v>1</v>
      </c>
      <c r="N1698" s="10">
        <f t="shared" si="184"/>
        <v>506.55</v>
      </c>
      <c r="O1698" s="10">
        <f t="shared" si="185"/>
        <v>364.71600000000001</v>
      </c>
      <c r="P1698" s="10">
        <f t="shared" si="186"/>
        <v>506.55</v>
      </c>
      <c r="Q1698" s="3">
        <f t="shared" si="187"/>
        <v>0.28000000000000003</v>
      </c>
      <c r="R1698" s="4" t="str">
        <f>IF(Sales_Fact!$O1698&gt;1000,"High","Low")</f>
        <v>Low</v>
      </c>
      <c r="S1698" s="4" t="str">
        <f>VLOOKUP(C1698,Customer_Dim!$A:$N,9,FALSE())</f>
        <v>Timothy Valenzuela</v>
      </c>
      <c r="T1698" s="4" t="str">
        <f>VLOOKUP(D1698,Product_Dim!$A:$M,3,FALSE())</f>
        <v>Beauty</v>
      </c>
      <c r="U1698" s="11" t="str">
        <f>VLOOKUP(D1698,Product_Dim!$A:$M,2,FALSE())</f>
        <v>Hair Repair Oil Treatment</v>
      </c>
      <c r="V1698" s="11" t="str">
        <f>VLOOKUP(E1698,Store_Dim!$A:$E,3,FALSE())</f>
        <v>North</v>
      </c>
      <c r="W1698" s="11" t="str">
        <f>VLOOKUP(C1698,Customer_Dim!$A:$N,13,FALSE())</f>
        <v>Platinum</v>
      </c>
      <c r="X1698" s="11" t="str">
        <f t="shared" si="188"/>
        <v>Low</v>
      </c>
    </row>
    <row r="1699" spans="1:24" ht="15.75" customHeight="1">
      <c r="A1699" s="4" t="s">
        <v>3695</v>
      </c>
      <c r="B1699" s="9">
        <v>45640</v>
      </c>
      <c r="C1699" s="4" t="s">
        <v>469</v>
      </c>
      <c r="D1699" s="4" t="s">
        <v>1726</v>
      </c>
      <c r="E1699" s="4" t="s">
        <v>1950</v>
      </c>
      <c r="F1699" s="4">
        <v>3</v>
      </c>
      <c r="G1699" s="4">
        <v>28.69</v>
      </c>
      <c r="H1699" s="4">
        <v>0.02</v>
      </c>
      <c r="I1699" s="4" t="s">
        <v>1996</v>
      </c>
      <c r="J1699" s="10">
        <v>84.348600000000005</v>
      </c>
      <c r="K1699" s="4" t="str">
        <f t="shared" si="182"/>
        <v>14-12-2024</v>
      </c>
      <c r="L1699" s="4" t="str">
        <f>TEXT(Sales_Fact!$B1699,"mmm")</f>
        <v>Dec</v>
      </c>
      <c r="M1699" s="4">
        <f t="shared" si="183"/>
        <v>3</v>
      </c>
      <c r="N1699" s="10">
        <f t="shared" si="184"/>
        <v>28.69</v>
      </c>
      <c r="O1699" s="10">
        <f t="shared" si="185"/>
        <v>84.348600000000005</v>
      </c>
      <c r="P1699" s="10">
        <f t="shared" si="186"/>
        <v>86.070000000000007</v>
      </c>
      <c r="Q1699" s="3">
        <f t="shared" si="187"/>
        <v>2.0000000000000028E-2</v>
      </c>
      <c r="R1699" s="4" t="str">
        <f>IF(Sales_Fact!$O1699&gt;1000,"High","Low")</f>
        <v>Low</v>
      </c>
      <c r="S1699" s="4" t="str">
        <f>VLOOKUP(C1699,Customer_Dim!$A:$N,9,FALSE())</f>
        <v>Jamie Reyes</v>
      </c>
      <c r="T1699" s="4" t="str">
        <f>VLOOKUP(D1699,Product_Dim!$A:$M,3,FALSE())</f>
        <v>Sports</v>
      </c>
      <c r="U1699" s="11" t="str">
        <f>VLOOKUP(D1699,Product_Dim!$A:$M,2,FALSE())</f>
        <v>Yoga Exercise Mat</v>
      </c>
      <c r="V1699" s="11" t="str">
        <f>VLOOKUP(E1699,Store_Dim!$A:$E,3,FALSE())</f>
        <v>South</v>
      </c>
      <c r="W1699" s="11" t="str">
        <f>VLOOKUP(C1699,Customer_Dim!$A:$N,13,FALSE())</f>
        <v>Platinum</v>
      </c>
      <c r="X1699" s="11" t="str">
        <f t="shared" si="188"/>
        <v>Low</v>
      </c>
    </row>
    <row r="1700" spans="1:24" ht="15.75" customHeight="1">
      <c r="A1700" s="4" t="s">
        <v>3696</v>
      </c>
      <c r="B1700" s="9">
        <v>45253</v>
      </c>
      <c r="C1700" s="4" t="s">
        <v>1237</v>
      </c>
      <c r="D1700" s="4" t="s">
        <v>1834</v>
      </c>
      <c r="E1700" s="4" t="s">
        <v>1927</v>
      </c>
      <c r="F1700" s="4">
        <v>1</v>
      </c>
      <c r="G1700" s="4">
        <v>106.07</v>
      </c>
      <c r="H1700" s="4">
        <v>0.23</v>
      </c>
      <c r="I1700" s="4" t="s">
        <v>2004</v>
      </c>
      <c r="J1700" s="10">
        <v>81.673900000000003</v>
      </c>
      <c r="K1700" s="4" t="str">
        <f t="shared" si="182"/>
        <v>23-11-2023</v>
      </c>
      <c r="L1700" s="4" t="str">
        <f>TEXT(Sales_Fact!$B1700,"mmm")</f>
        <v>Nov</v>
      </c>
      <c r="M1700" s="4">
        <f t="shared" si="183"/>
        <v>1</v>
      </c>
      <c r="N1700" s="10">
        <f t="shared" si="184"/>
        <v>106.07</v>
      </c>
      <c r="O1700" s="10">
        <f t="shared" si="185"/>
        <v>81.673900000000003</v>
      </c>
      <c r="P1700" s="10">
        <f t="shared" si="186"/>
        <v>106.07</v>
      </c>
      <c r="Q1700" s="3">
        <f t="shared" si="187"/>
        <v>0.22999999999999993</v>
      </c>
      <c r="R1700" s="4" t="str">
        <f>IF(Sales_Fact!$O1700&gt;1000,"High","Low")</f>
        <v>Low</v>
      </c>
      <c r="S1700" s="4" t="str">
        <f>VLOOKUP(C1700,Customer_Dim!$A:$N,9,FALSE())</f>
        <v>Timothy Gardner</v>
      </c>
      <c r="T1700" s="4" t="str">
        <f>VLOOKUP(D1700,Product_Dim!$A:$M,3,FALSE())</f>
        <v>Electronics</v>
      </c>
      <c r="U1700" s="11" t="str">
        <f>VLOOKUP(D1700,Product_Dim!$A:$M,2,FALSE())</f>
        <v>Wireless Mouse</v>
      </c>
      <c r="V1700" s="11" t="str">
        <f>VLOOKUP(E1700,Store_Dim!$A:$E,3,FALSE())</f>
        <v>South</v>
      </c>
      <c r="W1700" s="11" t="str">
        <f>VLOOKUP(C1700,Customer_Dim!$A:$N,13,FALSE())</f>
        <v>Silver</v>
      </c>
      <c r="X1700" s="11" t="str">
        <f t="shared" si="188"/>
        <v>Low</v>
      </c>
    </row>
    <row r="1701" spans="1:24" ht="15.75" customHeight="1">
      <c r="A1701" s="4" t="s">
        <v>3697</v>
      </c>
      <c r="B1701" s="9">
        <v>45225</v>
      </c>
      <c r="C1701" s="4" t="s">
        <v>858</v>
      </c>
      <c r="D1701" s="4" t="s">
        <v>1879</v>
      </c>
      <c r="E1701" s="4" t="s">
        <v>1910</v>
      </c>
      <c r="F1701" s="4">
        <v>4</v>
      </c>
      <c r="G1701" s="4">
        <v>289.77</v>
      </c>
      <c r="H1701" s="4">
        <v>0.06</v>
      </c>
      <c r="I1701" s="4" t="s">
        <v>1998</v>
      </c>
      <c r="J1701" s="10">
        <v>1089.5352</v>
      </c>
      <c r="K1701" s="4" t="str">
        <f t="shared" si="182"/>
        <v>26-10-2023</v>
      </c>
      <c r="L1701" s="4" t="str">
        <f>TEXT(Sales_Fact!$B1701,"mmm")</f>
        <v>Oct</v>
      </c>
      <c r="M1701" s="4">
        <f t="shared" si="183"/>
        <v>4</v>
      </c>
      <c r="N1701" s="10">
        <f t="shared" si="184"/>
        <v>289.77</v>
      </c>
      <c r="O1701" s="10">
        <f t="shared" si="185"/>
        <v>1089.5351999999998</v>
      </c>
      <c r="P1701" s="10">
        <f t="shared" si="186"/>
        <v>1159.08</v>
      </c>
      <c r="Q1701" s="3">
        <f t="shared" si="187"/>
        <v>6.0000000000000109E-2</v>
      </c>
      <c r="R1701" s="4" t="str">
        <f>IF(Sales_Fact!$O1701&gt;1000,"High","Low")</f>
        <v>High</v>
      </c>
      <c r="S1701" s="4" t="str">
        <f>VLOOKUP(C1701,Customer_Dim!$A:$N,9,FALSE())</f>
        <v>Russell Lamb</v>
      </c>
      <c r="T1701" s="4" t="str">
        <f>VLOOKUP(D1701,Product_Dim!$A:$M,3,FALSE())</f>
        <v>Clothing</v>
      </c>
      <c r="U1701" s="11" t="str">
        <f>VLOOKUP(D1701,Product_Dim!$A:$M,2,FALSE())</f>
        <v>Women's High Heels</v>
      </c>
      <c r="V1701" s="11" t="str">
        <f>VLOOKUP(E1701,Store_Dim!$A:$E,3,FALSE())</f>
        <v>East</v>
      </c>
      <c r="W1701" s="11" t="str">
        <f>VLOOKUP(C1701,Customer_Dim!$A:$N,13,FALSE())</f>
        <v>Platinum</v>
      </c>
      <c r="X1701" s="11" t="str">
        <f t="shared" si="188"/>
        <v>High</v>
      </c>
    </row>
    <row r="1702" spans="1:24" ht="15.75" customHeight="1">
      <c r="A1702" s="4" t="s">
        <v>3698</v>
      </c>
      <c r="B1702" s="9">
        <v>45263</v>
      </c>
      <c r="C1702" s="4" t="s">
        <v>547</v>
      </c>
      <c r="D1702" s="4" t="s">
        <v>1855</v>
      </c>
      <c r="E1702" s="4" t="s">
        <v>1968</v>
      </c>
      <c r="F1702" s="4">
        <v>2</v>
      </c>
      <c r="G1702" s="4">
        <v>354.26</v>
      </c>
      <c r="H1702" s="4">
        <v>0.01</v>
      </c>
      <c r="I1702" s="4" t="s">
        <v>2004</v>
      </c>
      <c r="J1702" s="10">
        <v>701.4348</v>
      </c>
      <c r="K1702" s="4" t="str">
        <f t="shared" si="182"/>
        <v>03-12-2023</v>
      </c>
      <c r="L1702" s="4" t="str">
        <f>TEXT(Sales_Fact!$B1702,"mmm")</f>
        <v>Dec</v>
      </c>
      <c r="M1702" s="4">
        <f t="shared" si="183"/>
        <v>2</v>
      </c>
      <c r="N1702" s="10">
        <f t="shared" si="184"/>
        <v>354.26</v>
      </c>
      <c r="O1702" s="10">
        <f t="shared" si="185"/>
        <v>701.4348</v>
      </c>
      <c r="P1702" s="10">
        <f t="shared" si="186"/>
        <v>708.52</v>
      </c>
      <c r="Q1702" s="3">
        <f t="shared" si="187"/>
        <v>9.9999999999999811E-3</v>
      </c>
      <c r="R1702" s="4" t="str">
        <f>IF(Sales_Fact!$O1702&gt;1000,"High","Low")</f>
        <v>Low</v>
      </c>
      <c r="S1702" s="4" t="str">
        <f>VLOOKUP(C1702,Customer_Dim!$A:$N,9,FALSE())</f>
        <v>Maria Sanchez</v>
      </c>
      <c r="T1702" s="4" t="str">
        <f>VLOOKUP(D1702,Product_Dim!$A:$M,3,FALSE())</f>
        <v>Beauty</v>
      </c>
      <c r="U1702" s="11" t="str">
        <f>VLOOKUP(D1702,Product_Dim!$A:$M,2,FALSE())</f>
        <v>Hydrating Face Cleanser</v>
      </c>
      <c r="V1702" s="11" t="str">
        <f>VLOOKUP(E1702,Store_Dim!$A:$E,3,FALSE())</f>
        <v>East</v>
      </c>
      <c r="W1702" s="11" t="str">
        <f>VLOOKUP(C1702,Customer_Dim!$A:$N,13,FALSE())</f>
        <v>Bronze</v>
      </c>
      <c r="X1702" s="11" t="str">
        <f t="shared" si="188"/>
        <v>Low</v>
      </c>
    </row>
    <row r="1703" spans="1:24" ht="15.75" customHeight="1">
      <c r="A1703" s="4" t="s">
        <v>3699</v>
      </c>
      <c r="B1703" s="9">
        <v>45626</v>
      </c>
      <c r="C1703" s="4" t="s">
        <v>168</v>
      </c>
      <c r="D1703" s="4" t="s">
        <v>1738</v>
      </c>
      <c r="E1703" s="4" t="s">
        <v>1950</v>
      </c>
      <c r="F1703" s="4">
        <v>2</v>
      </c>
      <c r="G1703" s="4">
        <v>556.42999999999995</v>
      </c>
      <c r="H1703" s="4">
        <v>0.13</v>
      </c>
      <c r="I1703" s="4" t="s">
        <v>1996</v>
      </c>
      <c r="J1703" s="10">
        <v>968.18820000000005</v>
      </c>
      <c r="K1703" s="4" t="str">
        <f t="shared" si="182"/>
        <v>30-11-2024</v>
      </c>
      <c r="L1703" s="4" t="str">
        <f>TEXT(Sales_Fact!$B1703,"mmm")</f>
        <v>Nov</v>
      </c>
      <c r="M1703" s="4">
        <f t="shared" si="183"/>
        <v>2</v>
      </c>
      <c r="N1703" s="10">
        <f t="shared" si="184"/>
        <v>556.42999999999995</v>
      </c>
      <c r="O1703" s="10">
        <f t="shared" si="185"/>
        <v>968.18819999999994</v>
      </c>
      <c r="P1703" s="10">
        <f t="shared" si="186"/>
        <v>1112.8599999999999</v>
      </c>
      <c r="Q1703" s="3">
        <f t="shared" si="187"/>
        <v>0.12999999999999998</v>
      </c>
      <c r="R1703" s="4" t="str">
        <f>IF(Sales_Fact!$O1703&gt;1000,"High","Low")</f>
        <v>Low</v>
      </c>
      <c r="S1703" s="4" t="str">
        <f>VLOOKUP(C1703,Customer_Dim!$A:$N,9,FALSE())</f>
        <v>Christopher Carter</v>
      </c>
      <c r="T1703" s="4" t="str">
        <f>VLOOKUP(D1703,Product_Dim!$A:$M,3,FALSE())</f>
        <v>Sports</v>
      </c>
      <c r="U1703" s="11" t="str">
        <f>VLOOKUP(D1703,Product_Dim!$A:$M,2,FALSE())</f>
        <v>High-Grip Football</v>
      </c>
      <c r="V1703" s="11" t="str">
        <f>VLOOKUP(E1703,Store_Dim!$A:$E,3,FALSE())</f>
        <v>South</v>
      </c>
      <c r="W1703" s="11" t="str">
        <f>VLOOKUP(C1703,Customer_Dim!$A:$N,13,FALSE())</f>
        <v>Standard</v>
      </c>
      <c r="X1703" s="11" t="str">
        <f t="shared" si="188"/>
        <v>Low</v>
      </c>
    </row>
    <row r="1704" spans="1:24" ht="15.75" customHeight="1">
      <c r="A1704" s="4" t="s">
        <v>3700</v>
      </c>
      <c r="B1704" s="9">
        <v>45554</v>
      </c>
      <c r="C1704" s="4" t="s">
        <v>1231</v>
      </c>
      <c r="D1704" s="4" t="s">
        <v>1809</v>
      </c>
      <c r="E1704" s="4" t="s">
        <v>1957</v>
      </c>
      <c r="F1704" s="4">
        <v>1</v>
      </c>
      <c r="G1704" s="4">
        <v>522.72</v>
      </c>
      <c r="H1704" s="4">
        <v>0.25</v>
      </c>
      <c r="I1704" s="4" t="s">
        <v>1998</v>
      </c>
      <c r="J1704" s="10">
        <v>392.04</v>
      </c>
      <c r="K1704" s="4" t="str">
        <f t="shared" si="182"/>
        <v>19-09-2024</v>
      </c>
      <c r="L1704" s="4" t="str">
        <f>TEXT(Sales_Fact!$B1704,"mmm")</f>
        <v>Sep</v>
      </c>
      <c r="M1704" s="4">
        <f t="shared" si="183"/>
        <v>1</v>
      </c>
      <c r="N1704" s="10">
        <f t="shared" si="184"/>
        <v>522.72</v>
      </c>
      <c r="O1704" s="10">
        <f t="shared" si="185"/>
        <v>392.04</v>
      </c>
      <c r="P1704" s="10">
        <f t="shared" si="186"/>
        <v>522.72</v>
      </c>
      <c r="Q1704" s="3">
        <f t="shared" si="187"/>
        <v>0.25</v>
      </c>
      <c r="R1704" s="4" t="str">
        <f>IF(Sales_Fact!$O1704&gt;1000,"High","Low")</f>
        <v>Low</v>
      </c>
      <c r="S1704" s="4" t="str">
        <f>VLOOKUP(C1704,Customer_Dim!$A:$N,9,FALSE())</f>
        <v>Tammy Brennan</v>
      </c>
      <c r="T1704" s="4" t="str">
        <f>VLOOKUP(D1704,Product_Dim!$A:$M,3,FALSE())</f>
        <v>Home</v>
      </c>
      <c r="U1704" s="11" t="str">
        <f>VLOOKUP(D1704,Product_Dim!$A:$M,2,FALSE())</f>
        <v>Wooden Nightstand</v>
      </c>
      <c r="V1704" s="11" t="str">
        <f>VLOOKUP(E1704,Store_Dim!$A:$E,3,FALSE())</f>
        <v>South</v>
      </c>
      <c r="W1704" s="11" t="str">
        <f>VLOOKUP(C1704,Customer_Dim!$A:$N,13,FALSE())</f>
        <v>Gold</v>
      </c>
      <c r="X1704" s="11" t="str">
        <f t="shared" si="188"/>
        <v>Low</v>
      </c>
    </row>
    <row r="1705" spans="1:24" ht="15.75" customHeight="1">
      <c r="A1705" s="4" t="s">
        <v>3701</v>
      </c>
      <c r="B1705" s="9">
        <v>45569</v>
      </c>
      <c r="C1705" s="4" t="s">
        <v>235</v>
      </c>
      <c r="D1705" s="4" t="s">
        <v>1599</v>
      </c>
      <c r="E1705" s="4" t="s">
        <v>1944</v>
      </c>
      <c r="F1705" s="4">
        <v>3</v>
      </c>
      <c r="G1705" s="4">
        <v>966.02</v>
      </c>
      <c r="H1705" s="4">
        <v>0.03</v>
      </c>
      <c r="I1705" s="4" t="s">
        <v>2004</v>
      </c>
      <c r="J1705" s="10">
        <v>2811.1181999999999</v>
      </c>
      <c r="K1705" s="4" t="str">
        <f t="shared" si="182"/>
        <v>04-10-2024</v>
      </c>
      <c r="L1705" s="4" t="str">
        <f>TEXT(Sales_Fact!$B1705,"mmm")</f>
        <v>Oct</v>
      </c>
      <c r="M1705" s="4">
        <f t="shared" si="183"/>
        <v>3</v>
      </c>
      <c r="N1705" s="10">
        <f t="shared" si="184"/>
        <v>966.02</v>
      </c>
      <c r="O1705" s="10">
        <f t="shared" si="185"/>
        <v>2811.1181999999999</v>
      </c>
      <c r="P1705" s="10">
        <f t="shared" si="186"/>
        <v>2898.06</v>
      </c>
      <c r="Q1705" s="3">
        <f t="shared" si="187"/>
        <v>3.000000000000002E-2</v>
      </c>
      <c r="R1705" s="4" t="str">
        <f>IF(Sales_Fact!$O1705&gt;1000,"High","Low")</f>
        <v>High</v>
      </c>
      <c r="S1705" s="4" t="str">
        <f>VLOOKUP(C1705,Customer_Dim!$A:$N,9,FALSE())</f>
        <v>Jay Patel</v>
      </c>
      <c r="T1705" s="4" t="str">
        <f>VLOOKUP(D1705,Product_Dim!$A:$M,3,FALSE())</f>
        <v>Clothing</v>
      </c>
      <c r="U1705" s="11" t="str">
        <f>VLOOKUP(D1705,Product_Dim!$A:$M,2,FALSE())</f>
        <v>Men's Leather Belt</v>
      </c>
      <c r="V1705" s="11" t="str">
        <f>VLOOKUP(E1705,Store_Dim!$A:$E,3,FALSE())</f>
        <v>South</v>
      </c>
      <c r="W1705" s="11" t="str">
        <f>VLOOKUP(C1705,Customer_Dim!$A:$N,13,FALSE())</f>
        <v>Platinum</v>
      </c>
      <c r="X1705" s="11" t="str">
        <f t="shared" si="188"/>
        <v>Low</v>
      </c>
    </row>
    <row r="1706" spans="1:24" ht="15.75" customHeight="1">
      <c r="A1706" s="4" t="s">
        <v>3702</v>
      </c>
      <c r="B1706" s="9">
        <v>45217</v>
      </c>
      <c r="C1706" s="4" t="s">
        <v>752</v>
      </c>
      <c r="D1706" s="4" t="s">
        <v>1755</v>
      </c>
      <c r="E1706" s="4" t="s">
        <v>1965</v>
      </c>
      <c r="F1706" s="4">
        <v>1</v>
      </c>
      <c r="G1706" s="4">
        <v>498.61</v>
      </c>
      <c r="H1706" s="4">
        <v>0.04</v>
      </c>
      <c r="I1706" s="4" t="s">
        <v>1998</v>
      </c>
      <c r="J1706" s="10">
        <v>478.66559999999998</v>
      </c>
      <c r="K1706" s="4" t="str">
        <f t="shared" si="182"/>
        <v>18-10-2023</v>
      </c>
      <c r="L1706" s="4" t="str">
        <f>TEXT(Sales_Fact!$B1706,"mmm")</f>
        <v>Oct</v>
      </c>
      <c r="M1706" s="4">
        <f t="shared" si="183"/>
        <v>1</v>
      </c>
      <c r="N1706" s="10">
        <f t="shared" si="184"/>
        <v>498.61</v>
      </c>
      <c r="O1706" s="10">
        <f t="shared" si="185"/>
        <v>478.66559999999998</v>
      </c>
      <c r="P1706" s="10">
        <f t="shared" si="186"/>
        <v>498.61</v>
      </c>
      <c r="Q1706" s="3">
        <f t="shared" si="187"/>
        <v>4.0000000000000056E-2</v>
      </c>
      <c r="R1706" s="4" t="str">
        <f>IF(Sales_Fact!$O1706&gt;1000,"High","Low")</f>
        <v>Low</v>
      </c>
      <c r="S1706" s="4" t="str">
        <f>VLOOKUP(C1706,Customer_Dim!$A:$N,9,FALSE())</f>
        <v>Anthony Morgan</v>
      </c>
      <c r="T1706" s="4" t="str">
        <f>VLOOKUP(D1706,Product_Dim!$A:$M,3,FALSE())</f>
        <v>Sports</v>
      </c>
      <c r="U1706" s="11" t="str">
        <f>VLOOKUP(D1706,Product_Dim!$A:$M,2,FALSE())</f>
        <v>Boxing Hand Wraps</v>
      </c>
      <c r="V1706" s="11" t="str">
        <f>VLOOKUP(E1706,Store_Dim!$A:$E,3,FALSE())</f>
        <v>North</v>
      </c>
      <c r="W1706" s="11" t="str">
        <f>VLOOKUP(C1706,Customer_Dim!$A:$N,13,FALSE())</f>
        <v>Silver</v>
      </c>
      <c r="X1706" s="11" t="str">
        <f t="shared" si="188"/>
        <v>Low</v>
      </c>
    </row>
    <row r="1707" spans="1:24" ht="15.75" customHeight="1">
      <c r="A1707" s="4" t="s">
        <v>3703</v>
      </c>
      <c r="B1707" s="9">
        <v>45783</v>
      </c>
      <c r="C1707" s="4" t="s">
        <v>1066</v>
      </c>
      <c r="D1707" s="4" t="s">
        <v>1729</v>
      </c>
      <c r="E1707" s="4" t="s">
        <v>1934</v>
      </c>
      <c r="F1707" s="4">
        <v>4</v>
      </c>
      <c r="G1707" s="4">
        <v>758.27</v>
      </c>
      <c r="H1707" s="4">
        <v>0.05</v>
      </c>
      <c r="I1707" s="4" t="s">
        <v>1998</v>
      </c>
      <c r="J1707" s="10">
        <v>2881.4259999999999</v>
      </c>
      <c r="K1707" s="4" t="str">
        <f t="shared" si="182"/>
        <v>06-05-2025</v>
      </c>
      <c r="L1707" s="4" t="str">
        <f>TEXT(Sales_Fact!$B1707,"mmm")</f>
        <v>May</v>
      </c>
      <c r="M1707" s="4">
        <f t="shared" si="183"/>
        <v>4</v>
      </c>
      <c r="N1707" s="10">
        <f t="shared" si="184"/>
        <v>758.27</v>
      </c>
      <c r="O1707" s="10">
        <f t="shared" si="185"/>
        <v>2881.4259999999999</v>
      </c>
      <c r="P1707" s="10">
        <f t="shared" si="186"/>
        <v>3033.08</v>
      </c>
      <c r="Q1707" s="3">
        <f t="shared" si="187"/>
        <v>0.05</v>
      </c>
      <c r="R1707" s="4" t="str">
        <f>IF(Sales_Fact!$O1707&gt;1000,"High","Low")</f>
        <v>High</v>
      </c>
      <c r="S1707" s="4" t="str">
        <f>VLOOKUP(C1707,Customer_Dim!$A:$N,9,FALSE())</f>
        <v>Pamela Mcguire</v>
      </c>
      <c r="T1707" s="4" t="str">
        <f>VLOOKUP(D1707,Product_Dim!$A:$M,3,FALSE())</f>
        <v>Electronics</v>
      </c>
      <c r="U1707" s="11" t="str">
        <f>VLOOKUP(D1707,Product_Dim!$A:$M,2,FALSE())</f>
        <v>Smart Home WiFi Camera</v>
      </c>
      <c r="V1707" s="11" t="str">
        <f>VLOOKUP(E1707,Store_Dim!$A:$E,3,FALSE())</f>
        <v>East</v>
      </c>
      <c r="W1707" s="11" t="str">
        <f>VLOOKUP(C1707,Customer_Dim!$A:$N,13,FALSE())</f>
        <v>Platinum</v>
      </c>
      <c r="X1707" s="11" t="str">
        <f t="shared" si="188"/>
        <v>High</v>
      </c>
    </row>
    <row r="1708" spans="1:24" ht="15.75" customHeight="1">
      <c r="A1708" s="4" t="s">
        <v>3704</v>
      </c>
      <c r="B1708" s="9">
        <v>45371</v>
      </c>
      <c r="C1708" s="4" t="s">
        <v>673</v>
      </c>
      <c r="D1708" s="4" t="s">
        <v>1592</v>
      </c>
      <c r="E1708" s="4" t="s">
        <v>1919</v>
      </c>
      <c r="F1708" s="4">
        <v>2</v>
      </c>
      <c r="G1708" s="4">
        <v>371.03</v>
      </c>
      <c r="H1708" s="4">
        <v>0.23</v>
      </c>
      <c r="I1708" s="4" t="s">
        <v>1998</v>
      </c>
      <c r="J1708" s="10">
        <v>571.38620000000003</v>
      </c>
      <c r="K1708" s="4" t="str">
        <f t="shared" si="182"/>
        <v>20-03-2024</v>
      </c>
      <c r="L1708" s="4" t="str">
        <f>TEXT(Sales_Fact!$B1708,"mmm")</f>
        <v>Mar</v>
      </c>
      <c r="M1708" s="4">
        <f t="shared" si="183"/>
        <v>2</v>
      </c>
      <c r="N1708" s="10">
        <f t="shared" si="184"/>
        <v>371.03</v>
      </c>
      <c r="O1708" s="10">
        <f t="shared" si="185"/>
        <v>571.38619999999992</v>
      </c>
      <c r="P1708" s="10">
        <f t="shared" si="186"/>
        <v>742.06</v>
      </c>
      <c r="Q1708" s="3">
        <f t="shared" si="187"/>
        <v>0.23000000000000007</v>
      </c>
      <c r="R1708" s="4" t="str">
        <f>IF(Sales_Fact!$O1708&gt;1000,"High","Low")</f>
        <v>Low</v>
      </c>
      <c r="S1708" s="4" t="str">
        <f>VLOOKUP(C1708,Customer_Dim!$A:$N,9,FALSE())</f>
        <v>Wanda Snyder</v>
      </c>
      <c r="T1708" s="4" t="str">
        <f>VLOOKUP(D1708,Product_Dim!$A:$M,3,FALSE())</f>
        <v>Clothing</v>
      </c>
      <c r="U1708" s="11" t="str">
        <f>VLOOKUP(D1708,Product_Dim!$A:$M,2,FALSE())</f>
        <v>Men's Running Jacket</v>
      </c>
      <c r="V1708" s="11" t="str">
        <f>VLOOKUP(E1708,Store_Dim!$A:$E,3,FALSE())</f>
        <v>South</v>
      </c>
      <c r="W1708" s="11" t="str">
        <f>VLOOKUP(C1708,Customer_Dim!$A:$N,13,FALSE())</f>
        <v>Bronze</v>
      </c>
      <c r="X1708" s="11" t="str">
        <f t="shared" si="188"/>
        <v>Low</v>
      </c>
    </row>
    <row r="1709" spans="1:24" ht="15.75" customHeight="1">
      <c r="A1709" s="4" t="s">
        <v>3705</v>
      </c>
      <c r="B1709" s="9">
        <v>45453</v>
      </c>
      <c r="C1709" s="4" t="s">
        <v>1141</v>
      </c>
      <c r="D1709" s="4" t="s">
        <v>1879</v>
      </c>
      <c r="E1709" s="4" t="s">
        <v>1965</v>
      </c>
      <c r="F1709" s="4">
        <v>1</v>
      </c>
      <c r="G1709" s="4">
        <v>230.32</v>
      </c>
      <c r="H1709" s="4">
        <v>0.05</v>
      </c>
      <c r="I1709" s="4" t="s">
        <v>2004</v>
      </c>
      <c r="J1709" s="10">
        <v>218.804</v>
      </c>
      <c r="K1709" s="4" t="str">
        <f t="shared" si="182"/>
        <v>10-06-2024</v>
      </c>
      <c r="L1709" s="4" t="str">
        <f>TEXT(Sales_Fact!$B1709,"mmm")</f>
        <v>Jun</v>
      </c>
      <c r="M1709" s="4">
        <f t="shared" si="183"/>
        <v>1</v>
      </c>
      <c r="N1709" s="10">
        <f t="shared" si="184"/>
        <v>230.32</v>
      </c>
      <c r="O1709" s="10">
        <f t="shared" si="185"/>
        <v>218.80399999999997</v>
      </c>
      <c r="P1709" s="10">
        <f t="shared" si="186"/>
        <v>230.32</v>
      </c>
      <c r="Q1709" s="3">
        <f t="shared" si="187"/>
        <v>5.0000000000000086E-2</v>
      </c>
      <c r="R1709" s="4" t="str">
        <f>IF(Sales_Fact!$O1709&gt;1000,"High","Low")</f>
        <v>Low</v>
      </c>
      <c r="S1709" s="4" t="str">
        <f>VLOOKUP(C1709,Customer_Dim!$A:$N,9,FALSE())</f>
        <v>Carlos Flores</v>
      </c>
      <c r="T1709" s="4" t="str">
        <f>VLOOKUP(D1709,Product_Dim!$A:$M,3,FALSE())</f>
        <v>Clothing</v>
      </c>
      <c r="U1709" s="11" t="str">
        <f>VLOOKUP(D1709,Product_Dim!$A:$M,2,FALSE())</f>
        <v>Women's High Heels</v>
      </c>
      <c r="V1709" s="11" t="str">
        <f>VLOOKUP(E1709,Store_Dim!$A:$E,3,FALSE())</f>
        <v>North</v>
      </c>
      <c r="W1709" s="11" t="str">
        <f>VLOOKUP(C1709,Customer_Dim!$A:$N,13,FALSE())</f>
        <v>Gold</v>
      </c>
      <c r="X1709" s="11" t="str">
        <f t="shared" si="188"/>
        <v>Low</v>
      </c>
    </row>
    <row r="1710" spans="1:24" ht="15.75" customHeight="1">
      <c r="A1710" s="4" t="s">
        <v>3706</v>
      </c>
      <c r="B1710" s="9">
        <v>45526</v>
      </c>
      <c r="C1710" s="4" t="s">
        <v>1102</v>
      </c>
      <c r="D1710" s="4" t="s">
        <v>1788</v>
      </c>
      <c r="E1710" s="4" t="s">
        <v>1934</v>
      </c>
      <c r="F1710" s="4">
        <v>2</v>
      </c>
      <c r="G1710" s="4">
        <v>985.43</v>
      </c>
      <c r="H1710" s="4">
        <v>0.28000000000000003</v>
      </c>
      <c r="I1710" s="4" t="s">
        <v>2004</v>
      </c>
      <c r="J1710" s="10">
        <v>1419.0192</v>
      </c>
      <c r="K1710" s="4" t="str">
        <f t="shared" si="182"/>
        <v>22-08-2024</v>
      </c>
      <c r="L1710" s="4" t="str">
        <f>TEXT(Sales_Fact!$B1710,"mmm")</f>
        <v>Aug</v>
      </c>
      <c r="M1710" s="4">
        <f t="shared" si="183"/>
        <v>2</v>
      </c>
      <c r="N1710" s="10">
        <f t="shared" si="184"/>
        <v>985.43</v>
      </c>
      <c r="O1710" s="10">
        <f t="shared" si="185"/>
        <v>1419.0192</v>
      </c>
      <c r="P1710" s="10">
        <f t="shared" si="186"/>
        <v>1970.86</v>
      </c>
      <c r="Q1710" s="3">
        <f t="shared" si="187"/>
        <v>0.27999999999999997</v>
      </c>
      <c r="R1710" s="4" t="str">
        <f>IF(Sales_Fact!$O1710&gt;1000,"High","Low")</f>
        <v>High</v>
      </c>
      <c r="S1710" s="4" t="str">
        <f>VLOOKUP(C1710,Customer_Dim!$A:$N,9,FALSE())</f>
        <v>Michelle Cunningham</v>
      </c>
      <c r="T1710" s="4" t="str">
        <f>VLOOKUP(D1710,Product_Dim!$A:$M,3,FALSE())</f>
        <v>Sports</v>
      </c>
      <c r="U1710" s="11" t="str">
        <f>VLOOKUP(D1710,Product_Dim!$A:$M,2,FALSE())</f>
        <v>Tennis Ball 3-Pack</v>
      </c>
      <c r="V1710" s="11" t="str">
        <f>VLOOKUP(E1710,Store_Dim!$A:$E,3,FALSE())</f>
        <v>East</v>
      </c>
      <c r="W1710" s="11" t="str">
        <f>VLOOKUP(C1710,Customer_Dim!$A:$N,13,FALSE())</f>
        <v>Bronze</v>
      </c>
      <c r="X1710" s="11" t="str">
        <f t="shared" si="188"/>
        <v>Low</v>
      </c>
    </row>
    <row r="1711" spans="1:24" ht="15.75" customHeight="1">
      <c r="A1711" s="4" t="s">
        <v>3707</v>
      </c>
      <c r="B1711" s="9">
        <v>45756</v>
      </c>
      <c r="C1711" s="4" t="s">
        <v>1339</v>
      </c>
      <c r="D1711" s="4" t="s">
        <v>1617</v>
      </c>
      <c r="E1711" s="4" t="s">
        <v>1927</v>
      </c>
      <c r="F1711" s="4">
        <v>2</v>
      </c>
      <c r="G1711" s="4">
        <v>492.5</v>
      </c>
      <c r="H1711" s="4">
        <v>0.3</v>
      </c>
      <c r="I1711" s="4" t="s">
        <v>1998</v>
      </c>
      <c r="J1711" s="10">
        <v>689.5</v>
      </c>
      <c r="K1711" s="4" t="str">
        <f t="shared" si="182"/>
        <v>09-04-2025</v>
      </c>
      <c r="L1711" s="4" t="str">
        <f>TEXT(Sales_Fact!$B1711,"mmm")</f>
        <v>Apr</v>
      </c>
      <c r="M1711" s="4">
        <f t="shared" si="183"/>
        <v>2</v>
      </c>
      <c r="N1711" s="10">
        <f t="shared" si="184"/>
        <v>492.5</v>
      </c>
      <c r="O1711" s="10">
        <f t="shared" si="185"/>
        <v>689.5</v>
      </c>
      <c r="P1711" s="10">
        <f t="shared" si="186"/>
        <v>985</v>
      </c>
      <c r="Q1711" s="3">
        <f t="shared" si="187"/>
        <v>0.3</v>
      </c>
      <c r="R1711" s="4" t="str">
        <f>IF(Sales_Fact!$O1711&gt;1000,"High","Low")</f>
        <v>Low</v>
      </c>
      <c r="S1711" s="4" t="str">
        <f>VLOOKUP(C1711,Customer_Dim!$A:$N,9,FALSE())</f>
        <v>Brittany Edwards Dds</v>
      </c>
      <c r="T1711" s="4" t="str">
        <f>VLOOKUP(D1711,Product_Dim!$A:$M,3,FALSE())</f>
        <v>Sports</v>
      </c>
      <c r="U1711" s="11" t="str">
        <f>VLOOKUP(D1711,Product_Dim!$A:$M,2,FALSE())</f>
        <v>Adjustable Dumbbell Set</v>
      </c>
      <c r="V1711" s="11" t="str">
        <f>VLOOKUP(E1711,Store_Dim!$A:$E,3,FALSE())</f>
        <v>South</v>
      </c>
      <c r="W1711" s="11" t="str">
        <f>VLOOKUP(C1711,Customer_Dim!$A:$N,13,FALSE())</f>
        <v>Platinum</v>
      </c>
      <c r="X1711" s="11" t="str">
        <f t="shared" si="188"/>
        <v>Low</v>
      </c>
    </row>
    <row r="1712" spans="1:24" ht="15.75" customHeight="1">
      <c r="A1712" s="4" t="s">
        <v>3708</v>
      </c>
      <c r="B1712" s="9">
        <v>45657</v>
      </c>
      <c r="C1712" s="4" t="s">
        <v>1168</v>
      </c>
      <c r="D1712" s="4" t="s">
        <v>1741</v>
      </c>
      <c r="E1712" s="4" t="s">
        <v>1950</v>
      </c>
      <c r="F1712" s="4">
        <v>2</v>
      </c>
      <c r="G1712" s="4">
        <v>213.69</v>
      </c>
      <c r="H1712" s="4">
        <v>0.28000000000000003</v>
      </c>
      <c r="I1712" s="4" t="s">
        <v>1998</v>
      </c>
      <c r="J1712" s="10">
        <v>307.71359999999999</v>
      </c>
      <c r="K1712" s="4" t="str">
        <f t="shared" si="182"/>
        <v>31-12-2024</v>
      </c>
      <c r="L1712" s="4" t="str">
        <f>TEXT(Sales_Fact!$B1712,"mmm")</f>
        <v>Dec</v>
      </c>
      <c r="M1712" s="4">
        <f t="shared" si="183"/>
        <v>2</v>
      </c>
      <c r="N1712" s="10">
        <f t="shared" si="184"/>
        <v>213.69</v>
      </c>
      <c r="O1712" s="10">
        <f t="shared" si="185"/>
        <v>307.71359999999999</v>
      </c>
      <c r="P1712" s="10">
        <f t="shared" si="186"/>
        <v>427.38</v>
      </c>
      <c r="Q1712" s="3">
        <f t="shared" si="187"/>
        <v>0.28000000000000003</v>
      </c>
      <c r="R1712" s="4" t="str">
        <f>IF(Sales_Fact!$O1712&gt;1000,"High","Low")</f>
        <v>Low</v>
      </c>
      <c r="S1712" s="4" t="str">
        <f>VLOOKUP(C1712,Customer_Dim!$A:$N,9,FALSE())</f>
        <v>Chloe Aguilar</v>
      </c>
      <c r="T1712" s="4" t="str">
        <f>VLOOKUP(D1712,Product_Dim!$A:$M,3,FALSE())</f>
        <v>Clothing</v>
      </c>
      <c r="U1712" s="11" t="str">
        <f>VLOOKUP(D1712,Product_Dim!$A:$M,2,FALSE())</f>
        <v>Men's Winter Jacket</v>
      </c>
      <c r="V1712" s="11" t="str">
        <f>VLOOKUP(E1712,Store_Dim!$A:$E,3,FALSE())</f>
        <v>South</v>
      </c>
      <c r="W1712" s="11" t="str">
        <f>VLOOKUP(C1712,Customer_Dim!$A:$N,13,FALSE())</f>
        <v>Bronze</v>
      </c>
      <c r="X1712" s="11" t="str">
        <f t="shared" si="188"/>
        <v>Low</v>
      </c>
    </row>
    <row r="1713" spans="1:24" ht="15.75" customHeight="1">
      <c r="A1713" s="4" t="s">
        <v>3709</v>
      </c>
      <c r="B1713" s="9">
        <v>45716</v>
      </c>
      <c r="C1713" s="4" t="s">
        <v>262</v>
      </c>
      <c r="D1713" s="4" t="s">
        <v>1658</v>
      </c>
      <c r="E1713" s="4" t="s">
        <v>1940</v>
      </c>
      <c r="F1713" s="4">
        <v>4</v>
      </c>
      <c r="G1713" s="4">
        <v>618.83000000000004</v>
      </c>
      <c r="H1713" s="4">
        <v>0.08</v>
      </c>
      <c r="I1713" s="4" t="s">
        <v>1998</v>
      </c>
      <c r="J1713" s="10">
        <v>2277.2944000000002</v>
      </c>
      <c r="K1713" s="4" t="str">
        <f t="shared" si="182"/>
        <v>28-02-2025</v>
      </c>
      <c r="L1713" s="4" t="str">
        <f>TEXT(Sales_Fact!$B1713,"mmm")</f>
        <v>Feb</v>
      </c>
      <c r="M1713" s="4">
        <f t="shared" si="183"/>
        <v>4</v>
      </c>
      <c r="N1713" s="10">
        <f t="shared" si="184"/>
        <v>618.83000000000004</v>
      </c>
      <c r="O1713" s="10">
        <f t="shared" si="185"/>
        <v>2277.2944000000002</v>
      </c>
      <c r="P1713" s="10">
        <f t="shared" si="186"/>
        <v>2475.3200000000002</v>
      </c>
      <c r="Q1713" s="3">
        <f t="shared" si="187"/>
        <v>7.9999999999999974E-2</v>
      </c>
      <c r="R1713" s="4" t="str">
        <f>IF(Sales_Fact!$O1713&gt;1000,"High","Low")</f>
        <v>High</v>
      </c>
      <c r="S1713" s="4" t="str">
        <f>VLOOKUP(C1713,Customer_Dim!$A:$N,9,FALSE())</f>
        <v>Michael Thomas</v>
      </c>
      <c r="T1713" s="4" t="str">
        <f>VLOOKUP(D1713,Product_Dim!$A:$M,3,FALSE())</f>
        <v>Sports</v>
      </c>
      <c r="U1713" s="11" t="str">
        <f>VLOOKUP(D1713,Product_Dim!$A:$M,2,FALSE())</f>
        <v>Outdoor Sports Water Bottle</v>
      </c>
      <c r="V1713" s="11" t="str">
        <f>VLOOKUP(E1713,Store_Dim!$A:$E,3,FALSE())</f>
        <v>West</v>
      </c>
      <c r="W1713" s="11" t="str">
        <f>VLOOKUP(C1713,Customer_Dim!$A:$N,13,FALSE())</f>
        <v>Silver</v>
      </c>
      <c r="X1713" s="11" t="str">
        <f t="shared" si="188"/>
        <v>High</v>
      </c>
    </row>
    <row r="1714" spans="1:24" ht="15.75" customHeight="1">
      <c r="A1714" s="4" t="s">
        <v>3710</v>
      </c>
      <c r="B1714" s="9">
        <v>45942</v>
      </c>
      <c r="C1714" s="4" t="s">
        <v>897</v>
      </c>
      <c r="D1714" s="4" t="s">
        <v>1658</v>
      </c>
      <c r="E1714" s="4" t="s">
        <v>1940</v>
      </c>
      <c r="F1714" s="4">
        <v>1</v>
      </c>
      <c r="G1714" s="4">
        <v>184.98</v>
      </c>
      <c r="H1714" s="4">
        <v>0.1</v>
      </c>
      <c r="I1714" s="4" t="s">
        <v>2004</v>
      </c>
      <c r="J1714" s="10">
        <v>166.482</v>
      </c>
      <c r="K1714" s="4" t="str">
        <f t="shared" si="182"/>
        <v>12-10-2025</v>
      </c>
      <c r="L1714" s="4" t="str">
        <f>TEXT(Sales_Fact!$B1714,"mmm")</f>
        <v>Oct</v>
      </c>
      <c r="M1714" s="4">
        <f t="shared" si="183"/>
        <v>1</v>
      </c>
      <c r="N1714" s="10">
        <f t="shared" si="184"/>
        <v>184.98</v>
      </c>
      <c r="O1714" s="10">
        <f t="shared" si="185"/>
        <v>166.482</v>
      </c>
      <c r="P1714" s="10">
        <f t="shared" si="186"/>
        <v>184.98</v>
      </c>
      <c r="Q1714" s="3">
        <f t="shared" si="187"/>
        <v>9.999999999999995E-2</v>
      </c>
      <c r="R1714" s="4" t="str">
        <f>IF(Sales_Fact!$O1714&gt;1000,"High","Low")</f>
        <v>Low</v>
      </c>
      <c r="S1714" s="4" t="str">
        <f>VLOOKUP(C1714,Customer_Dim!$A:$N,9,FALSE())</f>
        <v>Samantha Robinson</v>
      </c>
      <c r="T1714" s="4" t="str">
        <f>VLOOKUP(D1714,Product_Dim!$A:$M,3,FALSE())</f>
        <v>Sports</v>
      </c>
      <c r="U1714" s="11" t="str">
        <f>VLOOKUP(D1714,Product_Dim!$A:$M,2,FALSE())</f>
        <v>Outdoor Sports Water Bottle</v>
      </c>
      <c r="V1714" s="11" t="str">
        <f>VLOOKUP(E1714,Store_Dim!$A:$E,3,FALSE())</f>
        <v>West</v>
      </c>
      <c r="W1714" s="11" t="str">
        <f>VLOOKUP(C1714,Customer_Dim!$A:$N,13,FALSE())</f>
        <v>Bronze</v>
      </c>
      <c r="X1714" s="11" t="str">
        <f t="shared" si="188"/>
        <v>Low</v>
      </c>
    </row>
    <row r="1715" spans="1:24" ht="15.75" customHeight="1">
      <c r="A1715" s="4" t="s">
        <v>3711</v>
      </c>
      <c r="B1715" s="9">
        <v>45313</v>
      </c>
      <c r="C1715" s="4" t="s">
        <v>356</v>
      </c>
      <c r="D1715" s="4" t="s">
        <v>1782</v>
      </c>
      <c r="E1715" s="4" t="s">
        <v>1950</v>
      </c>
      <c r="F1715" s="4">
        <v>2</v>
      </c>
      <c r="G1715" s="4">
        <v>81.16</v>
      </c>
      <c r="H1715" s="4">
        <v>0.16</v>
      </c>
      <c r="I1715" s="4" t="s">
        <v>1998</v>
      </c>
      <c r="J1715" s="10">
        <v>136.34880000000001</v>
      </c>
      <c r="K1715" s="4" t="str">
        <f t="shared" si="182"/>
        <v>22-01-2024</v>
      </c>
      <c r="L1715" s="4" t="str">
        <f>TEXT(Sales_Fact!$B1715,"mmm")</f>
        <v>Jan</v>
      </c>
      <c r="M1715" s="4">
        <f t="shared" si="183"/>
        <v>2</v>
      </c>
      <c r="N1715" s="10">
        <f t="shared" si="184"/>
        <v>81.16</v>
      </c>
      <c r="O1715" s="10">
        <f t="shared" si="185"/>
        <v>136.34879999999998</v>
      </c>
      <c r="P1715" s="10">
        <f t="shared" si="186"/>
        <v>162.32</v>
      </c>
      <c r="Q1715" s="3">
        <f t="shared" si="187"/>
        <v>0.16000000000000006</v>
      </c>
      <c r="R1715" s="4" t="str">
        <f>IF(Sales_Fact!$O1715&gt;1000,"High","Low")</f>
        <v>Low</v>
      </c>
      <c r="S1715" s="4" t="str">
        <f>VLOOKUP(C1715,Customer_Dim!$A:$N,9,FALSE())</f>
        <v>Christy Vasquez</v>
      </c>
      <c r="T1715" s="4" t="str">
        <f>VLOOKUP(D1715,Product_Dim!$A:$M,3,FALSE())</f>
        <v>Beauty</v>
      </c>
      <c r="U1715" s="11" t="str">
        <f>VLOOKUP(D1715,Product_Dim!$A:$M,2,FALSE())</f>
        <v>Men's Hair Styling Gel</v>
      </c>
      <c r="V1715" s="11" t="str">
        <f>VLOOKUP(E1715,Store_Dim!$A:$E,3,FALSE())</f>
        <v>South</v>
      </c>
      <c r="W1715" s="11" t="str">
        <f>VLOOKUP(C1715,Customer_Dim!$A:$N,13,FALSE())</f>
        <v>Gold</v>
      </c>
      <c r="X1715" s="11" t="str">
        <f t="shared" si="188"/>
        <v>Low</v>
      </c>
    </row>
    <row r="1716" spans="1:24" ht="15.75" customHeight="1">
      <c r="A1716" s="4" t="s">
        <v>3712</v>
      </c>
      <c r="B1716" s="9">
        <v>45372</v>
      </c>
      <c r="C1716" s="4" t="s">
        <v>35</v>
      </c>
      <c r="D1716" s="4" t="s">
        <v>1864</v>
      </c>
      <c r="E1716" s="4" t="s">
        <v>1944</v>
      </c>
      <c r="F1716" s="4">
        <v>1</v>
      </c>
      <c r="G1716" s="4">
        <v>431.69</v>
      </c>
      <c r="H1716" s="4">
        <v>0.09</v>
      </c>
      <c r="I1716" s="4" t="s">
        <v>1996</v>
      </c>
      <c r="J1716" s="10">
        <v>392.83789999999999</v>
      </c>
      <c r="K1716" s="4" t="str">
        <f t="shared" si="182"/>
        <v>21-03-2024</v>
      </c>
      <c r="L1716" s="4" t="str">
        <f>TEXT(Sales_Fact!$B1716,"mmm")</f>
        <v>Mar</v>
      </c>
      <c r="M1716" s="4">
        <f t="shared" si="183"/>
        <v>1</v>
      </c>
      <c r="N1716" s="10">
        <f t="shared" si="184"/>
        <v>431.69</v>
      </c>
      <c r="O1716" s="10">
        <f t="shared" si="185"/>
        <v>392.83789999999999</v>
      </c>
      <c r="P1716" s="10">
        <f t="shared" si="186"/>
        <v>431.69</v>
      </c>
      <c r="Q1716" s="3">
        <f t="shared" si="187"/>
        <v>9.0000000000000011E-2</v>
      </c>
      <c r="R1716" s="4" t="str">
        <f>IF(Sales_Fact!$O1716&gt;1000,"High","Low")</f>
        <v>Low</v>
      </c>
      <c r="S1716" s="4" t="str">
        <f>VLOOKUP(C1716,Customer_Dim!$A:$N,9,FALSE())</f>
        <v>Dr. Benjamin Price</v>
      </c>
      <c r="T1716" s="4" t="str">
        <f>VLOOKUP(D1716,Product_Dim!$A:$M,3,FALSE())</f>
        <v>Home</v>
      </c>
      <c r="U1716" s="11" t="str">
        <f>VLOOKUP(D1716,Product_Dim!$A:$M,2,FALSE())</f>
        <v>Kitchen Cutting Board</v>
      </c>
      <c r="V1716" s="11" t="str">
        <f>VLOOKUP(E1716,Store_Dim!$A:$E,3,FALSE())</f>
        <v>South</v>
      </c>
      <c r="W1716" s="11" t="str">
        <f>VLOOKUP(C1716,Customer_Dim!$A:$N,13,FALSE())</f>
        <v>Platinum</v>
      </c>
      <c r="X1716" s="11" t="str">
        <f t="shared" si="188"/>
        <v>Low</v>
      </c>
    </row>
    <row r="1717" spans="1:24" ht="15.75" customHeight="1">
      <c r="A1717" s="4" t="s">
        <v>3713</v>
      </c>
      <c r="B1717" s="9">
        <v>45648</v>
      </c>
      <c r="C1717" s="4" t="s">
        <v>1289</v>
      </c>
      <c r="D1717" s="4" t="s">
        <v>1651</v>
      </c>
      <c r="E1717" s="4" t="s">
        <v>1931</v>
      </c>
      <c r="F1717" s="4">
        <v>3</v>
      </c>
      <c r="G1717" s="4">
        <v>438.65</v>
      </c>
      <c r="H1717" s="4">
        <v>0.28999999999999998</v>
      </c>
      <c r="I1717" s="4" t="s">
        <v>1998</v>
      </c>
      <c r="J1717" s="10">
        <v>934.32449999999994</v>
      </c>
      <c r="K1717" s="4" t="str">
        <f t="shared" si="182"/>
        <v>22-12-2024</v>
      </c>
      <c r="L1717" s="4" t="str">
        <f>TEXT(Sales_Fact!$B1717,"mmm")</f>
        <v>Dec</v>
      </c>
      <c r="M1717" s="4">
        <f t="shared" si="183"/>
        <v>3</v>
      </c>
      <c r="N1717" s="10">
        <f t="shared" si="184"/>
        <v>438.65</v>
      </c>
      <c r="O1717" s="10">
        <f t="shared" si="185"/>
        <v>934.32449999999983</v>
      </c>
      <c r="P1717" s="10">
        <f t="shared" si="186"/>
        <v>1315.9499999999998</v>
      </c>
      <c r="Q1717" s="3">
        <f t="shared" si="187"/>
        <v>0.29000000000000004</v>
      </c>
      <c r="R1717" s="4" t="str">
        <f>IF(Sales_Fact!$O1717&gt;1000,"High","Low")</f>
        <v>Low</v>
      </c>
      <c r="S1717" s="4" t="str">
        <f>VLOOKUP(C1717,Customer_Dim!$A:$N,9,FALSE())</f>
        <v>Eric Wolfe</v>
      </c>
      <c r="T1717" s="4" t="str">
        <f>VLOOKUP(D1717,Product_Dim!$A:$M,3,FALSE())</f>
        <v>Clothing</v>
      </c>
      <c r="U1717" s="11" t="str">
        <f>VLOOKUP(D1717,Product_Dim!$A:$M,2,FALSE())</f>
        <v>Women's Denim Jeans</v>
      </c>
      <c r="V1717" s="11" t="str">
        <f>VLOOKUP(E1717,Store_Dim!$A:$E,3,FALSE())</f>
        <v>North</v>
      </c>
      <c r="W1717" s="11" t="str">
        <f>VLOOKUP(C1717,Customer_Dim!$A:$N,13,FALSE())</f>
        <v>Gold</v>
      </c>
      <c r="X1717" s="11" t="str">
        <f t="shared" si="188"/>
        <v>Low</v>
      </c>
    </row>
    <row r="1718" spans="1:24" ht="15.75" customHeight="1">
      <c r="A1718" s="4" t="s">
        <v>3714</v>
      </c>
      <c r="B1718" s="9">
        <v>45384</v>
      </c>
      <c r="C1718" s="4" t="s">
        <v>595</v>
      </c>
      <c r="D1718" s="4" t="s">
        <v>1843</v>
      </c>
      <c r="E1718" s="4" t="s">
        <v>1924</v>
      </c>
      <c r="F1718" s="4">
        <v>3</v>
      </c>
      <c r="G1718" s="4">
        <v>339.41</v>
      </c>
      <c r="H1718" s="4">
        <v>0.26</v>
      </c>
      <c r="I1718" s="4" t="s">
        <v>1996</v>
      </c>
      <c r="J1718" s="10">
        <v>753.49019999999996</v>
      </c>
      <c r="K1718" s="4" t="str">
        <f t="shared" si="182"/>
        <v>02-04-2024</v>
      </c>
      <c r="L1718" s="4" t="str">
        <f>TEXT(Sales_Fact!$B1718,"mmm")</f>
        <v>Apr</v>
      </c>
      <c r="M1718" s="4">
        <f t="shared" si="183"/>
        <v>3</v>
      </c>
      <c r="N1718" s="10">
        <f t="shared" si="184"/>
        <v>339.41</v>
      </c>
      <c r="O1718" s="10">
        <f t="shared" si="185"/>
        <v>753.49019999999996</v>
      </c>
      <c r="P1718" s="10">
        <f t="shared" si="186"/>
        <v>1018.23</v>
      </c>
      <c r="Q1718" s="3">
        <f t="shared" si="187"/>
        <v>0.26000000000000006</v>
      </c>
      <c r="R1718" s="4" t="str">
        <f>IF(Sales_Fact!$O1718&gt;1000,"High","Low")</f>
        <v>Low</v>
      </c>
      <c r="S1718" s="4" t="str">
        <f>VLOOKUP(C1718,Customer_Dim!$A:$N,9,FALSE())</f>
        <v>Thomas Rhodes</v>
      </c>
      <c r="T1718" s="4" t="str">
        <f>VLOOKUP(D1718,Product_Dim!$A:$M,3,FALSE())</f>
        <v>Home</v>
      </c>
      <c r="U1718" s="11" t="str">
        <f>VLOOKUP(D1718,Product_Dim!$A:$M,2,FALSE())</f>
        <v>Decorative Lamp Shade</v>
      </c>
      <c r="V1718" s="11" t="str">
        <f>VLOOKUP(E1718,Store_Dim!$A:$E,3,FALSE())</f>
        <v>North</v>
      </c>
      <c r="W1718" s="11" t="str">
        <f>VLOOKUP(C1718,Customer_Dim!$A:$N,13,FALSE())</f>
        <v>Bronze</v>
      </c>
      <c r="X1718" s="11" t="str">
        <f t="shared" si="188"/>
        <v>Low</v>
      </c>
    </row>
    <row r="1719" spans="1:24" ht="15.75" customHeight="1">
      <c r="A1719" s="4" t="s">
        <v>3715</v>
      </c>
      <c r="B1719" s="9">
        <v>45687</v>
      </c>
      <c r="C1719" s="4" t="s">
        <v>1478</v>
      </c>
      <c r="D1719" s="4" t="s">
        <v>1843</v>
      </c>
      <c r="E1719" s="4" t="s">
        <v>1944</v>
      </c>
      <c r="F1719" s="4">
        <v>4</v>
      </c>
      <c r="G1719" s="4">
        <v>848.47</v>
      </c>
      <c r="H1719" s="4">
        <v>0.21</v>
      </c>
      <c r="I1719" s="4" t="s">
        <v>2004</v>
      </c>
      <c r="J1719" s="10">
        <v>2681.1651999999999</v>
      </c>
      <c r="K1719" s="4" t="str">
        <f t="shared" si="182"/>
        <v>30-01-2025</v>
      </c>
      <c r="L1719" s="4" t="str">
        <f>TEXT(Sales_Fact!$B1719,"mmm")</f>
        <v>Jan</v>
      </c>
      <c r="M1719" s="4">
        <f t="shared" si="183"/>
        <v>4</v>
      </c>
      <c r="N1719" s="10">
        <f t="shared" si="184"/>
        <v>848.47</v>
      </c>
      <c r="O1719" s="10">
        <f t="shared" si="185"/>
        <v>2681.1652000000004</v>
      </c>
      <c r="P1719" s="10">
        <f t="shared" si="186"/>
        <v>3393.88</v>
      </c>
      <c r="Q1719" s="3">
        <f t="shared" si="187"/>
        <v>0.20999999999999991</v>
      </c>
      <c r="R1719" s="4" t="str">
        <f>IF(Sales_Fact!$O1719&gt;1000,"High","Low")</f>
        <v>High</v>
      </c>
      <c r="S1719" s="4" t="str">
        <f>VLOOKUP(C1719,Customer_Dim!$A:$N,9,FALSE())</f>
        <v>Manuel Fisher</v>
      </c>
      <c r="T1719" s="4" t="str">
        <f>VLOOKUP(D1719,Product_Dim!$A:$M,3,FALSE())</f>
        <v>Home</v>
      </c>
      <c r="U1719" s="11" t="str">
        <f>VLOOKUP(D1719,Product_Dim!$A:$M,2,FALSE())</f>
        <v>Decorative Lamp Shade</v>
      </c>
      <c r="V1719" s="11" t="str">
        <f>VLOOKUP(E1719,Store_Dim!$A:$E,3,FALSE())</f>
        <v>South</v>
      </c>
      <c r="W1719" s="11" t="str">
        <f>VLOOKUP(C1719,Customer_Dim!$A:$N,13,FALSE())</f>
        <v>Gold</v>
      </c>
      <c r="X1719" s="11" t="str">
        <f t="shared" si="188"/>
        <v>High</v>
      </c>
    </row>
    <row r="1720" spans="1:24" ht="15.75" customHeight="1">
      <c r="A1720" s="4" t="s">
        <v>3716</v>
      </c>
      <c r="B1720" s="9">
        <v>45747</v>
      </c>
      <c r="C1720" s="4" t="s">
        <v>656</v>
      </c>
      <c r="D1720" s="4" t="s">
        <v>1806</v>
      </c>
      <c r="E1720" s="4" t="s">
        <v>1940</v>
      </c>
      <c r="F1720" s="4">
        <v>1</v>
      </c>
      <c r="G1720" s="4">
        <v>664.87</v>
      </c>
      <c r="H1720" s="4">
        <v>0.08</v>
      </c>
      <c r="I1720" s="4" t="s">
        <v>1998</v>
      </c>
      <c r="J1720" s="10">
        <v>611.68039999999996</v>
      </c>
      <c r="K1720" s="4" t="str">
        <f t="shared" si="182"/>
        <v>31-03-2025</v>
      </c>
      <c r="L1720" s="4" t="str">
        <f>TEXT(Sales_Fact!$B1720,"mmm")</f>
        <v>Mar</v>
      </c>
      <c r="M1720" s="4">
        <f t="shared" si="183"/>
        <v>1</v>
      </c>
      <c r="N1720" s="10">
        <f t="shared" si="184"/>
        <v>664.87</v>
      </c>
      <c r="O1720" s="10">
        <f t="shared" si="185"/>
        <v>611.68040000000008</v>
      </c>
      <c r="P1720" s="10">
        <f t="shared" si="186"/>
        <v>664.87</v>
      </c>
      <c r="Q1720" s="3">
        <f t="shared" si="187"/>
        <v>7.9999999999999891E-2</v>
      </c>
      <c r="R1720" s="4" t="str">
        <f>IF(Sales_Fact!$O1720&gt;1000,"High","Low")</f>
        <v>Low</v>
      </c>
      <c r="S1720" s="4" t="str">
        <f>VLOOKUP(C1720,Customer_Dim!$A:$N,9,FALSE())</f>
        <v>Jacob Wood</v>
      </c>
      <c r="T1720" s="4" t="str">
        <f>VLOOKUP(D1720,Product_Dim!$A:$M,3,FALSE())</f>
        <v>Electronics</v>
      </c>
      <c r="U1720" s="11" t="str">
        <f>VLOOKUP(D1720,Product_Dim!$A:$M,2,FALSE())</f>
        <v>Smart LED Light Strip</v>
      </c>
      <c r="V1720" s="11" t="str">
        <f>VLOOKUP(E1720,Store_Dim!$A:$E,3,FALSE())</f>
        <v>West</v>
      </c>
      <c r="W1720" s="11" t="str">
        <f>VLOOKUP(C1720,Customer_Dim!$A:$N,13,FALSE())</f>
        <v>Gold</v>
      </c>
      <c r="X1720" s="11" t="str">
        <f t="shared" si="188"/>
        <v>Low</v>
      </c>
    </row>
    <row r="1721" spans="1:24" ht="15.75" customHeight="1">
      <c r="A1721" s="4" t="s">
        <v>3717</v>
      </c>
      <c r="B1721" s="9">
        <v>45687</v>
      </c>
      <c r="C1721" s="4" t="s">
        <v>374</v>
      </c>
      <c r="D1721" s="4" t="s">
        <v>1671</v>
      </c>
      <c r="E1721" s="4" t="s">
        <v>1937</v>
      </c>
      <c r="F1721" s="4">
        <v>1</v>
      </c>
      <c r="G1721" s="4">
        <v>412.11</v>
      </c>
      <c r="H1721" s="4">
        <v>0.23</v>
      </c>
      <c r="I1721" s="4" t="s">
        <v>1998</v>
      </c>
      <c r="J1721" s="10">
        <v>317.32470000000001</v>
      </c>
      <c r="K1721" s="4" t="str">
        <f t="shared" si="182"/>
        <v>30-01-2025</v>
      </c>
      <c r="L1721" s="4" t="str">
        <f>TEXT(Sales_Fact!$B1721,"mmm")</f>
        <v>Jan</v>
      </c>
      <c r="M1721" s="4">
        <f t="shared" si="183"/>
        <v>1</v>
      </c>
      <c r="N1721" s="10">
        <f t="shared" si="184"/>
        <v>412.11</v>
      </c>
      <c r="O1721" s="10">
        <f t="shared" si="185"/>
        <v>317.32470000000001</v>
      </c>
      <c r="P1721" s="10">
        <f t="shared" si="186"/>
        <v>412.11</v>
      </c>
      <c r="Q1721" s="3">
        <f t="shared" si="187"/>
        <v>0.23</v>
      </c>
      <c r="R1721" s="4" t="str">
        <f>IF(Sales_Fact!$O1721&gt;1000,"High","Low")</f>
        <v>Low</v>
      </c>
      <c r="S1721" s="4" t="str">
        <f>VLOOKUP(C1721,Customer_Dim!$A:$N,9,FALSE())</f>
        <v>Sheila Wilson</v>
      </c>
      <c r="T1721" s="4" t="str">
        <f>VLOOKUP(D1721,Product_Dim!$A:$M,3,FALSE())</f>
        <v>Sports</v>
      </c>
      <c r="U1721" s="11" t="str">
        <f>VLOOKUP(D1721,Product_Dim!$A:$M,2,FALSE())</f>
        <v>Foldable Camping Chair</v>
      </c>
      <c r="V1721" s="11" t="str">
        <f>VLOOKUP(E1721,Store_Dim!$A:$E,3,FALSE())</f>
        <v>South</v>
      </c>
      <c r="W1721" s="11" t="str">
        <f>VLOOKUP(C1721,Customer_Dim!$A:$N,13,FALSE())</f>
        <v>Silver</v>
      </c>
      <c r="X1721" s="11" t="str">
        <f t="shared" si="188"/>
        <v>Low</v>
      </c>
    </row>
    <row r="1722" spans="1:24" ht="15.75" customHeight="1">
      <c r="A1722" s="4" t="s">
        <v>3718</v>
      </c>
      <c r="B1722" s="9">
        <v>45916</v>
      </c>
      <c r="C1722" s="4" t="s">
        <v>444</v>
      </c>
      <c r="D1722" s="4" t="s">
        <v>1888</v>
      </c>
      <c r="E1722" s="4" t="s">
        <v>1915</v>
      </c>
      <c r="F1722" s="4">
        <v>1</v>
      </c>
      <c r="G1722" s="4">
        <v>126.09</v>
      </c>
      <c r="H1722" s="4">
        <v>0.05</v>
      </c>
      <c r="I1722" s="4" t="s">
        <v>2004</v>
      </c>
      <c r="J1722" s="10">
        <v>119.7855</v>
      </c>
      <c r="K1722" s="4" t="str">
        <f t="shared" si="182"/>
        <v>16-09-2025</v>
      </c>
      <c r="L1722" s="4" t="str">
        <f>TEXT(Sales_Fact!$B1722,"mmm")</f>
        <v>Sep</v>
      </c>
      <c r="M1722" s="4">
        <f t="shared" si="183"/>
        <v>1</v>
      </c>
      <c r="N1722" s="10">
        <f t="shared" si="184"/>
        <v>126.09</v>
      </c>
      <c r="O1722" s="10">
        <f t="shared" si="185"/>
        <v>119.7855</v>
      </c>
      <c r="P1722" s="10">
        <f t="shared" si="186"/>
        <v>126.09</v>
      </c>
      <c r="Q1722" s="3">
        <f t="shared" si="187"/>
        <v>5.0000000000000031E-2</v>
      </c>
      <c r="R1722" s="4" t="str">
        <f>IF(Sales_Fact!$O1722&gt;1000,"High","Low")</f>
        <v>Low</v>
      </c>
      <c r="S1722" s="4" t="str">
        <f>VLOOKUP(C1722,Customer_Dim!$A:$N,9,FALSE())</f>
        <v>Michael Chang</v>
      </c>
      <c r="T1722" s="4" t="str">
        <f>VLOOKUP(D1722,Product_Dim!$A:$M,3,FALSE())</f>
        <v>Beauty</v>
      </c>
      <c r="U1722" s="11" t="str">
        <f>VLOOKUP(D1722,Product_Dim!$A:$M,2,FALSE())</f>
        <v>Vitamin E Body Lotion</v>
      </c>
      <c r="V1722" s="11" t="str">
        <f>VLOOKUP(E1722,Store_Dim!$A:$E,3,FALSE())</f>
        <v>North</v>
      </c>
      <c r="W1722" s="11" t="str">
        <f>VLOOKUP(C1722,Customer_Dim!$A:$N,13,FALSE())</f>
        <v>Platinum</v>
      </c>
      <c r="X1722" s="11" t="str">
        <f t="shared" si="188"/>
        <v>Low</v>
      </c>
    </row>
    <row r="1723" spans="1:24" ht="15.75" customHeight="1">
      <c r="A1723" s="4" t="s">
        <v>3719</v>
      </c>
      <c r="B1723" s="9">
        <v>45917</v>
      </c>
      <c r="C1723" s="4" t="s">
        <v>673</v>
      </c>
      <c r="D1723" s="4" t="s">
        <v>1806</v>
      </c>
      <c r="E1723" s="4" t="s">
        <v>1947</v>
      </c>
      <c r="F1723" s="4">
        <v>4</v>
      </c>
      <c r="G1723" s="4">
        <v>602.39</v>
      </c>
      <c r="H1723" s="4">
        <v>0.19</v>
      </c>
      <c r="I1723" s="4" t="s">
        <v>2004</v>
      </c>
      <c r="J1723" s="10">
        <v>1951.7436</v>
      </c>
      <c r="K1723" s="4" t="str">
        <f t="shared" si="182"/>
        <v>17-09-2025</v>
      </c>
      <c r="L1723" s="4" t="str">
        <f>TEXT(Sales_Fact!$B1723,"mmm")</f>
        <v>Sep</v>
      </c>
      <c r="M1723" s="4">
        <f t="shared" si="183"/>
        <v>4</v>
      </c>
      <c r="N1723" s="10">
        <f t="shared" si="184"/>
        <v>602.39</v>
      </c>
      <c r="O1723" s="10">
        <f t="shared" si="185"/>
        <v>1951.7436</v>
      </c>
      <c r="P1723" s="10">
        <f t="shared" si="186"/>
        <v>2409.56</v>
      </c>
      <c r="Q1723" s="3">
        <f t="shared" si="187"/>
        <v>0.18999999999999997</v>
      </c>
      <c r="R1723" s="4" t="str">
        <f>IF(Sales_Fact!$O1723&gt;1000,"High","Low")</f>
        <v>High</v>
      </c>
      <c r="S1723" s="4" t="str">
        <f>VLOOKUP(C1723,Customer_Dim!$A:$N,9,FALSE())</f>
        <v>Wanda Snyder</v>
      </c>
      <c r="T1723" s="4" t="str">
        <f>VLOOKUP(D1723,Product_Dim!$A:$M,3,FALSE())</f>
        <v>Electronics</v>
      </c>
      <c r="U1723" s="11" t="str">
        <f>VLOOKUP(D1723,Product_Dim!$A:$M,2,FALSE())</f>
        <v>Smart LED Light Strip</v>
      </c>
      <c r="V1723" s="11" t="str">
        <f>VLOOKUP(E1723,Store_Dim!$A:$E,3,FALSE())</f>
        <v>East</v>
      </c>
      <c r="W1723" s="11" t="str">
        <f>VLOOKUP(C1723,Customer_Dim!$A:$N,13,FALSE())</f>
        <v>Bronze</v>
      </c>
      <c r="X1723" s="11" t="str">
        <f t="shared" si="188"/>
        <v>High</v>
      </c>
    </row>
    <row r="1724" spans="1:24" ht="15.75" customHeight="1">
      <c r="A1724" s="4" t="s">
        <v>3720</v>
      </c>
      <c r="B1724" s="9">
        <v>45941</v>
      </c>
      <c r="C1724" s="4" t="s">
        <v>1051</v>
      </c>
      <c r="D1724" s="4" t="s">
        <v>1852</v>
      </c>
      <c r="E1724" s="4" t="s">
        <v>1924</v>
      </c>
      <c r="F1724" s="4">
        <v>3</v>
      </c>
      <c r="G1724" s="4">
        <v>447.69</v>
      </c>
      <c r="H1724" s="4">
        <v>0.02</v>
      </c>
      <c r="I1724" s="4" t="s">
        <v>2004</v>
      </c>
      <c r="J1724" s="10">
        <v>1316.2085999999999</v>
      </c>
      <c r="K1724" s="4" t="str">
        <f t="shared" si="182"/>
        <v>11-10-2025</v>
      </c>
      <c r="L1724" s="4" t="str">
        <f>TEXT(Sales_Fact!$B1724,"mmm")</f>
        <v>Oct</v>
      </c>
      <c r="M1724" s="4">
        <f t="shared" si="183"/>
        <v>3</v>
      </c>
      <c r="N1724" s="10">
        <f t="shared" si="184"/>
        <v>447.69</v>
      </c>
      <c r="O1724" s="10">
        <f t="shared" si="185"/>
        <v>1316.2085999999999</v>
      </c>
      <c r="P1724" s="10">
        <f t="shared" si="186"/>
        <v>1343.07</v>
      </c>
      <c r="Q1724" s="3">
        <f t="shared" si="187"/>
        <v>2.0000000000000004E-2</v>
      </c>
      <c r="R1724" s="4" t="str">
        <f>IF(Sales_Fact!$O1724&gt;1000,"High","Low")</f>
        <v>High</v>
      </c>
      <c r="S1724" s="4" t="str">
        <f>VLOOKUP(C1724,Customer_Dim!$A:$N,9,FALSE())</f>
        <v>Andrew Smith</v>
      </c>
      <c r="T1724" s="4" t="str">
        <f>VLOOKUP(D1724,Product_Dim!$A:$M,3,FALSE())</f>
        <v>Sports</v>
      </c>
      <c r="U1724" s="11" t="str">
        <f>VLOOKUP(D1724,Product_Dim!$A:$M,2,FALSE())</f>
        <v>Fitness Resistance Bands</v>
      </c>
      <c r="V1724" s="11" t="str">
        <f>VLOOKUP(E1724,Store_Dim!$A:$E,3,FALSE())</f>
        <v>North</v>
      </c>
      <c r="W1724" s="11" t="str">
        <f>VLOOKUP(C1724,Customer_Dim!$A:$N,13,FALSE())</f>
        <v>Bronze</v>
      </c>
      <c r="X1724" s="11" t="str">
        <f t="shared" si="188"/>
        <v>Low</v>
      </c>
    </row>
    <row r="1725" spans="1:24" ht="15.75" customHeight="1">
      <c r="A1725" s="4" t="s">
        <v>3721</v>
      </c>
      <c r="B1725" s="9">
        <v>45500</v>
      </c>
      <c r="C1725" s="4" t="s">
        <v>162</v>
      </c>
      <c r="D1725" s="4" t="s">
        <v>1897</v>
      </c>
      <c r="E1725" s="4" t="s">
        <v>1952</v>
      </c>
      <c r="F1725" s="4">
        <v>4</v>
      </c>
      <c r="G1725" s="4">
        <v>700.18</v>
      </c>
      <c r="H1725" s="4">
        <v>0.23</v>
      </c>
      <c r="I1725" s="4" t="s">
        <v>1996</v>
      </c>
      <c r="J1725" s="10">
        <v>2156.5544</v>
      </c>
      <c r="K1725" s="4" t="str">
        <f t="shared" si="182"/>
        <v>27-07-2024</v>
      </c>
      <c r="L1725" s="4" t="str">
        <f>TEXT(Sales_Fact!$B1725,"mmm")</f>
        <v>Jul</v>
      </c>
      <c r="M1725" s="4">
        <f t="shared" si="183"/>
        <v>4</v>
      </c>
      <c r="N1725" s="10">
        <f t="shared" si="184"/>
        <v>700.18</v>
      </c>
      <c r="O1725" s="10">
        <f t="shared" si="185"/>
        <v>2156.5544</v>
      </c>
      <c r="P1725" s="10">
        <f t="shared" si="186"/>
        <v>2800.72</v>
      </c>
      <c r="Q1725" s="3">
        <f t="shared" si="187"/>
        <v>0.22999999999999995</v>
      </c>
      <c r="R1725" s="4" t="str">
        <f>IF(Sales_Fact!$O1725&gt;1000,"High","Low")</f>
        <v>High</v>
      </c>
      <c r="S1725" s="4" t="str">
        <f>VLOOKUP(C1725,Customer_Dim!$A:$N,9,FALSE())</f>
        <v>Rachel Myers</v>
      </c>
      <c r="T1725" s="4" t="str">
        <f>VLOOKUP(D1725,Product_Dim!$A:$M,3,FALSE())</f>
        <v>Sports</v>
      </c>
      <c r="U1725" s="11" t="str">
        <f>VLOOKUP(D1725,Product_Dim!$A:$M,2,FALSE())</f>
        <v>Cricket Bat</v>
      </c>
      <c r="V1725" s="11" t="str">
        <f>VLOOKUP(E1725,Store_Dim!$A:$E,3,FALSE())</f>
        <v>North</v>
      </c>
      <c r="W1725" s="11" t="str">
        <f>VLOOKUP(C1725,Customer_Dim!$A:$N,13,FALSE())</f>
        <v>Silver</v>
      </c>
      <c r="X1725" s="11" t="str">
        <f t="shared" si="188"/>
        <v>High</v>
      </c>
    </row>
    <row r="1726" spans="1:24" ht="15.75" customHeight="1">
      <c r="A1726" s="4" t="s">
        <v>3722</v>
      </c>
      <c r="B1726" s="9">
        <v>45778</v>
      </c>
      <c r="C1726" s="4" t="s">
        <v>822</v>
      </c>
      <c r="D1726" s="4" t="s">
        <v>1703</v>
      </c>
      <c r="E1726" s="4" t="s">
        <v>1924</v>
      </c>
      <c r="F1726" s="4">
        <v>3</v>
      </c>
      <c r="G1726" s="4">
        <v>35.159999999999997</v>
      </c>
      <c r="H1726" s="4">
        <v>0.04</v>
      </c>
      <c r="I1726" s="4" t="s">
        <v>2004</v>
      </c>
      <c r="J1726" s="10">
        <v>101.2608</v>
      </c>
      <c r="K1726" s="4" t="str">
        <f t="shared" si="182"/>
        <v>01-05-2025</v>
      </c>
      <c r="L1726" s="4" t="str">
        <f>TEXT(Sales_Fact!$B1726,"mmm")</f>
        <v>May</v>
      </c>
      <c r="M1726" s="4">
        <f t="shared" si="183"/>
        <v>3</v>
      </c>
      <c r="N1726" s="10">
        <f t="shared" si="184"/>
        <v>35.159999999999997</v>
      </c>
      <c r="O1726" s="10">
        <f t="shared" si="185"/>
        <v>101.26079999999999</v>
      </c>
      <c r="P1726" s="10">
        <f t="shared" si="186"/>
        <v>105.47999999999999</v>
      </c>
      <c r="Q1726" s="3">
        <f t="shared" si="187"/>
        <v>4.0000000000000008E-2</v>
      </c>
      <c r="R1726" s="4" t="str">
        <f>IF(Sales_Fact!$O1726&gt;1000,"High","Low")</f>
        <v>Low</v>
      </c>
      <c r="S1726" s="4" t="str">
        <f>VLOOKUP(C1726,Customer_Dim!$A:$N,9,FALSE())</f>
        <v>Nicholas Webb</v>
      </c>
      <c r="T1726" s="4" t="str">
        <f>VLOOKUP(D1726,Product_Dim!$A:$M,3,FALSE())</f>
        <v>Electronics</v>
      </c>
      <c r="U1726" s="11" t="str">
        <f>VLOOKUP(D1726,Product_Dim!$A:$M,2,FALSE())</f>
        <v>Gaming Mechanical Keyboard</v>
      </c>
      <c r="V1726" s="11" t="str">
        <f>VLOOKUP(E1726,Store_Dim!$A:$E,3,FALSE())</f>
        <v>North</v>
      </c>
      <c r="W1726" s="11" t="str">
        <f>VLOOKUP(C1726,Customer_Dim!$A:$N,13,FALSE())</f>
        <v>Gold</v>
      </c>
      <c r="X1726" s="11" t="str">
        <f t="shared" si="188"/>
        <v>Low</v>
      </c>
    </row>
    <row r="1727" spans="1:24" ht="15.75" customHeight="1">
      <c r="A1727" s="4" t="s">
        <v>3723</v>
      </c>
      <c r="B1727" s="9">
        <v>45740</v>
      </c>
      <c r="C1727" s="4" t="s">
        <v>1066</v>
      </c>
      <c r="D1727" s="4" t="s">
        <v>1822</v>
      </c>
      <c r="E1727" s="4" t="s">
        <v>1950</v>
      </c>
      <c r="F1727" s="4">
        <v>2</v>
      </c>
      <c r="G1727" s="4">
        <v>838.59</v>
      </c>
      <c r="H1727" s="4">
        <v>0.18</v>
      </c>
      <c r="I1727" s="4" t="s">
        <v>2004</v>
      </c>
      <c r="J1727" s="10">
        <v>1375.2876000000001</v>
      </c>
      <c r="K1727" s="4" t="str">
        <f t="shared" si="182"/>
        <v>24-03-2025</v>
      </c>
      <c r="L1727" s="4" t="str">
        <f>TEXT(Sales_Fact!$B1727,"mmm")</f>
        <v>Mar</v>
      </c>
      <c r="M1727" s="4">
        <f t="shared" si="183"/>
        <v>2</v>
      </c>
      <c r="N1727" s="10">
        <f t="shared" si="184"/>
        <v>838.59</v>
      </c>
      <c r="O1727" s="10">
        <f t="shared" si="185"/>
        <v>1375.2876000000001</v>
      </c>
      <c r="P1727" s="10">
        <f t="shared" si="186"/>
        <v>1677.18</v>
      </c>
      <c r="Q1727" s="3">
        <f t="shared" si="187"/>
        <v>0.17999999999999997</v>
      </c>
      <c r="R1727" s="4" t="str">
        <f>IF(Sales_Fact!$O1727&gt;1000,"High","Low")</f>
        <v>High</v>
      </c>
      <c r="S1727" s="4" t="str">
        <f>VLOOKUP(C1727,Customer_Dim!$A:$N,9,FALSE())</f>
        <v>Pamela Mcguire</v>
      </c>
      <c r="T1727" s="4" t="str">
        <f>VLOOKUP(D1727,Product_Dim!$A:$M,3,FALSE())</f>
        <v>Sports</v>
      </c>
      <c r="U1727" s="11" t="str">
        <f>VLOOKUP(D1727,Product_Dim!$A:$M,2,FALSE())</f>
        <v>Professional Jump Rope</v>
      </c>
      <c r="V1727" s="11" t="str">
        <f>VLOOKUP(E1727,Store_Dim!$A:$E,3,FALSE())</f>
        <v>South</v>
      </c>
      <c r="W1727" s="11" t="str">
        <f>VLOOKUP(C1727,Customer_Dim!$A:$N,13,FALSE())</f>
        <v>Platinum</v>
      </c>
      <c r="X1727" s="11" t="str">
        <f t="shared" si="188"/>
        <v>Low</v>
      </c>
    </row>
    <row r="1728" spans="1:24" ht="15.75" customHeight="1">
      <c r="A1728" s="4" t="s">
        <v>3724</v>
      </c>
      <c r="B1728" s="9">
        <v>45598</v>
      </c>
      <c r="C1728" s="4" t="s">
        <v>342</v>
      </c>
      <c r="D1728" s="4" t="s">
        <v>1782</v>
      </c>
      <c r="E1728" s="4" t="s">
        <v>1934</v>
      </c>
      <c r="F1728" s="4">
        <v>4</v>
      </c>
      <c r="G1728" s="4">
        <v>867.94</v>
      </c>
      <c r="H1728" s="4">
        <v>0.26</v>
      </c>
      <c r="I1728" s="4" t="s">
        <v>1998</v>
      </c>
      <c r="J1728" s="10">
        <v>2569.1024000000002</v>
      </c>
      <c r="K1728" s="4" t="str">
        <f t="shared" si="182"/>
        <v>02-11-2024</v>
      </c>
      <c r="L1728" s="4" t="str">
        <f>TEXT(Sales_Fact!$B1728,"mmm")</f>
        <v>Nov</v>
      </c>
      <c r="M1728" s="4">
        <f t="shared" si="183"/>
        <v>4</v>
      </c>
      <c r="N1728" s="10">
        <f t="shared" si="184"/>
        <v>867.94</v>
      </c>
      <c r="O1728" s="10">
        <f t="shared" si="185"/>
        <v>2569.1024000000002</v>
      </c>
      <c r="P1728" s="10">
        <f t="shared" si="186"/>
        <v>3471.76</v>
      </c>
      <c r="Q1728" s="3">
        <f t="shared" si="187"/>
        <v>0.26</v>
      </c>
      <c r="R1728" s="4" t="str">
        <f>IF(Sales_Fact!$O1728&gt;1000,"High","Low")</f>
        <v>High</v>
      </c>
      <c r="S1728" s="4" t="str">
        <f>VLOOKUP(C1728,Customer_Dim!$A:$N,9,FALSE())</f>
        <v>Jamie Yoder</v>
      </c>
      <c r="T1728" s="4" t="str">
        <f>VLOOKUP(D1728,Product_Dim!$A:$M,3,FALSE())</f>
        <v>Beauty</v>
      </c>
      <c r="U1728" s="11" t="str">
        <f>VLOOKUP(D1728,Product_Dim!$A:$M,2,FALSE())</f>
        <v>Men's Hair Styling Gel</v>
      </c>
      <c r="V1728" s="11" t="str">
        <f>VLOOKUP(E1728,Store_Dim!$A:$E,3,FALSE())</f>
        <v>East</v>
      </c>
      <c r="W1728" s="11" t="str">
        <f>VLOOKUP(C1728,Customer_Dim!$A:$N,13,FALSE())</f>
        <v>Platinum</v>
      </c>
      <c r="X1728" s="11" t="str">
        <f t="shared" si="188"/>
        <v>High</v>
      </c>
    </row>
    <row r="1729" spans="1:24" ht="15.75" customHeight="1">
      <c r="A1729" s="4" t="s">
        <v>3725</v>
      </c>
      <c r="B1729" s="9">
        <v>45591</v>
      </c>
      <c r="C1729" s="4" t="s">
        <v>668</v>
      </c>
      <c r="D1729" s="4" t="s">
        <v>1719</v>
      </c>
      <c r="E1729" s="4" t="s">
        <v>1965</v>
      </c>
      <c r="F1729" s="4">
        <v>1</v>
      </c>
      <c r="G1729" s="4">
        <v>623.88</v>
      </c>
      <c r="H1729" s="4">
        <v>0.25</v>
      </c>
      <c r="I1729" s="4" t="s">
        <v>1996</v>
      </c>
      <c r="J1729" s="10">
        <v>467.91</v>
      </c>
      <c r="K1729" s="4" t="str">
        <f t="shared" si="182"/>
        <v>26-10-2024</v>
      </c>
      <c r="L1729" s="4" t="str">
        <f>TEXT(Sales_Fact!$B1729,"mmm")</f>
        <v>Oct</v>
      </c>
      <c r="M1729" s="4">
        <f t="shared" si="183"/>
        <v>1</v>
      </c>
      <c r="N1729" s="10">
        <f t="shared" si="184"/>
        <v>623.88</v>
      </c>
      <c r="O1729" s="10">
        <f t="shared" si="185"/>
        <v>467.90999999999997</v>
      </c>
      <c r="P1729" s="10">
        <f t="shared" si="186"/>
        <v>623.88</v>
      </c>
      <c r="Q1729" s="3">
        <f t="shared" si="187"/>
        <v>0.25000000000000006</v>
      </c>
      <c r="R1729" s="4" t="str">
        <f>IF(Sales_Fact!$O1729&gt;1000,"High","Low")</f>
        <v>Low</v>
      </c>
      <c r="S1729" s="4" t="str">
        <f>VLOOKUP(C1729,Customer_Dim!$A:$N,9,FALSE())</f>
        <v>Megan Greer</v>
      </c>
      <c r="T1729" s="4" t="str">
        <f>VLOOKUP(D1729,Product_Dim!$A:$M,3,FALSE())</f>
        <v>Electronics</v>
      </c>
      <c r="U1729" s="11" t="str">
        <f>VLOOKUP(D1729,Product_Dim!$A:$M,2,FALSE())</f>
        <v>Portable Power Bank</v>
      </c>
      <c r="V1729" s="11" t="str">
        <f>VLOOKUP(E1729,Store_Dim!$A:$E,3,FALSE())</f>
        <v>North</v>
      </c>
      <c r="W1729" s="11" t="str">
        <f>VLOOKUP(C1729,Customer_Dim!$A:$N,13,FALSE())</f>
        <v>Platinum</v>
      </c>
      <c r="X1729" s="11" t="str">
        <f t="shared" si="188"/>
        <v>Low</v>
      </c>
    </row>
    <row r="1730" spans="1:24" ht="15.75" customHeight="1">
      <c r="A1730" s="4" t="s">
        <v>3726</v>
      </c>
      <c r="B1730" s="9">
        <v>45546</v>
      </c>
      <c r="C1730" s="4" t="s">
        <v>610</v>
      </c>
      <c r="D1730" s="4" t="s">
        <v>1729</v>
      </c>
      <c r="E1730" s="4" t="s">
        <v>1957</v>
      </c>
      <c r="F1730" s="4">
        <v>2</v>
      </c>
      <c r="G1730" s="4">
        <v>567.95000000000005</v>
      </c>
      <c r="H1730" s="4">
        <v>0.12</v>
      </c>
      <c r="I1730" s="4" t="s">
        <v>1998</v>
      </c>
      <c r="J1730" s="10">
        <v>999.59199999999998</v>
      </c>
      <c r="K1730" s="4" t="str">
        <f t="shared" ref="K1730:K1793" si="189">TEXT(B1730,"dd-mm-yyyy")</f>
        <v>11-09-2024</v>
      </c>
      <c r="L1730" s="4" t="str">
        <f>TEXT(Sales_Fact!$B1730,"mmm")</f>
        <v>Sep</v>
      </c>
      <c r="M1730" s="4">
        <f t="shared" ref="M1730:M1793" si="190">IF(ISBLANK(F1730),1,F1730)</f>
        <v>2</v>
      </c>
      <c r="N1730" s="10">
        <f t="shared" ref="N1730:N1793" si="191">ROUNDUP(IF(ISBLANK(G1730),AVERAGE(C:C,G1730,G:G),G1730),2)</f>
        <v>567.95000000000005</v>
      </c>
      <c r="O1730" s="10">
        <f t="shared" ref="O1730:O1793" si="192">M1730*N1730*(1-H1730)</f>
        <v>999.5920000000001</v>
      </c>
      <c r="P1730" s="10">
        <f t="shared" ref="P1730:P1793" si="193">M1730*N1730</f>
        <v>1135.9000000000001</v>
      </c>
      <c r="Q1730" s="3">
        <f t="shared" ref="Q1730:Q1793" si="194">(P1730-O1730)/P1730</f>
        <v>0.11999999999999998</v>
      </c>
      <c r="R1730" s="4" t="str">
        <f>IF(Sales_Fact!$O1730&gt;1000,"High","Low")</f>
        <v>Low</v>
      </c>
      <c r="S1730" s="4" t="str">
        <f>VLOOKUP(C1730,Customer_Dim!$A:$N,9,FALSE())</f>
        <v>Curtis Lam</v>
      </c>
      <c r="T1730" s="4" t="str">
        <f>VLOOKUP(D1730,Product_Dim!$A:$M,3,FALSE())</f>
        <v>Electronics</v>
      </c>
      <c r="U1730" s="11" t="str">
        <f>VLOOKUP(D1730,Product_Dim!$A:$M,2,FALSE())</f>
        <v>Smart Home WiFi Camera</v>
      </c>
      <c r="V1730" s="11" t="str">
        <f>VLOOKUP(E1730,Store_Dim!$A:$E,3,FALSE())</f>
        <v>South</v>
      </c>
      <c r="W1730" s="11" t="str">
        <f>VLOOKUP(C1730,Customer_Dim!$A:$N,13,FALSE())</f>
        <v>Platinum</v>
      </c>
      <c r="X1730" s="11" t="str">
        <f t="shared" ref="X1730:X1793" si="195">IF(F1730&gt;3,"High","Low")</f>
        <v>Low</v>
      </c>
    </row>
    <row r="1731" spans="1:24" ht="15.75" customHeight="1">
      <c r="A1731" s="4" t="s">
        <v>3727</v>
      </c>
      <c r="B1731" s="9">
        <v>45483</v>
      </c>
      <c r="C1731" s="4" t="s">
        <v>1045</v>
      </c>
      <c r="D1731" s="4" t="s">
        <v>1693</v>
      </c>
      <c r="E1731" s="4" t="s">
        <v>1968</v>
      </c>
      <c r="F1731" s="4">
        <v>2</v>
      </c>
      <c r="G1731" s="4">
        <v>671.69</v>
      </c>
      <c r="H1731" s="4">
        <v>0.19</v>
      </c>
      <c r="I1731" s="4" t="s">
        <v>1996</v>
      </c>
      <c r="J1731" s="10">
        <v>1088.1378</v>
      </c>
      <c r="K1731" s="4" t="str">
        <f t="shared" si="189"/>
        <v>10-07-2024</v>
      </c>
      <c r="L1731" s="4" t="str">
        <f>TEXT(Sales_Fact!$B1731,"mmm")</f>
        <v>Jul</v>
      </c>
      <c r="M1731" s="4">
        <f t="shared" si="190"/>
        <v>2</v>
      </c>
      <c r="N1731" s="10">
        <f t="shared" si="191"/>
        <v>671.69</v>
      </c>
      <c r="O1731" s="10">
        <f t="shared" si="192"/>
        <v>1088.1378000000002</v>
      </c>
      <c r="P1731" s="10">
        <f t="shared" si="193"/>
        <v>1343.38</v>
      </c>
      <c r="Q1731" s="3">
        <f t="shared" si="194"/>
        <v>0.18999999999999992</v>
      </c>
      <c r="R1731" s="4" t="str">
        <f>IF(Sales_Fact!$O1731&gt;1000,"High","Low")</f>
        <v>High</v>
      </c>
      <c r="S1731" s="4" t="str">
        <f>VLOOKUP(C1731,Customer_Dim!$A:$N,9,FALSE())</f>
        <v>Kristy Dunlap</v>
      </c>
      <c r="T1731" s="4" t="str">
        <f>VLOOKUP(D1731,Product_Dim!$A:$M,3,FALSE())</f>
        <v>Sports</v>
      </c>
      <c r="U1731" s="11" t="str">
        <f>VLOOKUP(D1731,Product_Dim!$A:$M,2,FALSE())</f>
        <v>Basketball</v>
      </c>
      <c r="V1731" s="11" t="str">
        <f>VLOOKUP(E1731,Store_Dim!$A:$E,3,FALSE())</f>
        <v>East</v>
      </c>
      <c r="W1731" s="11" t="str">
        <f>VLOOKUP(C1731,Customer_Dim!$A:$N,13,FALSE())</f>
        <v>Platinum</v>
      </c>
      <c r="X1731" s="11" t="str">
        <f t="shared" si="195"/>
        <v>Low</v>
      </c>
    </row>
    <row r="1732" spans="1:24" ht="15.75" customHeight="1">
      <c r="A1732" s="4" t="s">
        <v>3728</v>
      </c>
      <c r="B1732" s="9">
        <v>45786</v>
      </c>
      <c r="C1732" s="4" t="s">
        <v>697</v>
      </c>
      <c r="D1732" s="4" t="s">
        <v>1603</v>
      </c>
      <c r="E1732" s="4" t="s">
        <v>1937</v>
      </c>
      <c r="F1732" s="4">
        <v>2</v>
      </c>
      <c r="G1732" s="4">
        <v>257.95999999999998</v>
      </c>
      <c r="H1732" s="4">
        <v>0.21</v>
      </c>
      <c r="I1732" s="4" t="s">
        <v>1998</v>
      </c>
      <c r="J1732" s="10">
        <v>407.57679999999999</v>
      </c>
      <c r="K1732" s="4" t="str">
        <f t="shared" si="189"/>
        <v>09-05-2025</v>
      </c>
      <c r="L1732" s="4" t="str">
        <f>TEXT(Sales_Fact!$B1732,"mmm")</f>
        <v>May</v>
      </c>
      <c r="M1732" s="4">
        <f t="shared" si="190"/>
        <v>2</v>
      </c>
      <c r="N1732" s="10">
        <f t="shared" si="191"/>
        <v>257.95999999999998</v>
      </c>
      <c r="O1732" s="10">
        <f t="shared" si="192"/>
        <v>407.57679999999999</v>
      </c>
      <c r="P1732" s="10">
        <f t="shared" si="193"/>
        <v>515.91999999999996</v>
      </c>
      <c r="Q1732" s="3">
        <f t="shared" si="194"/>
        <v>0.20999999999999996</v>
      </c>
      <c r="R1732" s="4" t="str">
        <f>IF(Sales_Fact!$O1732&gt;1000,"High","Low")</f>
        <v>Low</v>
      </c>
      <c r="S1732" s="4" t="str">
        <f>VLOOKUP(C1732,Customer_Dim!$A:$N,9,FALSE())</f>
        <v>Ronald Jones</v>
      </c>
      <c r="T1732" s="4" t="str">
        <f>VLOOKUP(D1732,Product_Dim!$A:$M,3,FALSE())</f>
        <v>Beauty</v>
      </c>
      <c r="U1732" s="11" t="str">
        <f>VLOOKUP(D1732,Product_Dim!$A:$M,2,FALSE())</f>
        <v>Herbal Face Moisturizer</v>
      </c>
      <c r="V1732" s="11" t="str">
        <f>VLOOKUP(E1732,Store_Dim!$A:$E,3,FALSE())</f>
        <v>South</v>
      </c>
      <c r="W1732" s="11" t="str">
        <f>VLOOKUP(C1732,Customer_Dim!$A:$N,13,FALSE())</f>
        <v>Silver</v>
      </c>
      <c r="X1732" s="11" t="str">
        <f t="shared" si="195"/>
        <v>Low</v>
      </c>
    </row>
    <row r="1733" spans="1:24" ht="15.75" customHeight="1">
      <c r="A1733" s="4" t="s">
        <v>3729</v>
      </c>
      <c r="B1733" s="9">
        <v>45475</v>
      </c>
      <c r="C1733" s="4" t="s">
        <v>691</v>
      </c>
      <c r="D1733" s="4" t="s">
        <v>1900</v>
      </c>
      <c r="E1733" s="4" t="s">
        <v>1971</v>
      </c>
      <c r="F1733" s="4">
        <v>4</v>
      </c>
      <c r="G1733" s="4">
        <v>281.48</v>
      </c>
      <c r="H1733" s="4">
        <v>0.27</v>
      </c>
      <c r="I1733" s="4" t="s">
        <v>1998</v>
      </c>
      <c r="J1733" s="10">
        <v>821.92160000000001</v>
      </c>
      <c r="K1733" s="4" t="str">
        <f t="shared" si="189"/>
        <v>02-07-2024</v>
      </c>
      <c r="L1733" s="4" t="str">
        <f>TEXT(Sales_Fact!$B1733,"mmm")</f>
        <v>Jul</v>
      </c>
      <c r="M1733" s="4">
        <f t="shared" si="190"/>
        <v>4</v>
      </c>
      <c r="N1733" s="10">
        <f t="shared" si="191"/>
        <v>281.48</v>
      </c>
      <c r="O1733" s="10">
        <f t="shared" si="192"/>
        <v>821.92160000000001</v>
      </c>
      <c r="P1733" s="10">
        <f t="shared" si="193"/>
        <v>1125.92</v>
      </c>
      <c r="Q1733" s="3">
        <f t="shared" si="194"/>
        <v>0.27</v>
      </c>
      <c r="R1733" s="4" t="str">
        <f>IF(Sales_Fact!$O1733&gt;1000,"High","Low")</f>
        <v>Low</v>
      </c>
      <c r="S1733" s="4" t="str">
        <f>VLOOKUP(C1733,Customer_Dim!$A:$N,9,FALSE())</f>
        <v>Tiffany Herrera</v>
      </c>
      <c r="T1733" s="4" t="str">
        <f>VLOOKUP(D1733,Product_Dim!$A:$M,3,FALSE())</f>
        <v>Electronics</v>
      </c>
      <c r="U1733" s="11" t="str">
        <f>VLOOKUP(D1733,Product_Dim!$A:$M,2,FALSE())</f>
        <v>Portable Bluetooth Speaker</v>
      </c>
      <c r="V1733" s="11" t="str">
        <f>VLOOKUP(E1733,Store_Dim!$A:$E,3,FALSE())</f>
        <v>East</v>
      </c>
      <c r="W1733" s="11" t="str">
        <f>VLOOKUP(C1733,Customer_Dim!$A:$N,13,FALSE())</f>
        <v>Platinum</v>
      </c>
      <c r="X1733" s="11" t="str">
        <f t="shared" si="195"/>
        <v>High</v>
      </c>
    </row>
    <row r="1734" spans="1:24" ht="15.75" customHeight="1">
      <c r="A1734" s="4" t="s">
        <v>3730</v>
      </c>
      <c r="B1734" s="9">
        <v>45470</v>
      </c>
      <c r="C1734" s="4" t="s">
        <v>1024</v>
      </c>
      <c r="D1734" s="4" t="s">
        <v>1658</v>
      </c>
      <c r="E1734" s="4" t="s">
        <v>1950</v>
      </c>
      <c r="F1734" s="4">
        <v>1</v>
      </c>
      <c r="G1734" s="4">
        <v>202.13</v>
      </c>
      <c r="H1734" s="4">
        <v>0.13</v>
      </c>
      <c r="I1734" s="4" t="s">
        <v>2004</v>
      </c>
      <c r="J1734" s="10">
        <v>175.85310000000001</v>
      </c>
      <c r="K1734" s="4" t="str">
        <f t="shared" si="189"/>
        <v>27-06-2024</v>
      </c>
      <c r="L1734" s="4" t="str">
        <f>TEXT(Sales_Fact!$B1734,"mmm")</f>
        <v>Jun</v>
      </c>
      <c r="M1734" s="4">
        <f t="shared" si="190"/>
        <v>1</v>
      </c>
      <c r="N1734" s="10">
        <f t="shared" si="191"/>
        <v>202.13</v>
      </c>
      <c r="O1734" s="10">
        <f t="shared" si="192"/>
        <v>175.85309999999998</v>
      </c>
      <c r="P1734" s="10">
        <f t="shared" si="193"/>
        <v>202.13</v>
      </c>
      <c r="Q1734" s="3">
        <f t="shared" si="194"/>
        <v>0.13000000000000006</v>
      </c>
      <c r="R1734" s="4" t="str">
        <f>IF(Sales_Fact!$O1734&gt;1000,"High","Low")</f>
        <v>Low</v>
      </c>
      <c r="S1734" s="4" t="str">
        <f>VLOOKUP(C1734,Customer_Dim!$A:$N,9,FALSE())</f>
        <v>Robert House</v>
      </c>
      <c r="T1734" s="4" t="str">
        <f>VLOOKUP(D1734,Product_Dim!$A:$M,3,FALSE())</f>
        <v>Sports</v>
      </c>
      <c r="U1734" s="11" t="str">
        <f>VLOOKUP(D1734,Product_Dim!$A:$M,2,FALSE())</f>
        <v>Outdoor Sports Water Bottle</v>
      </c>
      <c r="V1734" s="11" t="str">
        <f>VLOOKUP(E1734,Store_Dim!$A:$E,3,FALSE())</f>
        <v>South</v>
      </c>
      <c r="W1734" s="11" t="str">
        <f>VLOOKUP(C1734,Customer_Dim!$A:$N,13,FALSE())</f>
        <v>Gold</v>
      </c>
      <c r="X1734" s="11" t="str">
        <f t="shared" si="195"/>
        <v>Low</v>
      </c>
    </row>
    <row r="1735" spans="1:24" ht="15.75" customHeight="1">
      <c r="A1735" s="4" t="s">
        <v>3731</v>
      </c>
      <c r="B1735" s="9">
        <v>45243</v>
      </c>
      <c r="C1735" s="4" t="s">
        <v>891</v>
      </c>
      <c r="D1735" s="4" t="s">
        <v>1828</v>
      </c>
      <c r="E1735" s="4" t="s">
        <v>1931</v>
      </c>
      <c r="F1735" s="4">
        <v>1</v>
      </c>
      <c r="G1735" s="4">
        <v>370.66</v>
      </c>
      <c r="H1735" s="4">
        <v>0.01</v>
      </c>
      <c r="I1735" s="4" t="s">
        <v>1998</v>
      </c>
      <c r="J1735" s="10">
        <v>366.95339999999999</v>
      </c>
      <c r="K1735" s="4" t="str">
        <f t="shared" si="189"/>
        <v>13-11-2023</v>
      </c>
      <c r="L1735" s="4" t="str">
        <f>TEXT(Sales_Fact!$B1735,"mmm")</f>
        <v>Nov</v>
      </c>
      <c r="M1735" s="4">
        <f t="shared" si="190"/>
        <v>1</v>
      </c>
      <c r="N1735" s="10">
        <f t="shared" si="191"/>
        <v>370.66</v>
      </c>
      <c r="O1735" s="10">
        <f t="shared" si="192"/>
        <v>366.95340000000004</v>
      </c>
      <c r="P1735" s="10">
        <f t="shared" si="193"/>
        <v>370.66</v>
      </c>
      <c r="Q1735" s="3">
        <f t="shared" si="194"/>
        <v>9.9999999999999464E-3</v>
      </c>
      <c r="R1735" s="4" t="str">
        <f>IF(Sales_Fact!$O1735&gt;1000,"High","Low")</f>
        <v>Low</v>
      </c>
      <c r="S1735" s="4" t="str">
        <f>VLOOKUP(C1735,Customer_Dim!$A:$N,9,FALSE())</f>
        <v>Daisy Johnson Dds</v>
      </c>
      <c r="T1735" s="4" t="str">
        <f>VLOOKUP(D1735,Product_Dim!$A:$M,3,FALSE())</f>
        <v>Electronics</v>
      </c>
      <c r="U1735" s="11" t="str">
        <f>VLOOKUP(D1735,Product_Dim!$A:$M,2,FALSE())</f>
        <v>Bluetooth Car Audio System</v>
      </c>
      <c r="V1735" s="11" t="str">
        <f>VLOOKUP(E1735,Store_Dim!$A:$E,3,FALSE())</f>
        <v>North</v>
      </c>
      <c r="W1735" s="11" t="str">
        <f>VLOOKUP(C1735,Customer_Dim!$A:$N,13,FALSE())</f>
        <v>Platinum</v>
      </c>
      <c r="X1735" s="11" t="str">
        <f t="shared" si="195"/>
        <v>Low</v>
      </c>
    </row>
    <row r="1736" spans="1:24" ht="15.75" customHeight="1">
      <c r="A1736" s="4" t="s">
        <v>3732</v>
      </c>
      <c r="B1736" s="9">
        <v>45285</v>
      </c>
      <c r="C1736" s="4" t="s">
        <v>105</v>
      </c>
      <c r="D1736" s="4" t="s">
        <v>1834</v>
      </c>
      <c r="E1736" s="4" t="s">
        <v>1947</v>
      </c>
      <c r="F1736" s="4">
        <v>2</v>
      </c>
      <c r="G1736" s="4">
        <v>686.31</v>
      </c>
      <c r="H1736" s="4">
        <v>0.25</v>
      </c>
      <c r="I1736" s="4" t="s">
        <v>1996</v>
      </c>
      <c r="J1736" s="10">
        <v>1029.4649999999999</v>
      </c>
      <c r="K1736" s="4" t="str">
        <f t="shared" si="189"/>
        <v>25-12-2023</v>
      </c>
      <c r="L1736" s="4" t="str">
        <f>TEXT(Sales_Fact!$B1736,"mmm")</f>
        <v>Dec</v>
      </c>
      <c r="M1736" s="4">
        <f t="shared" si="190"/>
        <v>2</v>
      </c>
      <c r="N1736" s="10">
        <f t="shared" si="191"/>
        <v>686.31</v>
      </c>
      <c r="O1736" s="10">
        <f t="shared" si="192"/>
        <v>1029.4649999999999</v>
      </c>
      <c r="P1736" s="10">
        <f t="shared" si="193"/>
        <v>1372.62</v>
      </c>
      <c r="Q1736" s="3">
        <f t="shared" si="194"/>
        <v>0.25</v>
      </c>
      <c r="R1736" s="4" t="str">
        <f>IF(Sales_Fact!$O1736&gt;1000,"High","Low")</f>
        <v>High</v>
      </c>
      <c r="S1736" s="4" t="str">
        <f>VLOOKUP(C1736,Customer_Dim!$A:$N,9,FALSE())</f>
        <v>Michael Torres</v>
      </c>
      <c r="T1736" s="4" t="str">
        <f>VLOOKUP(D1736,Product_Dim!$A:$M,3,FALSE())</f>
        <v>Electronics</v>
      </c>
      <c r="U1736" s="11" t="str">
        <f>VLOOKUP(D1736,Product_Dim!$A:$M,2,FALSE())</f>
        <v>Wireless Mouse</v>
      </c>
      <c r="V1736" s="11" t="str">
        <f>VLOOKUP(E1736,Store_Dim!$A:$E,3,FALSE())</f>
        <v>East</v>
      </c>
      <c r="W1736" s="11" t="str">
        <f>VLOOKUP(C1736,Customer_Dim!$A:$N,13,FALSE())</f>
        <v>Platinum</v>
      </c>
      <c r="X1736" s="11" t="str">
        <f t="shared" si="195"/>
        <v>Low</v>
      </c>
    </row>
    <row r="1737" spans="1:24" ht="15.75" customHeight="1">
      <c r="A1737" s="4" t="s">
        <v>3733</v>
      </c>
      <c r="B1737" s="9">
        <v>45341</v>
      </c>
      <c r="C1737" s="4" t="s">
        <v>51</v>
      </c>
      <c r="D1737" s="4" t="s">
        <v>1788</v>
      </c>
      <c r="E1737" s="4" t="s">
        <v>1952</v>
      </c>
      <c r="F1737" s="4">
        <v>4</v>
      </c>
      <c r="G1737" s="4">
        <v>731.53</v>
      </c>
      <c r="H1737" s="4">
        <v>0.12</v>
      </c>
      <c r="I1737" s="4" t="s">
        <v>1996</v>
      </c>
      <c r="J1737" s="10">
        <v>2574.9856</v>
      </c>
      <c r="K1737" s="4" t="str">
        <f t="shared" si="189"/>
        <v>19-02-2024</v>
      </c>
      <c r="L1737" s="4" t="str">
        <f>TEXT(Sales_Fact!$B1737,"mmm")</f>
        <v>Feb</v>
      </c>
      <c r="M1737" s="4">
        <f t="shared" si="190"/>
        <v>4</v>
      </c>
      <c r="N1737" s="10">
        <f t="shared" si="191"/>
        <v>731.53</v>
      </c>
      <c r="O1737" s="10">
        <f t="shared" si="192"/>
        <v>2574.9856</v>
      </c>
      <c r="P1737" s="10">
        <f t="shared" si="193"/>
        <v>2926.12</v>
      </c>
      <c r="Q1737" s="3">
        <f t="shared" si="194"/>
        <v>0.11999999999999998</v>
      </c>
      <c r="R1737" s="4" t="str">
        <f>IF(Sales_Fact!$O1737&gt;1000,"High","Low")</f>
        <v>High</v>
      </c>
      <c r="S1737" s="4" t="str">
        <f>VLOOKUP(C1737,Customer_Dim!$A:$N,9,FALSE())</f>
        <v>Christine Vaughn</v>
      </c>
      <c r="T1737" s="4" t="str">
        <f>VLOOKUP(D1737,Product_Dim!$A:$M,3,FALSE())</f>
        <v>Sports</v>
      </c>
      <c r="U1737" s="11" t="str">
        <f>VLOOKUP(D1737,Product_Dim!$A:$M,2,FALSE())</f>
        <v>Tennis Ball 3-Pack</v>
      </c>
      <c r="V1737" s="11" t="str">
        <f>VLOOKUP(E1737,Store_Dim!$A:$E,3,FALSE())</f>
        <v>North</v>
      </c>
      <c r="W1737" s="11" t="str">
        <f>VLOOKUP(C1737,Customer_Dim!$A:$N,13,FALSE())</f>
        <v>Bronze</v>
      </c>
      <c r="X1737" s="11" t="str">
        <f t="shared" si="195"/>
        <v>High</v>
      </c>
    </row>
    <row r="1738" spans="1:24" ht="15.75" customHeight="1">
      <c r="A1738" s="4" t="s">
        <v>3734</v>
      </c>
      <c r="B1738" s="9">
        <v>45371</v>
      </c>
      <c r="C1738" s="4" t="s">
        <v>574</v>
      </c>
      <c r="D1738" s="4" t="s">
        <v>1840</v>
      </c>
      <c r="E1738" s="4" t="s">
        <v>1915</v>
      </c>
      <c r="F1738" s="4">
        <v>3</v>
      </c>
      <c r="G1738" s="4">
        <v>468.25</v>
      </c>
      <c r="H1738" s="4">
        <v>7.0000000000000007E-2</v>
      </c>
      <c r="I1738" s="4" t="s">
        <v>1998</v>
      </c>
      <c r="J1738" s="10">
        <v>1306.4175</v>
      </c>
      <c r="K1738" s="4" t="str">
        <f t="shared" si="189"/>
        <v>20-03-2024</v>
      </c>
      <c r="L1738" s="4" t="str">
        <f>TEXT(Sales_Fact!$B1738,"mmm")</f>
        <v>Mar</v>
      </c>
      <c r="M1738" s="4">
        <f t="shared" si="190"/>
        <v>3</v>
      </c>
      <c r="N1738" s="10">
        <f t="shared" si="191"/>
        <v>468.25</v>
      </c>
      <c r="O1738" s="10">
        <f t="shared" si="192"/>
        <v>1306.4175</v>
      </c>
      <c r="P1738" s="10">
        <f t="shared" si="193"/>
        <v>1404.75</v>
      </c>
      <c r="Q1738" s="3">
        <f t="shared" si="194"/>
        <v>6.9999999999999993E-2</v>
      </c>
      <c r="R1738" s="4" t="str">
        <f>IF(Sales_Fact!$O1738&gt;1000,"High","Low")</f>
        <v>High</v>
      </c>
      <c r="S1738" s="4" t="str">
        <f>VLOOKUP(C1738,Customer_Dim!$A:$N,9,FALSE())</f>
        <v>Jason Wheeler</v>
      </c>
      <c r="T1738" s="4" t="str">
        <f>VLOOKUP(D1738,Product_Dim!$A:$M,3,FALSE())</f>
        <v>Home</v>
      </c>
      <c r="U1738" s="11" t="str">
        <f>VLOOKUP(D1738,Product_Dim!$A:$M,2,FALSE())</f>
        <v>Essential Oil Diffuser</v>
      </c>
      <c r="V1738" s="11" t="str">
        <f>VLOOKUP(E1738,Store_Dim!$A:$E,3,FALSE())</f>
        <v>North</v>
      </c>
      <c r="W1738" s="11" t="str">
        <f>VLOOKUP(C1738,Customer_Dim!$A:$N,13,FALSE())</f>
        <v>Platinum</v>
      </c>
      <c r="X1738" s="11" t="str">
        <f t="shared" si="195"/>
        <v>Low</v>
      </c>
    </row>
    <row r="1739" spans="1:24" ht="15.75" customHeight="1">
      <c r="A1739" s="4" t="s">
        <v>3735</v>
      </c>
      <c r="B1739" s="9">
        <v>45360</v>
      </c>
      <c r="C1739" s="4" t="s">
        <v>29</v>
      </c>
      <c r="D1739" s="4" t="s">
        <v>1806</v>
      </c>
      <c r="E1739" s="4" t="s">
        <v>1910</v>
      </c>
      <c r="F1739" s="4">
        <v>1</v>
      </c>
      <c r="G1739" s="4">
        <v>928.72</v>
      </c>
      <c r="H1739" s="4">
        <v>0.1</v>
      </c>
      <c r="I1739" s="4" t="s">
        <v>2004</v>
      </c>
      <c r="J1739" s="10">
        <v>835.84799999999996</v>
      </c>
      <c r="K1739" s="4" t="str">
        <f t="shared" si="189"/>
        <v>09-03-2024</v>
      </c>
      <c r="L1739" s="4" t="str">
        <f>TEXT(Sales_Fact!$B1739,"mmm")</f>
        <v>Mar</v>
      </c>
      <c r="M1739" s="4">
        <f t="shared" si="190"/>
        <v>1</v>
      </c>
      <c r="N1739" s="10">
        <f t="shared" si="191"/>
        <v>928.72</v>
      </c>
      <c r="O1739" s="10">
        <f t="shared" si="192"/>
        <v>835.84800000000007</v>
      </c>
      <c r="P1739" s="10">
        <f t="shared" si="193"/>
        <v>928.72</v>
      </c>
      <c r="Q1739" s="3">
        <f t="shared" si="194"/>
        <v>9.999999999999995E-2</v>
      </c>
      <c r="R1739" s="4" t="str">
        <f>IF(Sales_Fact!$O1739&gt;1000,"High","Low")</f>
        <v>Low</v>
      </c>
      <c r="S1739" s="4" t="str">
        <f>VLOOKUP(C1739,Customer_Dim!$A:$N,9,FALSE())</f>
        <v>Eugene Nelson</v>
      </c>
      <c r="T1739" s="4" t="str">
        <f>VLOOKUP(D1739,Product_Dim!$A:$M,3,FALSE())</f>
        <v>Electronics</v>
      </c>
      <c r="U1739" s="11" t="str">
        <f>VLOOKUP(D1739,Product_Dim!$A:$M,2,FALSE())</f>
        <v>Smart LED Light Strip</v>
      </c>
      <c r="V1739" s="11" t="str">
        <f>VLOOKUP(E1739,Store_Dim!$A:$E,3,FALSE())</f>
        <v>East</v>
      </c>
      <c r="W1739" s="11" t="str">
        <f>VLOOKUP(C1739,Customer_Dim!$A:$N,13,FALSE())</f>
        <v>Platinum</v>
      </c>
      <c r="X1739" s="11" t="str">
        <f t="shared" si="195"/>
        <v>Low</v>
      </c>
    </row>
    <row r="1740" spans="1:24" ht="15.75" customHeight="1">
      <c r="A1740" s="4" t="s">
        <v>3736</v>
      </c>
      <c r="B1740" s="9">
        <v>45499</v>
      </c>
      <c r="C1740" s="4" t="s">
        <v>381</v>
      </c>
      <c r="D1740" s="4" t="s">
        <v>1595</v>
      </c>
      <c r="E1740" s="4" t="s">
        <v>1968</v>
      </c>
      <c r="F1740" s="4">
        <v>3</v>
      </c>
      <c r="G1740" s="4">
        <v>217.22</v>
      </c>
      <c r="H1740" s="4">
        <v>0.06</v>
      </c>
      <c r="I1740" s="4" t="s">
        <v>1998</v>
      </c>
      <c r="J1740" s="10">
        <v>612.56039999999996</v>
      </c>
      <c r="K1740" s="4" t="str">
        <f t="shared" si="189"/>
        <v>26-07-2024</v>
      </c>
      <c r="L1740" s="4" t="str">
        <f>TEXT(Sales_Fact!$B1740,"mmm")</f>
        <v>Jul</v>
      </c>
      <c r="M1740" s="4">
        <f t="shared" si="190"/>
        <v>3</v>
      </c>
      <c r="N1740" s="10">
        <f t="shared" si="191"/>
        <v>217.22</v>
      </c>
      <c r="O1740" s="10">
        <f t="shared" si="192"/>
        <v>612.56039999999996</v>
      </c>
      <c r="P1740" s="10">
        <f t="shared" si="193"/>
        <v>651.66</v>
      </c>
      <c r="Q1740" s="3">
        <f t="shared" si="194"/>
        <v>6.0000000000000019E-2</v>
      </c>
      <c r="R1740" s="4" t="str">
        <f>IF(Sales_Fact!$O1740&gt;1000,"High","Low")</f>
        <v>Low</v>
      </c>
      <c r="S1740" s="4" t="str">
        <f>VLOOKUP(C1740,Customer_Dim!$A:$N,9,FALSE())</f>
        <v>Colleen Maynard</v>
      </c>
      <c r="T1740" s="4" t="str">
        <f>VLOOKUP(D1740,Product_Dim!$A:$M,3,FALSE())</f>
        <v>Clothing</v>
      </c>
      <c r="U1740" s="11" t="str">
        <f>VLOOKUP(D1740,Product_Dim!$A:$M,2,FALSE())</f>
        <v>Women's Yoga Pants</v>
      </c>
      <c r="V1740" s="11" t="str">
        <f>VLOOKUP(E1740,Store_Dim!$A:$E,3,FALSE())</f>
        <v>East</v>
      </c>
      <c r="W1740" s="11" t="str">
        <f>VLOOKUP(C1740,Customer_Dim!$A:$N,13,FALSE())</f>
        <v>Gold</v>
      </c>
      <c r="X1740" s="11" t="str">
        <f t="shared" si="195"/>
        <v>Low</v>
      </c>
    </row>
    <row r="1741" spans="1:24" ht="15.75" customHeight="1">
      <c r="A1741" s="4" t="s">
        <v>3737</v>
      </c>
      <c r="B1741" s="9">
        <v>45745</v>
      </c>
      <c r="C1741" s="4" t="s">
        <v>1289</v>
      </c>
      <c r="D1741" s="4" t="s">
        <v>1671</v>
      </c>
      <c r="E1741" s="4" t="s">
        <v>1924</v>
      </c>
      <c r="F1741" s="4">
        <v>1</v>
      </c>
      <c r="G1741" s="4">
        <v>387.99</v>
      </c>
      <c r="H1741" s="4">
        <v>0.3</v>
      </c>
      <c r="I1741" s="4" t="s">
        <v>1996</v>
      </c>
      <c r="J1741" s="10">
        <v>271.59300000000002</v>
      </c>
      <c r="K1741" s="4" t="str">
        <f t="shared" si="189"/>
        <v>29-03-2025</v>
      </c>
      <c r="L1741" s="4" t="str">
        <f>TEXT(Sales_Fact!$B1741,"mmm")</f>
        <v>Mar</v>
      </c>
      <c r="M1741" s="4">
        <f t="shared" si="190"/>
        <v>1</v>
      </c>
      <c r="N1741" s="10">
        <f t="shared" si="191"/>
        <v>387.99</v>
      </c>
      <c r="O1741" s="10">
        <f t="shared" si="192"/>
        <v>271.59299999999996</v>
      </c>
      <c r="P1741" s="10">
        <f t="shared" si="193"/>
        <v>387.99</v>
      </c>
      <c r="Q1741" s="3">
        <f t="shared" si="194"/>
        <v>0.3000000000000001</v>
      </c>
      <c r="R1741" s="4" t="str">
        <f>IF(Sales_Fact!$O1741&gt;1000,"High","Low")</f>
        <v>Low</v>
      </c>
      <c r="S1741" s="4" t="str">
        <f>VLOOKUP(C1741,Customer_Dim!$A:$N,9,FALSE())</f>
        <v>Eric Wolfe</v>
      </c>
      <c r="T1741" s="4" t="str">
        <f>VLOOKUP(D1741,Product_Dim!$A:$M,3,FALSE())</f>
        <v>Sports</v>
      </c>
      <c r="U1741" s="11" t="str">
        <f>VLOOKUP(D1741,Product_Dim!$A:$M,2,FALSE())</f>
        <v>Foldable Camping Chair</v>
      </c>
      <c r="V1741" s="11" t="str">
        <f>VLOOKUP(E1741,Store_Dim!$A:$E,3,FALSE())</f>
        <v>North</v>
      </c>
      <c r="W1741" s="11" t="str">
        <f>VLOOKUP(C1741,Customer_Dim!$A:$N,13,FALSE())</f>
        <v>Gold</v>
      </c>
      <c r="X1741" s="11" t="str">
        <f t="shared" si="195"/>
        <v>Low</v>
      </c>
    </row>
    <row r="1742" spans="1:24" ht="15.75" customHeight="1">
      <c r="A1742" s="4" t="s">
        <v>3738</v>
      </c>
      <c r="B1742" s="9">
        <v>45718</v>
      </c>
      <c r="C1742" s="4" t="s">
        <v>1495</v>
      </c>
      <c r="D1742" s="4" t="s">
        <v>1651</v>
      </c>
      <c r="E1742" s="4" t="s">
        <v>1934</v>
      </c>
      <c r="F1742" s="4">
        <v>4</v>
      </c>
      <c r="G1742" s="4">
        <v>186.24</v>
      </c>
      <c r="H1742" s="4">
        <v>0.23</v>
      </c>
      <c r="I1742" s="4" t="s">
        <v>1996</v>
      </c>
      <c r="J1742" s="10">
        <v>573.61919999999998</v>
      </c>
      <c r="K1742" s="4" t="str">
        <f t="shared" si="189"/>
        <v>02-03-2025</v>
      </c>
      <c r="L1742" s="4" t="str">
        <f>TEXT(Sales_Fact!$B1742,"mmm")</f>
        <v>Mar</v>
      </c>
      <c r="M1742" s="4">
        <f t="shared" si="190"/>
        <v>4</v>
      </c>
      <c r="N1742" s="10">
        <f t="shared" si="191"/>
        <v>186.24</v>
      </c>
      <c r="O1742" s="10">
        <f t="shared" si="192"/>
        <v>573.61920000000009</v>
      </c>
      <c r="P1742" s="10">
        <f t="shared" si="193"/>
        <v>744.96</v>
      </c>
      <c r="Q1742" s="3">
        <f t="shared" si="194"/>
        <v>0.22999999999999993</v>
      </c>
      <c r="R1742" s="4" t="str">
        <f>IF(Sales_Fact!$O1742&gt;1000,"High","Low")</f>
        <v>Low</v>
      </c>
      <c r="S1742" s="4" t="str">
        <f>VLOOKUP(C1742,Customer_Dim!$A:$N,9,FALSE())</f>
        <v>Elizabeth Foster</v>
      </c>
      <c r="T1742" s="4" t="str">
        <f>VLOOKUP(D1742,Product_Dim!$A:$M,3,FALSE())</f>
        <v>Clothing</v>
      </c>
      <c r="U1742" s="11" t="str">
        <f>VLOOKUP(D1742,Product_Dim!$A:$M,2,FALSE())</f>
        <v>Women's Denim Jeans</v>
      </c>
      <c r="V1742" s="11" t="str">
        <f>VLOOKUP(E1742,Store_Dim!$A:$E,3,FALSE())</f>
        <v>East</v>
      </c>
      <c r="W1742" s="11" t="str">
        <f>VLOOKUP(C1742,Customer_Dim!$A:$N,13,FALSE())</f>
        <v>Gold</v>
      </c>
      <c r="X1742" s="11" t="str">
        <f t="shared" si="195"/>
        <v>High</v>
      </c>
    </row>
    <row r="1743" spans="1:24" ht="15.75" customHeight="1">
      <c r="A1743" s="4" t="s">
        <v>3739</v>
      </c>
      <c r="B1743" s="9">
        <v>45454</v>
      </c>
      <c r="C1743" s="4" t="s">
        <v>965</v>
      </c>
      <c r="D1743" s="4" t="s">
        <v>1723</v>
      </c>
      <c r="E1743" s="4" t="s">
        <v>1940</v>
      </c>
      <c r="F1743" s="4">
        <v>4</v>
      </c>
      <c r="G1743" s="4">
        <v>609.05999999999995</v>
      </c>
      <c r="H1743" s="4">
        <v>0.22</v>
      </c>
      <c r="I1743" s="4" t="s">
        <v>2004</v>
      </c>
      <c r="J1743" s="10">
        <v>1900.2672</v>
      </c>
      <c r="K1743" s="4" t="str">
        <f t="shared" si="189"/>
        <v>11-06-2024</v>
      </c>
      <c r="L1743" s="4" t="str">
        <f>TEXT(Sales_Fact!$B1743,"mmm")</f>
        <v>Jun</v>
      </c>
      <c r="M1743" s="4">
        <f t="shared" si="190"/>
        <v>4</v>
      </c>
      <c r="N1743" s="10">
        <f t="shared" si="191"/>
        <v>609.05999999999995</v>
      </c>
      <c r="O1743" s="10">
        <f t="shared" si="192"/>
        <v>1900.2672</v>
      </c>
      <c r="P1743" s="10">
        <f t="shared" si="193"/>
        <v>2436.2399999999998</v>
      </c>
      <c r="Q1743" s="3">
        <f t="shared" si="194"/>
        <v>0.21999999999999992</v>
      </c>
      <c r="R1743" s="4" t="str">
        <f>IF(Sales_Fact!$O1743&gt;1000,"High","Low")</f>
        <v>High</v>
      </c>
      <c r="S1743" s="4" t="str">
        <f>VLOOKUP(C1743,Customer_Dim!$A:$N,9,FALSE())</f>
        <v>Jared Moran</v>
      </c>
      <c r="T1743" s="4" t="str">
        <f>VLOOKUP(D1743,Product_Dim!$A:$M,3,FALSE())</f>
        <v>Electronics</v>
      </c>
      <c r="U1743" s="11" t="str">
        <f>VLOOKUP(D1743,Product_Dim!$A:$M,2,FALSE())</f>
        <v>Noise-Canceling Headphones</v>
      </c>
      <c r="V1743" s="11" t="str">
        <f>VLOOKUP(E1743,Store_Dim!$A:$E,3,FALSE())</f>
        <v>West</v>
      </c>
      <c r="W1743" s="11" t="str">
        <f>VLOOKUP(C1743,Customer_Dim!$A:$N,13,FALSE())</f>
        <v>Bronze</v>
      </c>
      <c r="X1743" s="11" t="str">
        <f t="shared" si="195"/>
        <v>High</v>
      </c>
    </row>
    <row r="1744" spans="1:24" ht="15.75" customHeight="1">
      <c r="A1744" s="4" t="s">
        <v>3740</v>
      </c>
      <c r="B1744" s="9">
        <v>45434</v>
      </c>
      <c r="C1744" s="4" t="s">
        <v>1384</v>
      </c>
      <c r="D1744" s="4" t="s">
        <v>1700</v>
      </c>
      <c r="E1744" s="4" t="s">
        <v>1950</v>
      </c>
      <c r="F1744" s="4">
        <v>1</v>
      </c>
      <c r="G1744" s="4">
        <v>827.91</v>
      </c>
      <c r="H1744" s="4">
        <v>0.21</v>
      </c>
      <c r="I1744" s="4" t="s">
        <v>1998</v>
      </c>
      <c r="J1744" s="10">
        <v>654.0489</v>
      </c>
      <c r="K1744" s="4" t="str">
        <f t="shared" si="189"/>
        <v>22-05-2024</v>
      </c>
      <c r="L1744" s="4" t="str">
        <f>TEXT(Sales_Fact!$B1744,"mmm")</f>
        <v>May</v>
      </c>
      <c r="M1744" s="4">
        <f t="shared" si="190"/>
        <v>1</v>
      </c>
      <c r="N1744" s="10">
        <f t="shared" si="191"/>
        <v>827.91</v>
      </c>
      <c r="O1744" s="10">
        <f t="shared" si="192"/>
        <v>654.0489</v>
      </c>
      <c r="P1744" s="10">
        <f t="shared" si="193"/>
        <v>827.91</v>
      </c>
      <c r="Q1744" s="3">
        <f t="shared" si="194"/>
        <v>0.20999999999999996</v>
      </c>
      <c r="R1744" s="4" t="str">
        <f>IF(Sales_Fact!$O1744&gt;1000,"High","Low")</f>
        <v>Low</v>
      </c>
      <c r="S1744" s="4" t="str">
        <f>VLOOKUP(C1744,Customer_Dim!$A:$N,9,FALSE())</f>
        <v>Melinda Rivera</v>
      </c>
      <c r="T1744" s="4" t="str">
        <f>VLOOKUP(D1744,Product_Dim!$A:$M,3,FALSE())</f>
        <v>Home</v>
      </c>
      <c r="U1744" s="11" t="str">
        <f>VLOOKUP(D1744,Product_Dim!$A:$M,2,FALSE())</f>
        <v>Modern Wall Clock</v>
      </c>
      <c r="V1744" s="11" t="str">
        <f>VLOOKUP(E1744,Store_Dim!$A:$E,3,FALSE())</f>
        <v>South</v>
      </c>
      <c r="W1744" s="11" t="str">
        <f>VLOOKUP(C1744,Customer_Dim!$A:$N,13,FALSE())</f>
        <v>Platinum</v>
      </c>
      <c r="X1744" s="11" t="str">
        <f t="shared" si="195"/>
        <v>Low</v>
      </c>
    </row>
    <row r="1745" spans="1:24" ht="15.75" customHeight="1">
      <c r="A1745" s="4" t="s">
        <v>3741</v>
      </c>
      <c r="B1745" s="9">
        <v>45486</v>
      </c>
      <c r="C1745" s="4" t="s">
        <v>607</v>
      </c>
      <c r="D1745" s="4" t="s">
        <v>1855</v>
      </c>
      <c r="E1745" s="4" t="s">
        <v>1910</v>
      </c>
      <c r="F1745" s="4">
        <v>1</v>
      </c>
      <c r="G1745" s="4">
        <v>303.79000000000002</v>
      </c>
      <c r="H1745" s="4">
        <v>0.24</v>
      </c>
      <c r="I1745" s="4" t="s">
        <v>1998</v>
      </c>
      <c r="J1745" s="10">
        <v>230.88040000000001</v>
      </c>
      <c r="K1745" s="4" t="str">
        <f t="shared" si="189"/>
        <v>13-07-2024</v>
      </c>
      <c r="L1745" s="4" t="str">
        <f>TEXT(Sales_Fact!$B1745,"mmm")</f>
        <v>Jul</v>
      </c>
      <c r="M1745" s="4">
        <f t="shared" si="190"/>
        <v>1</v>
      </c>
      <c r="N1745" s="10">
        <f t="shared" si="191"/>
        <v>303.79000000000002</v>
      </c>
      <c r="O1745" s="10">
        <f t="shared" si="192"/>
        <v>230.88040000000001</v>
      </c>
      <c r="P1745" s="10">
        <f t="shared" si="193"/>
        <v>303.79000000000002</v>
      </c>
      <c r="Q1745" s="3">
        <f t="shared" si="194"/>
        <v>0.24000000000000002</v>
      </c>
      <c r="R1745" s="4" t="str">
        <f>IF(Sales_Fact!$O1745&gt;1000,"High","Low")</f>
        <v>Low</v>
      </c>
      <c r="S1745" s="4" t="str">
        <f>VLOOKUP(C1745,Customer_Dim!$A:$N,9,FALSE())</f>
        <v>John Bradford</v>
      </c>
      <c r="T1745" s="4" t="str">
        <f>VLOOKUP(D1745,Product_Dim!$A:$M,3,FALSE())</f>
        <v>Beauty</v>
      </c>
      <c r="U1745" s="11" t="str">
        <f>VLOOKUP(D1745,Product_Dim!$A:$M,2,FALSE())</f>
        <v>Hydrating Face Cleanser</v>
      </c>
      <c r="V1745" s="11" t="str">
        <f>VLOOKUP(E1745,Store_Dim!$A:$E,3,FALSE())</f>
        <v>East</v>
      </c>
      <c r="W1745" s="11" t="str">
        <f>VLOOKUP(C1745,Customer_Dim!$A:$N,13,FALSE())</f>
        <v>Silver</v>
      </c>
      <c r="X1745" s="11" t="str">
        <f t="shared" si="195"/>
        <v>Low</v>
      </c>
    </row>
    <row r="1746" spans="1:24" ht="15.75" customHeight="1">
      <c r="A1746" s="4" t="s">
        <v>3742</v>
      </c>
      <c r="B1746" s="9">
        <v>45902</v>
      </c>
      <c r="C1746" s="4" t="s">
        <v>390</v>
      </c>
      <c r="D1746" s="4" t="s">
        <v>1712</v>
      </c>
      <c r="E1746" s="4" t="s">
        <v>1934</v>
      </c>
      <c r="F1746" s="4">
        <v>2</v>
      </c>
      <c r="G1746" s="4">
        <v>365.91</v>
      </c>
      <c r="H1746" s="4">
        <v>0.14000000000000001</v>
      </c>
      <c r="I1746" s="4" t="s">
        <v>2004</v>
      </c>
      <c r="J1746" s="10">
        <v>629.36519999999996</v>
      </c>
      <c r="K1746" s="4" t="str">
        <f t="shared" si="189"/>
        <v>02-09-2025</v>
      </c>
      <c r="L1746" s="4" t="str">
        <f>TEXT(Sales_Fact!$B1746,"mmm")</f>
        <v>Sep</v>
      </c>
      <c r="M1746" s="4">
        <f t="shared" si="190"/>
        <v>2</v>
      </c>
      <c r="N1746" s="10">
        <f t="shared" si="191"/>
        <v>365.91</v>
      </c>
      <c r="O1746" s="10">
        <f t="shared" si="192"/>
        <v>629.36520000000007</v>
      </c>
      <c r="P1746" s="10">
        <f t="shared" si="193"/>
        <v>731.82</v>
      </c>
      <c r="Q1746" s="3">
        <f t="shared" si="194"/>
        <v>0.13999999999999996</v>
      </c>
      <c r="R1746" s="4" t="str">
        <f>IF(Sales_Fact!$O1746&gt;1000,"High","Low")</f>
        <v>Low</v>
      </c>
      <c r="S1746" s="4" t="str">
        <f>VLOOKUP(C1746,Customer_Dim!$A:$N,9,FALSE())</f>
        <v>Christopher Lester</v>
      </c>
      <c r="T1746" s="4" t="str">
        <f>VLOOKUP(D1746,Product_Dim!$A:$M,3,FALSE())</f>
        <v>Clothing</v>
      </c>
      <c r="U1746" s="11" t="str">
        <f>VLOOKUP(D1746,Product_Dim!$A:$M,2,FALSE())</f>
        <v>Men's Casual Sneakers</v>
      </c>
      <c r="V1746" s="11" t="str">
        <f>VLOOKUP(E1746,Store_Dim!$A:$E,3,FALSE())</f>
        <v>East</v>
      </c>
      <c r="W1746" s="11" t="str">
        <f>VLOOKUP(C1746,Customer_Dim!$A:$N,13,FALSE())</f>
        <v>Silver</v>
      </c>
      <c r="X1746" s="11" t="str">
        <f t="shared" si="195"/>
        <v>Low</v>
      </c>
    </row>
    <row r="1747" spans="1:24" ht="15.75" customHeight="1">
      <c r="A1747" s="4" t="s">
        <v>3743</v>
      </c>
      <c r="B1747" s="9">
        <v>45800</v>
      </c>
      <c r="C1747" s="4" t="s">
        <v>59</v>
      </c>
      <c r="D1747" s="4" t="s">
        <v>1806</v>
      </c>
      <c r="E1747" s="4" t="s">
        <v>1959</v>
      </c>
      <c r="F1747" s="4">
        <v>1</v>
      </c>
      <c r="G1747" s="4">
        <v>687.82</v>
      </c>
      <c r="H1747" s="4">
        <v>0.27</v>
      </c>
      <c r="I1747" s="4" t="s">
        <v>2004</v>
      </c>
      <c r="J1747" s="10">
        <v>502.10860000000002</v>
      </c>
      <c r="K1747" s="4" t="str">
        <f t="shared" si="189"/>
        <v>23-05-2025</v>
      </c>
      <c r="L1747" s="4" t="str">
        <f>TEXT(Sales_Fact!$B1747,"mmm")</f>
        <v>May</v>
      </c>
      <c r="M1747" s="4">
        <f t="shared" si="190"/>
        <v>1</v>
      </c>
      <c r="N1747" s="10">
        <f t="shared" si="191"/>
        <v>687.82</v>
      </c>
      <c r="O1747" s="10">
        <f t="shared" si="192"/>
        <v>502.10860000000002</v>
      </c>
      <c r="P1747" s="10">
        <f t="shared" si="193"/>
        <v>687.82</v>
      </c>
      <c r="Q1747" s="3">
        <f t="shared" si="194"/>
        <v>0.27</v>
      </c>
      <c r="R1747" s="4" t="str">
        <f>IF(Sales_Fact!$O1747&gt;1000,"High","Low")</f>
        <v>Low</v>
      </c>
      <c r="S1747" s="4" t="str">
        <f>VLOOKUP(C1747,Customer_Dim!$A:$N,9,FALSE())</f>
        <v>Daniel Boyd</v>
      </c>
      <c r="T1747" s="4" t="str">
        <f>VLOOKUP(D1747,Product_Dim!$A:$M,3,FALSE())</f>
        <v>Electronics</v>
      </c>
      <c r="U1747" s="11" t="str">
        <f>VLOOKUP(D1747,Product_Dim!$A:$M,2,FALSE())</f>
        <v>Smart LED Light Strip</v>
      </c>
      <c r="V1747" s="11" t="str">
        <f>VLOOKUP(E1747,Store_Dim!$A:$E,3,FALSE())</f>
        <v>North</v>
      </c>
      <c r="W1747" s="11" t="str">
        <f>VLOOKUP(C1747,Customer_Dim!$A:$N,13,FALSE())</f>
        <v>Bronze</v>
      </c>
      <c r="X1747" s="11" t="str">
        <f t="shared" si="195"/>
        <v>Low</v>
      </c>
    </row>
    <row r="1748" spans="1:24" ht="15.75" customHeight="1">
      <c r="A1748" s="4" t="s">
        <v>3744</v>
      </c>
      <c r="B1748" s="9">
        <v>45762</v>
      </c>
      <c r="C1748" s="4" t="s">
        <v>276</v>
      </c>
      <c r="D1748" s="4" t="s">
        <v>1675</v>
      </c>
      <c r="E1748" s="4" t="s">
        <v>1965</v>
      </c>
      <c r="F1748" s="4">
        <v>3</v>
      </c>
      <c r="G1748" s="4">
        <v>852.72</v>
      </c>
      <c r="H1748" s="4">
        <v>0.16</v>
      </c>
      <c r="I1748" s="4" t="s">
        <v>1996</v>
      </c>
      <c r="J1748" s="10">
        <v>2148.8544000000002</v>
      </c>
      <c r="K1748" s="4" t="str">
        <f t="shared" si="189"/>
        <v>15-04-2025</v>
      </c>
      <c r="L1748" s="4" t="str">
        <f>TEXT(Sales_Fact!$B1748,"mmm")</f>
        <v>Apr</v>
      </c>
      <c r="M1748" s="4">
        <f t="shared" si="190"/>
        <v>3</v>
      </c>
      <c r="N1748" s="10">
        <f t="shared" si="191"/>
        <v>852.72</v>
      </c>
      <c r="O1748" s="10">
        <f t="shared" si="192"/>
        <v>2148.8543999999997</v>
      </c>
      <c r="P1748" s="10">
        <f t="shared" si="193"/>
        <v>2558.16</v>
      </c>
      <c r="Q1748" s="3">
        <f t="shared" si="194"/>
        <v>0.16000000000000006</v>
      </c>
      <c r="R1748" s="4" t="str">
        <f>IF(Sales_Fact!$O1748&gt;1000,"High","Low")</f>
        <v>High</v>
      </c>
      <c r="S1748" s="4" t="str">
        <f>VLOOKUP(C1748,Customer_Dim!$A:$N,9,FALSE())</f>
        <v>Roy Cole</v>
      </c>
      <c r="T1748" s="4" t="str">
        <f>VLOOKUP(D1748,Product_Dim!$A:$M,3,FALSE())</f>
        <v>Clothing</v>
      </c>
      <c r="U1748" s="11" t="str">
        <f>VLOOKUP(D1748,Product_Dim!$A:$M,2,FALSE())</f>
        <v>Women's Scarf Set</v>
      </c>
      <c r="V1748" s="11" t="str">
        <f>VLOOKUP(E1748,Store_Dim!$A:$E,3,FALSE())</f>
        <v>North</v>
      </c>
      <c r="W1748" s="11" t="str">
        <f>VLOOKUP(C1748,Customer_Dim!$A:$N,13,FALSE())</f>
        <v>Platinum</v>
      </c>
      <c r="X1748" s="11" t="str">
        <f t="shared" si="195"/>
        <v>Low</v>
      </c>
    </row>
    <row r="1749" spans="1:24" ht="15.75" customHeight="1">
      <c r="A1749" s="4" t="s">
        <v>3745</v>
      </c>
      <c r="B1749" s="9">
        <v>45752</v>
      </c>
      <c r="C1749" s="4" t="s">
        <v>819</v>
      </c>
      <c r="D1749" s="4" t="s">
        <v>1622</v>
      </c>
      <c r="E1749" s="4" t="s">
        <v>1927</v>
      </c>
      <c r="F1749" s="4">
        <v>1</v>
      </c>
      <c r="G1749" s="4">
        <v>768.25</v>
      </c>
      <c r="H1749" s="4">
        <v>0.18</v>
      </c>
      <c r="I1749" s="4" t="s">
        <v>1996</v>
      </c>
      <c r="J1749" s="10">
        <v>629.96500000000003</v>
      </c>
      <c r="K1749" s="4" t="str">
        <f t="shared" si="189"/>
        <v>05-04-2025</v>
      </c>
      <c r="L1749" s="4" t="str">
        <f>TEXT(Sales_Fact!$B1749,"mmm")</f>
        <v>Apr</v>
      </c>
      <c r="M1749" s="4">
        <f t="shared" si="190"/>
        <v>1</v>
      </c>
      <c r="N1749" s="10">
        <f t="shared" si="191"/>
        <v>768.25</v>
      </c>
      <c r="O1749" s="10">
        <f t="shared" si="192"/>
        <v>629.96500000000003</v>
      </c>
      <c r="P1749" s="10">
        <f t="shared" si="193"/>
        <v>768.25</v>
      </c>
      <c r="Q1749" s="3">
        <f t="shared" si="194"/>
        <v>0.17999999999999997</v>
      </c>
      <c r="R1749" s="4" t="str">
        <f>IF(Sales_Fact!$O1749&gt;1000,"High","Low")</f>
        <v>Low</v>
      </c>
      <c r="S1749" s="4" t="str">
        <f>VLOOKUP(C1749,Customer_Dim!$A:$N,9,FALSE())</f>
        <v>Douglas Rhodes</v>
      </c>
      <c r="T1749" s="4" t="str">
        <f>VLOOKUP(D1749,Product_Dim!$A:$M,3,FALSE())</f>
        <v>Home</v>
      </c>
      <c r="U1749" s="11" t="str">
        <f>VLOOKUP(D1749,Product_Dim!$A:$M,2,FALSE())</f>
        <v>Ceramic Kitchen Bowl Set</v>
      </c>
      <c r="V1749" s="11" t="str">
        <f>VLOOKUP(E1749,Store_Dim!$A:$E,3,FALSE())</f>
        <v>South</v>
      </c>
      <c r="W1749" s="11" t="str">
        <f>VLOOKUP(C1749,Customer_Dim!$A:$N,13,FALSE())</f>
        <v>Platinum</v>
      </c>
      <c r="X1749" s="11" t="str">
        <f t="shared" si="195"/>
        <v>Low</v>
      </c>
    </row>
    <row r="1750" spans="1:24" ht="15.75" customHeight="1">
      <c r="A1750" s="4" t="s">
        <v>3746</v>
      </c>
      <c r="B1750" s="9">
        <v>45254</v>
      </c>
      <c r="C1750" s="4" t="s">
        <v>1126</v>
      </c>
      <c r="D1750" s="4" t="s">
        <v>1882</v>
      </c>
      <c r="E1750" s="4" t="s">
        <v>1971</v>
      </c>
      <c r="F1750" s="4">
        <v>2</v>
      </c>
      <c r="G1750" s="4">
        <v>318.62</v>
      </c>
      <c r="H1750" s="4">
        <v>0.02</v>
      </c>
      <c r="I1750" s="4" t="s">
        <v>2004</v>
      </c>
      <c r="J1750" s="10">
        <v>624.49519999999995</v>
      </c>
      <c r="K1750" s="4" t="str">
        <f t="shared" si="189"/>
        <v>24-11-2023</v>
      </c>
      <c r="L1750" s="4" t="str">
        <f>TEXT(Sales_Fact!$B1750,"mmm")</f>
        <v>Nov</v>
      </c>
      <c r="M1750" s="4">
        <f t="shared" si="190"/>
        <v>2</v>
      </c>
      <c r="N1750" s="10">
        <f t="shared" si="191"/>
        <v>318.62</v>
      </c>
      <c r="O1750" s="10">
        <f t="shared" si="192"/>
        <v>624.49519999999995</v>
      </c>
      <c r="P1750" s="10">
        <f t="shared" si="193"/>
        <v>637.24</v>
      </c>
      <c r="Q1750" s="3">
        <f t="shared" si="194"/>
        <v>2.0000000000000087E-2</v>
      </c>
      <c r="R1750" s="4" t="str">
        <f>IF(Sales_Fact!$O1750&gt;1000,"High","Low")</f>
        <v>Low</v>
      </c>
      <c r="S1750" s="4" t="str">
        <f>VLOOKUP(C1750,Customer_Dim!$A:$N,9,FALSE())</f>
        <v>Charles Miller</v>
      </c>
      <c r="T1750" s="4" t="str">
        <f>VLOOKUP(D1750,Product_Dim!$A:$M,3,FALSE())</f>
        <v>Home</v>
      </c>
      <c r="U1750" s="11" t="str">
        <f>VLOOKUP(D1750,Product_Dim!$A:$M,2,FALSE())</f>
        <v>Microwave Oven</v>
      </c>
      <c r="V1750" s="11" t="str">
        <f>VLOOKUP(E1750,Store_Dim!$A:$E,3,FALSE())</f>
        <v>East</v>
      </c>
      <c r="W1750" s="11" t="str">
        <f>VLOOKUP(C1750,Customer_Dim!$A:$N,13,FALSE())</f>
        <v>Silver</v>
      </c>
      <c r="X1750" s="11" t="str">
        <f t="shared" si="195"/>
        <v>Low</v>
      </c>
    </row>
    <row r="1751" spans="1:24" ht="15.75" customHeight="1">
      <c r="A1751" s="4" t="s">
        <v>3747</v>
      </c>
      <c r="B1751" s="9">
        <v>45683</v>
      </c>
      <c r="C1751" s="4" t="s">
        <v>209</v>
      </c>
      <c r="D1751" s="4" t="s">
        <v>1834</v>
      </c>
      <c r="E1751" s="4" t="s">
        <v>1919</v>
      </c>
      <c r="F1751" s="4">
        <v>4</v>
      </c>
      <c r="G1751" s="4">
        <v>402.11</v>
      </c>
      <c r="H1751" s="4">
        <v>0.14000000000000001</v>
      </c>
      <c r="I1751" s="4" t="s">
        <v>1998</v>
      </c>
      <c r="J1751" s="10">
        <v>1383.2583999999999</v>
      </c>
      <c r="K1751" s="4" t="str">
        <f t="shared" si="189"/>
        <v>26-01-2025</v>
      </c>
      <c r="L1751" s="4" t="str">
        <f>TEXT(Sales_Fact!$B1751,"mmm")</f>
        <v>Jan</v>
      </c>
      <c r="M1751" s="4">
        <f t="shared" si="190"/>
        <v>4</v>
      </c>
      <c r="N1751" s="10">
        <f t="shared" si="191"/>
        <v>402.11</v>
      </c>
      <c r="O1751" s="10">
        <f t="shared" si="192"/>
        <v>1383.2583999999999</v>
      </c>
      <c r="P1751" s="10">
        <f t="shared" si="193"/>
        <v>1608.44</v>
      </c>
      <c r="Q1751" s="3">
        <f t="shared" si="194"/>
        <v>0.14000000000000007</v>
      </c>
      <c r="R1751" s="4" t="str">
        <f>IF(Sales_Fact!$O1751&gt;1000,"High","Low")</f>
        <v>High</v>
      </c>
      <c r="S1751" s="4" t="str">
        <f>VLOOKUP(C1751,Customer_Dim!$A:$N,9,FALSE())</f>
        <v>Timothy Weaver</v>
      </c>
      <c r="T1751" s="4" t="str">
        <f>VLOOKUP(D1751,Product_Dim!$A:$M,3,FALSE())</f>
        <v>Electronics</v>
      </c>
      <c r="U1751" s="11" t="str">
        <f>VLOOKUP(D1751,Product_Dim!$A:$M,2,FALSE())</f>
        <v>Wireless Mouse</v>
      </c>
      <c r="V1751" s="11" t="str">
        <f>VLOOKUP(E1751,Store_Dim!$A:$E,3,FALSE())</f>
        <v>South</v>
      </c>
      <c r="W1751" s="11" t="str">
        <f>VLOOKUP(C1751,Customer_Dim!$A:$N,13,FALSE())</f>
        <v>Gold</v>
      </c>
      <c r="X1751" s="11" t="str">
        <f t="shared" si="195"/>
        <v>High</v>
      </c>
    </row>
    <row r="1752" spans="1:24" ht="15.75" customHeight="1">
      <c r="A1752" s="4" t="s">
        <v>3748</v>
      </c>
      <c r="B1752" s="9">
        <v>45804</v>
      </c>
      <c r="C1752" s="4" t="s">
        <v>1298</v>
      </c>
      <c r="D1752" s="4" t="s">
        <v>1858</v>
      </c>
      <c r="E1752" s="4" t="s">
        <v>1965</v>
      </c>
      <c r="F1752" s="4">
        <v>3</v>
      </c>
      <c r="G1752" s="4">
        <v>846.31</v>
      </c>
      <c r="H1752" s="4">
        <v>0.18</v>
      </c>
      <c r="I1752" s="4" t="s">
        <v>2004</v>
      </c>
      <c r="J1752" s="10">
        <v>2081.9225999999999</v>
      </c>
      <c r="K1752" s="4" t="str">
        <f t="shared" si="189"/>
        <v>27-05-2025</v>
      </c>
      <c r="L1752" s="4" t="str">
        <f>TEXT(Sales_Fact!$B1752,"mmm")</f>
        <v>May</v>
      </c>
      <c r="M1752" s="4">
        <f t="shared" si="190"/>
        <v>3</v>
      </c>
      <c r="N1752" s="10">
        <f t="shared" si="191"/>
        <v>846.31</v>
      </c>
      <c r="O1752" s="10">
        <f t="shared" si="192"/>
        <v>2081.9225999999999</v>
      </c>
      <c r="P1752" s="10">
        <f t="shared" si="193"/>
        <v>2538.9299999999998</v>
      </c>
      <c r="Q1752" s="3">
        <f t="shared" si="194"/>
        <v>0.18</v>
      </c>
      <c r="R1752" s="4" t="str">
        <f>IF(Sales_Fact!$O1752&gt;1000,"High","Low")</f>
        <v>High</v>
      </c>
      <c r="S1752" s="4" t="str">
        <f>VLOOKUP(C1752,Customer_Dim!$A:$N,9,FALSE())</f>
        <v>Isabel Foster</v>
      </c>
      <c r="T1752" s="4" t="str">
        <f>VLOOKUP(D1752,Product_Dim!$A:$M,3,FALSE())</f>
        <v>Home</v>
      </c>
      <c r="U1752" s="11" t="str">
        <f>VLOOKUP(D1752,Product_Dim!$A:$M,2,FALSE())</f>
        <v>Wooden Bookshelf</v>
      </c>
      <c r="V1752" s="11" t="str">
        <f>VLOOKUP(E1752,Store_Dim!$A:$E,3,FALSE())</f>
        <v>North</v>
      </c>
      <c r="W1752" s="11" t="str">
        <f>VLOOKUP(C1752,Customer_Dim!$A:$N,13,FALSE())</f>
        <v>Gold</v>
      </c>
      <c r="X1752" s="11" t="str">
        <f t="shared" si="195"/>
        <v>Low</v>
      </c>
    </row>
    <row r="1753" spans="1:24" ht="15.75" customHeight="1">
      <c r="A1753" s="4" t="s">
        <v>3749</v>
      </c>
      <c r="B1753" s="9">
        <v>45821</v>
      </c>
      <c r="C1753" s="4" t="s">
        <v>583</v>
      </c>
      <c r="D1753" s="4" t="s">
        <v>1888</v>
      </c>
      <c r="E1753" s="4" t="s">
        <v>1957</v>
      </c>
      <c r="F1753" s="4">
        <v>1</v>
      </c>
      <c r="G1753" s="4">
        <v>269.94</v>
      </c>
      <c r="H1753" s="4">
        <v>7.0000000000000007E-2</v>
      </c>
      <c r="I1753" s="4" t="s">
        <v>2004</v>
      </c>
      <c r="J1753" s="10">
        <v>251.04419999999999</v>
      </c>
      <c r="K1753" s="4" t="str">
        <f t="shared" si="189"/>
        <v>13-06-2025</v>
      </c>
      <c r="L1753" s="4" t="str">
        <f>TEXT(Sales_Fact!$B1753,"mmm")</f>
        <v>Jun</v>
      </c>
      <c r="M1753" s="4">
        <f t="shared" si="190"/>
        <v>1</v>
      </c>
      <c r="N1753" s="10">
        <f t="shared" si="191"/>
        <v>269.94</v>
      </c>
      <c r="O1753" s="10">
        <f t="shared" si="192"/>
        <v>251.04419999999999</v>
      </c>
      <c r="P1753" s="10">
        <f t="shared" si="193"/>
        <v>269.94</v>
      </c>
      <c r="Q1753" s="3">
        <f t="shared" si="194"/>
        <v>7.0000000000000034E-2</v>
      </c>
      <c r="R1753" s="4" t="str">
        <f>IF(Sales_Fact!$O1753&gt;1000,"High","Low")</f>
        <v>Low</v>
      </c>
      <c r="S1753" s="4" t="str">
        <f>VLOOKUP(C1753,Customer_Dim!$A:$N,9,FALSE())</f>
        <v>Daniel Contreras</v>
      </c>
      <c r="T1753" s="4" t="str">
        <f>VLOOKUP(D1753,Product_Dim!$A:$M,3,FALSE())</f>
        <v>Beauty</v>
      </c>
      <c r="U1753" s="11" t="str">
        <f>VLOOKUP(D1753,Product_Dim!$A:$M,2,FALSE())</f>
        <v>Vitamin E Body Lotion</v>
      </c>
      <c r="V1753" s="11" t="str">
        <f>VLOOKUP(E1753,Store_Dim!$A:$E,3,FALSE())</f>
        <v>South</v>
      </c>
      <c r="W1753" s="11" t="str">
        <f>VLOOKUP(C1753,Customer_Dim!$A:$N,13,FALSE())</f>
        <v>Platinum</v>
      </c>
      <c r="X1753" s="11" t="str">
        <f t="shared" si="195"/>
        <v>Low</v>
      </c>
    </row>
    <row r="1754" spans="1:24" ht="15.75" customHeight="1">
      <c r="A1754" s="4" t="s">
        <v>3750</v>
      </c>
      <c r="B1754" s="9">
        <v>45472</v>
      </c>
      <c r="C1754" s="4" t="s">
        <v>801</v>
      </c>
      <c r="D1754" s="4" t="s">
        <v>1658</v>
      </c>
      <c r="E1754" s="4" t="s">
        <v>1927</v>
      </c>
      <c r="F1754" s="4">
        <v>3</v>
      </c>
      <c r="G1754" s="4">
        <v>909.25</v>
      </c>
      <c r="H1754" s="4">
        <v>0.28999999999999998</v>
      </c>
      <c r="I1754" s="4" t="s">
        <v>2004</v>
      </c>
      <c r="J1754" s="10">
        <v>1936.7025000000001</v>
      </c>
      <c r="K1754" s="4" t="str">
        <f t="shared" si="189"/>
        <v>29-06-2024</v>
      </c>
      <c r="L1754" s="4" t="str">
        <f>TEXT(Sales_Fact!$B1754,"mmm")</f>
        <v>Jun</v>
      </c>
      <c r="M1754" s="4">
        <f t="shared" si="190"/>
        <v>3</v>
      </c>
      <c r="N1754" s="10">
        <f t="shared" si="191"/>
        <v>909.25</v>
      </c>
      <c r="O1754" s="10">
        <f t="shared" si="192"/>
        <v>1936.7024999999999</v>
      </c>
      <c r="P1754" s="10">
        <f t="shared" si="193"/>
        <v>2727.75</v>
      </c>
      <c r="Q1754" s="3">
        <f t="shared" si="194"/>
        <v>0.29000000000000004</v>
      </c>
      <c r="R1754" s="4" t="str">
        <f>IF(Sales_Fact!$O1754&gt;1000,"High","Low")</f>
        <v>High</v>
      </c>
      <c r="S1754" s="4" t="str">
        <f>VLOOKUP(C1754,Customer_Dim!$A:$N,9,FALSE())</f>
        <v>Mr. William Horton</v>
      </c>
      <c r="T1754" s="4" t="str">
        <f>VLOOKUP(D1754,Product_Dim!$A:$M,3,FALSE())</f>
        <v>Sports</v>
      </c>
      <c r="U1754" s="11" t="str">
        <f>VLOOKUP(D1754,Product_Dim!$A:$M,2,FALSE())</f>
        <v>Outdoor Sports Water Bottle</v>
      </c>
      <c r="V1754" s="11" t="str">
        <f>VLOOKUP(E1754,Store_Dim!$A:$E,3,FALSE())</f>
        <v>South</v>
      </c>
      <c r="W1754" s="11" t="str">
        <f>VLOOKUP(C1754,Customer_Dim!$A:$N,13,FALSE())</f>
        <v>Platinum</v>
      </c>
      <c r="X1754" s="11" t="str">
        <f t="shared" si="195"/>
        <v>Low</v>
      </c>
    </row>
    <row r="1755" spans="1:24" ht="15.75" customHeight="1">
      <c r="A1755" s="4" t="s">
        <v>3751</v>
      </c>
      <c r="B1755" s="9">
        <v>45331</v>
      </c>
      <c r="C1755" s="4" t="s">
        <v>1165</v>
      </c>
      <c r="D1755" s="4" t="s">
        <v>1879</v>
      </c>
      <c r="E1755" s="4" t="s">
        <v>1952</v>
      </c>
      <c r="F1755" s="4">
        <v>2</v>
      </c>
      <c r="G1755" s="4">
        <v>229.81</v>
      </c>
      <c r="H1755" s="4">
        <v>0.21</v>
      </c>
      <c r="I1755" s="4" t="s">
        <v>2004</v>
      </c>
      <c r="J1755" s="10">
        <v>363.09980000000002</v>
      </c>
      <c r="K1755" s="4" t="str">
        <f t="shared" si="189"/>
        <v>09-02-2024</v>
      </c>
      <c r="L1755" s="4" t="str">
        <f>TEXT(Sales_Fact!$B1755,"mmm")</f>
        <v>Feb</v>
      </c>
      <c r="M1755" s="4">
        <f t="shared" si="190"/>
        <v>2</v>
      </c>
      <c r="N1755" s="10">
        <f t="shared" si="191"/>
        <v>229.81</v>
      </c>
      <c r="O1755" s="10">
        <f t="shared" si="192"/>
        <v>363.09980000000002</v>
      </c>
      <c r="P1755" s="10">
        <f t="shared" si="193"/>
        <v>459.62</v>
      </c>
      <c r="Q1755" s="3">
        <f t="shared" si="194"/>
        <v>0.20999999999999996</v>
      </c>
      <c r="R1755" s="4" t="str">
        <f>IF(Sales_Fact!$O1755&gt;1000,"High","Low")</f>
        <v>Low</v>
      </c>
      <c r="S1755" s="4" t="str">
        <f>VLOOKUP(C1755,Customer_Dim!$A:$N,9,FALSE())</f>
        <v>Elizabeth Smith</v>
      </c>
      <c r="T1755" s="4" t="str">
        <f>VLOOKUP(D1755,Product_Dim!$A:$M,3,FALSE())</f>
        <v>Clothing</v>
      </c>
      <c r="U1755" s="11" t="str">
        <f>VLOOKUP(D1755,Product_Dim!$A:$M,2,FALSE())</f>
        <v>Women's High Heels</v>
      </c>
      <c r="V1755" s="11" t="str">
        <f>VLOOKUP(E1755,Store_Dim!$A:$E,3,FALSE())</f>
        <v>North</v>
      </c>
      <c r="W1755" s="11" t="str">
        <f>VLOOKUP(C1755,Customer_Dim!$A:$N,13,FALSE())</f>
        <v>Bronze</v>
      </c>
      <c r="X1755" s="11" t="str">
        <f t="shared" si="195"/>
        <v>Low</v>
      </c>
    </row>
    <row r="1756" spans="1:24" ht="15.75" customHeight="1">
      <c r="A1756" s="4" t="s">
        <v>3752</v>
      </c>
      <c r="B1756" s="9">
        <v>45451</v>
      </c>
      <c r="C1756" s="4" t="s">
        <v>168</v>
      </c>
      <c r="D1756" s="4" t="s">
        <v>1840</v>
      </c>
      <c r="E1756" s="4" t="s">
        <v>1959</v>
      </c>
      <c r="F1756" s="4">
        <v>3</v>
      </c>
      <c r="G1756" s="4">
        <v>442.36</v>
      </c>
      <c r="H1756" s="4">
        <v>0.06</v>
      </c>
      <c r="I1756" s="4" t="s">
        <v>1998</v>
      </c>
      <c r="J1756" s="10">
        <v>1247.4552000000001</v>
      </c>
      <c r="K1756" s="4" t="str">
        <f t="shared" si="189"/>
        <v>08-06-2024</v>
      </c>
      <c r="L1756" s="4" t="str">
        <f>TEXT(Sales_Fact!$B1756,"mmm")</f>
        <v>Jun</v>
      </c>
      <c r="M1756" s="4">
        <f t="shared" si="190"/>
        <v>3</v>
      </c>
      <c r="N1756" s="10">
        <f t="shared" si="191"/>
        <v>442.36</v>
      </c>
      <c r="O1756" s="10">
        <f t="shared" si="192"/>
        <v>1247.4551999999999</v>
      </c>
      <c r="P1756" s="10">
        <f t="shared" si="193"/>
        <v>1327.08</v>
      </c>
      <c r="Q1756" s="3">
        <f t="shared" si="194"/>
        <v>6.0000000000000039E-2</v>
      </c>
      <c r="R1756" s="4" t="str">
        <f>IF(Sales_Fact!$O1756&gt;1000,"High","Low")</f>
        <v>High</v>
      </c>
      <c r="S1756" s="4" t="str">
        <f>VLOOKUP(C1756,Customer_Dim!$A:$N,9,FALSE())</f>
        <v>Christopher Carter</v>
      </c>
      <c r="T1756" s="4" t="str">
        <f>VLOOKUP(D1756,Product_Dim!$A:$M,3,FALSE())</f>
        <v>Home</v>
      </c>
      <c r="U1756" s="11" t="str">
        <f>VLOOKUP(D1756,Product_Dim!$A:$M,2,FALSE())</f>
        <v>Essential Oil Diffuser</v>
      </c>
      <c r="V1756" s="11" t="str">
        <f>VLOOKUP(E1756,Store_Dim!$A:$E,3,FALSE())</f>
        <v>North</v>
      </c>
      <c r="W1756" s="11" t="str">
        <f>VLOOKUP(C1756,Customer_Dim!$A:$N,13,FALSE())</f>
        <v>Standard</v>
      </c>
      <c r="X1756" s="11" t="str">
        <f t="shared" si="195"/>
        <v>Low</v>
      </c>
    </row>
    <row r="1757" spans="1:24" ht="15.75" customHeight="1">
      <c r="A1757" s="4" t="s">
        <v>3753</v>
      </c>
      <c r="B1757" s="9">
        <v>45386</v>
      </c>
      <c r="C1757" s="4" t="s">
        <v>795</v>
      </c>
      <c r="D1757" s="4" t="s">
        <v>1864</v>
      </c>
      <c r="E1757" s="4" t="s">
        <v>1924</v>
      </c>
      <c r="F1757" s="4">
        <v>3</v>
      </c>
      <c r="G1757" s="4">
        <v>413.74</v>
      </c>
      <c r="H1757" s="4">
        <v>0.01</v>
      </c>
      <c r="I1757" s="4" t="s">
        <v>1996</v>
      </c>
      <c r="J1757" s="10">
        <v>1228.8078</v>
      </c>
      <c r="K1757" s="4" t="str">
        <f t="shared" si="189"/>
        <v>04-04-2024</v>
      </c>
      <c r="L1757" s="4" t="str">
        <f>TEXT(Sales_Fact!$B1757,"mmm")</f>
        <v>Apr</v>
      </c>
      <c r="M1757" s="4">
        <f t="shared" si="190"/>
        <v>3</v>
      </c>
      <c r="N1757" s="10">
        <f t="shared" si="191"/>
        <v>413.74</v>
      </c>
      <c r="O1757" s="10">
        <f t="shared" si="192"/>
        <v>1228.8078</v>
      </c>
      <c r="P1757" s="10">
        <f t="shared" si="193"/>
        <v>1241.22</v>
      </c>
      <c r="Q1757" s="3">
        <f t="shared" si="194"/>
        <v>9.9999999999999863E-3</v>
      </c>
      <c r="R1757" s="4" t="str">
        <f>IF(Sales_Fact!$O1757&gt;1000,"High","Low")</f>
        <v>High</v>
      </c>
      <c r="S1757" s="4" t="str">
        <f>VLOOKUP(C1757,Customer_Dim!$A:$N,9,FALSE())</f>
        <v>Maria Hill</v>
      </c>
      <c r="T1757" s="4" t="str">
        <f>VLOOKUP(D1757,Product_Dim!$A:$M,3,FALSE())</f>
        <v>Home</v>
      </c>
      <c r="U1757" s="11" t="str">
        <f>VLOOKUP(D1757,Product_Dim!$A:$M,2,FALSE())</f>
        <v>Kitchen Cutting Board</v>
      </c>
      <c r="V1757" s="11" t="str">
        <f>VLOOKUP(E1757,Store_Dim!$A:$E,3,FALSE())</f>
        <v>North</v>
      </c>
      <c r="W1757" s="11" t="str">
        <f>VLOOKUP(C1757,Customer_Dim!$A:$N,13,FALSE())</f>
        <v>Platinum</v>
      </c>
      <c r="X1757" s="11" t="str">
        <f t="shared" si="195"/>
        <v>Low</v>
      </c>
    </row>
    <row r="1758" spans="1:24" ht="15.75" customHeight="1">
      <c r="A1758" s="4" t="s">
        <v>3754</v>
      </c>
      <c r="B1758" s="9">
        <v>45609</v>
      </c>
      <c r="C1758" s="4" t="s">
        <v>743</v>
      </c>
      <c r="D1758" s="4" t="s">
        <v>1855</v>
      </c>
      <c r="E1758" s="4" t="s">
        <v>1940</v>
      </c>
      <c r="F1758" s="4">
        <v>2</v>
      </c>
      <c r="G1758" s="4">
        <v>900.55</v>
      </c>
      <c r="H1758" s="4">
        <v>0.16</v>
      </c>
      <c r="I1758" s="4" t="s">
        <v>1996</v>
      </c>
      <c r="J1758" s="10">
        <v>1512.924</v>
      </c>
      <c r="K1758" s="4" t="str">
        <f t="shared" si="189"/>
        <v>13-11-2024</v>
      </c>
      <c r="L1758" s="4" t="str">
        <f>TEXT(Sales_Fact!$B1758,"mmm")</f>
        <v>Nov</v>
      </c>
      <c r="M1758" s="4">
        <f t="shared" si="190"/>
        <v>2</v>
      </c>
      <c r="N1758" s="10">
        <f t="shared" si="191"/>
        <v>900.55</v>
      </c>
      <c r="O1758" s="10">
        <f t="shared" si="192"/>
        <v>1512.924</v>
      </c>
      <c r="P1758" s="10">
        <f t="shared" si="193"/>
        <v>1801.1</v>
      </c>
      <c r="Q1758" s="3">
        <f t="shared" si="194"/>
        <v>0.15999999999999998</v>
      </c>
      <c r="R1758" s="4" t="str">
        <f>IF(Sales_Fact!$O1758&gt;1000,"High","Low")</f>
        <v>High</v>
      </c>
      <c r="S1758" s="4" t="str">
        <f>VLOOKUP(C1758,Customer_Dim!$A:$N,9,FALSE())</f>
        <v>Lisa Young</v>
      </c>
      <c r="T1758" s="4" t="str">
        <f>VLOOKUP(D1758,Product_Dim!$A:$M,3,FALSE())</f>
        <v>Beauty</v>
      </c>
      <c r="U1758" s="11" t="str">
        <f>VLOOKUP(D1758,Product_Dim!$A:$M,2,FALSE())</f>
        <v>Hydrating Face Cleanser</v>
      </c>
      <c r="V1758" s="11" t="str">
        <f>VLOOKUP(E1758,Store_Dim!$A:$E,3,FALSE())</f>
        <v>West</v>
      </c>
      <c r="W1758" s="11" t="str">
        <f>VLOOKUP(C1758,Customer_Dim!$A:$N,13,FALSE())</f>
        <v>Platinum</v>
      </c>
      <c r="X1758" s="11" t="str">
        <f t="shared" si="195"/>
        <v>Low</v>
      </c>
    </row>
    <row r="1759" spans="1:24" ht="15.75" customHeight="1">
      <c r="A1759" s="4" t="s">
        <v>3755</v>
      </c>
      <c r="B1759" s="9">
        <v>45477</v>
      </c>
      <c r="C1759" s="4" t="s">
        <v>1553</v>
      </c>
      <c r="D1759" s="4" t="s">
        <v>1873</v>
      </c>
      <c r="E1759" s="4" t="s">
        <v>1957</v>
      </c>
      <c r="F1759" s="4">
        <v>4</v>
      </c>
      <c r="G1759" s="4">
        <v>79.75</v>
      </c>
      <c r="H1759" s="4">
        <v>0.18</v>
      </c>
      <c r="I1759" s="4" t="s">
        <v>1998</v>
      </c>
      <c r="J1759" s="10">
        <v>261.58</v>
      </c>
      <c r="K1759" s="4" t="str">
        <f t="shared" si="189"/>
        <v>04-07-2024</v>
      </c>
      <c r="L1759" s="4" t="str">
        <f>TEXT(Sales_Fact!$B1759,"mmm")</f>
        <v>Jul</v>
      </c>
      <c r="M1759" s="4">
        <f t="shared" si="190"/>
        <v>4</v>
      </c>
      <c r="N1759" s="10">
        <f t="shared" si="191"/>
        <v>79.75</v>
      </c>
      <c r="O1759" s="10">
        <f t="shared" si="192"/>
        <v>261.58000000000004</v>
      </c>
      <c r="P1759" s="10">
        <f t="shared" si="193"/>
        <v>319</v>
      </c>
      <c r="Q1759" s="3">
        <f t="shared" si="194"/>
        <v>0.17999999999999988</v>
      </c>
      <c r="R1759" s="4" t="str">
        <f>IF(Sales_Fact!$O1759&gt;1000,"High","Low")</f>
        <v>Low</v>
      </c>
      <c r="S1759" s="4" t="str">
        <f>VLOOKUP(C1759,Customer_Dim!$A:$N,9,FALSE())</f>
        <v>Christopher Ford</v>
      </c>
      <c r="T1759" s="4" t="str">
        <f>VLOOKUP(D1759,Product_Dim!$A:$M,3,FALSE())</f>
        <v>Beauty</v>
      </c>
      <c r="U1759" s="11" t="str">
        <f>VLOOKUP(D1759,Product_Dim!$A:$M,2,FALSE())</f>
        <v>Face Foundation Kit</v>
      </c>
      <c r="V1759" s="11" t="str">
        <f>VLOOKUP(E1759,Store_Dim!$A:$E,3,FALSE())</f>
        <v>South</v>
      </c>
      <c r="W1759" s="11" t="str">
        <f>VLOOKUP(C1759,Customer_Dim!$A:$N,13,FALSE())</f>
        <v>Bronze</v>
      </c>
      <c r="X1759" s="11" t="str">
        <f t="shared" si="195"/>
        <v>High</v>
      </c>
    </row>
    <row r="1760" spans="1:24" ht="15.75" customHeight="1">
      <c r="A1760" s="4" t="s">
        <v>3756</v>
      </c>
      <c r="B1760" s="9">
        <v>45433</v>
      </c>
      <c r="C1760" s="4" t="s">
        <v>1550</v>
      </c>
      <c r="D1760" s="4" t="s">
        <v>1723</v>
      </c>
      <c r="E1760" s="4" t="s">
        <v>1952</v>
      </c>
      <c r="F1760" s="4">
        <v>4</v>
      </c>
      <c r="G1760" s="4">
        <v>95.06</v>
      </c>
      <c r="H1760" s="4">
        <v>0.03</v>
      </c>
      <c r="I1760" s="4" t="s">
        <v>1996</v>
      </c>
      <c r="J1760" s="10">
        <v>368.83280000000002</v>
      </c>
      <c r="K1760" s="4" t="str">
        <f t="shared" si="189"/>
        <v>21-05-2024</v>
      </c>
      <c r="L1760" s="4" t="str">
        <f>TEXT(Sales_Fact!$B1760,"mmm")</f>
        <v>May</v>
      </c>
      <c r="M1760" s="4">
        <f t="shared" si="190"/>
        <v>4</v>
      </c>
      <c r="N1760" s="10">
        <f t="shared" si="191"/>
        <v>95.06</v>
      </c>
      <c r="O1760" s="10">
        <f t="shared" si="192"/>
        <v>368.83280000000002</v>
      </c>
      <c r="P1760" s="10">
        <f t="shared" si="193"/>
        <v>380.24</v>
      </c>
      <c r="Q1760" s="3">
        <f t="shared" si="194"/>
        <v>2.9999999999999971E-2</v>
      </c>
      <c r="R1760" s="4" t="str">
        <f>IF(Sales_Fact!$O1760&gt;1000,"High","Low")</f>
        <v>Low</v>
      </c>
      <c r="S1760" s="4" t="str">
        <f>VLOOKUP(C1760,Customer_Dim!$A:$N,9,FALSE())</f>
        <v>James Berger</v>
      </c>
      <c r="T1760" s="4" t="str">
        <f>VLOOKUP(D1760,Product_Dim!$A:$M,3,FALSE())</f>
        <v>Electronics</v>
      </c>
      <c r="U1760" s="11" t="str">
        <f>VLOOKUP(D1760,Product_Dim!$A:$M,2,FALSE())</f>
        <v>Noise-Canceling Headphones</v>
      </c>
      <c r="V1760" s="11" t="str">
        <f>VLOOKUP(E1760,Store_Dim!$A:$E,3,FALSE())</f>
        <v>North</v>
      </c>
      <c r="W1760" s="11" t="str">
        <f>VLOOKUP(C1760,Customer_Dim!$A:$N,13,FALSE())</f>
        <v>Bronze</v>
      </c>
      <c r="X1760" s="11" t="str">
        <f t="shared" si="195"/>
        <v>High</v>
      </c>
    </row>
    <row r="1761" spans="1:24" ht="15.75" customHeight="1">
      <c r="A1761" s="4" t="s">
        <v>3757</v>
      </c>
      <c r="B1761" s="9">
        <v>45759</v>
      </c>
      <c r="C1761" s="4" t="s">
        <v>1321</v>
      </c>
      <c r="D1761" s="4" t="s">
        <v>1900</v>
      </c>
      <c r="E1761" s="4" t="s">
        <v>1937</v>
      </c>
      <c r="F1761" s="4">
        <v>4</v>
      </c>
      <c r="G1761" s="4">
        <v>107.08</v>
      </c>
      <c r="H1761" s="4">
        <v>0.27</v>
      </c>
      <c r="I1761" s="4" t="s">
        <v>2004</v>
      </c>
      <c r="J1761" s="10">
        <v>312.67360000000002</v>
      </c>
      <c r="K1761" s="4" t="str">
        <f t="shared" si="189"/>
        <v>12-04-2025</v>
      </c>
      <c r="L1761" s="4" t="str">
        <f>TEXT(Sales_Fact!$B1761,"mmm")</f>
        <v>Apr</v>
      </c>
      <c r="M1761" s="4">
        <f t="shared" si="190"/>
        <v>4</v>
      </c>
      <c r="N1761" s="10">
        <f t="shared" si="191"/>
        <v>107.08</v>
      </c>
      <c r="O1761" s="10">
        <f t="shared" si="192"/>
        <v>312.67359999999996</v>
      </c>
      <c r="P1761" s="10">
        <f t="shared" si="193"/>
        <v>428.32</v>
      </c>
      <c r="Q1761" s="3">
        <f t="shared" si="194"/>
        <v>0.27000000000000007</v>
      </c>
      <c r="R1761" s="4" t="str">
        <f>IF(Sales_Fact!$O1761&gt;1000,"High","Low")</f>
        <v>Low</v>
      </c>
      <c r="S1761" s="4" t="str">
        <f>VLOOKUP(C1761,Customer_Dim!$A:$N,9,FALSE())</f>
        <v>Jennifer Myers</v>
      </c>
      <c r="T1761" s="4" t="str">
        <f>VLOOKUP(D1761,Product_Dim!$A:$M,3,FALSE())</f>
        <v>Electronics</v>
      </c>
      <c r="U1761" s="11" t="str">
        <f>VLOOKUP(D1761,Product_Dim!$A:$M,2,FALSE())</f>
        <v>Portable Bluetooth Speaker</v>
      </c>
      <c r="V1761" s="11" t="str">
        <f>VLOOKUP(E1761,Store_Dim!$A:$E,3,FALSE())</f>
        <v>South</v>
      </c>
      <c r="W1761" s="11" t="str">
        <f>VLOOKUP(C1761,Customer_Dim!$A:$N,13,FALSE())</f>
        <v>Platinum</v>
      </c>
      <c r="X1761" s="11" t="str">
        <f t="shared" si="195"/>
        <v>High</v>
      </c>
    </row>
    <row r="1762" spans="1:24" ht="15.75" customHeight="1">
      <c r="A1762" s="4" t="s">
        <v>3758</v>
      </c>
      <c r="B1762" s="9">
        <v>45794</v>
      </c>
      <c r="C1762" s="4" t="s">
        <v>1490</v>
      </c>
      <c r="D1762" s="4" t="s">
        <v>1903</v>
      </c>
      <c r="E1762" s="4" t="s">
        <v>1968</v>
      </c>
      <c r="F1762" s="4">
        <v>1</v>
      </c>
      <c r="G1762" s="4">
        <v>873.18</v>
      </c>
      <c r="H1762" s="4">
        <v>0.03</v>
      </c>
      <c r="I1762" s="4" t="s">
        <v>2004</v>
      </c>
      <c r="J1762" s="10">
        <v>846.9846</v>
      </c>
      <c r="K1762" s="4" t="str">
        <f t="shared" si="189"/>
        <v>17-05-2025</v>
      </c>
      <c r="L1762" s="4" t="str">
        <f>TEXT(Sales_Fact!$B1762,"mmm")</f>
        <v>May</v>
      </c>
      <c r="M1762" s="4">
        <f t="shared" si="190"/>
        <v>1</v>
      </c>
      <c r="N1762" s="10">
        <f t="shared" si="191"/>
        <v>873.18</v>
      </c>
      <c r="O1762" s="10">
        <f t="shared" si="192"/>
        <v>846.98459999999989</v>
      </c>
      <c r="P1762" s="10">
        <f t="shared" si="193"/>
        <v>873.18</v>
      </c>
      <c r="Q1762" s="3">
        <f t="shared" si="194"/>
        <v>3.0000000000000075E-2</v>
      </c>
      <c r="R1762" s="4" t="str">
        <f>IF(Sales_Fact!$O1762&gt;1000,"High","Low")</f>
        <v>Low</v>
      </c>
      <c r="S1762" s="4" t="str">
        <f>VLOOKUP(C1762,Customer_Dim!$A:$N,9,FALSE())</f>
        <v>Joshua Howard</v>
      </c>
      <c r="T1762" s="4" t="str">
        <f>VLOOKUP(D1762,Product_Dim!$A:$M,3,FALSE())</f>
        <v>Home</v>
      </c>
      <c r="U1762" s="11" t="str">
        <f>VLOOKUP(D1762,Product_Dim!$A:$M,2,FALSE())</f>
        <v>Stainless Steel Cookware Set</v>
      </c>
      <c r="V1762" s="11" t="str">
        <f>VLOOKUP(E1762,Store_Dim!$A:$E,3,FALSE())</f>
        <v>East</v>
      </c>
      <c r="W1762" s="11" t="str">
        <f>VLOOKUP(C1762,Customer_Dim!$A:$N,13,FALSE())</f>
        <v>Platinum</v>
      </c>
      <c r="X1762" s="11" t="str">
        <f t="shared" si="195"/>
        <v>Low</v>
      </c>
    </row>
    <row r="1763" spans="1:24" ht="15.75" customHeight="1">
      <c r="A1763" s="4" t="s">
        <v>3759</v>
      </c>
      <c r="B1763" s="9">
        <v>45764</v>
      </c>
      <c r="C1763" s="4" t="s">
        <v>1207</v>
      </c>
      <c r="D1763" s="4" t="s">
        <v>1816</v>
      </c>
      <c r="E1763" s="4" t="s">
        <v>1968</v>
      </c>
      <c r="F1763" s="4">
        <v>1</v>
      </c>
      <c r="G1763" s="4">
        <v>914.75</v>
      </c>
      <c r="H1763" s="4">
        <v>0.1</v>
      </c>
      <c r="I1763" s="4" t="s">
        <v>2004</v>
      </c>
      <c r="J1763" s="10">
        <v>823.27499999999998</v>
      </c>
      <c r="K1763" s="4" t="str">
        <f t="shared" si="189"/>
        <v>17-04-2025</v>
      </c>
      <c r="L1763" s="4" t="str">
        <f>TEXT(Sales_Fact!$B1763,"mmm")</f>
        <v>Apr</v>
      </c>
      <c r="M1763" s="4">
        <f t="shared" si="190"/>
        <v>1</v>
      </c>
      <c r="N1763" s="10">
        <f t="shared" si="191"/>
        <v>914.75</v>
      </c>
      <c r="O1763" s="10">
        <f t="shared" si="192"/>
        <v>823.27499999999998</v>
      </c>
      <c r="P1763" s="10">
        <f t="shared" si="193"/>
        <v>914.75</v>
      </c>
      <c r="Q1763" s="3">
        <f t="shared" si="194"/>
        <v>0.10000000000000002</v>
      </c>
      <c r="R1763" s="4" t="str">
        <f>IF(Sales_Fact!$O1763&gt;1000,"High","Low")</f>
        <v>Low</v>
      </c>
      <c r="S1763" s="4" t="str">
        <f>VLOOKUP(C1763,Customer_Dim!$A:$N,9,FALSE())</f>
        <v>Charles Conley</v>
      </c>
      <c r="T1763" s="4" t="str">
        <f>VLOOKUP(D1763,Product_Dim!$A:$M,3,FALSE())</f>
        <v>Home</v>
      </c>
      <c r="U1763" s="11" t="str">
        <f>VLOOKUP(D1763,Product_Dim!$A:$M,2,FALSE())</f>
        <v>Kitchen Storage Rack</v>
      </c>
      <c r="V1763" s="11" t="str">
        <f>VLOOKUP(E1763,Store_Dim!$A:$E,3,FALSE())</f>
        <v>East</v>
      </c>
      <c r="W1763" s="11" t="str">
        <f>VLOOKUP(C1763,Customer_Dim!$A:$N,13,FALSE())</f>
        <v>Gold</v>
      </c>
      <c r="X1763" s="11" t="str">
        <f t="shared" si="195"/>
        <v>Low</v>
      </c>
    </row>
    <row r="1764" spans="1:24" ht="15.75" customHeight="1">
      <c r="A1764" s="4" t="s">
        <v>3760</v>
      </c>
      <c r="B1764" s="9">
        <v>45279</v>
      </c>
      <c r="C1764" s="4" t="s">
        <v>209</v>
      </c>
      <c r="D1764" s="4" t="s">
        <v>1825</v>
      </c>
      <c r="E1764" s="4" t="s">
        <v>1955</v>
      </c>
      <c r="F1764" s="4">
        <v>4</v>
      </c>
      <c r="G1764" s="4">
        <v>457.33</v>
      </c>
      <c r="H1764" s="4">
        <v>0.1</v>
      </c>
      <c r="I1764" s="4" t="s">
        <v>1996</v>
      </c>
      <c r="J1764" s="10">
        <v>1646.3879999999999</v>
      </c>
      <c r="K1764" s="4" t="str">
        <f t="shared" si="189"/>
        <v>19-12-2023</v>
      </c>
      <c r="L1764" s="4" t="str">
        <f>TEXT(Sales_Fact!$B1764,"mmm")</f>
        <v>Dec</v>
      </c>
      <c r="M1764" s="4">
        <f t="shared" si="190"/>
        <v>4</v>
      </c>
      <c r="N1764" s="10">
        <f t="shared" si="191"/>
        <v>457.33</v>
      </c>
      <c r="O1764" s="10">
        <f t="shared" si="192"/>
        <v>1646.3879999999999</v>
      </c>
      <c r="P1764" s="10">
        <f t="shared" si="193"/>
        <v>1829.32</v>
      </c>
      <c r="Q1764" s="3">
        <f t="shared" si="194"/>
        <v>0.1</v>
      </c>
      <c r="R1764" s="4" t="str">
        <f>IF(Sales_Fact!$O1764&gt;1000,"High","Low")</f>
        <v>High</v>
      </c>
      <c r="S1764" s="4" t="str">
        <f>VLOOKUP(C1764,Customer_Dim!$A:$N,9,FALSE())</f>
        <v>Timothy Weaver</v>
      </c>
      <c r="T1764" s="4" t="str">
        <f>VLOOKUP(D1764,Product_Dim!$A:$M,3,FALSE())</f>
        <v>Sports</v>
      </c>
      <c r="U1764" s="11" t="str">
        <f>VLOOKUP(D1764,Product_Dim!$A:$M,2,FALSE())</f>
        <v>Shin Guards – Adult</v>
      </c>
      <c r="V1764" s="11" t="str">
        <f>VLOOKUP(E1764,Store_Dim!$A:$E,3,FALSE())</f>
        <v>East</v>
      </c>
      <c r="W1764" s="11" t="str">
        <f>VLOOKUP(C1764,Customer_Dim!$A:$N,13,FALSE())</f>
        <v>Gold</v>
      </c>
      <c r="X1764" s="11" t="str">
        <f t="shared" si="195"/>
        <v>High</v>
      </c>
    </row>
    <row r="1765" spans="1:24" ht="15.75" customHeight="1">
      <c r="A1765" s="4" t="s">
        <v>3761</v>
      </c>
      <c r="B1765" s="9">
        <v>45602</v>
      </c>
      <c r="C1765" s="4" t="s">
        <v>954</v>
      </c>
      <c r="D1765" s="4" t="s">
        <v>1903</v>
      </c>
      <c r="E1765" s="4" t="s">
        <v>1924</v>
      </c>
      <c r="F1765" s="4">
        <v>3</v>
      </c>
      <c r="G1765" s="4">
        <v>761.88</v>
      </c>
      <c r="H1765" s="4">
        <v>0.23</v>
      </c>
      <c r="I1765" s="4" t="s">
        <v>1998</v>
      </c>
      <c r="J1765" s="10">
        <v>1759.9428</v>
      </c>
      <c r="K1765" s="4" t="str">
        <f t="shared" si="189"/>
        <v>06-11-2024</v>
      </c>
      <c r="L1765" s="4" t="str">
        <f>TEXT(Sales_Fact!$B1765,"mmm")</f>
        <v>Nov</v>
      </c>
      <c r="M1765" s="4">
        <f t="shared" si="190"/>
        <v>3</v>
      </c>
      <c r="N1765" s="10">
        <f t="shared" si="191"/>
        <v>761.88</v>
      </c>
      <c r="O1765" s="10">
        <f t="shared" si="192"/>
        <v>1759.9428</v>
      </c>
      <c r="P1765" s="10">
        <f t="shared" si="193"/>
        <v>2285.64</v>
      </c>
      <c r="Q1765" s="3">
        <f t="shared" si="194"/>
        <v>0.22999999999999995</v>
      </c>
      <c r="R1765" s="4" t="str">
        <f>IF(Sales_Fact!$O1765&gt;1000,"High","Low")</f>
        <v>High</v>
      </c>
      <c r="S1765" s="4" t="str">
        <f>VLOOKUP(C1765,Customer_Dim!$A:$N,9,FALSE())</f>
        <v>Ricardo Jones</v>
      </c>
      <c r="T1765" s="4" t="str">
        <f>VLOOKUP(D1765,Product_Dim!$A:$M,3,FALSE())</f>
        <v>Home</v>
      </c>
      <c r="U1765" s="11" t="str">
        <f>VLOOKUP(D1765,Product_Dim!$A:$M,2,FALSE())</f>
        <v>Stainless Steel Cookware Set</v>
      </c>
      <c r="V1765" s="11" t="str">
        <f>VLOOKUP(E1765,Store_Dim!$A:$E,3,FALSE())</f>
        <v>North</v>
      </c>
      <c r="W1765" s="11" t="str">
        <f>VLOOKUP(C1765,Customer_Dim!$A:$N,13,FALSE())</f>
        <v>Silver</v>
      </c>
      <c r="X1765" s="11" t="str">
        <f t="shared" si="195"/>
        <v>Low</v>
      </c>
    </row>
    <row r="1766" spans="1:24" ht="15.75" customHeight="1">
      <c r="A1766" s="4" t="s">
        <v>3762</v>
      </c>
      <c r="B1766" s="9">
        <v>45793</v>
      </c>
      <c r="C1766" s="4" t="s">
        <v>610</v>
      </c>
      <c r="D1766" s="4" t="s">
        <v>1712</v>
      </c>
      <c r="E1766" s="4" t="s">
        <v>1971</v>
      </c>
      <c r="F1766" s="4">
        <v>4</v>
      </c>
      <c r="G1766" s="4">
        <v>122.87</v>
      </c>
      <c r="H1766" s="4">
        <v>0.13</v>
      </c>
      <c r="I1766" s="4" t="s">
        <v>1996</v>
      </c>
      <c r="J1766" s="10">
        <v>427.58760000000001</v>
      </c>
      <c r="K1766" s="4" t="str">
        <f t="shared" si="189"/>
        <v>16-05-2025</v>
      </c>
      <c r="L1766" s="4" t="str">
        <f>TEXT(Sales_Fact!$B1766,"mmm")</f>
        <v>May</v>
      </c>
      <c r="M1766" s="4">
        <f t="shared" si="190"/>
        <v>4</v>
      </c>
      <c r="N1766" s="10">
        <f t="shared" si="191"/>
        <v>122.87</v>
      </c>
      <c r="O1766" s="10">
        <f t="shared" si="192"/>
        <v>427.58760000000001</v>
      </c>
      <c r="P1766" s="10">
        <f t="shared" si="193"/>
        <v>491.48</v>
      </c>
      <c r="Q1766" s="3">
        <f t="shared" si="194"/>
        <v>0.13</v>
      </c>
      <c r="R1766" s="4" t="str">
        <f>IF(Sales_Fact!$O1766&gt;1000,"High","Low")</f>
        <v>Low</v>
      </c>
      <c r="S1766" s="4" t="str">
        <f>VLOOKUP(C1766,Customer_Dim!$A:$N,9,FALSE())</f>
        <v>Curtis Lam</v>
      </c>
      <c r="T1766" s="4" t="str">
        <f>VLOOKUP(D1766,Product_Dim!$A:$M,3,FALSE())</f>
        <v>Clothing</v>
      </c>
      <c r="U1766" s="11" t="str">
        <f>VLOOKUP(D1766,Product_Dim!$A:$M,2,FALSE())</f>
        <v>Men's Casual Sneakers</v>
      </c>
      <c r="V1766" s="11" t="str">
        <f>VLOOKUP(E1766,Store_Dim!$A:$E,3,FALSE())</f>
        <v>East</v>
      </c>
      <c r="W1766" s="11" t="str">
        <f>VLOOKUP(C1766,Customer_Dim!$A:$N,13,FALSE())</f>
        <v>Platinum</v>
      </c>
      <c r="X1766" s="11" t="str">
        <f t="shared" si="195"/>
        <v>High</v>
      </c>
    </row>
    <row r="1767" spans="1:24" ht="15.75" customHeight="1">
      <c r="A1767" s="4" t="s">
        <v>3763</v>
      </c>
      <c r="B1767" s="9">
        <v>45778</v>
      </c>
      <c r="C1767" s="4" t="s">
        <v>1493</v>
      </c>
      <c r="D1767" s="4" t="s">
        <v>1825</v>
      </c>
      <c r="E1767" s="4" t="s">
        <v>1927</v>
      </c>
      <c r="F1767" s="4">
        <v>4</v>
      </c>
      <c r="G1767" s="4">
        <v>753</v>
      </c>
      <c r="H1767" s="4">
        <v>0.28000000000000003</v>
      </c>
      <c r="I1767" s="4" t="s">
        <v>2004</v>
      </c>
      <c r="J1767" s="10">
        <v>2168.64</v>
      </c>
      <c r="K1767" s="4" t="str">
        <f t="shared" si="189"/>
        <v>01-05-2025</v>
      </c>
      <c r="L1767" s="4" t="str">
        <f>TEXT(Sales_Fact!$B1767,"mmm")</f>
        <v>May</v>
      </c>
      <c r="M1767" s="4">
        <f t="shared" si="190"/>
        <v>4</v>
      </c>
      <c r="N1767" s="10">
        <f t="shared" si="191"/>
        <v>753</v>
      </c>
      <c r="O1767" s="10">
        <f t="shared" si="192"/>
        <v>2168.64</v>
      </c>
      <c r="P1767" s="10">
        <f t="shared" si="193"/>
        <v>3012</v>
      </c>
      <c r="Q1767" s="3">
        <f t="shared" si="194"/>
        <v>0.28000000000000003</v>
      </c>
      <c r="R1767" s="4" t="str">
        <f>IF(Sales_Fact!$O1767&gt;1000,"High","Low")</f>
        <v>High</v>
      </c>
      <c r="S1767" s="4" t="str">
        <f>VLOOKUP(C1767,Customer_Dim!$A:$N,9,FALSE())</f>
        <v>Barbara Berry</v>
      </c>
      <c r="T1767" s="4" t="str">
        <f>VLOOKUP(D1767,Product_Dim!$A:$M,3,FALSE())</f>
        <v>Sports</v>
      </c>
      <c r="U1767" s="11" t="str">
        <f>VLOOKUP(D1767,Product_Dim!$A:$M,2,FALSE())</f>
        <v>Shin Guards – Adult</v>
      </c>
      <c r="V1767" s="11" t="str">
        <f>VLOOKUP(E1767,Store_Dim!$A:$E,3,FALSE())</f>
        <v>South</v>
      </c>
      <c r="W1767" s="11" t="str">
        <f>VLOOKUP(C1767,Customer_Dim!$A:$N,13,FALSE())</f>
        <v>Platinum</v>
      </c>
      <c r="X1767" s="11" t="str">
        <f t="shared" si="195"/>
        <v>High</v>
      </c>
    </row>
    <row r="1768" spans="1:24" ht="15.75" customHeight="1">
      <c r="A1768" s="4" t="s">
        <v>3764</v>
      </c>
      <c r="B1768" s="9">
        <v>45325</v>
      </c>
      <c r="C1768" s="4" t="s">
        <v>1186</v>
      </c>
      <c r="D1768" s="4" t="s">
        <v>1599</v>
      </c>
      <c r="E1768" s="4" t="s">
        <v>1931</v>
      </c>
      <c r="F1768" s="4">
        <v>2</v>
      </c>
      <c r="G1768" s="4">
        <v>788.05</v>
      </c>
      <c r="H1768" s="4">
        <v>0.21</v>
      </c>
      <c r="I1768" s="4" t="s">
        <v>1996</v>
      </c>
      <c r="J1768" s="10">
        <v>1245.1189999999999</v>
      </c>
      <c r="K1768" s="4" t="str">
        <f t="shared" si="189"/>
        <v>03-02-2024</v>
      </c>
      <c r="L1768" s="4" t="str">
        <f>TEXT(Sales_Fact!$B1768,"mmm")</f>
        <v>Feb</v>
      </c>
      <c r="M1768" s="4">
        <f t="shared" si="190"/>
        <v>2</v>
      </c>
      <c r="N1768" s="10">
        <f t="shared" si="191"/>
        <v>788.05</v>
      </c>
      <c r="O1768" s="10">
        <f t="shared" si="192"/>
        <v>1245.1189999999999</v>
      </c>
      <c r="P1768" s="10">
        <f t="shared" si="193"/>
        <v>1576.1</v>
      </c>
      <c r="Q1768" s="3">
        <f t="shared" si="194"/>
        <v>0.21000000000000002</v>
      </c>
      <c r="R1768" s="4" t="str">
        <f>IF(Sales_Fact!$O1768&gt;1000,"High","Low")</f>
        <v>High</v>
      </c>
      <c r="S1768" s="4" t="str">
        <f>VLOOKUP(C1768,Customer_Dim!$A:$N,9,FALSE())</f>
        <v>James Holloway Jr.</v>
      </c>
      <c r="T1768" s="4" t="str">
        <f>VLOOKUP(D1768,Product_Dim!$A:$M,3,FALSE())</f>
        <v>Clothing</v>
      </c>
      <c r="U1768" s="11" t="str">
        <f>VLOOKUP(D1768,Product_Dim!$A:$M,2,FALSE())</f>
        <v>Men's Leather Belt</v>
      </c>
      <c r="V1768" s="11" t="str">
        <f>VLOOKUP(E1768,Store_Dim!$A:$E,3,FALSE())</f>
        <v>North</v>
      </c>
      <c r="W1768" s="11" t="str">
        <f>VLOOKUP(C1768,Customer_Dim!$A:$N,13,FALSE())</f>
        <v>Silver</v>
      </c>
      <c r="X1768" s="11" t="str">
        <f t="shared" si="195"/>
        <v>Low</v>
      </c>
    </row>
    <row r="1769" spans="1:24" ht="15.75" customHeight="1">
      <c r="A1769" s="4" t="s">
        <v>3765</v>
      </c>
      <c r="B1769" s="9">
        <v>45268</v>
      </c>
      <c r="C1769" s="4" t="s">
        <v>423</v>
      </c>
      <c r="D1769" s="4" t="s">
        <v>1661</v>
      </c>
      <c r="E1769" s="4" t="s">
        <v>1919</v>
      </c>
      <c r="F1769" s="4">
        <v>1</v>
      </c>
      <c r="G1769" s="4">
        <v>341.17</v>
      </c>
      <c r="H1769" s="4">
        <v>0.15</v>
      </c>
      <c r="I1769" s="4" t="s">
        <v>1996</v>
      </c>
      <c r="J1769" s="10">
        <v>289.99450000000002</v>
      </c>
      <c r="K1769" s="4" t="str">
        <f t="shared" si="189"/>
        <v>08-12-2023</v>
      </c>
      <c r="L1769" s="4" t="str">
        <f>TEXT(Sales_Fact!$B1769,"mmm")</f>
        <v>Dec</v>
      </c>
      <c r="M1769" s="4">
        <f t="shared" si="190"/>
        <v>1</v>
      </c>
      <c r="N1769" s="10">
        <f t="shared" si="191"/>
        <v>341.17</v>
      </c>
      <c r="O1769" s="10">
        <f t="shared" si="192"/>
        <v>289.99450000000002</v>
      </c>
      <c r="P1769" s="10">
        <f t="shared" si="193"/>
        <v>341.17</v>
      </c>
      <c r="Q1769" s="3">
        <f t="shared" si="194"/>
        <v>0.15</v>
      </c>
      <c r="R1769" s="4" t="str">
        <f>IF(Sales_Fact!$O1769&gt;1000,"High","Low")</f>
        <v>Low</v>
      </c>
      <c r="S1769" s="4" t="str">
        <f>VLOOKUP(C1769,Customer_Dim!$A:$N,9,FALSE())</f>
        <v>Tyler Conrad</v>
      </c>
      <c r="T1769" s="4" t="str">
        <f>VLOOKUP(D1769,Product_Dim!$A:$M,3,FALSE())</f>
        <v>Home</v>
      </c>
      <c r="U1769" s="11" t="str">
        <f>VLOOKUP(D1769,Product_Dim!$A:$M,2,FALSE())</f>
        <v>Multi-Purpose Storage Box</v>
      </c>
      <c r="V1769" s="11" t="str">
        <f>VLOOKUP(E1769,Store_Dim!$A:$E,3,FALSE())</f>
        <v>South</v>
      </c>
      <c r="W1769" s="11" t="str">
        <f>VLOOKUP(C1769,Customer_Dim!$A:$N,13,FALSE())</f>
        <v>Platinum</v>
      </c>
      <c r="X1769" s="11" t="str">
        <f t="shared" si="195"/>
        <v>Low</v>
      </c>
    </row>
    <row r="1770" spans="1:24" ht="15.75" customHeight="1">
      <c r="A1770" s="4" t="s">
        <v>3766</v>
      </c>
      <c r="B1770" s="9">
        <v>45875</v>
      </c>
      <c r="C1770" s="4" t="s">
        <v>1454</v>
      </c>
      <c r="D1770" s="4" t="s">
        <v>1852</v>
      </c>
      <c r="E1770" s="4" t="s">
        <v>1947</v>
      </c>
      <c r="F1770" s="4">
        <v>2</v>
      </c>
      <c r="G1770" s="4">
        <v>807.1</v>
      </c>
      <c r="H1770" s="4">
        <v>0.28999999999999998</v>
      </c>
      <c r="I1770" s="4" t="s">
        <v>1996</v>
      </c>
      <c r="J1770" s="10">
        <v>1146.0820000000001</v>
      </c>
      <c r="K1770" s="4" t="str">
        <f t="shared" si="189"/>
        <v>06-08-2025</v>
      </c>
      <c r="L1770" s="4" t="str">
        <f>TEXT(Sales_Fact!$B1770,"mmm")</f>
        <v>Aug</v>
      </c>
      <c r="M1770" s="4">
        <f t="shared" si="190"/>
        <v>2</v>
      </c>
      <c r="N1770" s="10">
        <f t="shared" si="191"/>
        <v>807.1</v>
      </c>
      <c r="O1770" s="10">
        <f t="shared" si="192"/>
        <v>1146.0819999999999</v>
      </c>
      <c r="P1770" s="10">
        <f t="shared" si="193"/>
        <v>1614.2</v>
      </c>
      <c r="Q1770" s="3">
        <f t="shared" si="194"/>
        <v>0.29000000000000009</v>
      </c>
      <c r="R1770" s="4" t="str">
        <f>IF(Sales_Fact!$O1770&gt;1000,"High","Low")</f>
        <v>High</v>
      </c>
      <c r="S1770" s="4" t="str">
        <f>VLOOKUP(C1770,Customer_Dim!$A:$N,9,FALSE())</f>
        <v>Beth Martin</v>
      </c>
      <c r="T1770" s="4" t="str">
        <f>VLOOKUP(D1770,Product_Dim!$A:$M,3,FALSE())</f>
        <v>Sports</v>
      </c>
      <c r="U1770" s="11" t="str">
        <f>VLOOKUP(D1770,Product_Dim!$A:$M,2,FALSE())</f>
        <v>Fitness Resistance Bands</v>
      </c>
      <c r="V1770" s="11" t="str">
        <f>VLOOKUP(E1770,Store_Dim!$A:$E,3,FALSE())</f>
        <v>East</v>
      </c>
      <c r="W1770" s="11" t="str">
        <f>VLOOKUP(C1770,Customer_Dim!$A:$N,13,FALSE())</f>
        <v>Silver</v>
      </c>
      <c r="X1770" s="11" t="str">
        <f t="shared" si="195"/>
        <v>Low</v>
      </c>
    </row>
    <row r="1771" spans="1:24" ht="15.75" customHeight="1">
      <c r="A1771" s="4" t="s">
        <v>3767</v>
      </c>
      <c r="B1771" s="9">
        <v>45320</v>
      </c>
      <c r="C1771" s="4" t="s">
        <v>482</v>
      </c>
      <c r="D1771" s="4" t="s">
        <v>1613</v>
      </c>
      <c r="E1771" s="4" t="s">
        <v>1915</v>
      </c>
      <c r="F1771" s="4">
        <v>2</v>
      </c>
      <c r="G1771" s="4">
        <v>443.09</v>
      </c>
      <c r="H1771" s="4">
        <v>0.02</v>
      </c>
      <c r="I1771" s="4" t="s">
        <v>1998</v>
      </c>
      <c r="J1771" s="10">
        <v>868.45640000000003</v>
      </c>
      <c r="K1771" s="4" t="str">
        <f t="shared" si="189"/>
        <v>29-01-2024</v>
      </c>
      <c r="L1771" s="4" t="str">
        <f>TEXT(Sales_Fact!$B1771,"mmm")</f>
        <v>Jan</v>
      </c>
      <c r="M1771" s="4">
        <f t="shared" si="190"/>
        <v>2</v>
      </c>
      <c r="N1771" s="10">
        <f t="shared" si="191"/>
        <v>443.09</v>
      </c>
      <c r="O1771" s="10">
        <f t="shared" si="192"/>
        <v>868.45639999999992</v>
      </c>
      <c r="P1771" s="10">
        <f t="shared" si="193"/>
        <v>886.18</v>
      </c>
      <c r="Q1771" s="3">
        <f t="shared" si="194"/>
        <v>2.0000000000000039E-2</v>
      </c>
      <c r="R1771" s="4" t="str">
        <f>IF(Sales_Fact!$O1771&gt;1000,"High","Low")</f>
        <v>Low</v>
      </c>
      <c r="S1771" s="4" t="str">
        <f>VLOOKUP(C1771,Customer_Dim!$A:$N,9,FALSE())</f>
        <v>Morgan Bowen</v>
      </c>
      <c r="T1771" s="4" t="str">
        <f>VLOOKUP(D1771,Product_Dim!$A:$M,3,FALSE())</f>
        <v>Electronics</v>
      </c>
      <c r="U1771" s="11" t="str">
        <f>VLOOKUP(D1771,Product_Dim!$A:$M,2,FALSE())</f>
        <v>Wireless Bluetooth Earbuds</v>
      </c>
      <c r="V1771" s="11" t="str">
        <f>VLOOKUP(E1771,Store_Dim!$A:$E,3,FALSE())</f>
        <v>North</v>
      </c>
      <c r="W1771" s="11" t="str">
        <f>VLOOKUP(C1771,Customer_Dim!$A:$N,13,FALSE())</f>
        <v>Gold</v>
      </c>
      <c r="X1771" s="11" t="str">
        <f t="shared" si="195"/>
        <v>Low</v>
      </c>
    </row>
    <row r="1772" spans="1:24" ht="15.75" customHeight="1">
      <c r="A1772" s="4" t="s">
        <v>3768</v>
      </c>
      <c r="B1772" s="9">
        <v>45870</v>
      </c>
      <c r="C1772" s="4" t="s">
        <v>1472</v>
      </c>
      <c r="D1772" s="4" t="s">
        <v>1654</v>
      </c>
      <c r="E1772" s="4" t="s">
        <v>1959</v>
      </c>
      <c r="F1772" s="4">
        <v>1</v>
      </c>
      <c r="G1772" s="4">
        <v>512.16</v>
      </c>
      <c r="H1772" s="4">
        <v>0.02</v>
      </c>
      <c r="I1772" s="4" t="s">
        <v>2004</v>
      </c>
      <c r="J1772" s="10">
        <v>501.91680000000002</v>
      </c>
      <c r="K1772" s="4" t="str">
        <f t="shared" si="189"/>
        <v>01-08-2025</v>
      </c>
      <c r="L1772" s="4" t="str">
        <f>TEXT(Sales_Fact!$B1772,"mmm")</f>
        <v>Aug</v>
      </c>
      <c r="M1772" s="4">
        <f t="shared" si="190"/>
        <v>1</v>
      </c>
      <c r="N1772" s="10">
        <f t="shared" si="191"/>
        <v>512.16</v>
      </c>
      <c r="O1772" s="10">
        <f t="shared" si="192"/>
        <v>501.91679999999997</v>
      </c>
      <c r="P1772" s="10">
        <f t="shared" si="193"/>
        <v>512.16</v>
      </c>
      <c r="Q1772" s="3">
        <f t="shared" si="194"/>
        <v>2.0000000000000004E-2</v>
      </c>
      <c r="R1772" s="4" t="str">
        <f>IF(Sales_Fact!$O1772&gt;1000,"High","Low")</f>
        <v>Low</v>
      </c>
      <c r="S1772" s="4" t="str">
        <f>VLOOKUP(C1772,Customer_Dim!$A:$N,9,FALSE())</f>
        <v>Gregory Curtis</v>
      </c>
      <c r="T1772" s="4" t="str">
        <f>VLOOKUP(D1772,Product_Dim!$A:$M,3,FALSE())</f>
        <v>Sports</v>
      </c>
      <c r="U1772" s="11" t="str">
        <f>VLOOKUP(D1772,Product_Dim!$A:$M,2,FALSE())</f>
        <v>Knee Support Brace</v>
      </c>
      <c r="V1772" s="11" t="str">
        <f>VLOOKUP(E1772,Store_Dim!$A:$E,3,FALSE())</f>
        <v>North</v>
      </c>
      <c r="W1772" s="11" t="str">
        <f>VLOOKUP(C1772,Customer_Dim!$A:$N,13,FALSE())</f>
        <v>Bronze</v>
      </c>
      <c r="X1772" s="11" t="str">
        <f t="shared" si="195"/>
        <v>Low</v>
      </c>
    </row>
    <row r="1773" spans="1:24" ht="15.75" customHeight="1">
      <c r="A1773" s="4" t="s">
        <v>3769</v>
      </c>
      <c r="B1773" s="9">
        <v>45577</v>
      </c>
      <c r="C1773" s="4" t="s">
        <v>703</v>
      </c>
      <c r="D1773" s="4" t="s">
        <v>1726</v>
      </c>
      <c r="E1773" s="4" t="s">
        <v>1968</v>
      </c>
      <c r="F1773" s="4">
        <v>2</v>
      </c>
      <c r="G1773" s="4">
        <v>602.54999999999995</v>
      </c>
      <c r="H1773" s="4">
        <v>0.23</v>
      </c>
      <c r="I1773" s="4" t="s">
        <v>2004</v>
      </c>
      <c r="J1773" s="10">
        <v>927.92700000000002</v>
      </c>
      <c r="K1773" s="4" t="str">
        <f t="shared" si="189"/>
        <v>12-10-2024</v>
      </c>
      <c r="L1773" s="4" t="str">
        <f>TEXT(Sales_Fact!$B1773,"mmm")</f>
        <v>Oct</v>
      </c>
      <c r="M1773" s="4">
        <f t="shared" si="190"/>
        <v>2</v>
      </c>
      <c r="N1773" s="10">
        <f t="shared" si="191"/>
        <v>602.54999999999995</v>
      </c>
      <c r="O1773" s="10">
        <f t="shared" si="192"/>
        <v>927.92699999999991</v>
      </c>
      <c r="P1773" s="10">
        <f t="shared" si="193"/>
        <v>1205.0999999999999</v>
      </c>
      <c r="Q1773" s="3">
        <f t="shared" si="194"/>
        <v>0.23</v>
      </c>
      <c r="R1773" s="4" t="str">
        <f>IF(Sales_Fact!$O1773&gt;1000,"High","Low")</f>
        <v>Low</v>
      </c>
      <c r="S1773" s="4" t="str">
        <f>VLOOKUP(C1773,Customer_Dim!$A:$N,9,FALSE())</f>
        <v>John Perez</v>
      </c>
      <c r="T1773" s="4" t="str">
        <f>VLOOKUP(D1773,Product_Dim!$A:$M,3,FALSE())</f>
        <v>Sports</v>
      </c>
      <c r="U1773" s="11" t="str">
        <f>VLOOKUP(D1773,Product_Dim!$A:$M,2,FALSE())</f>
        <v>Yoga Exercise Mat</v>
      </c>
      <c r="V1773" s="11" t="str">
        <f>VLOOKUP(E1773,Store_Dim!$A:$E,3,FALSE())</f>
        <v>East</v>
      </c>
      <c r="W1773" s="11" t="str">
        <f>VLOOKUP(C1773,Customer_Dim!$A:$N,13,FALSE())</f>
        <v>Platinum</v>
      </c>
      <c r="X1773" s="11" t="str">
        <f t="shared" si="195"/>
        <v>Low</v>
      </c>
    </row>
    <row r="1774" spans="1:24" ht="15.75" customHeight="1">
      <c r="A1774" s="4" t="s">
        <v>3770</v>
      </c>
      <c r="B1774" s="9">
        <v>45745</v>
      </c>
      <c r="C1774" s="4" t="s">
        <v>571</v>
      </c>
      <c r="D1774" s="4" t="s">
        <v>1729</v>
      </c>
      <c r="E1774" s="4" t="s">
        <v>1910</v>
      </c>
      <c r="F1774" s="4">
        <v>3</v>
      </c>
      <c r="G1774" s="4">
        <v>846.19</v>
      </c>
      <c r="H1774" s="4">
        <v>0.09</v>
      </c>
      <c r="I1774" s="4" t="s">
        <v>2004</v>
      </c>
      <c r="J1774" s="10">
        <v>2310.0987</v>
      </c>
      <c r="K1774" s="4" t="str">
        <f t="shared" si="189"/>
        <v>29-03-2025</v>
      </c>
      <c r="L1774" s="4" t="str">
        <f>TEXT(Sales_Fact!$B1774,"mmm")</f>
        <v>Mar</v>
      </c>
      <c r="M1774" s="4">
        <f t="shared" si="190"/>
        <v>3</v>
      </c>
      <c r="N1774" s="10">
        <f t="shared" si="191"/>
        <v>846.19</v>
      </c>
      <c r="O1774" s="10">
        <f t="shared" si="192"/>
        <v>2310.0987</v>
      </c>
      <c r="P1774" s="10">
        <f t="shared" si="193"/>
        <v>2538.5700000000002</v>
      </c>
      <c r="Q1774" s="3">
        <f t="shared" si="194"/>
        <v>9.0000000000000052E-2</v>
      </c>
      <c r="R1774" s="4" t="str">
        <f>IF(Sales_Fact!$O1774&gt;1000,"High","Low")</f>
        <v>High</v>
      </c>
      <c r="S1774" s="4" t="str">
        <f>VLOOKUP(C1774,Customer_Dim!$A:$N,9,FALSE())</f>
        <v>Daniel Rivas</v>
      </c>
      <c r="T1774" s="4" t="str">
        <f>VLOOKUP(D1774,Product_Dim!$A:$M,3,FALSE())</f>
        <v>Electronics</v>
      </c>
      <c r="U1774" s="11" t="str">
        <f>VLOOKUP(D1774,Product_Dim!$A:$M,2,FALSE())</f>
        <v>Smart Home WiFi Camera</v>
      </c>
      <c r="V1774" s="11" t="str">
        <f>VLOOKUP(E1774,Store_Dim!$A:$E,3,FALSE())</f>
        <v>East</v>
      </c>
      <c r="W1774" s="11" t="str">
        <f>VLOOKUP(C1774,Customer_Dim!$A:$N,13,FALSE())</f>
        <v>Silver</v>
      </c>
      <c r="X1774" s="11" t="str">
        <f t="shared" si="195"/>
        <v>Low</v>
      </c>
    </row>
    <row r="1775" spans="1:24" ht="15.75" customHeight="1">
      <c r="A1775" s="4" t="s">
        <v>3771</v>
      </c>
      <c r="B1775" s="9">
        <v>45772</v>
      </c>
      <c r="C1775" s="4" t="s">
        <v>1054</v>
      </c>
      <c r="D1775" s="4" t="s">
        <v>1813</v>
      </c>
      <c r="E1775" s="4" t="s">
        <v>1940</v>
      </c>
      <c r="F1775" s="4">
        <v>1</v>
      </c>
      <c r="G1775" s="4">
        <v>506.73</v>
      </c>
      <c r="H1775" s="4">
        <v>0.28999999999999998</v>
      </c>
      <c r="I1775" s="4" t="s">
        <v>1996</v>
      </c>
      <c r="J1775" s="10">
        <v>359.7783</v>
      </c>
      <c r="K1775" s="4" t="str">
        <f t="shared" si="189"/>
        <v>25-04-2025</v>
      </c>
      <c r="L1775" s="4" t="str">
        <f>TEXT(Sales_Fact!$B1775,"mmm")</f>
        <v>Apr</v>
      </c>
      <c r="M1775" s="4">
        <f t="shared" si="190"/>
        <v>1</v>
      </c>
      <c r="N1775" s="10">
        <f t="shared" si="191"/>
        <v>506.73</v>
      </c>
      <c r="O1775" s="10">
        <f t="shared" si="192"/>
        <v>359.7783</v>
      </c>
      <c r="P1775" s="10">
        <f t="shared" si="193"/>
        <v>506.73</v>
      </c>
      <c r="Q1775" s="3">
        <f t="shared" si="194"/>
        <v>0.29000000000000004</v>
      </c>
      <c r="R1775" s="4" t="str">
        <f>IF(Sales_Fact!$O1775&gt;1000,"High","Low")</f>
        <v>Low</v>
      </c>
      <c r="S1775" s="4" t="str">
        <f>VLOOKUP(C1775,Customer_Dim!$A:$N,9,FALSE())</f>
        <v>Robert King</v>
      </c>
      <c r="T1775" s="4" t="str">
        <f>VLOOKUP(D1775,Product_Dim!$A:$M,3,FALSE())</f>
        <v>Clothing</v>
      </c>
      <c r="U1775" s="11" t="str">
        <f>VLOOKUP(D1775,Product_Dim!$A:$M,2,FALSE())</f>
        <v>Men's Sports Shorts</v>
      </c>
      <c r="V1775" s="11" t="str">
        <f>VLOOKUP(E1775,Store_Dim!$A:$E,3,FALSE())</f>
        <v>West</v>
      </c>
      <c r="W1775" s="11" t="str">
        <f>VLOOKUP(C1775,Customer_Dim!$A:$N,13,FALSE())</f>
        <v>Gold</v>
      </c>
      <c r="X1775" s="11" t="str">
        <f t="shared" si="195"/>
        <v>Low</v>
      </c>
    </row>
    <row r="1776" spans="1:24" ht="15.75" customHeight="1">
      <c r="A1776" s="4" t="s">
        <v>3772</v>
      </c>
      <c r="B1776" s="9">
        <v>45299</v>
      </c>
      <c r="C1776" s="4" t="s">
        <v>219</v>
      </c>
      <c r="D1776" s="4" t="s">
        <v>1758</v>
      </c>
      <c r="E1776" s="4" t="s">
        <v>1962</v>
      </c>
      <c r="F1776" s="4">
        <v>1</v>
      </c>
      <c r="G1776" s="4">
        <v>408.66</v>
      </c>
      <c r="H1776" s="4">
        <v>0.13</v>
      </c>
      <c r="I1776" s="4" t="s">
        <v>2004</v>
      </c>
      <c r="J1776" s="10">
        <v>355.5342</v>
      </c>
      <c r="K1776" s="4" t="str">
        <f t="shared" si="189"/>
        <v>08-01-2024</v>
      </c>
      <c r="L1776" s="4" t="str">
        <f>TEXT(Sales_Fact!$B1776,"mmm")</f>
        <v>Jan</v>
      </c>
      <c r="M1776" s="4">
        <f t="shared" si="190"/>
        <v>1</v>
      </c>
      <c r="N1776" s="10">
        <f t="shared" si="191"/>
        <v>408.66</v>
      </c>
      <c r="O1776" s="10">
        <f t="shared" si="192"/>
        <v>355.5342</v>
      </c>
      <c r="P1776" s="10">
        <f t="shared" si="193"/>
        <v>408.66</v>
      </c>
      <c r="Q1776" s="3">
        <f t="shared" si="194"/>
        <v>0.13000000000000006</v>
      </c>
      <c r="R1776" s="4" t="str">
        <f>IF(Sales_Fact!$O1776&gt;1000,"High","Low")</f>
        <v>Low</v>
      </c>
      <c r="S1776" s="4" t="str">
        <f>VLOOKUP(C1776,Customer_Dim!$A:$N,9,FALSE())</f>
        <v>Debra Liu</v>
      </c>
      <c r="T1776" s="4" t="str">
        <f>VLOOKUP(D1776,Product_Dim!$A:$M,3,FALSE())</f>
        <v>Electronics</v>
      </c>
      <c r="U1776" s="11" t="str">
        <f>VLOOKUP(D1776,Product_Dim!$A:$M,2,FALSE())</f>
        <v>HDMI Cable – 2m</v>
      </c>
      <c r="V1776" s="11" t="str">
        <f>VLOOKUP(E1776,Store_Dim!$A:$E,3,FALSE())</f>
        <v>West</v>
      </c>
      <c r="W1776" s="11" t="str">
        <f>VLOOKUP(C1776,Customer_Dim!$A:$N,13,FALSE())</f>
        <v>Bronze</v>
      </c>
      <c r="X1776" s="11" t="str">
        <f t="shared" si="195"/>
        <v>Low</v>
      </c>
    </row>
    <row r="1777" spans="1:24" ht="15.75" customHeight="1">
      <c r="A1777" s="4" t="s">
        <v>3773</v>
      </c>
      <c r="B1777" s="9">
        <v>45447</v>
      </c>
      <c r="C1777" s="4" t="s">
        <v>408</v>
      </c>
      <c r="D1777" s="4" t="s">
        <v>1613</v>
      </c>
      <c r="E1777" s="4" t="s">
        <v>1965</v>
      </c>
      <c r="F1777" s="4">
        <v>3</v>
      </c>
      <c r="G1777" s="4">
        <v>170.48</v>
      </c>
      <c r="H1777" s="4">
        <v>0.06</v>
      </c>
      <c r="I1777" s="4" t="s">
        <v>2004</v>
      </c>
      <c r="J1777" s="10">
        <v>480.75360000000001</v>
      </c>
      <c r="K1777" s="4" t="str">
        <f t="shared" si="189"/>
        <v>04-06-2024</v>
      </c>
      <c r="L1777" s="4" t="str">
        <f>TEXT(Sales_Fact!$B1777,"mmm")</f>
        <v>Jun</v>
      </c>
      <c r="M1777" s="4">
        <f t="shared" si="190"/>
        <v>3</v>
      </c>
      <c r="N1777" s="10">
        <f t="shared" si="191"/>
        <v>170.48</v>
      </c>
      <c r="O1777" s="10">
        <f t="shared" si="192"/>
        <v>480.75359999999989</v>
      </c>
      <c r="P1777" s="10">
        <f t="shared" si="193"/>
        <v>511.43999999999994</v>
      </c>
      <c r="Q1777" s="3">
        <f t="shared" si="194"/>
        <v>6.0000000000000102E-2</v>
      </c>
      <c r="R1777" s="4" t="str">
        <f>IF(Sales_Fact!$O1777&gt;1000,"High","Low")</f>
        <v>Low</v>
      </c>
      <c r="S1777" s="4" t="str">
        <f>VLOOKUP(C1777,Customer_Dim!$A:$N,9,FALSE())</f>
        <v>Ashley Griffin</v>
      </c>
      <c r="T1777" s="4" t="str">
        <f>VLOOKUP(D1777,Product_Dim!$A:$M,3,FALSE())</f>
        <v>Electronics</v>
      </c>
      <c r="U1777" s="11" t="str">
        <f>VLOOKUP(D1777,Product_Dim!$A:$M,2,FALSE())</f>
        <v>Wireless Bluetooth Earbuds</v>
      </c>
      <c r="V1777" s="11" t="str">
        <f>VLOOKUP(E1777,Store_Dim!$A:$E,3,FALSE())</f>
        <v>North</v>
      </c>
      <c r="W1777" s="11" t="str">
        <f>VLOOKUP(C1777,Customer_Dim!$A:$N,13,FALSE())</f>
        <v>Gold</v>
      </c>
      <c r="X1777" s="11" t="str">
        <f t="shared" si="195"/>
        <v>Low</v>
      </c>
    </row>
    <row r="1778" spans="1:24" ht="15.75" customHeight="1">
      <c r="A1778" s="4" t="s">
        <v>3774</v>
      </c>
      <c r="B1778" s="9">
        <v>45717</v>
      </c>
      <c r="C1778" s="4" t="s">
        <v>368</v>
      </c>
      <c r="D1778" s="4" t="s">
        <v>1651</v>
      </c>
      <c r="E1778" s="4" t="s">
        <v>1944</v>
      </c>
      <c r="F1778" s="4">
        <v>1</v>
      </c>
      <c r="G1778" s="4">
        <v>423.48</v>
      </c>
      <c r="H1778" s="4">
        <v>0.18</v>
      </c>
      <c r="I1778" s="4" t="s">
        <v>1998</v>
      </c>
      <c r="J1778" s="10">
        <v>347.25360000000001</v>
      </c>
      <c r="K1778" s="4" t="str">
        <f t="shared" si="189"/>
        <v>01-03-2025</v>
      </c>
      <c r="L1778" s="4" t="str">
        <f>TEXT(Sales_Fact!$B1778,"mmm")</f>
        <v>Mar</v>
      </c>
      <c r="M1778" s="4">
        <f t="shared" si="190"/>
        <v>1</v>
      </c>
      <c r="N1778" s="10">
        <f t="shared" si="191"/>
        <v>423.48</v>
      </c>
      <c r="O1778" s="10">
        <f t="shared" si="192"/>
        <v>347.25360000000006</v>
      </c>
      <c r="P1778" s="10">
        <f t="shared" si="193"/>
        <v>423.48</v>
      </c>
      <c r="Q1778" s="3">
        <f t="shared" si="194"/>
        <v>0.17999999999999988</v>
      </c>
      <c r="R1778" s="4" t="str">
        <f>IF(Sales_Fact!$O1778&gt;1000,"High","Low")</f>
        <v>Low</v>
      </c>
      <c r="S1778" s="4" t="str">
        <f>VLOOKUP(C1778,Customer_Dim!$A:$N,9,FALSE())</f>
        <v>David Cobb</v>
      </c>
      <c r="T1778" s="4" t="str">
        <f>VLOOKUP(D1778,Product_Dim!$A:$M,3,FALSE())</f>
        <v>Clothing</v>
      </c>
      <c r="U1778" s="11" t="str">
        <f>VLOOKUP(D1778,Product_Dim!$A:$M,2,FALSE())</f>
        <v>Women's Denim Jeans</v>
      </c>
      <c r="V1778" s="11" t="str">
        <f>VLOOKUP(E1778,Store_Dim!$A:$E,3,FALSE())</f>
        <v>South</v>
      </c>
      <c r="W1778" s="11" t="str">
        <f>VLOOKUP(C1778,Customer_Dim!$A:$N,13,FALSE())</f>
        <v>Silver</v>
      </c>
      <c r="X1778" s="11" t="str">
        <f t="shared" si="195"/>
        <v>Low</v>
      </c>
    </row>
    <row r="1779" spans="1:24" ht="15.75" customHeight="1">
      <c r="A1779" s="4" t="s">
        <v>3775</v>
      </c>
      <c r="B1779" s="9">
        <v>45213</v>
      </c>
      <c r="C1779" s="4" t="s">
        <v>783</v>
      </c>
      <c r="D1779" s="4" t="s">
        <v>1882</v>
      </c>
      <c r="E1779" s="4" t="s">
        <v>1950</v>
      </c>
      <c r="F1779" s="4">
        <v>4</v>
      </c>
      <c r="G1779" s="4">
        <v>23.57</v>
      </c>
      <c r="H1779" s="4">
        <v>0.1</v>
      </c>
      <c r="I1779" s="4" t="s">
        <v>1996</v>
      </c>
      <c r="J1779" s="10">
        <v>84.852000000000004</v>
      </c>
      <c r="K1779" s="4" t="str">
        <f t="shared" si="189"/>
        <v>14-10-2023</v>
      </c>
      <c r="L1779" s="4" t="str">
        <f>TEXT(Sales_Fact!$B1779,"mmm")</f>
        <v>Oct</v>
      </c>
      <c r="M1779" s="4">
        <f t="shared" si="190"/>
        <v>4</v>
      </c>
      <c r="N1779" s="10">
        <f t="shared" si="191"/>
        <v>23.57</v>
      </c>
      <c r="O1779" s="10">
        <f t="shared" si="192"/>
        <v>84.852000000000004</v>
      </c>
      <c r="P1779" s="10">
        <f t="shared" si="193"/>
        <v>94.28</v>
      </c>
      <c r="Q1779" s="3">
        <f t="shared" si="194"/>
        <v>9.9999999999999964E-2</v>
      </c>
      <c r="R1779" s="4" t="str">
        <f>IF(Sales_Fact!$O1779&gt;1000,"High","Low")</f>
        <v>Low</v>
      </c>
      <c r="S1779" s="4" t="str">
        <f>VLOOKUP(C1779,Customer_Dim!$A:$N,9,FALSE())</f>
        <v>Jon Ortiz</v>
      </c>
      <c r="T1779" s="4" t="str">
        <f>VLOOKUP(D1779,Product_Dim!$A:$M,3,FALSE())</f>
        <v>Home</v>
      </c>
      <c r="U1779" s="11" t="str">
        <f>VLOOKUP(D1779,Product_Dim!$A:$M,2,FALSE())</f>
        <v>Microwave Oven</v>
      </c>
      <c r="V1779" s="11" t="str">
        <f>VLOOKUP(E1779,Store_Dim!$A:$E,3,FALSE())</f>
        <v>South</v>
      </c>
      <c r="W1779" s="11" t="str">
        <f>VLOOKUP(C1779,Customer_Dim!$A:$N,13,FALSE())</f>
        <v>Bronze</v>
      </c>
      <c r="X1779" s="11" t="str">
        <f t="shared" si="195"/>
        <v>High</v>
      </c>
    </row>
    <row r="1780" spans="1:24" ht="15.75" customHeight="1">
      <c r="A1780" s="4" t="s">
        <v>3776</v>
      </c>
      <c r="B1780" s="9">
        <v>45781</v>
      </c>
      <c r="C1780" s="4" t="s">
        <v>641</v>
      </c>
      <c r="D1780" s="4" t="s">
        <v>1903</v>
      </c>
      <c r="E1780" s="4" t="s">
        <v>1931</v>
      </c>
      <c r="F1780" s="4"/>
      <c r="G1780" s="4">
        <v>448.25</v>
      </c>
      <c r="H1780" s="4">
        <v>7.0000000000000007E-2</v>
      </c>
      <c r="I1780" s="4" t="s">
        <v>1998</v>
      </c>
      <c r="J1780" s="10">
        <v>1250.6175000000001</v>
      </c>
      <c r="K1780" s="4" t="str">
        <f t="shared" si="189"/>
        <v>04-05-2025</v>
      </c>
      <c r="L1780" s="4" t="str">
        <f>TEXT(Sales_Fact!$B1780,"mmm")</f>
        <v>May</v>
      </c>
      <c r="M1780" s="4">
        <f t="shared" si="190"/>
        <v>1</v>
      </c>
      <c r="N1780" s="10">
        <f t="shared" si="191"/>
        <v>448.25</v>
      </c>
      <c r="O1780" s="10">
        <f t="shared" si="192"/>
        <v>416.87249999999995</v>
      </c>
      <c r="P1780" s="10">
        <f t="shared" si="193"/>
        <v>448.25</v>
      </c>
      <c r="Q1780" s="3">
        <f t="shared" si="194"/>
        <v>7.0000000000000118E-2</v>
      </c>
      <c r="R1780" s="4" t="str">
        <f>IF(Sales_Fact!$O1780&gt;1000,"High","Low")</f>
        <v>Low</v>
      </c>
      <c r="S1780" s="4" t="str">
        <f>VLOOKUP(C1780,Customer_Dim!$A:$N,9,FALSE())</f>
        <v>Dr. Suzanne Bullock</v>
      </c>
      <c r="T1780" s="4" t="str">
        <f>VLOOKUP(D1780,Product_Dim!$A:$M,3,FALSE())</f>
        <v>Home</v>
      </c>
      <c r="U1780" s="11" t="str">
        <f>VLOOKUP(D1780,Product_Dim!$A:$M,2,FALSE())</f>
        <v>Stainless Steel Cookware Set</v>
      </c>
      <c r="V1780" s="11" t="str">
        <f>VLOOKUP(E1780,Store_Dim!$A:$E,3,FALSE())</f>
        <v>North</v>
      </c>
      <c r="W1780" s="11" t="str">
        <f>VLOOKUP(C1780,Customer_Dim!$A:$N,13,FALSE())</f>
        <v>Platinum</v>
      </c>
      <c r="X1780" s="11" t="str">
        <f t="shared" si="195"/>
        <v>Low</v>
      </c>
    </row>
    <row r="1781" spans="1:24" ht="15.75" customHeight="1">
      <c r="A1781" s="4" t="s">
        <v>3777</v>
      </c>
      <c r="B1781" s="9">
        <v>45885</v>
      </c>
      <c r="C1781" s="4" t="s">
        <v>607</v>
      </c>
      <c r="D1781" s="4" t="s">
        <v>1761</v>
      </c>
      <c r="E1781" s="4" t="s">
        <v>1940</v>
      </c>
      <c r="F1781" s="4">
        <v>1</v>
      </c>
      <c r="G1781" s="4">
        <v>442.27</v>
      </c>
      <c r="H1781" s="4">
        <v>0.06</v>
      </c>
      <c r="I1781" s="4" t="s">
        <v>2004</v>
      </c>
      <c r="J1781" s="10">
        <v>415.73379999999997</v>
      </c>
      <c r="K1781" s="4" t="str">
        <f t="shared" si="189"/>
        <v>16-08-2025</v>
      </c>
      <c r="L1781" s="4" t="str">
        <f>TEXT(Sales_Fact!$B1781,"mmm")</f>
        <v>Aug</v>
      </c>
      <c r="M1781" s="4">
        <f t="shared" si="190"/>
        <v>1</v>
      </c>
      <c r="N1781" s="10">
        <f t="shared" si="191"/>
        <v>442.27</v>
      </c>
      <c r="O1781" s="10">
        <f t="shared" si="192"/>
        <v>415.73379999999997</v>
      </c>
      <c r="P1781" s="10">
        <f t="shared" si="193"/>
        <v>442.27</v>
      </c>
      <c r="Q1781" s="3">
        <f t="shared" si="194"/>
        <v>6.0000000000000019E-2</v>
      </c>
      <c r="R1781" s="4" t="str">
        <f>IF(Sales_Fact!$O1781&gt;1000,"High","Low")</f>
        <v>Low</v>
      </c>
      <c r="S1781" s="4" t="str">
        <f>VLOOKUP(C1781,Customer_Dim!$A:$N,9,FALSE())</f>
        <v>John Bradford</v>
      </c>
      <c r="T1781" s="4" t="str">
        <f>VLOOKUP(D1781,Product_Dim!$A:$M,3,FALSE())</f>
        <v>Sports</v>
      </c>
      <c r="U1781" s="11" t="str">
        <f>VLOOKUP(D1781,Product_Dim!$A:$M,2,FALSE())</f>
        <v>Rugby Ball</v>
      </c>
      <c r="V1781" s="11" t="str">
        <f>VLOOKUP(E1781,Store_Dim!$A:$E,3,FALSE())</f>
        <v>West</v>
      </c>
      <c r="W1781" s="11" t="str">
        <f>VLOOKUP(C1781,Customer_Dim!$A:$N,13,FALSE())</f>
        <v>Silver</v>
      </c>
      <c r="X1781" s="11" t="str">
        <f t="shared" si="195"/>
        <v>Low</v>
      </c>
    </row>
    <row r="1782" spans="1:24" ht="15.75" customHeight="1">
      <c r="A1782" s="4" t="s">
        <v>3778</v>
      </c>
      <c r="B1782" s="9">
        <v>45837</v>
      </c>
      <c r="C1782" s="4" t="s">
        <v>1219</v>
      </c>
      <c r="D1782" s="4" t="s">
        <v>1729</v>
      </c>
      <c r="E1782" s="4" t="s">
        <v>1968</v>
      </c>
      <c r="F1782" s="4">
        <v>2</v>
      </c>
      <c r="G1782" s="4">
        <v>953.26</v>
      </c>
      <c r="H1782" s="4">
        <v>0.1</v>
      </c>
      <c r="I1782" s="4" t="s">
        <v>2004</v>
      </c>
      <c r="J1782" s="10">
        <v>1715.8679999999999</v>
      </c>
      <c r="K1782" s="4" t="str">
        <f t="shared" si="189"/>
        <v>29-06-2025</v>
      </c>
      <c r="L1782" s="4" t="str">
        <f>TEXT(Sales_Fact!$B1782,"mmm")</f>
        <v>Jun</v>
      </c>
      <c r="M1782" s="4">
        <f t="shared" si="190"/>
        <v>2</v>
      </c>
      <c r="N1782" s="10">
        <f t="shared" si="191"/>
        <v>953.26</v>
      </c>
      <c r="O1782" s="10">
        <f t="shared" si="192"/>
        <v>1715.8679999999999</v>
      </c>
      <c r="P1782" s="10">
        <f t="shared" si="193"/>
        <v>1906.52</v>
      </c>
      <c r="Q1782" s="3">
        <f t="shared" si="194"/>
        <v>0.10000000000000002</v>
      </c>
      <c r="R1782" s="4" t="str">
        <f>IF(Sales_Fact!$O1782&gt;1000,"High","Low")</f>
        <v>High</v>
      </c>
      <c r="S1782" s="4" t="str">
        <f>VLOOKUP(C1782,Customer_Dim!$A:$N,9,FALSE())</f>
        <v>Erika Padilla</v>
      </c>
      <c r="T1782" s="4" t="str">
        <f>VLOOKUP(D1782,Product_Dim!$A:$M,3,FALSE())</f>
        <v>Electronics</v>
      </c>
      <c r="U1782" s="11" t="str">
        <f>VLOOKUP(D1782,Product_Dim!$A:$M,2,FALSE())</f>
        <v>Smart Home WiFi Camera</v>
      </c>
      <c r="V1782" s="11" t="str">
        <f>VLOOKUP(E1782,Store_Dim!$A:$E,3,FALSE())</f>
        <v>East</v>
      </c>
      <c r="W1782" s="11" t="str">
        <f>VLOOKUP(C1782,Customer_Dim!$A:$N,13,FALSE())</f>
        <v>Silver</v>
      </c>
      <c r="X1782" s="11" t="str">
        <f t="shared" si="195"/>
        <v>Low</v>
      </c>
    </row>
    <row r="1783" spans="1:24" ht="15.75" customHeight="1">
      <c r="A1783" s="4" t="s">
        <v>3779</v>
      </c>
      <c r="B1783" s="9">
        <v>45277</v>
      </c>
      <c r="C1783" s="4" t="s">
        <v>1117</v>
      </c>
      <c r="D1783" s="4" t="s">
        <v>1825</v>
      </c>
      <c r="E1783" s="4" t="s">
        <v>1937</v>
      </c>
      <c r="F1783" s="4">
        <v>3</v>
      </c>
      <c r="G1783" s="4">
        <v>405.13</v>
      </c>
      <c r="H1783" s="4">
        <v>0.14000000000000001</v>
      </c>
      <c r="I1783" s="4" t="s">
        <v>2004</v>
      </c>
      <c r="J1783" s="10">
        <v>1045.2354</v>
      </c>
      <c r="K1783" s="4" t="str">
        <f t="shared" si="189"/>
        <v>17-12-2023</v>
      </c>
      <c r="L1783" s="4" t="str">
        <f>TEXT(Sales_Fact!$B1783,"mmm")</f>
        <v>Dec</v>
      </c>
      <c r="M1783" s="4">
        <f t="shared" si="190"/>
        <v>3</v>
      </c>
      <c r="N1783" s="10">
        <f t="shared" si="191"/>
        <v>405.13</v>
      </c>
      <c r="O1783" s="10">
        <f t="shared" si="192"/>
        <v>1045.2353999999998</v>
      </c>
      <c r="P1783" s="10">
        <f t="shared" si="193"/>
        <v>1215.3899999999999</v>
      </c>
      <c r="Q1783" s="3">
        <f t="shared" si="194"/>
        <v>0.14000000000000007</v>
      </c>
      <c r="R1783" s="4" t="str">
        <f>IF(Sales_Fact!$O1783&gt;1000,"High","Low")</f>
        <v>High</v>
      </c>
      <c r="S1783" s="4" t="str">
        <f>VLOOKUP(C1783,Customer_Dim!$A:$N,9,FALSE())</f>
        <v>Justin Mason Dds</v>
      </c>
      <c r="T1783" s="4" t="str">
        <f>VLOOKUP(D1783,Product_Dim!$A:$M,3,FALSE())</f>
        <v>Sports</v>
      </c>
      <c r="U1783" s="11" t="str">
        <f>VLOOKUP(D1783,Product_Dim!$A:$M,2,FALSE())</f>
        <v>Shin Guards – Adult</v>
      </c>
      <c r="V1783" s="11" t="str">
        <f>VLOOKUP(E1783,Store_Dim!$A:$E,3,FALSE())</f>
        <v>South</v>
      </c>
      <c r="W1783" s="11" t="str">
        <f>VLOOKUP(C1783,Customer_Dim!$A:$N,13,FALSE())</f>
        <v>Gold</v>
      </c>
      <c r="X1783" s="11" t="str">
        <f t="shared" si="195"/>
        <v>Low</v>
      </c>
    </row>
    <row r="1784" spans="1:24" ht="15.75" customHeight="1">
      <c r="A1784" s="4" t="s">
        <v>3780</v>
      </c>
      <c r="B1784" s="9">
        <v>45248</v>
      </c>
      <c r="C1784" s="4" t="s">
        <v>1093</v>
      </c>
      <c r="D1784" s="4" t="s">
        <v>1588</v>
      </c>
      <c r="E1784" s="4" t="s">
        <v>1927</v>
      </c>
      <c r="F1784" s="4">
        <v>2</v>
      </c>
      <c r="G1784" s="4">
        <v>333.83</v>
      </c>
      <c r="H1784" s="4">
        <v>0.26</v>
      </c>
      <c r="I1784" s="4" t="s">
        <v>1998</v>
      </c>
      <c r="J1784" s="10">
        <v>494.0684</v>
      </c>
      <c r="K1784" s="4" t="str">
        <f t="shared" si="189"/>
        <v>18-11-2023</v>
      </c>
      <c r="L1784" s="4" t="str">
        <f>TEXT(Sales_Fact!$B1784,"mmm")</f>
        <v>Nov</v>
      </c>
      <c r="M1784" s="4">
        <f t="shared" si="190"/>
        <v>2</v>
      </c>
      <c r="N1784" s="10">
        <f t="shared" si="191"/>
        <v>333.83</v>
      </c>
      <c r="O1784" s="10">
        <f t="shared" si="192"/>
        <v>494.0684</v>
      </c>
      <c r="P1784" s="10">
        <f t="shared" si="193"/>
        <v>667.66</v>
      </c>
      <c r="Q1784" s="3">
        <f t="shared" si="194"/>
        <v>0.25999999999999995</v>
      </c>
      <c r="R1784" s="4" t="str">
        <f>IF(Sales_Fact!$O1784&gt;1000,"High","Low")</f>
        <v>Low</v>
      </c>
      <c r="S1784" s="4" t="str">
        <f>VLOOKUP(C1784,Customer_Dim!$A:$N,9,FALSE())</f>
        <v>Mrs. Susan Buckley</v>
      </c>
      <c r="T1784" s="4" t="str">
        <f>VLOOKUP(D1784,Product_Dim!$A:$M,3,FALSE())</f>
        <v>Clothing</v>
      </c>
      <c r="U1784" s="11" t="str">
        <f>VLOOKUP(D1784,Product_Dim!$A:$M,2,FALSE())</f>
        <v>Women's Casual Hoodie</v>
      </c>
      <c r="V1784" s="11" t="str">
        <f>VLOOKUP(E1784,Store_Dim!$A:$E,3,FALSE())</f>
        <v>South</v>
      </c>
      <c r="W1784" s="11" t="str">
        <f>VLOOKUP(C1784,Customer_Dim!$A:$N,13,FALSE())</f>
        <v>Platinum</v>
      </c>
      <c r="X1784" s="11" t="str">
        <f t="shared" si="195"/>
        <v>Low</v>
      </c>
    </row>
    <row r="1785" spans="1:24" ht="15.75" customHeight="1">
      <c r="A1785" s="4" t="s">
        <v>3781</v>
      </c>
      <c r="B1785" s="9">
        <v>45741</v>
      </c>
      <c r="C1785" s="4" t="s">
        <v>1075</v>
      </c>
      <c r="D1785" s="4" t="s">
        <v>1879</v>
      </c>
      <c r="E1785" s="4" t="s">
        <v>1924</v>
      </c>
      <c r="F1785" s="4">
        <v>2</v>
      </c>
      <c r="G1785" s="4">
        <v>727.18</v>
      </c>
      <c r="H1785" s="4">
        <v>0.22</v>
      </c>
      <c r="I1785" s="4" t="s">
        <v>1998</v>
      </c>
      <c r="J1785" s="10">
        <v>1134.4007999999999</v>
      </c>
      <c r="K1785" s="4" t="str">
        <f t="shared" si="189"/>
        <v>25-03-2025</v>
      </c>
      <c r="L1785" s="4" t="str">
        <f>TEXT(Sales_Fact!$B1785,"mmm")</f>
        <v>Mar</v>
      </c>
      <c r="M1785" s="4">
        <f t="shared" si="190"/>
        <v>2</v>
      </c>
      <c r="N1785" s="10">
        <f t="shared" si="191"/>
        <v>727.18</v>
      </c>
      <c r="O1785" s="10">
        <f t="shared" si="192"/>
        <v>1134.4007999999999</v>
      </c>
      <c r="P1785" s="10">
        <f t="shared" si="193"/>
        <v>1454.36</v>
      </c>
      <c r="Q1785" s="3">
        <f t="shared" si="194"/>
        <v>0.22000000000000003</v>
      </c>
      <c r="R1785" s="4" t="str">
        <f>IF(Sales_Fact!$O1785&gt;1000,"High","Low")</f>
        <v>High</v>
      </c>
      <c r="S1785" s="4" t="str">
        <f>VLOOKUP(C1785,Customer_Dim!$A:$N,9,FALSE())</f>
        <v>Teresa Johnson</v>
      </c>
      <c r="T1785" s="4" t="str">
        <f>VLOOKUP(D1785,Product_Dim!$A:$M,3,FALSE())</f>
        <v>Clothing</v>
      </c>
      <c r="U1785" s="11" t="str">
        <f>VLOOKUP(D1785,Product_Dim!$A:$M,2,FALSE())</f>
        <v>Women's High Heels</v>
      </c>
      <c r="V1785" s="11" t="str">
        <f>VLOOKUP(E1785,Store_Dim!$A:$E,3,FALSE())</f>
        <v>North</v>
      </c>
      <c r="W1785" s="11" t="str">
        <f>VLOOKUP(C1785,Customer_Dim!$A:$N,13,FALSE())</f>
        <v>Gold</v>
      </c>
      <c r="X1785" s="11" t="str">
        <f t="shared" si="195"/>
        <v>Low</v>
      </c>
    </row>
    <row r="1786" spans="1:24" ht="15.75" customHeight="1">
      <c r="A1786" s="4" t="s">
        <v>3782</v>
      </c>
      <c r="B1786" s="9">
        <v>45778</v>
      </c>
      <c r="C1786" s="4" t="s">
        <v>994</v>
      </c>
      <c r="D1786" s="4" t="s">
        <v>1599</v>
      </c>
      <c r="E1786" s="4" t="s">
        <v>1947</v>
      </c>
      <c r="F1786" s="4">
        <v>2</v>
      </c>
      <c r="G1786" s="4">
        <v>516.02</v>
      </c>
      <c r="H1786" s="4">
        <v>0.19</v>
      </c>
      <c r="I1786" s="4" t="s">
        <v>2004</v>
      </c>
      <c r="J1786" s="10">
        <v>835.95240000000001</v>
      </c>
      <c r="K1786" s="4" t="str">
        <f t="shared" si="189"/>
        <v>01-05-2025</v>
      </c>
      <c r="L1786" s="4" t="str">
        <f>TEXT(Sales_Fact!$B1786,"mmm")</f>
        <v>May</v>
      </c>
      <c r="M1786" s="4">
        <f t="shared" si="190"/>
        <v>2</v>
      </c>
      <c r="N1786" s="10">
        <f t="shared" si="191"/>
        <v>516.02</v>
      </c>
      <c r="O1786" s="10">
        <f t="shared" si="192"/>
        <v>835.95240000000001</v>
      </c>
      <c r="P1786" s="10">
        <f t="shared" si="193"/>
        <v>1032.04</v>
      </c>
      <c r="Q1786" s="3">
        <f t="shared" si="194"/>
        <v>0.18999999999999995</v>
      </c>
      <c r="R1786" s="4" t="str">
        <f>IF(Sales_Fact!$O1786&gt;1000,"High","Low")</f>
        <v>Low</v>
      </c>
      <c r="S1786" s="4" t="str">
        <f>VLOOKUP(C1786,Customer_Dim!$A:$N,9,FALSE())</f>
        <v>Angela Robinson</v>
      </c>
      <c r="T1786" s="4" t="str">
        <f>VLOOKUP(D1786,Product_Dim!$A:$M,3,FALSE())</f>
        <v>Clothing</v>
      </c>
      <c r="U1786" s="11" t="str">
        <f>VLOOKUP(D1786,Product_Dim!$A:$M,2,FALSE())</f>
        <v>Men's Leather Belt</v>
      </c>
      <c r="V1786" s="11" t="str">
        <f>VLOOKUP(E1786,Store_Dim!$A:$E,3,FALSE())</f>
        <v>East</v>
      </c>
      <c r="W1786" s="11" t="str">
        <f>VLOOKUP(C1786,Customer_Dim!$A:$N,13,FALSE())</f>
        <v>Platinum</v>
      </c>
      <c r="X1786" s="11" t="str">
        <f t="shared" si="195"/>
        <v>Low</v>
      </c>
    </row>
    <row r="1787" spans="1:24" ht="15.75" customHeight="1">
      <c r="A1787" s="4" t="s">
        <v>3783</v>
      </c>
      <c r="B1787" s="9">
        <v>45361</v>
      </c>
      <c r="C1787" s="4" t="s">
        <v>960</v>
      </c>
      <c r="D1787" s="4" t="s">
        <v>1729</v>
      </c>
      <c r="E1787" s="4" t="s">
        <v>1950</v>
      </c>
      <c r="F1787" s="4">
        <v>2</v>
      </c>
      <c r="G1787" s="4">
        <v>705.61</v>
      </c>
      <c r="H1787" s="4">
        <v>0.28000000000000003</v>
      </c>
      <c r="I1787" s="4" t="s">
        <v>1996</v>
      </c>
      <c r="J1787" s="10">
        <v>1016.0784</v>
      </c>
      <c r="K1787" s="4" t="str">
        <f t="shared" si="189"/>
        <v>10-03-2024</v>
      </c>
      <c r="L1787" s="4" t="str">
        <f>TEXT(Sales_Fact!$B1787,"mmm")</f>
        <v>Mar</v>
      </c>
      <c r="M1787" s="4">
        <f t="shared" si="190"/>
        <v>2</v>
      </c>
      <c r="N1787" s="10">
        <f t="shared" si="191"/>
        <v>705.61</v>
      </c>
      <c r="O1787" s="10">
        <f t="shared" si="192"/>
        <v>1016.0784</v>
      </c>
      <c r="P1787" s="10">
        <f t="shared" si="193"/>
        <v>1411.22</v>
      </c>
      <c r="Q1787" s="3">
        <f t="shared" si="194"/>
        <v>0.28000000000000003</v>
      </c>
      <c r="R1787" s="4" t="str">
        <f>IF(Sales_Fact!$O1787&gt;1000,"High","Low")</f>
        <v>High</v>
      </c>
      <c r="S1787" s="4" t="str">
        <f>VLOOKUP(C1787,Customer_Dim!$A:$N,9,FALSE())</f>
        <v>Lisa Chandler</v>
      </c>
      <c r="T1787" s="4" t="str">
        <f>VLOOKUP(D1787,Product_Dim!$A:$M,3,FALSE())</f>
        <v>Electronics</v>
      </c>
      <c r="U1787" s="11" t="str">
        <f>VLOOKUP(D1787,Product_Dim!$A:$M,2,FALSE())</f>
        <v>Smart Home WiFi Camera</v>
      </c>
      <c r="V1787" s="11" t="str">
        <f>VLOOKUP(E1787,Store_Dim!$A:$E,3,FALSE())</f>
        <v>South</v>
      </c>
      <c r="W1787" s="11" t="str">
        <f>VLOOKUP(C1787,Customer_Dim!$A:$N,13,FALSE())</f>
        <v>Platinum</v>
      </c>
      <c r="X1787" s="11" t="str">
        <f t="shared" si="195"/>
        <v>Low</v>
      </c>
    </row>
    <row r="1788" spans="1:24" ht="15.75" customHeight="1">
      <c r="A1788" s="4" t="s">
        <v>3784</v>
      </c>
      <c r="B1788" s="9">
        <v>45414</v>
      </c>
      <c r="C1788" s="4" t="s">
        <v>903</v>
      </c>
      <c r="D1788" s="4" t="s">
        <v>1858</v>
      </c>
      <c r="E1788" s="4" t="s">
        <v>1940</v>
      </c>
      <c r="F1788" s="4">
        <v>3</v>
      </c>
      <c r="G1788" s="4">
        <v>654.47</v>
      </c>
      <c r="H1788" s="4">
        <v>0.18</v>
      </c>
      <c r="I1788" s="4" t="s">
        <v>2004</v>
      </c>
      <c r="J1788" s="10">
        <v>1609.9962</v>
      </c>
      <c r="K1788" s="4" t="str">
        <f t="shared" si="189"/>
        <v>02-05-2024</v>
      </c>
      <c r="L1788" s="4" t="str">
        <f>TEXT(Sales_Fact!$B1788,"mmm")</f>
        <v>May</v>
      </c>
      <c r="M1788" s="4">
        <f t="shared" si="190"/>
        <v>3</v>
      </c>
      <c r="N1788" s="10">
        <f t="shared" si="191"/>
        <v>654.47</v>
      </c>
      <c r="O1788" s="10">
        <f t="shared" si="192"/>
        <v>1609.9962000000003</v>
      </c>
      <c r="P1788" s="10">
        <f t="shared" si="193"/>
        <v>1963.41</v>
      </c>
      <c r="Q1788" s="3">
        <f t="shared" si="194"/>
        <v>0.17999999999999988</v>
      </c>
      <c r="R1788" s="4" t="str">
        <f>IF(Sales_Fact!$O1788&gt;1000,"High","Low")</f>
        <v>High</v>
      </c>
      <c r="S1788" s="4" t="str">
        <f>VLOOKUP(C1788,Customer_Dim!$A:$N,9,FALSE())</f>
        <v>Shannon Miller</v>
      </c>
      <c r="T1788" s="4" t="str">
        <f>VLOOKUP(D1788,Product_Dim!$A:$M,3,FALSE())</f>
        <v>Home</v>
      </c>
      <c r="U1788" s="11" t="str">
        <f>VLOOKUP(D1788,Product_Dim!$A:$M,2,FALSE())</f>
        <v>Wooden Bookshelf</v>
      </c>
      <c r="V1788" s="11" t="str">
        <f>VLOOKUP(E1788,Store_Dim!$A:$E,3,FALSE())</f>
        <v>West</v>
      </c>
      <c r="W1788" s="11" t="str">
        <f>VLOOKUP(C1788,Customer_Dim!$A:$N,13,FALSE())</f>
        <v>Gold</v>
      </c>
      <c r="X1788" s="11" t="str">
        <f t="shared" si="195"/>
        <v>Low</v>
      </c>
    </row>
    <row r="1789" spans="1:24" ht="15.75" customHeight="1">
      <c r="A1789" s="4" t="s">
        <v>3785</v>
      </c>
      <c r="B1789" s="9">
        <v>45734</v>
      </c>
      <c r="C1789" s="4" t="s">
        <v>592</v>
      </c>
      <c r="D1789" s="4" t="s">
        <v>1870</v>
      </c>
      <c r="E1789" s="4" t="s">
        <v>1959</v>
      </c>
      <c r="F1789" s="4">
        <v>2</v>
      </c>
      <c r="G1789" s="4">
        <v>315.27</v>
      </c>
      <c r="H1789" s="4">
        <v>0.23</v>
      </c>
      <c r="I1789" s="4" t="s">
        <v>1996</v>
      </c>
      <c r="J1789" s="10">
        <v>485.51580000000001</v>
      </c>
      <c r="K1789" s="4" t="str">
        <f t="shared" si="189"/>
        <v>18-03-2025</v>
      </c>
      <c r="L1789" s="4" t="str">
        <f>TEXT(Sales_Fact!$B1789,"mmm")</f>
        <v>Mar</v>
      </c>
      <c r="M1789" s="4">
        <f t="shared" si="190"/>
        <v>2</v>
      </c>
      <c r="N1789" s="10">
        <f t="shared" si="191"/>
        <v>315.27</v>
      </c>
      <c r="O1789" s="10">
        <f t="shared" si="192"/>
        <v>485.51579999999996</v>
      </c>
      <c r="P1789" s="10">
        <f t="shared" si="193"/>
        <v>630.54</v>
      </c>
      <c r="Q1789" s="3">
        <f t="shared" si="194"/>
        <v>0.23000000000000004</v>
      </c>
      <c r="R1789" s="4" t="str">
        <f>IF(Sales_Fact!$O1789&gt;1000,"High","Low")</f>
        <v>Low</v>
      </c>
      <c r="S1789" s="4" t="str">
        <f>VLOOKUP(C1789,Customer_Dim!$A:$N,9,FALSE())</f>
        <v>Amy Wilson</v>
      </c>
      <c r="T1789" s="4" t="str">
        <f>VLOOKUP(D1789,Product_Dim!$A:$M,3,FALSE())</f>
        <v>Sports</v>
      </c>
      <c r="U1789" s="11" t="str">
        <f>VLOOKUP(D1789,Product_Dim!$A:$M,2,FALSE())</f>
        <v>Sports Wrist Sweatbands</v>
      </c>
      <c r="V1789" s="11" t="str">
        <f>VLOOKUP(E1789,Store_Dim!$A:$E,3,FALSE())</f>
        <v>North</v>
      </c>
      <c r="W1789" s="11" t="str">
        <f>VLOOKUP(C1789,Customer_Dim!$A:$N,13,FALSE())</f>
        <v>Platinum</v>
      </c>
      <c r="X1789" s="11" t="str">
        <f t="shared" si="195"/>
        <v>Low</v>
      </c>
    </row>
    <row r="1790" spans="1:24" ht="15.75" customHeight="1">
      <c r="A1790" s="4" t="s">
        <v>3786</v>
      </c>
      <c r="B1790" s="9">
        <v>45623</v>
      </c>
      <c r="C1790" s="4" t="s">
        <v>746</v>
      </c>
      <c r="D1790" s="4" t="s">
        <v>1684</v>
      </c>
      <c r="E1790" s="4" t="s">
        <v>1919</v>
      </c>
      <c r="F1790" s="4">
        <v>1</v>
      </c>
      <c r="G1790" s="4">
        <v>974.47</v>
      </c>
      <c r="H1790" s="4">
        <v>0.05</v>
      </c>
      <c r="I1790" s="4" t="s">
        <v>1996</v>
      </c>
      <c r="J1790" s="10">
        <v>925.74649999999997</v>
      </c>
      <c r="K1790" s="4" t="str">
        <f t="shared" si="189"/>
        <v>27-11-2024</v>
      </c>
      <c r="L1790" s="4" t="str">
        <f>TEXT(Sales_Fact!$B1790,"mmm")</f>
        <v>Nov</v>
      </c>
      <c r="M1790" s="4">
        <f t="shared" si="190"/>
        <v>1</v>
      </c>
      <c r="N1790" s="10">
        <f t="shared" si="191"/>
        <v>974.47</v>
      </c>
      <c r="O1790" s="10">
        <f t="shared" si="192"/>
        <v>925.74649999999997</v>
      </c>
      <c r="P1790" s="10">
        <f t="shared" si="193"/>
        <v>974.47</v>
      </c>
      <c r="Q1790" s="3">
        <f t="shared" si="194"/>
        <v>5.0000000000000058E-2</v>
      </c>
      <c r="R1790" s="4" t="str">
        <f>IF(Sales_Fact!$O1790&gt;1000,"High","Low")</f>
        <v>Low</v>
      </c>
      <c r="S1790" s="4" t="str">
        <f>VLOOKUP(C1790,Customer_Dim!$A:$N,9,FALSE())</f>
        <v>Alejandro Doyle</v>
      </c>
      <c r="T1790" s="4" t="str">
        <f>VLOOKUP(D1790,Product_Dim!$A:$M,3,FALSE())</f>
        <v>Sports</v>
      </c>
      <c r="U1790" s="11" t="str">
        <f>VLOOKUP(D1790,Product_Dim!$A:$M,2,FALSE())</f>
        <v>Sports Stopwatch Timer</v>
      </c>
      <c r="V1790" s="11" t="str">
        <f>VLOOKUP(E1790,Store_Dim!$A:$E,3,FALSE())</f>
        <v>South</v>
      </c>
      <c r="W1790" s="11" t="str">
        <f>VLOOKUP(C1790,Customer_Dim!$A:$N,13,FALSE())</f>
        <v>Platinum</v>
      </c>
      <c r="X1790" s="11" t="str">
        <f t="shared" si="195"/>
        <v>Low</v>
      </c>
    </row>
    <row r="1791" spans="1:24" ht="15.75" customHeight="1">
      <c r="A1791" s="4" t="s">
        <v>3787</v>
      </c>
      <c r="B1791" s="9">
        <v>45340</v>
      </c>
      <c r="C1791" s="4" t="s">
        <v>268</v>
      </c>
      <c r="D1791" s="4" t="s">
        <v>1588</v>
      </c>
      <c r="E1791" s="4" t="s">
        <v>1927</v>
      </c>
      <c r="F1791" s="4">
        <v>2</v>
      </c>
      <c r="G1791" s="4">
        <v>803.3</v>
      </c>
      <c r="H1791" s="4">
        <v>0.17</v>
      </c>
      <c r="I1791" s="4" t="s">
        <v>1996</v>
      </c>
      <c r="J1791" s="10">
        <v>1333.4780000000001</v>
      </c>
      <c r="K1791" s="4" t="str">
        <f t="shared" si="189"/>
        <v>18-02-2024</v>
      </c>
      <c r="L1791" s="4" t="str">
        <f>TEXT(Sales_Fact!$B1791,"mmm")</f>
        <v>Feb</v>
      </c>
      <c r="M1791" s="4">
        <f t="shared" si="190"/>
        <v>2</v>
      </c>
      <c r="N1791" s="10">
        <f t="shared" si="191"/>
        <v>803.3</v>
      </c>
      <c r="O1791" s="10">
        <f t="shared" si="192"/>
        <v>1333.4779999999998</v>
      </c>
      <c r="P1791" s="10">
        <f t="shared" si="193"/>
        <v>1606.6</v>
      </c>
      <c r="Q1791" s="3">
        <f t="shared" si="194"/>
        <v>0.17000000000000004</v>
      </c>
      <c r="R1791" s="4" t="str">
        <f>IF(Sales_Fact!$O1791&gt;1000,"High","Low")</f>
        <v>High</v>
      </c>
      <c r="S1791" s="4" t="str">
        <f>VLOOKUP(C1791,Customer_Dim!$A:$N,9,FALSE())</f>
        <v>Amber Mcclain</v>
      </c>
      <c r="T1791" s="4" t="str">
        <f>VLOOKUP(D1791,Product_Dim!$A:$M,3,FALSE())</f>
        <v>Clothing</v>
      </c>
      <c r="U1791" s="11" t="str">
        <f>VLOOKUP(D1791,Product_Dim!$A:$M,2,FALSE())</f>
        <v>Women's Casual Hoodie</v>
      </c>
      <c r="V1791" s="11" t="str">
        <f>VLOOKUP(E1791,Store_Dim!$A:$E,3,FALSE())</f>
        <v>South</v>
      </c>
      <c r="W1791" s="11" t="str">
        <f>VLOOKUP(C1791,Customer_Dim!$A:$N,13,FALSE())</f>
        <v>Silver</v>
      </c>
      <c r="X1791" s="11" t="str">
        <f t="shared" si="195"/>
        <v>Low</v>
      </c>
    </row>
    <row r="1792" spans="1:24" ht="15.75" customHeight="1">
      <c r="A1792" s="4" t="s">
        <v>3788</v>
      </c>
      <c r="B1792" s="9">
        <v>45616</v>
      </c>
      <c r="C1792" s="4" t="s">
        <v>837</v>
      </c>
      <c r="D1792" s="4" t="s">
        <v>1819</v>
      </c>
      <c r="E1792" s="4" t="s">
        <v>1944</v>
      </c>
      <c r="F1792" s="4">
        <v>1</v>
      </c>
      <c r="G1792" s="4">
        <v>363.73</v>
      </c>
      <c r="H1792" s="4">
        <v>0.25</v>
      </c>
      <c r="I1792" s="4" t="s">
        <v>1998</v>
      </c>
      <c r="J1792" s="10">
        <v>272.79750000000001</v>
      </c>
      <c r="K1792" s="4" t="str">
        <f t="shared" si="189"/>
        <v>20-11-2024</v>
      </c>
      <c r="L1792" s="4" t="str">
        <f>TEXT(Sales_Fact!$B1792,"mmm")</f>
        <v>Nov</v>
      </c>
      <c r="M1792" s="4">
        <f t="shared" si="190"/>
        <v>1</v>
      </c>
      <c r="N1792" s="10">
        <f t="shared" si="191"/>
        <v>363.73</v>
      </c>
      <c r="O1792" s="10">
        <f t="shared" si="192"/>
        <v>272.79750000000001</v>
      </c>
      <c r="P1792" s="10">
        <f t="shared" si="193"/>
        <v>363.73</v>
      </c>
      <c r="Q1792" s="3">
        <f t="shared" si="194"/>
        <v>0.25</v>
      </c>
      <c r="R1792" s="4" t="str">
        <f>IF(Sales_Fact!$O1792&gt;1000,"High","Low")</f>
        <v>Low</v>
      </c>
      <c r="S1792" s="4" t="str">
        <f>VLOOKUP(C1792,Customer_Dim!$A:$N,9,FALSE())</f>
        <v>Dr. Ashley Yates Md</v>
      </c>
      <c r="T1792" s="4" t="str">
        <f>VLOOKUP(D1792,Product_Dim!$A:$M,3,FALSE())</f>
        <v>Beauty</v>
      </c>
      <c r="U1792" s="11" t="str">
        <f>VLOOKUP(D1792,Product_Dim!$A:$M,2,FALSE())</f>
        <v>Hair Repair Oil Treatment</v>
      </c>
      <c r="V1792" s="11" t="str">
        <f>VLOOKUP(E1792,Store_Dim!$A:$E,3,FALSE())</f>
        <v>South</v>
      </c>
      <c r="W1792" s="11" t="str">
        <f>VLOOKUP(C1792,Customer_Dim!$A:$N,13,FALSE())</f>
        <v>Bronze</v>
      </c>
      <c r="X1792" s="11" t="str">
        <f t="shared" si="195"/>
        <v>Low</v>
      </c>
    </row>
    <row r="1793" spans="1:24" ht="15.75" customHeight="1">
      <c r="A1793" s="4" t="s">
        <v>3789</v>
      </c>
      <c r="B1793" s="9">
        <v>45447</v>
      </c>
      <c r="C1793" s="4" t="s">
        <v>83</v>
      </c>
      <c r="D1793" s="4" t="s">
        <v>1588</v>
      </c>
      <c r="E1793" s="4" t="s">
        <v>1947</v>
      </c>
      <c r="F1793" s="4">
        <v>4</v>
      </c>
      <c r="G1793" s="4">
        <v>863.87</v>
      </c>
      <c r="H1793" s="4">
        <v>0.21</v>
      </c>
      <c r="I1793" s="4" t="s">
        <v>2004</v>
      </c>
      <c r="J1793" s="10">
        <v>2729.8292000000001</v>
      </c>
      <c r="K1793" s="4" t="str">
        <f t="shared" si="189"/>
        <v>04-06-2024</v>
      </c>
      <c r="L1793" s="4" t="str">
        <f>TEXT(Sales_Fact!$B1793,"mmm")</f>
        <v>Jun</v>
      </c>
      <c r="M1793" s="4">
        <f t="shared" si="190"/>
        <v>4</v>
      </c>
      <c r="N1793" s="10">
        <f t="shared" si="191"/>
        <v>863.87</v>
      </c>
      <c r="O1793" s="10">
        <f t="shared" si="192"/>
        <v>2729.8292000000001</v>
      </c>
      <c r="P1793" s="10">
        <f t="shared" si="193"/>
        <v>3455.48</v>
      </c>
      <c r="Q1793" s="3">
        <f t="shared" si="194"/>
        <v>0.20999999999999996</v>
      </c>
      <c r="R1793" s="4" t="str">
        <f>IF(Sales_Fact!$O1793&gt;1000,"High","Low")</f>
        <v>High</v>
      </c>
      <c r="S1793" s="4" t="str">
        <f>VLOOKUP(C1793,Customer_Dim!$A:$N,9,FALSE())</f>
        <v>Nathan Hernandez</v>
      </c>
      <c r="T1793" s="4" t="str">
        <f>VLOOKUP(D1793,Product_Dim!$A:$M,3,FALSE())</f>
        <v>Clothing</v>
      </c>
      <c r="U1793" s="11" t="str">
        <f>VLOOKUP(D1793,Product_Dim!$A:$M,2,FALSE())</f>
        <v>Women's Casual Hoodie</v>
      </c>
      <c r="V1793" s="11" t="str">
        <f>VLOOKUP(E1793,Store_Dim!$A:$E,3,FALSE())</f>
        <v>East</v>
      </c>
      <c r="W1793" s="11" t="str">
        <f>VLOOKUP(C1793,Customer_Dim!$A:$N,13,FALSE())</f>
        <v>Silver</v>
      </c>
      <c r="X1793" s="11" t="str">
        <f t="shared" si="195"/>
        <v>High</v>
      </c>
    </row>
    <row r="1794" spans="1:24" ht="15.75" customHeight="1">
      <c r="A1794" s="4" t="s">
        <v>3790</v>
      </c>
      <c r="B1794" s="9">
        <v>45513</v>
      </c>
      <c r="C1794" s="4" t="s">
        <v>1475</v>
      </c>
      <c r="D1794" s="4" t="s">
        <v>1846</v>
      </c>
      <c r="E1794" s="4" t="s">
        <v>1968</v>
      </c>
      <c r="F1794" s="4">
        <v>1</v>
      </c>
      <c r="G1794" s="4">
        <v>450.11</v>
      </c>
      <c r="H1794" s="4">
        <v>0.17</v>
      </c>
      <c r="I1794" s="4" t="s">
        <v>1996</v>
      </c>
      <c r="J1794" s="10">
        <v>373.59129999999999</v>
      </c>
      <c r="K1794" s="4" t="str">
        <f t="shared" ref="K1794:K1857" si="196">TEXT(B1794,"dd-mm-yyyy")</f>
        <v>09-08-2024</v>
      </c>
      <c r="L1794" s="4" t="str">
        <f>TEXT(Sales_Fact!$B1794,"mmm")</f>
        <v>Aug</v>
      </c>
      <c r="M1794" s="4">
        <f t="shared" ref="M1794:M1857" si="197">IF(ISBLANK(F1794),1,F1794)</f>
        <v>1</v>
      </c>
      <c r="N1794" s="10">
        <f t="shared" ref="N1794:N1857" si="198">ROUNDUP(IF(ISBLANK(G1794),AVERAGE(C:C,G1794,G:G),G1794),2)</f>
        <v>450.11</v>
      </c>
      <c r="O1794" s="10">
        <f t="shared" ref="O1794:O1857" si="199">M1794*N1794*(1-H1794)</f>
        <v>373.59129999999999</v>
      </c>
      <c r="P1794" s="10">
        <f t="shared" ref="P1794:P1857" si="200">M1794*N1794</f>
        <v>450.11</v>
      </c>
      <c r="Q1794" s="3">
        <f t="shared" ref="Q1794:Q1857" si="201">(P1794-O1794)/P1794</f>
        <v>0.17000000000000004</v>
      </c>
      <c r="R1794" s="4" t="str">
        <f>IF(Sales_Fact!$O1794&gt;1000,"High","Low")</f>
        <v>Low</v>
      </c>
      <c r="S1794" s="4" t="str">
        <f>VLOOKUP(C1794,Customer_Dim!$A:$N,9,FALSE())</f>
        <v>James Foster</v>
      </c>
      <c r="T1794" s="4" t="str">
        <f>VLOOKUP(D1794,Product_Dim!$A:$M,3,FALSE())</f>
        <v>Home</v>
      </c>
      <c r="U1794" s="11" t="str">
        <f>VLOOKUP(D1794,Product_Dim!$A:$M,2,FALSE())</f>
        <v>Wall-Mounted Spice Rack</v>
      </c>
      <c r="V1794" s="11" t="str">
        <f>VLOOKUP(E1794,Store_Dim!$A:$E,3,FALSE())</f>
        <v>East</v>
      </c>
      <c r="W1794" s="11" t="str">
        <f>VLOOKUP(C1794,Customer_Dim!$A:$N,13,FALSE())</f>
        <v>Gold</v>
      </c>
      <c r="X1794" s="11" t="str">
        <f t="shared" ref="X1794:X1857" si="202">IF(F1794&gt;3,"High","Low")</f>
        <v>Low</v>
      </c>
    </row>
    <row r="1795" spans="1:24" ht="15.75" customHeight="1">
      <c r="A1795" s="4" t="s">
        <v>3791</v>
      </c>
      <c r="B1795" s="9">
        <v>45486</v>
      </c>
      <c r="C1795" s="4" t="s">
        <v>768</v>
      </c>
      <c r="D1795" s="4" t="s">
        <v>1809</v>
      </c>
      <c r="E1795" s="4" t="s">
        <v>1955</v>
      </c>
      <c r="F1795" s="4">
        <v>1</v>
      </c>
      <c r="G1795" s="4">
        <v>289.82</v>
      </c>
      <c r="H1795" s="4">
        <v>0.18</v>
      </c>
      <c r="I1795" s="4" t="s">
        <v>2004</v>
      </c>
      <c r="J1795" s="10">
        <v>237.6524</v>
      </c>
      <c r="K1795" s="4" t="str">
        <f t="shared" si="196"/>
        <v>13-07-2024</v>
      </c>
      <c r="L1795" s="4" t="str">
        <f>TEXT(Sales_Fact!$B1795,"mmm")</f>
        <v>Jul</v>
      </c>
      <c r="M1795" s="4">
        <f t="shared" si="197"/>
        <v>1</v>
      </c>
      <c r="N1795" s="10">
        <f t="shared" si="198"/>
        <v>289.82</v>
      </c>
      <c r="O1795" s="10">
        <f t="shared" si="199"/>
        <v>237.6524</v>
      </c>
      <c r="P1795" s="10">
        <f t="shared" si="200"/>
        <v>289.82</v>
      </c>
      <c r="Q1795" s="3">
        <f t="shared" si="201"/>
        <v>0.18</v>
      </c>
      <c r="R1795" s="4" t="str">
        <f>IF(Sales_Fact!$O1795&gt;1000,"High","Low")</f>
        <v>Low</v>
      </c>
      <c r="S1795" s="4" t="str">
        <f>VLOOKUP(C1795,Customer_Dim!$A:$N,9,FALSE())</f>
        <v>Timothy Sanders</v>
      </c>
      <c r="T1795" s="4" t="str">
        <f>VLOOKUP(D1795,Product_Dim!$A:$M,3,FALSE())</f>
        <v>Home</v>
      </c>
      <c r="U1795" s="11" t="str">
        <f>VLOOKUP(D1795,Product_Dim!$A:$M,2,FALSE())</f>
        <v>Wooden Nightstand</v>
      </c>
      <c r="V1795" s="11" t="str">
        <f>VLOOKUP(E1795,Store_Dim!$A:$E,3,FALSE())</f>
        <v>East</v>
      </c>
      <c r="W1795" s="11" t="str">
        <f>VLOOKUP(C1795,Customer_Dim!$A:$N,13,FALSE())</f>
        <v>Bronze</v>
      </c>
      <c r="X1795" s="11" t="str">
        <f t="shared" si="202"/>
        <v>Low</v>
      </c>
    </row>
    <row r="1796" spans="1:24" ht="15.75" customHeight="1">
      <c r="A1796" s="4" t="s">
        <v>3792</v>
      </c>
      <c r="B1796" s="9">
        <v>45890</v>
      </c>
      <c r="C1796" s="4" t="s">
        <v>1078</v>
      </c>
      <c r="D1796" s="4" t="s">
        <v>1767</v>
      </c>
      <c r="E1796" s="4" t="s">
        <v>1947</v>
      </c>
      <c r="F1796" s="4">
        <v>4</v>
      </c>
      <c r="G1796" s="4">
        <v>250.64</v>
      </c>
      <c r="H1796" s="4">
        <v>0.1</v>
      </c>
      <c r="I1796" s="4" t="s">
        <v>1998</v>
      </c>
      <c r="J1796" s="10">
        <v>902.30399999999997</v>
      </c>
      <c r="K1796" s="4" t="str">
        <f t="shared" si="196"/>
        <v>21-08-2025</v>
      </c>
      <c r="L1796" s="4" t="str">
        <f>TEXT(Sales_Fact!$B1796,"mmm")</f>
        <v>Aug</v>
      </c>
      <c r="M1796" s="4">
        <f t="shared" si="197"/>
        <v>4</v>
      </c>
      <c r="N1796" s="10">
        <f t="shared" si="198"/>
        <v>250.64</v>
      </c>
      <c r="O1796" s="10">
        <f t="shared" si="199"/>
        <v>902.30399999999997</v>
      </c>
      <c r="P1796" s="10">
        <f t="shared" si="200"/>
        <v>1002.56</v>
      </c>
      <c r="Q1796" s="3">
        <f t="shared" si="201"/>
        <v>9.9999999999999978E-2</v>
      </c>
      <c r="R1796" s="4" t="str">
        <f>IF(Sales_Fact!$O1796&gt;1000,"High","Low")</f>
        <v>Low</v>
      </c>
      <c r="S1796" s="4" t="str">
        <f>VLOOKUP(C1796,Customer_Dim!$A:$N,9,FALSE())</f>
        <v>Mr. Christopher Sims</v>
      </c>
      <c r="T1796" s="4" t="str">
        <f>VLOOKUP(D1796,Product_Dim!$A:$M,3,FALSE())</f>
        <v>Sports</v>
      </c>
      <c r="U1796" s="11" t="str">
        <f>VLOOKUP(D1796,Product_Dim!$A:$M,2,FALSE())</f>
        <v>Sports Stopwatch Pro</v>
      </c>
      <c r="V1796" s="11" t="str">
        <f>VLOOKUP(E1796,Store_Dim!$A:$E,3,FALSE())</f>
        <v>East</v>
      </c>
      <c r="W1796" s="11" t="str">
        <f>VLOOKUP(C1796,Customer_Dim!$A:$N,13,FALSE())</f>
        <v>Silver</v>
      </c>
      <c r="X1796" s="11" t="str">
        <f t="shared" si="202"/>
        <v>High</v>
      </c>
    </row>
    <row r="1797" spans="1:24" ht="15.75" customHeight="1">
      <c r="A1797" s="4" t="s">
        <v>3793</v>
      </c>
      <c r="B1797" s="9">
        <v>45876</v>
      </c>
      <c r="C1797" s="4" t="s">
        <v>939</v>
      </c>
      <c r="D1797" s="4" t="s">
        <v>1813</v>
      </c>
      <c r="E1797" s="4" t="s">
        <v>1971</v>
      </c>
      <c r="F1797" s="4">
        <v>4</v>
      </c>
      <c r="G1797" s="4">
        <v>373.49</v>
      </c>
      <c r="H1797" s="4">
        <v>0.16</v>
      </c>
      <c r="I1797" s="4" t="s">
        <v>2004</v>
      </c>
      <c r="J1797" s="10">
        <v>1254.9264000000001</v>
      </c>
      <c r="K1797" s="4" t="str">
        <f t="shared" si="196"/>
        <v>07-08-2025</v>
      </c>
      <c r="L1797" s="4" t="str">
        <f>TEXT(Sales_Fact!$B1797,"mmm")</f>
        <v>Aug</v>
      </c>
      <c r="M1797" s="4">
        <f t="shared" si="197"/>
        <v>4</v>
      </c>
      <c r="N1797" s="10">
        <f t="shared" si="198"/>
        <v>373.49</v>
      </c>
      <c r="O1797" s="10">
        <f t="shared" si="199"/>
        <v>1254.9264000000001</v>
      </c>
      <c r="P1797" s="10">
        <f t="shared" si="200"/>
        <v>1493.96</v>
      </c>
      <c r="Q1797" s="3">
        <f t="shared" si="201"/>
        <v>0.15999999999999998</v>
      </c>
      <c r="R1797" s="4" t="str">
        <f>IF(Sales_Fact!$O1797&gt;1000,"High","Low")</f>
        <v>High</v>
      </c>
      <c r="S1797" s="4" t="str">
        <f>VLOOKUP(C1797,Customer_Dim!$A:$N,9,FALSE())</f>
        <v>Cynthia Roberts</v>
      </c>
      <c r="T1797" s="4" t="str">
        <f>VLOOKUP(D1797,Product_Dim!$A:$M,3,FALSE())</f>
        <v>Clothing</v>
      </c>
      <c r="U1797" s="11" t="str">
        <f>VLOOKUP(D1797,Product_Dim!$A:$M,2,FALSE())</f>
        <v>Men's Sports Shorts</v>
      </c>
      <c r="V1797" s="11" t="str">
        <f>VLOOKUP(E1797,Store_Dim!$A:$E,3,FALSE())</f>
        <v>East</v>
      </c>
      <c r="W1797" s="11" t="str">
        <f>VLOOKUP(C1797,Customer_Dim!$A:$N,13,FALSE())</f>
        <v>Gold</v>
      </c>
      <c r="X1797" s="11" t="str">
        <f t="shared" si="202"/>
        <v>High</v>
      </c>
    </row>
    <row r="1798" spans="1:24" ht="15.75" customHeight="1">
      <c r="A1798" s="4" t="s">
        <v>3794</v>
      </c>
      <c r="B1798" s="9">
        <v>45398</v>
      </c>
      <c r="C1798" s="4" t="s">
        <v>265</v>
      </c>
      <c r="D1798" s="4" t="s">
        <v>1592</v>
      </c>
      <c r="E1798" s="4" t="s">
        <v>1944</v>
      </c>
      <c r="F1798" s="4">
        <v>4</v>
      </c>
      <c r="G1798" s="4">
        <v>348.91</v>
      </c>
      <c r="H1798" s="4">
        <v>0.18</v>
      </c>
      <c r="I1798" s="4" t="s">
        <v>1998</v>
      </c>
      <c r="J1798" s="10">
        <v>1144.4248</v>
      </c>
      <c r="K1798" s="4" t="str">
        <f t="shared" si="196"/>
        <v>16-04-2024</v>
      </c>
      <c r="L1798" s="4" t="str">
        <f>TEXT(Sales_Fact!$B1798,"mmm")</f>
        <v>Apr</v>
      </c>
      <c r="M1798" s="4">
        <f t="shared" si="197"/>
        <v>4</v>
      </c>
      <c r="N1798" s="10">
        <f t="shared" si="198"/>
        <v>348.91</v>
      </c>
      <c r="O1798" s="10">
        <f t="shared" si="199"/>
        <v>1144.4248000000002</v>
      </c>
      <c r="P1798" s="10">
        <f t="shared" si="200"/>
        <v>1395.64</v>
      </c>
      <c r="Q1798" s="3">
        <f t="shared" si="201"/>
        <v>0.17999999999999988</v>
      </c>
      <c r="R1798" s="4" t="str">
        <f>IF(Sales_Fact!$O1798&gt;1000,"High","Low")</f>
        <v>High</v>
      </c>
      <c r="S1798" s="4" t="str">
        <f>VLOOKUP(C1798,Customer_Dim!$A:$N,9,FALSE())</f>
        <v>Cody Diaz</v>
      </c>
      <c r="T1798" s="4" t="str">
        <f>VLOOKUP(D1798,Product_Dim!$A:$M,3,FALSE())</f>
        <v>Clothing</v>
      </c>
      <c r="U1798" s="11" t="str">
        <f>VLOOKUP(D1798,Product_Dim!$A:$M,2,FALSE())</f>
        <v>Men's Running Jacket</v>
      </c>
      <c r="V1798" s="11" t="str">
        <f>VLOOKUP(E1798,Store_Dim!$A:$E,3,FALSE())</f>
        <v>South</v>
      </c>
      <c r="W1798" s="11" t="str">
        <f>VLOOKUP(C1798,Customer_Dim!$A:$N,13,FALSE())</f>
        <v>Silver</v>
      </c>
      <c r="X1798" s="11" t="str">
        <f t="shared" si="202"/>
        <v>High</v>
      </c>
    </row>
    <row r="1799" spans="1:24" ht="15.75" customHeight="1">
      <c r="A1799" s="4" t="s">
        <v>3795</v>
      </c>
      <c r="B1799" s="9">
        <v>45390</v>
      </c>
      <c r="C1799" s="4" t="s">
        <v>408</v>
      </c>
      <c r="D1799" s="4" t="s">
        <v>1888</v>
      </c>
      <c r="E1799" s="4" t="s">
        <v>1965</v>
      </c>
      <c r="F1799" s="4">
        <v>4</v>
      </c>
      <c r="G1799" s="4">
        <v>212.96</v>
      </c>
      <c r="H1799" s="4">
        <v>0.17</v>
      </c>
      <c r="I1799" s="4" t="s">
        <v>1996</v>
      </c>
      <c r="J1799" s="10">
        <v>707.02719999999999</v>
      </c>
      <c r="K1799" s="4" t="str">
        <f t="shared" si="196"/>
        <v>08-04-2024</v>
      </c>
      <c r="L1799" s="4" t="str">
        <f>TEXT(Sales_Fact!$B1799,"mmm")</f>
        <v>Apr</v>
      </c>
      <c r="M1799" s="4">
        <f t="shared" si="197"/>
        <v>4</v>
      </c>
      <c r="N1799" s="10">
        <f t="shared" si="198"/>
        <v>212.96</v>
      </c>
      <c r="O1799" s="10">
        <f t="shared" si="199"/>
        <v>707.02719999999999</v>
      </c>
      <c r="P1799" s="10">
        <f t="shared" si="200"/>
        <v>851.84</v>
      </c>
      <c r="Q1799" s="3">
        <f t="shared" si="201"/>
        <v>0.17000000000000004</v>
      </c>
      <c r="R1799" s="4" t="str">
        <f>IF(Sales_Fact!$O1799&gt;1000,"High","Low")</f>
        <v>Low</v>
      </c>
      <c r="S1799" s="4" t="str">
        <f>VLOOKUP(C1799,Customer_Dim!$A:$N,9,FALSE())</f>
        <v>Ashley Griffin</v>
      </c>
      <c r="T1799" s="4" t="str">
        <f>VLOOKUP(D1799,Product_Dim!$A:$M,3,FALSE())</f>
        <v>Beauty</v>
      </c>
      <c r="U1799" s="11" t="str">
        <f>VLOOKUP(D1799,Product_Dim!$A:$M,2,FALSE())</f>
        <v>Vitamin E Body Lotion</v>
      </c>
      <c r="V1799" s="11" t="str">
        <f>VLOOKUP(E1799,Store_Dim!$A:$E,3,FALSE())</f>
        <v>North</v>
      </c>
      <c r="W1799" s="11" t="str">
        <f>VLOOKUP(C1799,Customer_Dim!$A:$N,13,FALSE())</f>
        <v>Gold</v>
      </c>
      <c r="X1799" s="11" t="str">
        <f t="shared" si="202"/>
        <v>High</v>
      </c>
    </row>
    <row r="1800" spans="1:24" ht="15.75" customHeight="1">
      <c r="A1800" s="4" t="s">
        <v>3796</v>
      </c>
      <c r="B1800" s="9">
        <v>45406</v>
      </c>
      <c r="C1800" s="4" t="s">
        <v>650</v>
      </c>
      <c r="D1800" s="4" t="s">
        <v>1681</v>
      </c>
      <c r="E1800" s="4" t="s">
        <v>1971</v>
      </c>
      <c r="F1800" s="4">
        <v>3</v>
      </c>
      <c r="G1800" s="4">
        <v>871.34</v>
      </c>
      <c r="H1800" s="4">
        <v>0.11</v>
      </c>
      <c r="I1800" s="4" t="s">
        <v>2004</v>
      </c>
      <c r="J1800" s="10">
        <v>2326.4778000000001</v>
      </c>
      <c r="K1800" s="4" t="str">
        <f t="shared" si="196"/>
        <v>24-04-2024</v>
      </c>
      <c r="L1800" s="4" t="str">
        <f>TEXT(Sales_Fact!$B1800,"mmm")</f>
        <v>Apr</v>
      </c>
      <c r="M1800" s="4">
        <f t="shared" si="197"/>
        <v>3</v>
      </c>
      <c r="N1800" s="10">
        <f t="shared" si="198"/>
        <v>871.34</v>
      </c>
      <c r="O1800" s="10">
        <f t="shared" si="199"/>
        <v>2326.4778000000001</v>
      </c>
      <c r="P1800" s="10">
        <f t="shared" si="200"/>
        <v>2614.02</v>
      </c>
      <c r="Q1800" s="3">
        <f t="shared" si="201"/>
        <v>0.10999999999999995</v>
      </c>
      <c r="R1800" s="4" t="str">
        <f>IF(Sales_Fact!$O1800&gt;1000,"High","Low")</f>
        <v>High</v>
      </c>
      <c r="S1800" s="4" t="str">
        <f>VLOOKUP(C1800,Customer_Dim!$A:$N,9,FALSE())</f>
        <v>Christopher Stewart</v>
      </c>
      <c r="T1800" s="4" t="str">
        <f>VLOOKUP(D1800,Product_Dim!$A:$M,3,FALSE())</f>
        <v>Home</v>
      </c>
      <c r="U1800" s="11" t="str">
        <f>VLOOKUP(D1800,Product_Dim!$A:$M,2,FALSE())</f>
        <v>Decorative Floor Vase</v>
      </c>
      <c r="V1800" s="11" t="str">
        <f>VLOOKUP(E1800,Store_Dim!$A:$E,3,FALSE())</f>
        <v>East</v>
      </c>
      <c r="W1800" s="11" t="str">
        <f>VLOOKUP(C1800,Customer_Dim!$A:$N,13,FALSE())</f>
        <v>Bronze</v>
      </c>
      <c r="X1800" s="11" t="str">
        <f t="shared" si="202"/>
        <v>Low</v>
      </c>
    </row>
    <row r="1801" spans="1:24" ht="15.75" customHeight="1">
      <c r="A1801" s="4" t="s">
        <v>3797</v>
      </c>
      <c r="B1801" s="9">
        <v>45844</v>
      </c>
      <c r="C1801" s="4" t="s">
        <v>377</v>
      </c>
      <c r="D1801" s="4" t="s">
        <v>1888</v>
      </c>
      <c r="E1801" s="4" t="s">
        <v>1910</v>
      </c>
      <c r="F1801" s="4">
        <v>2</v>
      </c>
      <c r="G1801" s="4">
        <v>698.94</v>
      </c>
      <c r="H1801" s="4">
        <v>0.06</v>
      </c>
      <c r="I1801" s="4" t="s">
        <v>1996</v>
      </c>
      <c r="J1801" s="10">
        <v>1314.0072</v>
      </c>
      <c r="K1801" s="4" t="str">
        <f t="shared" si="196"/>
        <v>06-07-2025</v>
      </c>
      <c r="L1801" s="4" t="str">
        <f>TEXT(Sales_Fact!$B1801,"mmm")</f>
        <v>Jul</v>
      </c>
      <c r="M1801" s="4">
        <f t="shared" si="197"/>
        <v>2</v>
      </c>
      <c r="N1801" s="10">
        <f t="shared" si="198"/>
        <v>698.94</v>
      </c>
      <c r="O1801" s="10">
        <f t="shared" si="199"/>
        <v>1314.0072</v>
      </c>
      <c r="P1801" s="10">
        <f t="shared" si="200"/>
        <v>1397.88</v>
      </c>
      <c r="Q1801" s="3">
        <f t="shared" si="201"/>
        <v>6.0000000000000067E-2</v>
      </c>
      <c r="R1801" s="4" t="str">
        <f>IF(Sales_Fact!$O1801&gt;1000,"High","Low")</f>
        <v>High</v>
      </c>
      <c r="S1801" s="4" t="str">
        <f>VLOOKUP(C1801,Customer_Dim!$A:$N,9,FALSE())</f>
        <v>Diane Watson</v>
      </c>
      <c r="T1801" s="4" t="str">
        <f>VLOOKUP(D1801,Product_Dim!$A:$M,3,FALSE())</f>
        <v>Beauty</v>
      </c>
      <c r="U1801" s="11" t="str">
        <f>VLOOKUP(D1801,Product_Dim!$A:$M,2,FALSE())</f>
        <v>Vitamin E Body Lotion</v>
      </c>
      <c r="V1801" s="11" t="str">
        <f>VLOOKUP(E1801,Store_Dim!$A:$E,3,FALSE())</f>
        <v>East</v>
      </c>
      <c r="W1801" s="11" t="str">
        <f>VLOOKUP(C1801,Customer_Dim!$A:$N,13,FALSE())</f>
        <v>Platinum</v>
      </c>
      <c r="X1801" s="11" t="str">
        <f t="shared" si="202"/>
        <v>Low</v>
      </c>
    </row>
    <row r="1802" spans="1:24" ht="15.75" customHeight="1">
      <c r="A1802" s="4" t="s">
        <v>3798</v>
      </c>
      <c r="B1802" s="9">
        <v>45697</v>
      </c>
      <c r="C1802" s="4" t="s">
        <v>1024</v>
      </c>
      <c r="D1802" s="4" t="s">
        <v>1828</v>
      </c>
      <c r="E1802" s="4" t="s">
        <v>1910</v>
      </c>
      <c r="F1802" s="4">
        <v>1</v>
      </c>
      <c r="G1802" s="4">
        <v>719.94</v>
      </c>
      <c r="H1802" s="4">
        <v>0.23</v>
      </c>
      <c r="I1802" s="4" t="s">
        <v>2004</v>
      </c>
      <c r="J1802" s="10">
        <v>554.35379999999998</v>
      </c>
      <c r="K1802" s="4" t="str">
        <f t="shared" si="196"/>
        <v>09-02-2025</v>
      </c>
      <c r="L1802" s="4" t="str">
        <f>TEXT(Sales_Fact!$B1802,"mmm")</f>
        <v>Feb</v>
      </c>
      <c r="M1802" s="4">
        <f t="shared" si="197"/>
        <v>1</v>
      </c>
      <c r="N1802" s="10">
        <f t="shared" si="198"/>
        <v>719.94</v>
      </c>
      <c r="O1802" s="10">
        <f t="shared" si="199"/>
        <v>554.35380000000009</v>
      </c>
      <c r="P1802" s="10">
        <f t="shared" si="200"/>
        <v>719.94</v>
      </c>
      <c r="Q1802" s="3">
        <f t="shared" si="201"/>
        <v>0.22999999999999993</v>
      </c>
      <c r="R1802" s="4" t="str">
        <f>IF(Sales_Fact!$O1802&gt;1000,"High","Low")</f>
        <v>Low</v>
      </c>
      <c r="S1802" s="4" t="str">
        <f>VLOOKUP(C1802,Customer_Dim!$A:$N,9,FALSE())</f>
        <v>Robert House</v>
      </c>
      <c r="T1802" s="4" t="str">
        <f>VLOOKUP(D1802,Product_Dim!$A:$M,3,FALSE())</f>
        <v>Electronics</v>
      </c>
      <c r="U1802" s="11" t="str">
        <f>VLOOKUP(D1802,Product_Dim!$A:$M,2,FALSE())</f>
        <v>Bluetooth Car Audio System</v>
      </c>
      <c r="V1802" s="11" t="str">
        <f>VLOOKUP(E1802,Store_Dim!$A:$E,3,FALSE())</f>
        <v>East</v>
      </c>
      <c r="W1802" s="11" t="str">
        <f>VLOOKUP(C1802,Customer_Dim!$A:$N,13,FALSE())</f>
        <v>Gold</v>
      </c>
      <c r="X1802" s="11" t="str">
        <f t="shared" si="202"/>
        <v>Low</v>
      </c>
    </row>
    <row r="1803" spans="1:24" ht="15.75" customHeight="1">
      <c r="A1803" s="4" t="s">
        <v>3799</v>
      </c>
      <c r="B1803" s="9">
        <v>45518</v>
      </c>
      <c r="C1803" s="4" t="s">
        <v>1210</v>
      </c>
      <c r="D1803" s="4" t="s">
        <v>1879</v>
      </c>
      <c r="E1803" s="4" t="s">
        <v>1965</v>
      </c>
      <c r="F1803" s="4">
        <v>2</v>
      </c>
      <c r="G1803" s="4">
        <v>601.33000000000004</v>
      </c>
      <c r="H1803" s="4">
        <v>0.16</v>
      </c>
      <c r="I1803" s="4" t="s">
        <v>1998</v>
      </c>
      <c r="J1803" s="10">
        <v>1010.2344000000001</v>
      </c>
      <c r="K1803" s="4" t="str">
        <f t="shared" si="196"/>
        <v>14-08-2024</v>
      </c>
      <c r="L1803" s="4" t="str">
        <f>TEXT(Sales_Fact!$B1803,"mmm")</f>
        <v>Aug</v>
      </c>
      <c r="M1803" s="4">
        <f t="shared" si="197"/>
        <v>2</v>
      </c>
      <c r="N1803" s="10">
        <f t="shared" si="198"/>
        <v>601.33000000000004</v>
      </c>
      <c r="O1803" s="10">
        <f t="shared" si="199"/>
        <v>1010.2344000000001</v>
      </c>
      <c r="P1803" s="10">
        <f t="shared" si="200"/>
        <v>1202.6600000000001</v>
      </c>
      <c r="Q1803" s="3">
        <f t="shared" si="201"/>
        <v>0.16</v>
      </c>
      <c r="R1803" s="4" t="str">
        <f>IF(Sales_Fact!$O1803&gt;1000,"High","Low")</f>
        <v>High</v>
      </c>
      <c r="S1803" s="4" t="str">
        <f>VLOOKUP(C1803,Customer_Dim!$A:$N,9,FALSE())</f>
        <v>Frank Stewart</v>
      </c>
      <c r="T1803" s="4" t="str">
        <f>VLOOKUP(D1803,Product_Dim!$A:$M,3,FALSE())</f>
        <v>Clothing</v>
      </c>
      <c r="U1803" s="11" t="str">
        <f>VLOOKUP(D1803,Product_Dim!$A:$M,2,FALSE())</f>
        <v>Women's High Heels</v>
      </c>
      <c r="V1803" s="11" t="str">
        <f>VLOOKUP(E1803,Store_Dim!$A:$E,3,FALSE())</f>
        <v>North</v>
      </c>
      <c r="W1803" s="11" t="str">
        <f>VLOOKUP(C1803,Customer_Dim!$A:$N,13,FALSE())</f>
        <v>Bronze</v>
      </c>
      <c r="X1803" s="11" t="str">
        <f t="shared" si="202"/>
        <v>Low</v>
      </c>
    </row>
    <row r="1804" spans="1:24" ht="15.75" customHeight="1">
      <c r="A1804" s="4" t="s">
        <v>3800</v>
      </c>
      <c r="B1804" s="9">
        <v>45607</v>
      </c>
      <c r="C1804" s="4" t="s">
        <v>55</v>
      </c>
      <c r="D1804" s="4" t="s">
        <v>1684</v>
      </c>
      <c r="E1804" s="4" t="s">
        <v>1927</v>
      </c>
      <c r="F1804" s="4">
        <v>2</v>
      </c>
      <c r="G1804" s="4">
        <v>278.16000000000003</v>
      </c>
      <c r="H1804" s="4">
        <v>0.22</v>
      </c>
      <c r="I1804" s="4" t="s">
        <v>1998</v>
      </c>
      <c r="J1804" s="10">
        <v>433.92959999999999</v>
      </c>
      <c r="K1804" s="4" t="str">
        <f t="shared" si="196"/>
        <v>11-11-2024</v>
      </c>
      <c r="L1804" s="4" t="str">
        <f>TEXT(Sales_Fact!$B1804,"mmm")</f>
        <v>Nov</v>
      </c>
      <c r="M1804" s="4">
        <f t="shared" si="197"/>
        <v>2</v>
      </c>
      <c r="N1804" s="10">
        <f t="shared" si="198"/>
        <v>278.16000000000003</v>
      </c>
      <c r="O1804" s="10">
        <f t="shared" si="199"/>
        <v>433.92960000000005</v>
      </c>
      <c r="P1804" s="10">
        <f t="shared" si="200"/>
        <v>556.32000000000005</v>
      </c>
      <c r="Q1804" s="3">
        <f t="shared" si="201"/>
        <v>0.21999999999999997</v>
      </c>
      <c r="R1804" s="4" t="str">
        <f>IF(Sales_Fact!$O1804&gt;1000,"High","Low")</f>
        <v>Low</v>
      </c>
      <c r="S1804" s="4" t="str">
        <f>VLOOKUP(C1804,Customer_Dim!$A:$N,9,FALSE())</f>
        <v>Amber Jackson</v>
      </c>
      <c r="T1804" s="4" t="str">
        <f>VLOOKUP(D1804,Product_Dim!$A:$M,3,FALSE())</f>
        <v>Sports</v>
      </c>
      <c r="U1804" s="11" t="str">
        <f>VLOOKUP(D1804,Product_Dim!$A:$M,2,FALSE())</f>
        <v>Sports Stopwatch Timer</v>
      </c>
      <c r="V1804" s="11" t="str">
        <f>VLOOKUP(E1804,Store_Dim!$A:$E,3,FALSE())</f>
        <v>South</v>
      </c>
      <c r="W1804" s="11" t="str">
        <f>VLOOKUP(C1804,Customer_Dim!$A:$N,13,FALSE())</f>
        <v>Platinum</v>
      </c>
      <c r="X1804" s="11" t="str">
        <f t="shared" si="202"/>
        <v>Low</v>
      </c>
    </row>
    <row r="1805" spans="1:24" ht="15.75" customHeight="1">
      <c r="A1805" s="4" t="s">
        <v>3801</v>
      </c>
      <c r="B1805" s="9">
        <v>45307</v>
      </c>
      <c r="C1805" s="4" t="s">
        <v>223</v>
      </c>
      <c r="D1805" s="4" t="s">
        <v>1751</v>
      </c>
      <c r="E1805" s="4" t="s">
        <v>1931</v>
      </c>
      <c r="F1805" s="4">
        <v>1</v>
      </c>
      <c r="G1805" s="4">
        <v>678.9</v>
      </c>
      <c r="H1805" s="4">
        <v>0.17</v>
      </c>
      <c r="I1805" s="4" t="s">
        <v>1996</v>
      </c>
      <c r="J1805" s="10">
        <v>563.48699999999997</v>
      </c>
      <c r="K1805" s="4" t="str">
        <f t="shared" si="196"/>
        <v>16-01-2024</v>
      </c>
      <c r="L1805" s="4" t="str">
        <f>TEXT(Sales_Fact!$B1805,"mmm")</f>
        <v>Jan</v>
      </c>
      <c r="M1805" s="4">
        <f t="shared" si="197"/>
        <v>1</v>
      </c>
      <c r="N1805" s="10">
        <f t="shared" si="198"/>
        <v>678.9</v>
      </c>
      <c r="O1805" s="10">
        <f t="shared" si="199"/>
        <v>563.48699999999997</v>
      </c>
      <c r="P1805" s="10">
        <f t="shared" si="200"/>
        <v>678.9</v>
      </c>
      <c r="Q1805" s="3">
        <f t="shared" si="201"/>
        <v>0.17</v>
      </c>
      <c r="R1805" s="4" t="str">
        <f>IF(Sales_Fact!$O1805&gt;1000,"High","Low")</f>
        <v>Low</v>
      </c>
      <c r="S1805" s="4" t="str">
        <f>VLOOKUP(C1805,Customer_Dim!$A:$N,9,FALSE())</f>
        <v>Sharon Brown</v>
      </c>
      <c r="T1805" s="4" t="str">
        <f>VLOOKUP(D1805,Product_Dim!$A:$M,3,FALSE())</f>
        <v>Beauty</v>
      </c>
      <c r="U1805" s="11" t="str">
        <f>VLOOKUP(D1805,Product_Dim!$A:$M,2,FALSE())</f>
        <v>Men's Roll-On Perfume</v>
      </c>
      <c r="V1805" s="11" t="str">
        <f>VLOOKUP(E1805,Store_Dim!$A:$E,3,FALSE())</f>
        <v>North</v>
      </c>
      <c r="W1805" s="11" t="str">
        <f>VLOOKUP(C1805,Customer_Dim!$A:$N,13,FALSE())</f>
        <v>Gold</v>
      </c>
      <c r="X1805" s="11" t="str">
        <f t="shared" si="202"/>
        <v>Low</v>
      </c>
    </row>
    <row r="1806" spans="1:24" ht="15.75" customHeight="1">
      <c r="A1806" s="4" t="s">
        <v>3802</v>
      </c>
      <c r="B1806" s="9">
        <v>45520</v>
      </c>
      <c r="C1806" s="4" t="s">
        <v>91</v>
      </c>
      <c r="D1806" s="4" t="s">
        <v>1675</v>
      </c>
      <c r="E1806" s="4" t="s">
        <v>1959</v>
      </c>
      <c r="F1806" s="4">
        <v>4</v>
      </c>
      <c r="G1806" s="4">
        <v>94.13</v>
      </c>
      <c r="H1806" s="4">
        <v>0.15</v>
      </c>
      <c r="I1806" s="4" t="s">
        <v>1996</v>
      </c>
      <c r="J1806" s="10">
        <v>320.04199999999997</v>
      </c>
      <c r="K1806" s="4" t="str">
        <f t="shared" si="196"/>
        <v>16-08-2024</v>
      </c>
      <c r="L1806" s="4" t="str">
        <f>TEXT(Sales_Fact!$B1806,"mmm")</f>
        <v>Aug</v>
      </c>
      <c r="M1806" s="4">
        <f t="shared" si="197"/>
        <v>4</v>
      </c>
      <c r="N1806" s="10">
        <f t="shared" si="198"/>
        <v>94.13</v>
      </c>
      <c r="O1806" s="10">
        <f t="shared" si="199"/>
        <v>320.04199999999997</v>
      </c>
      <c r="P1806" s="10">
        <f t="shared" si="200"/>
        <v>376.52</v>
      </c>
      <c r="Q1806" s="3">
        <f t="shared" si="201"/>
        <v>0.15000000000000002</v>
      </c>
      <c r="R1806" s="4" t="str">
        <f>IF(Sales_Fact!$O1806&gt;1000,"High","Low")</f>
        <v>Low</v>
      </c>
      <c r="S1806" s="4" t="str">
        <f>VLOOKUP(C1806,Customer_Dim!$A:$N,9,FALSE())</f>
        <v>Laura Alvarez</v>
      </c>
      <c r="T1806" s="4" t="str">
        <f>VLOOKUP(D1806,Product_Dim!$A:$M,3,FALSE())</f>
        <v>Clothing</v>
      </c>
      <c r="U1806" s="11" t="str">
        <f>VLOOKUP(D1806,Product_Dim!$A:$M,2,FALSE())</f>
        <v>Women's Scarf Set</v>
      </c>
      <c r="V1806" s="11" t="str">
        <f>VLOOKUP(E1806,Store_Dim!$A:$E,3,FALSE())</f>
        <v>North</v>
      </c>
      <c r="W1806" s="11" t="str">
        <f>VLOOKUP(C1806,Customer_Dim!$A:$N,13,FALSE())</f>
        <v>Platinum</v>
      </c>
      <c r="X1806" s="11" t="str">
        <f t="shared" si="202"/>
        <v>High</v>
      </c>
    </row>
    <row r="1807" spans="1:24" ht="15.75" customHeight="1">
      <c r="A1807" s="4" t="s">
        <v>3803</v>
      </c>
      <c r="B1807" s="9">
        <v>45933</v>
      </c>
      <c r="C1807" s="4" t="s">
        <v>1394</v>
      </c>
      <c r="D1807" s="4" t="s">
        <v>1735</v>
      </c>
      <c r="E1807" s="4" t="s">
        <v>1915</v>
      </c>
      <c r="F1807" s="4">
        <v>4</v>
      </c>
      <c r="G1807" s="4">
        <v>415.02</v>
      </c>
      <c r="H1807" s="4">
        <v>0.01</v>
      </c>
      <c r="I1807" s="4" t="s">
        <v>1998</v>
      </c>
      <c r="J1807" s="10">
        <v>1643.4792</v>
      </c>
      <c r="K1807" s="4" t="str">
        <f t="shared" si="196"/>
        <v>03-10-2025</v>
      </c>
      <c r="L1807" s="4" t="str">
        <f>TEXT(Sales_Fact!$B1807,"mmm")</f>
        <v>Oct</v>
      </c>
      <c r="M1807" s="4">
        <f t="shared" si="197"/>
        <v>4</v>
      </c>
      <c r="N1807" s="10">
        <f t="shared" si="198"/>
        <v>415.02</v>
      </c>
      <c r="O1807" s="10">
        <f t="shared" si="199"/>
        <v>1643.4792</v>
      </c>
      <c r="P1807" s="10">
        <f t="shared" si="200"/>
        <v>1660.08</v>
      </c>
      <c r="Q1807" s="3">
        <f t="shared" si="201"/>
        <v>9.999999999999962E-3</v>
      </c>
      <c r="R1807" s="4" t="str">
        <f>IF(Sales_Fact!$O1807&gt;1000,"High","Low")</f>
        <v>High</v>
      </c>
      <c r="S1807" s="4" t="str">
        <f>VLOOKUP(C1807,Customer_Dim!$A:$N,9,FALSE())</f>
        <v>Dalton Walters</v>
      </c>
      <c r="T1807" s="4" t="str">
        <f>VLOOKUP(D1807,Product_Dim!$A:$M,3,FALSE())</f>
        <v>Sports</v>
      </c>
      <c r="U1807" s="11" t="str">
        <f>VLOOKUP(D1807,Product_Dim!$A:$M,2,FALSE())</f>
        <v>Adjustable Jump Rope</v>
      </c>
      <c r="V1807" s="11" t="str">
        <f>VLOOKUP(E1807,Store_Dim!$A:$E,3,FALSE())</f>
        <v>North</v>
      </c>
      <c r="W1807" s="11" t="str">
        <f>VLOOKUP(C1807,Customer_Dim!$A:$N,13,FALSE())</f>
        <v>Silver</v>
      </c>
      <c r="X1807" s="11" t="str">
        <f t="shared" si="202"/>
        <v>High</v>
      </c>
    </row>
    <row r="1808" spans="1:24" ht="15.75" customHeight="1">
      <c r="A1808" s="4" t="s">
        <v>3804</v>
      </c>
      <c r="B1808" s="9">
        <v>45841</v>
      </c>
      <c r="C1808" s="4" t="s">
        <v>216</v>
      </c>
      <c r="D1808" s="4" t="s">
        <v>1626</v>
      </c>
      <c r="E1808" s="4" t="s">
        <v>1927</v>
      </c>
      <c r="F1808" s="4">
        <v>4</v>
      </c>
      <c r="G1808" s="4">
        <v>780.07</v>
      </c>
      <c r="H1808" s="4">
        <v>0.03</v>
      </c>
      <c r="I1808" s="4" t="s">
        <v>1996</v>
      </c>
      <c r="J1808" s="10">
        <v>3026.6716000000001</v>
      </c>
      <c r="K1808" s="4" t="str">
        <f t="shared" si="196"/>
        <v>03-07-2025</v>
      </c>
      <c r="L1808" s="4" t="str">
        <f>TEXT(Sales_Fact!$B1808,"mmm")</f>
        <v>Jul</v>
      </c>
      <c r="M1808" s="4">
        <f t="shared" si="197"/>
        <v>4</v>
      </c>
      <c r="N1808" s="10">
        <f t="shared" si="198"/>
        <v>780.07</v>
      </c>
      <c r="O1808" s="10">
        <f t="shared" si="199"/>
        <v>3026.6716000000001</v>
      </c>
      <c r="P1808" s="10">
        <f t="shared" si="200"/>
        <v>3120.28</v>
      </c>
      <c r="Q1808" s="3">
        <f t="shared" si="201"/>
        <v>3.0000000000000023E-2</v>
      </c>
      <c r="R1808" s="4" t="str">
        <f>IF(Sales_Fact!$O1808&gt;1000,"High","Low")</f>
        <v>High</v>
      </c>
      <c r="S1808" s="4" t="str">
        <f>VLOOKUP(C1808,Customer_Dim!$A:$N,9,FALSE())</f>
        <v>Sarah Rodgers</v>
      </c>
      <c r="T1808" s="4" t="str">
        <f>VLOOKUP(D1808,Product_Dim!$A:$M,3,FALSE())</f>
        <v>Electronics</v>
      </c>
      <c r="U1808" s="11" t="str">
        <f>VLOOKUP(D1808,Product_Dim!$A:$M,2,FALSE())</f>
        <v>HD Smart TV Stick</v>
      </c>
      <c r="V1808" s="11" t="str">
        <f>VLOOKUP(E1808,Store_Dim!$A:$E,3,FALSE())</f>
        <v>South</v>
      </c>
      <c r="W1808" s="11" t="str">
        <f>VLOOKUP(C1808,Customer_Dim!$A:$N,13,FALSE())</f>
        <v>Gold</v>
      </c>
      <c r="X1808" s="11" t="str">
        <f t="shared" si="202"/>
        <v>High</v>
      </c>
    </row>
    <row r="1809" spans="1:24" ht="15.75" customHeight="1">
      <c r="A1809" s="4" t="s">
        <v>3805</v>
      </c>
      <c r="B1809" s="9">
        <v>45877</v>
      </c>
      <c r="C1809" s="4" t="s">
        <v>1357</v>
      </c>
      <c r="D1809" s="4" t="s">
        <v>1712</v>
      </c>
      <c r="E1809" s="4" t="s">
        <v>1959</v>
      </c>
      <c r="F1809" s="4">
        <v>4</v>
      </c>
      <c r="G1809" s="4">
        <v>184.57</v>
      </c>
      <c r="H1809" s="4">
        <v>0.28000000000000003</v>
      </c>
      <c r="I1809" s="4" t="s">
        <v>1996</v>
      </c>
      <c r="J1809" s="10">
        <v>531.5616</v>
      </c>
      <c r="K1809" s="4" t="str">
        <f t="shared" si="196"/>
        <v>08-08-2025</v>
      </c>
      <c r="L1809" s="4" t="str">
        <f>TEXT(Sales_Fact!$B1809,"mmm")</f>
        <v>Aug</v>
      </c>
      <c r="M1809" s="4">
        <f t="shared" si="197"/>
        <v>4</v>
      </c>
      <c r="N1809" s="10">
        <f t="shared" si="198"/>
        <v>184.57</v>
      </c>
      <c r="O1809" s="10">
        <f t="shared" si="199"/>
        <v>531.5616</v>
      </c>
      <c r="P1809" s="10">
        <f t="shared" si="200"/>
        <v>738.28</v>
      </c>
      <c r="Q1809" s="3">
        <f t="shared" si="201"/>
        <v>0.27999999999999997</v>
      </c>
      <c r="R1809" s="4" t="str">
        <f>IF(Sales_Fact!$O1809&gt;1000,"High","Low")</f>
        <v>Low</v>
      </c>
      <c r="S1809" s="4" t="str">
        <f>VLOOKUP(C1809,Customer_Dim!$A:$N,9,FALSE())</f>
        <v>Samuel Mullins</v>
      </c>
      <c r="T1809" s="4" t="str">
        <f>VLOOKUP(D1809,Product_Dim!$A:$M,3,FALSE())</f>
        <v>Clothing</v>
      </c>
      <c r="U1809" s="11" t="str">
        <f>VLOOKUP(D1809,Product_Dim!$A:$M,2,FALSE())</f>
        <v>Men's Casual Sneakers</v>
      </c>
      <c r="V1809" s="11" t="str">
        <f>VLOOKUP(E1809,Store_Dim!$A:$E,3,FALSE())</f>
        <v>North</v>
      </c>
      <c r="W1809" s="11" t="str">
        <f>VLOOKUP(C1809,Customer_Dim!$A:$N,13,FALSE())</f>
        <v>Bronze</v>
      </c>
      <c r="X1809" s="11" t="str">
        <f t="shared" si="202"/>
        <v>High</v>
      </c>
    </row>
    <row r="1810" spans="1:24" ht="15.75" customHeight="1">
      <c r="A1810" s="4" t="s">
        <v>3806</v>
      </c>
      <c r="B1810" s="9">
        <v>45532</v>
      </c>
      <c r="C1810" s="4" t="s">
        <v>939</v>
      </c>
      <c r="D1810" s="4" t="s">
        <v>1800</v>
      </c>
      <c r="E1810" s="4" t="s">
        <v>1927</v>
      </c>
      <c r="F1810" s="4">
        <v>4</v>
      </c>
      <c r="G1810" s="4">
        <v>277.58</v>
      </c>
      <c r="H1810" s="4">
        <v>0.22</v>
      </c>
      <c r="I1810" s="4" t="s">
        <v>1998</v>
      </c>
      <c r="J1810" s="10">
        <v>866.04960000000005</v>
      </c>
      <c r="K1810" s="4" t="str">
        <f t="shared" si="196"/>
        <v>28-08-2024</v>
      </c>
      <c r="L1810" s="4" t="str">
        <f>TEXT(Sales_Fact!$B1810,"mmm")</f>
        <v>Aug</v>
      </c>
      <c r="M1810" s="4">
        <f t="shared" si="197"/>
        <v>4</v>
      </c>
      <c r="N1810" s="10">
        <f t="shared" si="198"/>
        <v>277.58</v>
      </c>
      <c r="O1810" s="10">
        <f t="shared" si="199"/>
        <v>866.04959999999994</v>
      </c>
      <c r="P1810" s="10">
        <f t="shared" si="200"/>
        <v>1110.32</v>
      </c>
      <c r="Q1810" s="3">
        <f t="shared" si="201"/>
        <v>0.22</v>
      </c>
      <c r="R1810" s="4" t="str">
        <f>IF(Sales_Fact!$O1810&gt;1000,"High","Low")</f>
        <v>Low</v>
      </c>
      <c r="S1810" s="4" t="str">
        <f>VLOOKUP(C1810,Customer_Dim!$A:$N,9,FALSE())</f>
        <v>Cynthia Roberts</v>
      </c>
      <c r="T1810" s="4" t="str">
        <f>VLOOKUP(D1810,Product_Dim!$A:$M,3,FALSE())</f>
        <v>Sports</v>
      </c>
      <c r="U1810" s="11" t="str">
        <f>VLOOKUP(D1810,Product_Dim!$A:$M,2,FALSE())</f>
        <v>Adjustable Dumbbells 20kg</v>
      </c>
      <c r="V1810" s="11" t="str">
        <f>VLOOKUP(E1810,Store_Dim!$A:$E,3,FALSE())</f>
        <v>South</v>
      </c>
      <c r="W1810" s="11" t="str">
        <f>VLOOKUP(C1810,Customer_Dim!$A:$N,13,FALSE())</f>
        <v>Gold</v>
      </c>
      <c r="X1810" s="11" t="str">
        <f t="shared" si="202"/>
        <v>High</v>
      </c>
    </row>
    <row r="1811" spans="1:24" ht="15.75" customHeight="1">
      <c r="A1811" s="4" t="s">
        <v>3807</v>
      </c>
      <c r="B1811" s="9">
        <v>45734</v>
      </c>
      <c r="C1811" s="4" t="s">
        <v>390</v>
      </c>
      <c r="D1811" s="4" t="s">
        <v>1693</v>
      </c>
      <c r="E1811" s="4" t="s">
        <v>1924</v>
      </c>
      <c r="F1811" s="4">
        <v>1</v>
      </c>
      <c r="G1811" s="4">
        <v>36.799999999999997</v>
      </c>
      <c r="H1811" s="4">
        <v>0.18</v>
      </c>
      <c r="I1811" s="4" t="s">
        <v>1996</v>
      </c>
      <c r="J1811" s="10">
        <v>30.175999999999998</v>
      </c>
      <c r="K1811" s="4" t="str">
        <f t="shared" si="196"/>
        <v>18-03-2025</v>
      </c>
      <c r="L1811" s="4" t="str">
        <f>TEXT(Sales_Fact!$B1811,"mmm")</f>
        <v>Mar</v>
      </c>
      <c r="M1811" s="4">
        <f t="shared" si="197"/>
        <v>1</v>
      </c>
      <c r="N1811" s="10">
        <f t="shared" si="198"/>
        <v>36.799999999999997</v>
      </c>
      <c r="O1811" s="10">
        <f t="shared" si="199"/>
        <v>30.175999999999998</v>
      </c>
      <c r="P1811" s="10">
        <f t="shared" si="200"/>
        <v>36.799999999999997</v>
      </c>
      <c r="Q1811" s="3">
        <f t="shared" si="201"/>
        <v>0.18</v>
      </c>
      <c r="R1811" s="4" t="str">
        <f>IF(Sales_Fact!$O1811&gt;1000,"High","Low")</f>
        <v>Low</v>
      </c>
      <c r="S1811" s="4" t="str">
        <f>VLOOKUP(C1811,Customer_Dim!$A:$N,9,FALSE())</f>
        <v>Christopher Lester</v>
      </c>
      <c r="T1811" s="4" t="str">
        <f>VLOOKUP(D1811,Product_Dim!$A:$M,3,FALSE())</f>
        <v>Sports</v>
      </c>
      <c r="U1811" s="11" t="str">
        <f>VLOOKUP(D1811,Product_Dim!$A:$M,2,FALSE())</f>
        <v>Basketball</v>
      </c>
      <c r="V1811" s="11" t="str">
        <f>VLOOKUP(E1811,Store_Dim!$A:$E,3,FALSE())</f>
        <v>North</v>
      </c>
      <c r="W1811" s="11" t="str">
        <f>VLOOKUP(C1811,Customer_Dim!$A:$N,13,FALSE())</f>
        <v>Silver</v>
      </c>
      <c r="X1811" s="11" t="str">
        <f t="shared" si="202"/>
        <v>Low</v>
      </c>
    </row>
    <row r="1812" spans="1:24" ht="15.75" customHeight="1">
      <c r="A1812" s="4" t="s">
        <v>3808</v>
      </c>
      <c r="B1812" s="9">
        <v>45809</v>
      </c>
      <c r="C1812" s="4" t="s">
        <v>1144</v>
      </c>
      <c r="D1812" s="4" t="s">
        <v>1870</v>
      </c>
      <c r="E1812" s="4" t="s">
        <v>1934</v>
      </c>
      <c r="F1812" s="4">
        <v>1</v>
      </c>
      <c r="G1812" s="4">
        <v>539.37</v>
      </c>
      <c r="H1812" s="4">
        <v>0.14000000000000001</v>
      </c>
      <c r="I1812" s="4" t="s">
        <v>1996</v>
      </c>
      <c r="J1812" s="10">
        <v>463.85820000000001</v>
      </c>
      <c r="K1812" s="4" t="str">
        <f t="shared" si="196"/>
        <v>01-06-2025</v>
      </c>
      <c r="L1812" s="4" t="str">
        <f>TEXT(Sales_Fact!$B1812,"mmm")</f>
        <v>Jun</v>
      </c>
      <c r="M1812" s="4">
        <f t="shared" si="197"/>
        <v>1</v>
      </c>
      <c r="N1812" s="10">
        <f t="shared" si="198"/>
        <v>539.37</v>
      </c>
      <c r="O1812" s="10">
        <f t="shared" si="199"/>
        <v>463.85820000000001</v>
      </c>
      <c r="P1812" s="10">
        <f t="shared" si="200"/>
        <v>539.37</v>
      </c>
      <c r="Q1812" s="3">
        <f t="shared" si="201"/>
        <v>0.13999999999999999</v>
      </c>
      <c r="R1812" s="4" t="str">
        <f>IF(Sales_Fact!$O1812&gt;1000,"High","Low")</f>
        <v>Low</v>
      </c>
      <c r="S1812" s="4" t="str">
        <f>VLOOKUP(C1812,Customer_Dim!$A:$N,9,FALSE())</f>
        <v>Steve Hunt</v>
      </c>
      <c r="T1812" s="4" t="str">
        <f>VLOOKUP(D1812,Product_Dim!$A:$M,3,FALSE())</f>
        <v>Sports</v>
      </c>
      <c r="U1812" s="11" t="str">
        <f>VLOOKUP(D1812,Product_Dim!$A:$M,2,FALSE())</f>
        <v>Sports Wrist Sweatbands</v>
      </c>
      <c r="V1812" s="11" t="str">
        <f>VLOOKUP(E1812,Store_Dim!$A:$E,3,FALSE())</f>
        <v>East</v>
      </c>
      <c r="W1812" s="11" t="str">
        <f>VLOOKUP(C1812,Customer_Dim!$A:$N,13,FALSE())</f>
        <v>Bronze</v>
      </c>
      <c r="X1812" s="11" t="str">
        <f t="shared" si="202"/>
        <v>Low</v>
      </c>
    </row>
    <row r="1813" spans="1:24" ht="15.75" customHeight="1">
      <c r="A1813" s="4" t="s">
        <v>3809</v>
      </c>
      <c r="B1813" s="9">
        <v>45760</v>
      </c>
      <c r="C1813" s="4" t="s">
        <v>342</v>
      </c>
      <c r="D1813" s="4" t="s">
        <v>1658</v>
      </c>
      <c r="E1813" s="4" t="s">
        <v>1968</v>
      </c>
      <c r="F1813" s="4">
        <v>1</v>
      </c>
      <c r="G1813" s="4">
        <v>27.83</v>
      </c>
      <c r="H1813" s="4">
        <v>0.3</v>
      </c>
      <c r="I1813" s="4" t="s">
        <v>1998</v>
      </c>
      <c r="J1813" s="10">
        <v>19.481000000000002</v>
      </c>
      <c r="K1813" s="4" t="str">
        <f t="shared" si="196"/>
        <v>13-04-2025</v>
      </c>
      <c r="L1813" s="4" t="str">
        <f>TEXT(Sales_Fact!$B1813,"mmm")</f>
        <v>Apr</v>
      </c>
      <c r="M1813" s="4">
        <f t="shared" si="197"/>
        <v>1</v>
      </c>
      <c r="N1813" s="10">
        <f t="shared" si="198"/>
        <v>27.83</v>
      </c>
      <c r="O1813" s="10">
        <f t="shared" si="199"/>
        <v>19.480999999999998</v>
      </c>
      <c r="P1813" s="10">
        <f t="shared" si="200"/>
        <v>27.83</v>
      </c>
      <c r="Q1813" s="3">
        <f t="shared" si="201"/>
        <v>0.30000000000000004</v>
      </c>
      <c r="R1813" s="4" t="str">
        <f>IF(Sales_Fact!$O1813&gt;1000,"High","Low")</f>
        <v>Low</v>
      </c>
      <c r="S1813" s="4" t="str">
        <f>VLOOKUP(C1813,Customer_Dim!$A:$N,9,FALSE())</f>
        <v>Jamie Yoder</v>
      </c>
      <c r="T1813" s="4" t="str">
        <f>VLOOKUP(D1813,Product_Dim!$A:$M,3,FALSE())</f>
        <v>Sports</v>
      </c>
      <c r="U1813" s="11" t="str">
        <f>VLOOKUP(D1813,Product_Dim!$A:$M,2,FALSE())</f>
        <v>Outdoor Sports Water Bottle</v>
      </c>
      <c r="V1813" s="11" t="str">
        <f>VLOOKUP(E1813,Store_Dim!$A:$E,3,FALSE())</f>
        <v>East</v>
      </c>
      <c r="W1813" s="11" t="str">
        <f>VLOOKUP(C1813,Customer_Dim!$A:$N,13,FALSE())</f>
        <v>Platinum</v>
      </c>
      <c r="X1813" s="11" t="str">
        <f t="shared" si="202"/>
        <v>Low</v>
      </c>
    </row>
    <row r="1814" spans="1:24" ht="15.75" customHeight="1">
      <c r="A1814" s="4" t="s">
        <v>3810</v>
      </c>
      <c r="B1814" s="9">
        <v>45427</v>
      </c>
      <c r="C1814" s="4" t="s">
        <v>1283</v>
      </c>
      <c r="D1814" s="4" t="s">
        <v>1648</v>
      </c>
      <c r="E1814" s="4" t="s">
        <v>1968</v>
      </c>
      <c r="F1814" s="4">
        <v>4</v>
      </c>
      <c r="G1814" s="4">
        <v>34.39</v>
      </c>
      <c r="H1814" s="4">
        <v>0.03</v>
      </c>
      <c r="I1814" s="4" t="s">
        <v>1998</v>
      </c>
      <c r="J1814" s="10">
        <v>133.4332</v>
      </c>
      <c r="K1814" s="4" t="str">
        <f t="shared" si="196"/>
        <v>15-05-2024</v>
      </c>
      <c r="L1814" s="4" t="str">
        <f>TEXT(Sales_Fact!$B1814,"mmm")</f>
        <v>May</v>
      </c>
      <c r="M1814" s="4">
        <f t="shared" si="197"/>
        <v>4</v>
      </c>
      <c r="N1814" s="10">
        <f t="shared" si="198"/>
        <v>34.39</v>
      </c>
      <c r="O1814" s="10">
        <f t="shared" si="199"/>
        <v>133.4332</v>
      </c>
      <c r="P1814" s="10">
        <f t="shared" si="200"/>
        <v>137.56</v>
      </c>
      <c r="Q1814" s="3">
        <f t="shared" si="201"/>
        <v>3.000000000000002E-2</v>
      </c>
      <c r="R1814" s="4" t="str">
        <f>IF(Sales_Fact!$O1814&gt;1000,"High","Low")</f>
        <v>Low</v>
      </c>
      <c r="S1814" s="4" t="str">
        <f>VLOOKUP(C1814,Customer_Dim!$A:$N,9,FALSE())</f>
        <v>Justin Ingram</v>
      </c>
      <c r="T1814" s="4" t="str">
        <f>VLOOKUP(D1814,Product_Dim!$A:$M,3,FALSE())</f>
        <v>Sports</v>
      </c>
      <c r="U1814" s="11" t="str">
        <f>VLOOKUP(D1814,Product_Dim!$A:$M,2,FALSE())</f>
        <v>Soccer Training Cone Set</v>
      </c>
      <c r="V1814" s="11" t="str">
        <f>VLOOKUP(E1814,Store_Dim!$A:$E,3,FALSE())</f>
        <v>East</v>
      </c>
      <c r="W1814" s="11" t="str">
        <f>VLOOKUP(C1814,Customer_Dim!$A:$N,13,FALSE())</f>
        <v>Bronze</v>
      </c>
      <c r="X1814" s="11" t="str">
        <f t="shared" si="202"/>
        <v>High</v>
      </c>
    </row>
    <row r="1815" spans="1:24" ht="15.75" customHeight="1">
      <c r="A1815" s="4" t="s">
        <v>3811</v>
      </c>
      <c r="B1815" s="9">
        <v>45456</v>
      </c>
      <c r="C1815" s="4" t="s">
        <v>927</v>
      </c>
      <c r="D1815" s="4" t="s">
        <v>1816</v>
      </c>
      <c r="E1815" s="4" t="s">
        <v>1927</v>
      </c>
      <c r="F1815" s="4">
        <v>3</v>
      </c>
      <c r="G1815" s="4">
        <v>698.72</v>
      </c>
      <c r="H1815" s="4">
        <v>0.28000000000000003</v>
      </c>
      <c r="I1815" s="4" t="s">
        <v>2004</v>
      </c>
      <c r="J1815" s="10">
        <v>1509.2352000000001</v>
      </c>
      <c r="K1815" s="4" t="str">
        <f t="shared" si="196"/>
        <v>13-06-2024</v>
      </c>
      <c r="L1815" s="4" t="str">
        <f>TEXT(Sales_Fact!$B1815,"mmm")</f>
        <v>Jun</v>
      </c>
      <c r="M1815" s="4">
        <f t="shared" si="197"/>
        <v>3</v>
      </c>
      <c r="N1815" s="10">
        <f t="shared" si="198"/>
        <v>698.72</v>
      </c>
      <c r="O1815" s="10">
        <f t="shared" si="199"/>
        <v>1509.2351999999998</v>
      </c>
      <c r="P1815" s="10">
        <f t="shared" si="200"/>
        <v>2096.16</v>
      </c>
      <c r="Q1815" s="3">
        <f t="shared" si="201"/>
        <v>0.28000000000000003</v>
      </c>
      <c r="R1815" s="4" t="str">
        <f>IF(Sales_Fact!$O1815&gt;1000,"High","Low")</f>
        <v>High</v>
      </c>
      <c r="S1815" s="4" t="str">
        <f>VLOOKUP(C1815,Customer_Dim!$A:$N,9,FALSE())</f>
        <v>Bryan Garcia</v>
      </c>
      <c r="T1815" s="4" t="str">
        <f>VLOOKUP(D1815,Product_Dim!$A:$M,3,FALSE())</f>
        <v>Home</v>
      </c>
      <c r="U1815" s="11" t="str">
        <f>VLOOKUP(D1815,Product_Dim!$A:$M,2,FALSE())</f>
        <v>Kitchen Storage Rack</v>
      </c>
      <c r="V1815" s="11" t="str">
        <f>VLOOKUP(E1815,Store_Dim!$A:$E,3,FALSE())</f>
        <v>South</v>
      </c>
      <c r="W1815" s="11" t="str">
        <f>VLOOKUP(C1815,Customer_Dim!$A:$N,13,FALSE())</f>
        <v>Silver</v>
      </c>
      <c r="X1815" s="11" t="str">
        <f t="shared" si="202"/>
        <v>Low</v>
      </c>
    </row>
    <row r="1816" spans="1:24" ht="15.75" customHeight="1">
      <c r="A1816" s="4" t="s">
        <v>3812</v>
      </c>
      <c r="B1816" s="9">
        <v>45698</v>
      </c>
      <c r="C1816" s="4" t="s">
        <v>79</v>
      </c>
      <c r="D1816" s="4" t="s">
        <v>1834</v>
      </c>
      <c r="E1816" s="4" t="s">
        <v>1955</v>
      </c>
      <c r="F1816" s="4">
        <v>4</v>
      </c>
      <c r="G1816" s="4">
        <v>528.23</v>
      </c>
      <c r="H1816" s="4">
        <v>0.15</v>
      </c>
      <c r="I1816" s="4" t="s">
        <v>2004</v>
      </c>
      <c r="J1816" s="10">
        <v>1795.982</v>
      </c>
      <c r="K1816" s="4" t="str">
        <f t="shared" si="196"/>
        <v>10-02-2025</v>
      </c>
      <c r="L1816" s="4" t="str">
        <f>TEXT(Sales_Fact!$B1816,"mmm")</f>
        <v>Feb</v>
      </c>
      <c r="M1816" s="4">
        <f t="shared" si="197"/>
        <v>4</v>
      </c>
      <c r="N1816" s="10">
        <f t="shared" si="198"/>
        <v>528.23</v>
      </c>
      <c r="O1816" s="10">
        <f t="shared" si="199"/>
        <v>1795.982</v>
      </c>
      <c r="P1816" s="10">
        <f t="shared" si="200"/>
        <v>2112.92</v>
      </c>
      <c r="Q1816" s="3">
        <f t="shared" si="201"/>
        <v>0.15000000000000005</v>
      </c>
      <c r="R1816" s="4" t="str">
        <f>IF(Sales_Fact!$O1816&gt;1000,"High","Low")</f>
        <v>High</v>
      </c>
      <c r="S1816" s="4" t="str">
        <f>VLOOKUP(C1816,Customer_Dim!$A:$N,9,FALSE())</f>
        <v>Kenneth Lambert</v>
      </c>
      <c r="T1816" s="4" t="str">
        <f>VLOOKUP(D1816,Product_Dim!$A:$M,3,FALSE())</f>
        <v>Electronics</v>
      </c>
      <c r="U1816" s="11" t="str">
        <f>VLOOKUP(D1816,Product_Dim!$A:$M,2,FALSE())</f>
        <v>Wireless Mouse</v>
      </c>
      <c r="V1816" s="11" t="str">
        <f>VLOOKUP(E1816,Store_Dim!$A:$E,3,FALSE())</f>
        <v>East</v>
      </c>
      <c r="W1816" s="11" t="str">
        <f>VLOOKUP(C1816,Customer_Dim!$A:$N,13,FALSE())</f>
        <v>Platinum</v>
      </c>
      <c r="X1816" s="11" t="str">
        <f t="shared" si="202"/>
        <v>High</v>
      </c>
    </row>
    <row r="1817" spans="1:24" ht="15.75" customHeight="1">
      <c r="A1817" s="4" t="s">
        <v>3813</v>
      </c>
      <c r="B1817" s="9">
        <v>45548</v>
      </c>
      <c r="C1817" s="4" t="s">
        <v>1542</v>
      </c>
      <c r="D1817" s="4" t="s">
        <v>1741</v>
      </c>
      <c r="E1817" s="4" t="s">
        <v>1962</v>
      </c>
      <c r="F1817" s="4">
        <v>2</v>
      </c>
      <c r="G1817" s="4">
        <v>780.9</v>
      </c>
      <c r="H1817" s="4">
        <v>0.24</v>
      </c>
      <c r="I1817" s="4" t="s">
        <v>1998</v>
      </c>
      <c r="J1817" s="10">
        <v>1186.9680000000001</v>
      </c>
      <c r="K1817" s="4" t="str">
        <f t="shared" si="196"/>
        <v>13-09-2024</v>
      </c>
      <c r="L1817" s="4" t="str">
        <f>TEXT(Sales_Fact!$B1817,"mmm")</f>
        <v>Sep</v>
      </c>
      <c r="M1817" s="4">
        <f t="shared" si="197"/>
        <v>2</v>
      </c>
      <c r="N1817" s="10">
        <f t="shared" si="198"/>
        <v>780.9</v>
      </c>
      <c r="O1817" s="10">
        <f t="shared" si="199"/>
        <v>1186.9680000000001</v>
      </c>
      <c r="P1817" s="10">
        <f t="shared" si="200"/>
        <v>1561.8</v>
      </c>
      <c r="Q1817" s="3">
        <f t="shared" si="201"/>
        <v>0.23999999999999994</v>
      </c>
      <c r="R1817" s="4" t="str">
        <f>IF(Sales_Fact!$O1817&gt;1000,"High","Low")</f>
        <v>High</v>
      </c>
      <c r="S1817" s="4" t="str">
        <f>VLOOKUP(C1817,Customer_Dim!$A:$N,9,FALSE())</f>
        <v>Darrell Miller</v>
      </c>
      <c r="T1817" s="4" t="str">
        <f>VLOOKUP(D1817,Product_Dim!$A:$M,3,FALSE())</f>
        <v>Clothing</v>
      </c>
      <c r="U1817" s="11" t="str">
        <f>VLOOKUP(D1817,Product_Dim!$A:$M,2,FALSE())</f>
        <v>Men's Winter Jacket</v>
      </c>
      <c r="V1817" s="11" t="str">
        <f>VLOOKUP(E1817,Store_Dim!$A:$E,3,FALSE())</f>
        <v>West</v>
      </c>
      <c r="W1817" s="11" t="str">
        <f>VLOOKUP(C1817,Customer_Dim!$A:$N,13,FALSE())</f>
        <v>Platinum</v>
      </c>
      <c r="X1817" s="11" t="str">
        <f t="shared" si="202"/>
        <v>Low</v>
      </c>
    </row>
    <row r="1818" spans="1:24" ht="15.75" customHeight="1">
      <c r="A1818" s="4" t="s">
        <v>3814</v>
      </c>
      <c r="B1818" s="9">
        <v>45236</v>
      </c>
      <c r="C1818" s="4" t="s">
        <v>620</v>
      </c>
      <c r="D1818" s="4" t="s">
        <v>1661</v>
      </c>
      <c r="E1818" s="4" t="s">
        <v>1957</v>
      </c>
      <c r="F1818" s="4">
        <v>1</v>
      </c>
      <c r="G1818" s="4">
        <v>977.97</v>
      </c>
      <c r="H1818" s="4">
        <v>0.06</v>
      </c>
      <c r="I1818" s="4" t="s">
        <v>2004</v>
      </c>
      <c r="J1818" s="10">
        <v>919.29179999999997</v>
      </c>
      <c r="K1818" s="4" t="str">
        <f t="shared" si="196"/>
        <v>06-11-2023</v>
      </c>
      <c r="L1818" s="4" t="str">
        <f>TEXT(Sales_Fact!$B1818,"mmm")</f>
        <v>Nov</v>
      </c>
      <c r="M1818" s="4">
        <f t="shared" si="197"/>
        <v>1</v>
      </c>
      <c r="N1818" s="10">
        <f t="shared" si="198"/>
        <v>977.97</v>
      </c>
      <c r="O1818" s="10">
        <f t="shared" si="199"/>
        <v>919.29179999999997</v>
      </c>
      <c r="P1818" s="10">
        <f t="shared" si="200"/>
        <v>977.97</v>
      </c>
      <c r="Q1818" s="3">
        <f t="shared" si="201"/>
        <v>6.000000000000006E-2</v>
      </c>
      <c r="R1818" s="4" t="str">
        <f>IF(Sales_Fact!$O1818&gt;1000,"High","Low")</f>
        <v>Low</v>
      </c>
      <c r="S1818" s="4" t="str">
        <f>VLOOKUP(C1818,Customer_Dim!$A:$N,9,FALSE())</f>
        <v>Wesley Thompson</v>
      </c>
      <c r="T1818" s="4" t="str">
        <f>VLOOKUP(D1818,Product_Dim!$A:$M,3,FALSE())</f>
        <v>Home</v>
      </c>
      <c r="U1818" s="11" t="str">
        <f>VLOOKUP(D1818,Product_Dim!$A:$M,2,FALSE())</f>
        <v>Multi-Purpose Storage Box</v>
      </c>
      <c r="V1818" s="11" t="str">
        <f>VLOOKUP(E1818,Store_Dim!$A:$E,3,FALSE())</f>
        <v>South</v>
      </c>
      <c r="W1818" s="11" t="str">
        <f>VLOOKUP(C1818,Customer_Dim!$A:$N,13,FALSE())</f>
        <v>Bronze</v>
      </c>
      <c r="X1818" s="11" t="str">
        <f t="shared" si="202"/>
        <v>Low</v>
      </c>
    </row>
    <row r="1819" spans="1:24" ht="15.75" customHeight="1">
      <c r="A1819" s="4" t="s">
        <v>3815</v>
      </c>
      <c r="B1819" s="9">
        <v>45310</v>
      </c>
      <c r="C1819" s="4" t="s">
        <v>1183</v>
      </c>
      <c r="D1819" s="4" t="s">
        <v>1855</v>
      </c>
      <c r="E1819" s="4" t="s">
        <v>1952</v>
      </c>
      <c r="F1819" s="4">
        <v>4</v>
      </c>
      <c r="G1819" s="4">
        <v>354.65</v>
      </c>
      <c r="H1819" s="4">
        <v>0.19</v>
      </c>
      <c r="I1819" s="4" t="s">
        <v>1996</v>
      </c>
      <c r="J1819" s="10">
        <v>1149.066</v>
      </c>
      <c r="K1819" s="4" t="str">
        <f t="shared" si="196"/>
        <v>19-01-2024</v>
      </c>
      <c r="L1819" s="4" t="str">
        <f>TEXT(Sales_Fact!$B1819,"mmm")</f>
        <v>Jan</v>
      </c>
      <c r="M1819" s="4">
        <f t="shared" si="197"/>
        <v>4</v>
      </c>
      <c r="N1819" s="10">
        <f t="shared" si="198"/>
        <v>354.65</v>
      </c>
      <c r="O1819" s="10">
        <f t="shared" si="199"/>
        <v>1149.066</v>
      </c>
      <c r="P1819" s="10">
        <f t="shared" si="200"/>
        <v>1418.6</v>
      </c>
      <c r="Q1819" s="3">
        <f t="shared" si="201"/>
        <v>0.18999999999999992</v>
      </c>
      <c r="R1819" s="4" t="str">
        <f>IF(Sales_Fact!$O1819&gt;1000,"High","Low")</f>
        <v>High</v>
      </c>
      <c r="S1819" s="4" t="str">
        <f>VLOOKUP(C1819,Customer_Dim!$A:$N,9,FALSE())</f>
        <v>Gregory Allen</v>
      </c>
      <c r="T1819" s="4" t="str">
        <f>VLOOKUP(D1819,Product_Dim!$A:$M,3,FALSE())</f>
        <v>Beauty</v>
      </c>
      <c r="U1819" s="11" t="str">
        <f>VLOOKUP(D1819,Product_Dim!$A:$M,2,FALSE())</f>
        <v>Hydrating Face Cleanser</v>
      </c>
      <c r="V1819" s="11" t="str">
        <f>VLOOKUP(E1819,Store_Dim!$A:$E,3,FALSE())</f>
        <v>North</v>
      </c>
      <c r="W1819" s="11" t="str">
        <f>VLOOKUP(C1819,Customer_Dim!$A:$N,13,FALSE())</f>
        <v>Platinum</v>
      </c>
      <c r="X1819" s="11" t="str">
        <f t="shared" si="202"/>
        <v>High</v>
      </c>
    </row>
    <row r="1820" spans="1:24" ht="15.75" customHeight="1">
      <c r="A1820" s="4" t="s">
        <v>3816</v>
      </c>
      <c r="B1820" s="9">
        <v>45376</v>
      </c>
      <c r="C1820" s="4" t="s">
        <v>927</v>
      </c>
      <c r="D1820" s="4" t="s">
        <v>1809</v>
      </c>
      <c r="E1820" s="4" t="s">
        <v>1971</v>
      </c>
      <c r="F1820" s="4">
        <v>1</v>
      </c>
      <c r="G1820" s="4">
        <v>671.62</v>
      </c>
      <c r="H1820" s="4">
        <v>0.09</v>
      </c>
      <c r="I1820" s="4" t="s">
        <v>2004</v>
      </c>
      <c r="J1820" s="10">
        <v>611.17420000000004</v>
      </c>
      <c r="K1820" s="4" t="str">
        <f t="shared" si="196"/>
        <v>25-03-2024</v>
      </c>
      <c r="L1820" s="4" t="str">
        <f>TEXT(Sales_Fact!$B1820,"mmm")</f>
        <v>Mar</v>
      </c>
      <c r="M1820" s="4">
        <f t="shared" si="197"/>
        <v>1</v>
      </c>
      <c r="N1820" s="10">
        <f t="shared" si="198"/>
        <v>671.62</v>
      </c>
      <c r="O1820" s="10">
        <f t="shared" si="199"/>
        <v>611.17420000000004</v>
      </c>
      <c r="P1820" s="10">
        <f t="shared" si="200"/>
        <v>671.62</v>
      </c>
      <c r="Q1820" s="3">
        <f t="shared" si="201"/>
        <v>8.9999999999999941E-2</v>
      </c>
      <c r="R1820" s="4" t="str">
        <f>IF(Sales_Fact!$O1820&gt;1000,"High","Low")</f>
        <v>Low</v>
      </c>
      <c r="S1820" s="4" t="str">
        <f>VLOOKUP(C1820,Customer_Dim!$A:$N,9,FALSE())</f>
        <v>Bryan Garcia</v>
      </c>
      <c r="T1820" s="4" t="str">
        <f>VLOOKUP(D1820,Product_Dim!$A:$M,3,FALSE())</f>
        <v>Home</v>
      </c>
      <c r="U1820" s="11" t="str">
        <f>VLOOKUP(D1820,Product_Dim!$A:$M,2,FALSE())</f>
        <v>Wooden Nightstand</v>
      </c>
      <c r="V1820" s="11" t="str">
        <f>VLOOKUP(E1820,Store_Dim!$A:$E,3,FALSE())</f>
        <v>East</v>
      </c>
      <c r="W1820" s="11" t="str">
        <f>VLOOKUP(C1820,Customer_Dim!$A:$N,13,FALSE())</f>
        <v>Silver</v>
      </c>
      <c r="X1820" s="11" t="str">
        <f t="shared" si="202"/>
        <v>Low</v>
      </c>
    </row>
    <row r="1821" spans="1:24" ht="15.75" customHeight="1">
      <c r="A1821" s="4" t="s">
        <v>3817</v>
      </c>
      <c r="B1821" s="9">
        <v>45914</v>
      </c>
      <c r="C1821" s="4" t="s">
        <v>1027</v>
      </c>
      <c r="D1821" s="4" t="s">
        <v>1852</v>
      </c>
      <c r="E1821" s="4" t="s">
        <v>1924</v>
      </c>
      <c r="F1821" s="4">
        <v>1</v>
      </c>
      <c r="G1821" s="4">
        <v>867.32</v>
      </c>
      <c r="H1821" s="4">
        <v>0.28999999999999998</v>
      </c>
      <c r="I1821" s="4" t="s">
        <v>1998</v>
      </c>
      <c r="J1821" s="10">
        <v>615.79719999999998</v>
      </c>
      <c r="K1821" s="4" t="str">
        <f t="shared" si="196"/>
        <v>14-09-2025</v>
      </c>
      <c r="L1821" s="4" t="str">
        <f>TEXT(Sales_Fact!$B1821,"mmm")</f>
        <v>Sep</v>
      </c>
      <c r="M1821" s="4">
        <f t="shared" si="197"/>
        <v>1</v>
      </c>
      <c r="N1821" s="10">
        <f t="shared" si="198"/>
        <v>867.32</v>
      </c>
      <c r="O1821" s="10">
        <f t="shared" si="199"/>
        <v>615.79719999999998</v>
      </c>
      <c r="P1821" s="10">
        <f t="shared" si="200"/>
        <v>867.32</v>
      </c>
      <c r="Q1821" s="3">
        <f t="shared" si="201"/>
        <v>0.29000000000000009</v>
      </c>
      <c r="R1821" s="4" t="str">
        <f>IF(Sales_Fact!$O1821&gt;1000,"High","Low")</f>
        <v>Low</v>
      </c>
      <c r="S1821" s="4" t="str">
        <f>VLOOKUP(C1821,Customer_Dim!$A:$N,9,FALSE())</f>
        <v>Tiffany Williams</v>
      </c>
      <c r="T1821" s="4" t="str">
        <f>VLOOKUP(D1821,Product_Dim!$A:$M,3,FALSE())</f>
        <v>Sports</v>
      </c>
      <c r="U1821" s="11" t="str">
        <f>VLOOKUP(D1821,Product_Dim!$A:$M,2,FALSE())</f>
        <v>Fitness Resistance Bands</v>
      </c>
      <c r="V1821" s="11" t="str">
        <f>VLOOKUP(E1821,Store_Dim!$A:$E,3,FALSE())</f>
        <v>North</v>
      </c>
      <c r="W1821" s="11" t="str">
        <f>VLOOKUP(C1821,Customer_Dim!$A:$N,13,FALSE())</f>
        <v>Gold</v>
      </c>
      <c r="X1821" s="11" t="str">
        <f t="shared" si="202"/>
        <v>Low</v>
      </c>
    </row>
    <row r="1822" spans="1:24" ht="15.75" customHeight="1">
      <c r="A1822" s="4" t="s">
        <v>3818</v>
      </c>
      <c r="B1822" s="9">
        <v>45336</v>
      </c>
      <c r="C1822" s="4" t="s">
        <v>316</v>
      </c>
      <c r="D1822" s="4" t="s">
        <v>1622</v>
      </c>
      <c r="E1822" s="4" t="s">
        <v>1952</v>
      </c>
      <c r="F1822" s="4">
        <v>3</v>
      </c>
      <c r="G1822" s="4">
        <v>240.27</v>
      </c>
      <c r="H1822" s="4">
        <v>0.15</v>
      </c>
      <c r="I1822" s="4" t="s">
        <v>1998</v>
      </c>
      <c r="J1822" s="10">
        <v>612.68849999999998</v>
      </c>
      <c r="K1822" s="4" t="str">
        <f t="shared" si="196"/>
        <v>14-02-2024</v>
      </c>
      <c r="L1822" s="4" t="str">
        <f>TEXT(Sales_Fact!$B1822,"mmm")</f>
        <v>Feb</v>
      </c>
      <c r="M1822" s="4">
        <f t="shared" si="197"/>
        <v>3</v>
      </c>
      <c r="N1822" s="10">
        <f t="shared" si="198"/>
        <v>240.27</v>
      </c>
      <c r="O1822" s="10">
        <f t="shared" si="199"/>
        <v>612.68850000000009</v>
      </c>
      <c r="P1822" s="10">
        <f t="shared" si="200"/>
        <v>720.81000000000006</v>
      </c>
      <c r="Q1822" s="3">
        <f t="shared" si="201"/>
        <v>0.14999999999999994</v>
      </c>
      <c r="R1822" s="4" t="str">
        <f>IF(Sales_Fact!$O1822&gt;1000,"High","Low")</f>
        <v>Low</v>
      </c>
      <c r="S1822" s="4" t="str">
        <f>VLOOKUP(C1822,Customer_Dim!$A:$N,9,FALSE())</f>
        <v>Krystal Ford</v>
      </c>
      <c r="T1822" s="4" t="str">
        <f>VLOOKUP(D1822,Product_Dim!$A:$M,3,FALSE())</f>
        <v>Home</v>
      </c>
      <c r="U1822" s="11" t="str">
        <f>VLOOKUP(D1822,Product_Dim!$A:$M,2,FALSE())</f>
        <v>Ceramic Kitchen Bowl Set</v>
      </c>
      <c r="V1822" s="11" t="str">
        <f>VLOOKUP(E1822,Store_Dim!$A:$E,3,FALSE())</f>
        <v>North</v>
      </c>
      <c r="W1822" s="11" t="str">
        <f>VLOOKUP(C1822,Customer_Dim!$A:$N,13,FALSE())</f>
        <v>Platinum</v>
      </c>
      <c r="X1822" s="11" t="str">
        <f t="shared" si="202"/>
        <v>Low</v>
      </c>
    </row>
    <row r="1823" spans="1:24" ht="15.75" customHeight="1">
      <c r="A1823" s="4" t="s">
        <v>3819</v>
      </c>
      <c r="B1823" s="9">
        <v>45728</v>
      </c>
      <c r="C1823" s="4" t="s">
        <v>296</v>
      </c>
      <c r="D1823" s="4" t="s">
        <v>1684</v>
      </c>
      <c r="E1823" s="4" t="s">
        <v>1962</v>
      </c>
      <c r="F1823" s="4">
        <v>2</v>
      </c>
      <c r="G1823" s="4">
        <v>619.12</v>
      </c>
      <c r="H1823" s="4">
        <v>0.28000000000000003</v>
      </c>
      <c r="I1823" s="4" t="s">
        <v>2004</v>
      </c>
      <c r="J1823" s="10">
        <v>891.53279999999995</v>
      </c>
      <c r="K1823" s="4" t="str">
        <f t="shared" si="196"/>
        <v>12-03-2025</v>
      </c>
      <c r="L1823" s="4" t="str">
        <f>TEXT(Sales_Fact!$B1823,"mmm")</f>
        <v>Mar</v>
      </c>
      <c r="M1823" s="4">
        <f t="shared" si="197"/>
        <v>2</v>
      </c>
      <c r="N1823" s="10">
        <f t="shared" si="198"/>
        <v>619.12</v>
      </c>
      <c r="O1823" s="10">
        <f t="shared" si="199"/>
        <v>891.53279999999995</v>
      </c>
      <c r="P1823" s="10">
        <f t="shared" si="200"/>
        <v>1238.24</v>
      </c>
      <c r="Q1823" s="3">
        <f t="shared" si="201"/>
        <v>0.28000000000000003</v>
      </c>
      <c r="R1823" s="4" t="str">
        <f>IF(Sales_Fact!$O1823&gt;1000,"High","Low")</f>
        <v>Low</v>
      </c>
      <c r="S1823" s="4" t="str">
        <f>VLOOKUP(C1823,Customer_Dim!$A:$N,9,FALSE())</f>
        <v>Rhonda Morales</v>
      </c>
      <c r="T1823" s="4" t="str">
        <f>VLOOKUP(D1823,Product_Dim!$A:$M,3,FALSE())</f>
        <v>Sports</v>
      </c>
      <c r="U1823" s="11" t="str">
        <f>VLOOKUP(D1823,Product_Dim!$A:$M,2,FALSE())</f>
        <v>Sports Stopwatch Timer</v>
      </c>
      <c r="V1823" s="11" t="str">
        <f>VLOOKUP(E1823,Store_Dim!$A:$E,3,FALSE())</f>
        <v>West</v>
      </c>
      <c r="W1823" s="11" t="str">
        <f>VLOOKUP(C1823,Customer_Dim!$A:$N,13,FALSE())</f>
        <v>Gold</v>
      </c>
      <c r="X1823" s="11" t="str">
        <f t="shared" si="202"/>
        <v>Low</v>
      </c>
    </row>
    <row r="1824" spans="1:24" ht="15.75" customHeight="1">
      <c r="A1824" s="4" t="s">
        <v>3820</v>
      </c>
      <c r="B1824" s="9">
        <v>45755</v>
      </c>
      <c r="C1824" s="4" t="s">
        <v>718</v>
      </c>
      <c r="D1824" s="4" t="s">
        <v>1867</v>
      </c>
      <c r="E1824" s="4" t="s">
        <v>1910</v>
      </c>
      <c r="F1824" s="4">
        <v>3</v>
      </c>
      <c r="G1824" s="4">
        <v>693.42</v>
      </c>
      <c r="H1824" s="4">
        <v>0.08</v>
      </c>
      <c r="I1824" s="4" t="s">
        <v>1998</v>
      </c>
      <c r="J1824" s="10">
        <v>1913.8391999999999</v>
      </c>
      <c r="K1824" s="4" t="str">
        <f t="shared" si="196"/>
        <v>08-04-2025</v>
      </c>
      <c r="L1824" s="4" t="str">
        <f>TEXT(Sales_Fact!$B1824,"mmm")</f>
        <v>Apr</v>
      </c>
      <c r="M1824" s="4">
        <f t="shared" si="197"/>
        <v>3</v>
      </c>
      <c r="N1824" s="10">
        <f t="shared" si="198"/>
        <v>693.42</v>
      </c>
      <c r="O1824" s="10">
        <f t="shared" si="199"/>
        <v>1913.8391999999999</v>
      </c>
      <c r="P1824" s="10">
        <f t="shared" si="200"/>
        <v>2080.2599999999998</v>
      </c>
      <c r="Q1824" s="3">
        <f t="shared" si="201"/>
        <v>7.9999999999999946E-2</v>
      </c>
      <c r="R1824" s="4" t="str">
        <f>IF(Sales_Fact!$O1824&gt;1000,"High","Low")</f>
        <v>High</v>
      </c>
      <c r="S1824" s="4" t="str">
        <f>VLOOKUP(C1824,Customer_Dim!$A:$N,9,FALSE())</f>
        <v>Stuart Johnson</v>
      </c>
      <c r="T1824" s="4" t="str">
        <f>VLOOKUP(D1824,Product_Dim!$A:$M,3,FALSE())</f>
        <v>Home</v>
      </c>
      <c r="U1824" s="11" t="str">
        <f>VLOOKUP(D1824,Product_Dim!$A:$M,2,FALSE())</f>
        <v>LED Bedside Lamp</v>
      </c>
      <c r="V1824" s="11" t="str">
        <f>VLOOKUP(E1824,Store_Dim!$A:$E,3,FALSE())</f>
        <v>East</v>
      </c>
      <c r="W1824" s="11" t="str">
        <f>VLOOKUP(C1824,Customer_Dim!$A:$N,13,FALSE())</f>
        <v>Platinum</v>
      </c>
      <c r="X1824" s="11" t="str">
        <f t="shared" si="202"/>
        <v>Low</v>
      </c>
    </row>
    <row r="1825" spans="1:24" ht="15.75" customHeight="1">
      <c r="A1825" s="4" t="s">
        <v>3821</v>
      </c>
      <c r="B1825" s="9">
        <v>45268</v>
      </c>
      <c r="C1825" s="4" t="s">
        <v>1342</v>
      </c>
      <c r="D1825" s="4" t="s">
        <v>1741</v>
      </c>
      <c r="E1825" s="4" t="s">
        <v>1965</v>
      </c>
      <c r="F1825" s="4">
        <v>1</v>
      </c>
      <c r="G1825" s="4">
        <v>773.57</v>
      </c>
      <c r="H1825" s="4">
        <v>0.05</v>
      </c>
      <c r="I1825" s="4" t="s">
        <v>2004</v>
      </c>
      <c r="J1825" s="10"/>
      <c r="K1825" s="4" t="str">
        <f t="shared" si="196"/>
        <v>08-12-2023</v>
      </c>
      <c r="L1825" s="4" t="str">
        <f>TEXT(Sales_Fact!$B1825,"mmm")</f>
        <v>Dec</v>
      </c>
      <c r="M1825" s="4">
        <f t="shared" si="197"/>
        <v>1</v>
      </c>
      <c r="N1825" s="10">
        <f t="shared" si="198"/>
        <v>773.57</v>
      </c>
      <c r="O1825" s="10">
        <f t="shared" si="199"/>
        <v>734.89150000000006</v>
      </c>
      <c r="P1825" s="10">
        <f t="shared" si="200"/>
        <v>773.57</v>
      </c>
      <c r="Q1825" s="3">
        <f t="shared" si="201"/>
        <v>4.9999999999999975E-2</v>
      </c>
      <c r="R1825" s="4" t="str">
        <f>IF(Sales_Fact!$O1825&gt;1000,"High","Low")</f>
        <v>Low</v>
      </c>
      <c r="S1825" s="4" t="str">
        <f>VLOOKUP(C1825,Customer_Dim!$A:$N,9,FALSE())</f>
        <v>Rebecca Baker</v>
      </c>
      <c r="T1825" s="4" t="str">
        <f>VLOOKUP(D1825,Product_Dim!$A:$M,3,FALSE())</f>
        <v>Clothing</v>
      </c>
      <c r="U1825" s="11" t="str">
        <f>VLOOKUP(D1825,Product_Dim!$A:$M,2,FALSE())</f>
        <v>Men's Winter Jacket</v>
      </c>
      <c r="V1825" s="11" t="str">
        <f>VLOOKUP(E1825,Store_Dim!$A:$E,3,FALSE())</f>
        <v>North</v>
      </c>
      <c r="W1825" s="11" t="str">
        <f>VLOOKUP(C1825,Customer_Dim!$A:$N,13,FALSE())</f>
        <v>Silver</v>
      </c>
      <c r="X1825" s="11" t="str">
        <f t="shared" si="202"/>
        <v>Low</v>
      </c>
    </row>
    <row r="1826" spans="1:24" ht="15.75" customHeight="1">
      <c r="A1826" s="4" t="s">
        <v>3822</v>
      </c>
      <c r="B1826" s="9">
        <v>45695</v>
      </c>
      <c r="C1826" s="4" t="s">
        <v>402</v>
      </c>
      <c r="D1826" s="4" t="s">
        <v>1748</v>
      </c>
      <c r="E1826" s="4" t="s">
        <v>1947</v>
      </c>
      <c r="F1826" s="4">
        <v>4</v>
      </c>
      <c r="G1826" s="4">
        <v>751.63</v>
      </c>
      <c r="H1826" s="4">
        <v>0.28000000000000003</v>
      </c>
      <c r="I1826" s="4" t="s">
        <v>2004</v>
      </c>
      <c r="J1826" s="10">
        <v>2164.6943999999999</v>
      </c>
      <c r="K1826" s="4" t="str">
        <f t="shared" si="196"/>
        <v>07-02-2025</v>
      </c>
      <c r="L1826" s="4" t="str">
        <f>TEXT(Sales_Fact!$B1826,"mmm")</f>
        <v>Feb</v>
      </c>
      <c r="M1826" s="4">
        <f t="shared" si="197"/>
        <v>4</v>
      </c>
      <c r="N1826" s="10">
        <f t="shared" si="198"/>
        <v>751.63</v>
      </c>
      <c r="O1826" s="10">
        <f t="shared" si="199"/>
        <v>2164.6943999999999</v>
      </c>
      <c r="P1826" s="10">
        <f t="shared" si="200"/>
        <v>3006.52</v>
      </c>
      <c r="Q1826" s="3">
        <f t="shared" si="201"/>
        <v>0.28000000000000003</v>
      </c>
      <c r="R1826" s="4" t="str">
        <f>IF(Sales_Fact!$O1826&gt;1000,"High","Low")</f>
        <v>High</v>
      </c>
      <c r="S1826" s="4" t="str">
        <f>VLOOKUP(C1826,Customer_Dim!$A:$N,9,FALSE())</f>
        <v>Travis Holland</v>
      </c>
      <c r="T1826" s="4" t="str">
        <f>VLOOKUP(D1826,Product_Dim!$A:$M,3,FALSE())</f>
        <v>Electronics</v>
      </c>
      <c r="U1826" s="11" t="str">
        <f>VLOOKUP(D1826,Product_Dim!$A:$M,2,FALSE())</f>
        <v>Car Dashboard Phone Holder</v>
      </c>
      <c r="V1826" s="11" t="str">
        <f>VLOOKUP(E1826,Store_Dim!$A:$E,3,FALSE())</f>
        <v>East</v>
      </c>
      <c r="W1826" s="11" t="str">
        <f>VLOOKUP(C1826,Customer_Dim!$A:$N,13,FALSE())</f>
        <v>Bronze</v>
      </c>
      <c r="X1826" s="11" t="str">
        <f t="shared" si="202"/>
        <v>High</v>
      </c>
    </row>
    <row r="1827" spans="1:24" ht="15.75" customHeight="1">
      <c r="A1827" s="4" t="s">
        <v>3823</v>
      </c>
      <c r="B1827" s="9">
        <v>45380</v>
      </c>
      <c r="C1827" s="4" t="s">
        <v>408</v>
      </c>
      <c r="D1827" s="4" t="s">
        <v>1693</v>
      </c>
      <c r="E1827" s="4" t="s">
        <v>1959</v>
      </c>
      <c r="F1827" s="4">
        <v>3</v>
      </c>
      <c r="G1827" s="4">
        <v>108.14</v>
      </c>
      <c r="H1827" s="4">
        <v>0.19</v>
      </c>
      <c r="I1827" s="4" t="s">
        <v>2004</v>
      </c>
      <c r="J1827" s="10">
        <v>262.78019999999998</v>
      </c>
      <c r="K1827" s="4" t="str">
        <f t="shared" si="196"/>
        <v>29-03-2024</v>
      </c>
      <c r="L1827" s="4" t="str">
        <f>TEXT(Sales_Fact!$B1827,"mmm")</f>
        <v>Mar</v>
      </c>
      <c r="M1827" s="4">
        <f t="shared" si="197"/>
        <v>3</v>
      </c>
      <c r="N1827" s="10">
        <f t="shared" si="198"/>
        <v>108.14</v>
      </c>
      <c r="O1827" s="10">
        <f t="shared" si="199"/>
        <v>262.78020000000004</v>
      </c>
      <c r="P1827" s="10">
        <f t="shared" si="200"/>
        <v>324.42</v>
      </c>
      <c r="Q1827" s="3">
        <f t="shared" si="201"/>
        <v>0.18999999999999992</v>
      </c>
      <c r="R1827" s="4" t="str">
        <f>IF(Sales_Fact!$O1827&gt;1000,"High","Low")</f>
        <v>Low</v>
      </c>
      <c r="S1827" s="4" t="str">
        <f>VLOOKUP(C1827,Customer_Dim!$A:$N,9,FALSE())</f>
        <v>Ashley Griffin</v>
      </c>
      <c r="T1827" s="4" t="str">
        <f>VLOOKUP(D1827,Product_Dim!$A:$M,3,FALSE())</f>
        <v>Sports</v>
      </c>
      <c r="U1827" s="11" t="str">
        <f>VLOOKUP(D1827,Product_Dim!$A:$M,2,FALSE())</f>
        <v>Basketball</v>
      </c>
      <c r="V1827" s="11" t="str">
        <f>VLOOKUP(E1827,Store_Dim!$A:$E,3,FALSE())</f>
        <v>North</v>
      </c>
      <c r="W1827" s="11" t="str">
        <f>VLOOKUP(C1827,Customer_Dim!$A:$N,13,FALSE())</f>
        <v>Gold</v>
      </c>
      <c r="X1827" s="11" t="str">
        <f t="shared" si="202"/>
        <v>Low</v>
      </c>
    </row>
    <row r="1828" spans="1:24" ht="15.75" customHeight="1">
      <c r="A1828" s="4" t="s">
        <v>3824</v>
      </c>
      <c r="B1828" s="9">
        <v>45446</v>
      </c>
      <c r="C1828" s="4" t="s">
        <v>846</v>
      </c>
      <c r="D1828" s="4" t="s">
        <v>1681</v>
      </c>
      <c r="E1828" s="4" t="s">
        <v>1927</v>
      </c>
      <c r="F1828" s="4">
        <v>1</v>
      </c>
      <c r="G1828" s="4">
        <v>964.11</v>
      </c>
      <c r="H1828" s="4">
        <v>0.17</v>
      </c>
      <c r="I1828" s="4" t="s">
        <v>2004</v>
      </c>
      <c r="J1828" s="10">
        <v>800.21130000000005</v>
      </c>
      <c r="K1828" s="4" t="str">
        <f t="shared" si="196"/>
        <v>03-06-2024</v>
      </c>
      <c r="L1828" s="4" t="str">
        <f>TEXT(Sales_Fact!$B1828,"mmm")</f>
        <v>Jun</v>
      </c>
      <c r="M1828" s="4">
        <f t="shared" si="197"/>
        <v>1</v>
      </c>
      <c r="N1828" s="10">
        <f t="shared" si="198"/>
        <v>964.11</v>
      </c>
      <c r="O1828" s="10">
        <f t="shared" si="199"/>
        <v>800.21129999999994</v>
      </c>
      <c r="P1828" s="10">
        <f t="shared" si="200"/>
        <v>964.11</v>
      </c>
      <c r="Q1828" s="3">
        <f t="shared" si="201"/>
        <v>0.17000000000000007</v>
      </c>
      <c r="R1828" s="4" t="str">
        <f>IF(Sales_Fact!$O1828&gt;1000,"High","Low")</f>
        <v>Low</v>
      </c>
      <c r="S1828" s="4" t="str">
        <f>VLOOKUP(C1828,Customer_Dim!$A:$N,9,FALSE())</f>
        <v>Kristen Fischer</v>
      </c>
      <c r="T1828" s="4" t="str">
        <f>VLOOKUP(D1828,Product_Dim!$A:$M,3,FALSE())</f>
        <v>Home</v>
      </c>
      <c r="U1828" s="11" t="str">
        <f>VLOOKUP(D1828,Product_Dim!$A:$M,2,FALSE())</f>
        <v>Decorative Floor Vase</v>
      </c>
      <c r="V1828" s="11" t="str">
        <f>VLOOKUP(E1828,Store_Dim!$A:$E,3,FALSE())</f>
        <v>South</v>
      </c>
      <c r="W1828" s="11" t="str">
        <f>VLOOKUP(C1828,Customer_Dim!$A:$N,13,FALSE())</f>
        <v>Platinum</v>
      </c>
      <c r="X1828" s="11" t="str">
        <f t="shared" si="202"/>
        <v>Low</v>
      </c>
    </row>
    <row r="1829" spans="1:24" ht="15.75" customHeight="1">
      <c r="A1829" s="4" t="s">
        <v>3825</v>
      </c>
      <c r="B1829" s="9">
        <v>45525</v>
      </c>
      <c r="C1829" s="4" t="s">
        <v>473</v>
      </c>
      <c r="D1829" s="4" t="s">
        <v>1654</v>
      </c>
      <c r="E1829" s="4" t="s">
        <v>1910</v>
      </c>
      <c r="F1829" s="4">
        <v>1</v>
      </c>
      <c r="G1829" s="4">
        <v>346.2</v>
      </c>
      <c r="H1829" s="4">
        <v>0.28999999999999998</v>
      </c>
      <c r="I1829" s="4" t="s">
        <v>1996</v>
      </c>
      <c r="J1829" s="10">
        <v>245.80199999999999</v>
      </c>
      <c r="K1829" s="4" t="str">
        <f t="shared" si="196"/>
        <v>21-08-2024</v>
      </c>
      <c r="L1829" s="4" t="str">
        <f>TEXT(Sales_Fact!$B1829,"mmm")</f>
        <v>Aug</v>
      </c>
      <c r="M1829" s="4">
        <f t="shared" si="197"/>
        <v>1</v>
      </c>
      <c r="N1829" s="10">
        <f t="shared" si="198"/>
        <v>346.2</v>
      </c>
      <c r="O1829" s="10">
        <f t="shared" si="199"/>
        <v>245.80199999999999</v>
      </c>
      <c r="P1829" s="10">
        <f t="shared" si="200"/>
        <v>346.2</v>
      </c>
      <c r="Q1829" s="3">
        <f t="shared" si="201"/>
        <v>0.28999999999999998</v>
      </c>
      <c r="R1829" s="4" t="str">
        <f>IF(Sales_Fact!$O1829&gt;1000,"High","Low")</f>
        <v>Low</v>
      </c>
      <c r="S1829" s="4" t="str">
        <f>VLOOKUP(C1829,Customer_Dim!$A:$N,9,FALSE())</f>
        <v>Joseph Richards</v>
      </c>
      <c r="T1829" s="4" t="str">
        <f>VLOOKUP(D1829,Product_Dim!$A:$M,3,FALSE())</f>
        <v>Sports</v>
      </c>
      <c r="U1829" s="11" t="str">
        <f>VLOOKUP(D1829,Product_Dim!$A:$M,2,FALSE())</f>
        <v>Knee Support Brace</v>
      </c>
      <c r="V1829" s="11" t="str">
        <f>VLOOKUP(E1829,Store_Dim!$A:$E,3,FALSE())</f>
        <v>East</v>
      </c>
      <c r="W1829" s="11" t="str">
        <f>VLOOKUP(C1829,Customer_Dim!$A:$N,13,FALSE())</f>
        <v>Bronze</v>
      </c>
      <c r="X1829" s="11" t="str">
        <f t="shared" si="202"/>
        <v>Low</v>
      </c>
    </row>
    <row r="1830" spans="1:24" ht="15.75" customHeight="1">
      <c r="A1830" s="4" t="s">
        <v>3826</v>
      </c>
      <c r="B1830" s="9">
        <v>45527</v>
      </c>
      <c r="C1830" s="4" t="s">
        <v>1440</v>
      </c>
      <c r="D1830" s="4" t="s">
        <v>1732</v>
      </c>
      <c r="E1830" s="4" t="s">
        <v>1959</v>
      </c>
      <c r="F1830" s="4">
        <v>3</v>
      </c>
      <c r="G1830" s="4">
        <v>791.75</v>
      </c>
      <c r="H1830" s="4">
        <v>0.28999999999999998</v>
      </c>
      <c r="I1830" s="4" t="s">
        <v>1996</v>
      </c>
      <c r="J1830" s="10">
        <v>1686.4275</v>
      </c>
      <c r="K1830" s="4" t="str">
        <f t="shared" si="196"/>
        <v>23-08-2024</v>
      </c>
      <c r="L1830" s="4" t="str">
        <f>TEXT(Sales_Fact!$B1830,"mmm")</f>
        <v>Aug</v>
      </c>
      <c r="M1830" s="4">
        <f t="shared" si="197"/>
        <v>3</v>
      </c>
      <c r="N1830" s="10">
        <f t="shared" si="198"/>
        <v>791.75</v>
      </c>
      <c r="O1830" s="10">
        <f t="shared" si="199"/>
        <v>1686.4275</v>
      </c>
      <c r="P1830" s="10">
        <f t="shared" si="200"/>
        <v>2375.25</v>
      </c>
      <c r="Q1830" s="3">
        <f t="shared" si="201"/>
        <v>0.28999999999999998</v>
      </c>
      <c r="R1830" s="4" t="str">
        <f>IF(Sales_Fact!$O1830&gt;1000,"High","Low")</f>
        <v>High</v>
      </c>
      <c r="S1830" s="4" t="str">
        <f>VLOOKUP(C1830,Customer_Dim!$A:$N,9,FALSE())</f>
        <v>Christina Robertson</v>
      </c>
      <c r="T1830" s="4" t="str">
        <f>VLOOKUP(D1830,Product_Dim!$A:$M,3,FALSE())</f>
        <v>Electronics</v>
      </c>
      <c r="U1830" s="11" t="str">
        <f>VLOOKUP(D1830,Product_Dim!$A:$M,2,FALSE())</f>
        <v>USB External Hard Drive</v>
      </c>
      <c r="V1830" s="11" t="str">
        <f>VLOOKUP(E1830,Store_Dim!$A:$E,3,FALSE())</f>
        <v>North</v>
      </c>
      <c r="W1830" s="11" t="str">
        <f>VLOOKUP(C1830,Customer_Dim!$A:$N,13,FALSE())</f>
        <v>Platinum</v>
      </c>
      <c r="X1830" s="11" t="str">
        <f t="shared" si="202"/>
        <v>Low</v>
      </c>
    </row>
    <row r="1831" spans="1:24" ht="15.75" customHeight="1">
      <c r="A1831" s="4" t="s">
        <v>3827</v>
      </c>
      <c r="B1831" s="9">
        <v>45265</v>
      </c>
      <c r="C1831" s="4" t="s">
        <v>1033</v>
      </c>
      <c r="D1831" s="4" t="s">
        <v>1719</v>
      </c>
      <c r="E1831" s="4" t="s">
        <v>1955</v>
      </c>
      <c r="F1831" s="4">
        <v>1</v>
      </c>
      <c r="G1831" s="4">
        <v>529.84</v>
      </c>
      <c r="H1831" s="4">
        <v>0.13</v>
      </c>
      <c r="I1831" s="4" t="s">
        <v>1998</v>
      </c>
      <c r="J1831" s="10">
        <v>460.96080000000001</v>
      </c>
      <c r="K1831" s="4" t="str">
        <f t="shared" si="196"/>
        <v>05-12-2023</v>
      </c>
      <c r="L1831" s="4" t="str">
        <f>TEXT(Sales_Fact!$B1831,"mmm")</f>
        <v>Dec</v>
      </c>
      <c r="M1831" s="4">
        <f t="shared" si="197"/>
        <v>1</v>
      </c>
      <c r="N1831" s="10">
        <f t="shared" si="198"/>
        <v>529.84</v>
      </c>
      <c r="O1831" s="10">
        <f t="shared" si="199"/>
        <v>460.96080000000001</v>
      </c>
      <c r="P1831" s="10">
        <f t="shared" si="200"/>
        <v>529.84</v>
      </c>
      <c r="Q1831" s="3">
        <f t="shared" si="201"/>
        <v>0.13000000000000003</v>
      </c>
      <c r="R1831" s="4" t="str">
        <f>IF(Sales_Fact!$O1831&gt;1000,"High","Low")</f>
        <v>Low</v>
      </c>
      <c r="S1831" s="4" t="str">
        <f>VLOOKUP(C1831,Customer_Dim!$A:$N,9,FALSE())</f>
        <v>Casey Simpson</v>
      </c>
      <c r="T1831" s="4" t="str">
        <f>VLOOKUP(D1831,Product_Dim!$A:$M,3,FALSE())</f>
        <v>Electronics</v>
      </c>
      <c r="U1831" s="11" t="str">
        <f>VLOOKUP(D1831,Product_Dim!$A:$M,2,FALSE())</f>
        <v>Portable Power Bank</v>
      </c>
      <c r="V1831" s="11" t="str">
        <f>VLOOKUP(E1831,Store_Dim!$A:$E,3,FALSE())</f>
        <v>East</v>
      </c>
      <c r="W1831" s="11" t="str">
        <f>VLOOKUP(C1831,Customer_Dim!$A:$N,13,FALSE())</f>
        <v>Platinum</v>
      </c>
      <c r="X1831" s="11" t="str">
        <f t="shared" si="202"/>
        <v>Low</v>
      </c>
    </row>
    <row r="1832" spans="1:24" ht="15.75" customHeight="1">
      <c r="A1832" s="4" t="s">
        <v>3828</v>
      </c>
      <c r="B1832" s="9">
        <v>45936</v>
      </c>
      <c r="C1832" s="4" t="s">
        <v>1481</v>
      </c>
      <c r="D1832" s="4" t="s">
        <v>1767</v>
      </c>
      <c r="E1832" s="4" t="s">
        <v>1924</v>
      </c>
      <c r="F1832" s="4">
        <v>3</v>
      </c>
      <c r="G1832" s="4">
        <v>582.57000000000005</v>
      </c>
      <c r="H1832" s="4">
        <v>0.11</v>
      </c>
      <c r="I1832" s="4" t="s">
        <v>1998</v>
      </c>
      <c r="J1832" s="10">
        <v>1555.4619</v>
      </c>
      <c r="K1832" s="4" t="str">
        <f t="shared" si="196"/>
        <v>06-10-2025</v>
      </c>
      <c r="L1832" s="4" t="str">
        <f>TEXT(Sales_Fact!$B1832,"mmm")</f>
        <v>Oct</v>
      </c>
      <c r="M1832" s="4">
        <f t="shared" si="197"/>
        <v>3</v>
      </c>
      <c r="N1832" s="10">
        <f t="shared" si="198"/>
        <v>582.57000000000005</v>
      </c>
      <c r="O1832" s="10">
        <f t="shared" si="199"/>
        <v>1555.4619</v>
      </c>
      <c r="P1832" s="10">
        <f t="shared" si="200"/>
        <v>1747.71</v>
      </c>
      <c r="Q1832" s="3">
        <f t="shared" si="201"/>
        <v>0.11000000000000001</v>
      </c>
      <c r="R1832" s="4" t="str">
        <f>IF(Sales_Fact!$O1832&gt;1000,"High","Low")</f>
        <v>High</v>
      </c>
      <c r="S1832" s="4" t="str">
        <f>VLOOKUP(C1832,Customer_Dim!$A:$N,9,FALSE())</f>
        <v>Debra Mccullough</v>
      </c>
      <c r="T1832" s="4" t="str">
        <f>VLOOKUP(D1832,Product_Dim!$A:$M,3,FALSE())</f>
        <v>Sports</v>
      </c>
      <c r="U1832" s="11" t="str">
        <f>VLOOKUP(D1832,Product_Dim!$A:$M,2,FALSE())</f>
        <v>Sports Stopwatch Pro</v>
      </c>
      <c r="V1832" s="11" t="str">
        <f>VLOOKUP(E1832,Store_Dim!$A:$E,3,FALSE())</f>
        <v>North</v>
      </c>
      <c r="W1832" s="11" t="str">
        <f>VLOOKUP(C1832,Customer_Dim!$A:$N,13,FALSE())</f>
        <v>Platinum</v>
      </c>
      <c r="X1832" s="11" t="str">
        <f t="shared" si="202"/>
        <v>Low</v>
      </c>
    </row>
    <row r="1833" spans="1:24" ht="15.75" customHeight="1">
      <c r="A1833" s="4" t="s">
        <v>3829</v>
      </c>
      <c r="B1833" s="9">
        <v>45242</v>
      </c>
      <c r="C1833" s="4" t="s">
        <v>712</v>
      </c>
      <c r="D1833" s="4" t="s">
        <v>1891</v>
      </c>
      <c r="E1833" s="4" t="s">
        <v>1965</v>
      </c>
      <c r="F1833" s="4">
        <v>1</v>
      </c>
      <c r="G1833" s="4">
        <v>219.81</v>
      </c>
      <c r="H1833" s="4">
        <v>0.22</v>
      </c>
      <c r="I1833" s="4" t="s">
        <v>2004</v>
      </c>
      <c r="J1833" s="10">
        <v>171.45179999999999</v>
      </c>
      <c r="K1833" s="4" t="str">
        <f t="shared" si="196"/>
        <v>12-11-2023</v>
      </c>
      <c r="L1833" s="4" t="str">
        <f>TEXT(Sales_Fact!$B1833,"mmm")</f>
        <v>Nov</v>
      </c>
      <c r="M1833" s="4">
        <f t="shared" si="197"/>
        <v>1</v>
      </c>
      <c r="N1833" s="10">
        <f t="shared" si="198"/>
        <v>219.81</v>
      </c>
      <c r="O1833" s="10">
        <f t="shared" si="199"/>
        <v>171.45180000000002</v>
      </c>
      <c r="P1833" s="10">
        <f t="shared" si="200"/>
        <v>219.81</v>
      </c>
      <c r="Q1833" s="3">
        <f t="shared" si="201"/>
        <v>0.21999999999999992</v>
      </c>
      <c r="R1833" s="4" t="str">
        <f>IF(Sales_Fact!$O1833&gt;1000,"High","Low")</f>
        <v>Low</v>
      </c>
      <c r="S1833" s="4" t="str">
        <f>VLOOKUP(C1833,Customer_Dim!$A:$N,9,FALSE())</f>
        <v>Rodney Huffman</v>
      </c>
      <c r="T1833" s="4" t="str">
        <f>VLOOKUP(D1833,Product_Dim!$A:$M,3,FALSE())</f>
        <v>Sports</v>
      </c>
      <c r="U1833" s="11" t="str">
        <f>VLOOKUP(D1833,Product_Dim!$A:$M,2,FALSE())</f>
        <v>Sports Stopwatch Basic</v>
      </c>
      <c r="V1833" s="11" t="str">
        <f>VLOOKUP(E1833,Store_Dim!$A:$E,3,FALSE())</f>
        <v>North</v>
      </c>
      <c r="W1833" s="11" t="str">
        <f>VLOOKUP(C1833,Customer_Dim!$A:$N,13,FALSE())</f>
        <v>Silver</v>
      </c>
      <c r="X1833" s="11" t="str">
        <f t="shared" si="202"/>
        <v>Low</v>
      </c>
    </row>
    <row r="1834" spans="1:24" ht="15.75" customHeight="1">
      <c r="A1834" s="4" t="s">
        <v>3830</v>
      </c>
      <c r="B1834" s="9">
        <v>45437</v>
      </c>
      <c r="C1834" s="4" t="s">
        <v>1556</v>
      </c>
      <c r="D1834" s="4" t="s">
        <v>1816</v>
      </c>
      <c r="E1834" s="4" t="s">
        <v>1968</v>
      </c>
      <c r="F1834" s="4">
        <v>4</v>
      </c>
      <c r="G1834" s="4">
        <v>883.31</v>
      </c>
      <c r="H1834" s="4">
        <v>0.27</v>
      </c>
      <c r="I1834" s="4" t="s">
        <v>1996</v>
      </c>
      <c r="J1834" s="10">
        <v>2579.2651999999998</v>
      </c>
      <c r="K1834" s="4" t="str">
        <f t="shared" si="196"/>
        <v>25-05-2024</v>
      </c>
      <c r="L1834" s="4" t="str">
        <f>TEXT(Sales_Fact!$B1834,"mmm")</f>
        <v>May</v>
      </c>
      <c r="M1834" s="4">
        <f t="shared" si="197"/>
        <v>4</v>
      </c>
      <c r="N1834" s="10">
        <f t="shared" si="198"/>
        <v>883.31</v>
      </c>
      <c r="O1834" s="10">
        <f t="shared" si="199"/>
        <v>2579.2651999999998</v>
      </c>
      <c r="P1834" s="10">
        <f t="shared" si="200"/>
        <v>3533.24</v>
      </c>
      <c r="Q1834" s="3">
        <f t="shared" si="201"/>
        <v>0.27</v>
      </c>
      <c r="R1834" s="4" t="str">
        <f>IF(Sales_Fact!$O1834&gt;1000,"High","Low")</f>
        <v>High</v>
      </c>
      <c r="S1834" s="4" t="str">
        <f>VLOOKUP(C1834,Customer_Dim!$A:$N,9,FALSE())</f>
        <v>Sarah Marsh</v>
      </c>
      <c r="T1834" s="4" t="str">
        <f>VLOOKUP(D1834,Product_Dim!$A:$M,3,FALSE())</f>
        <v>Home</v>
      </c>
      <c r="U1834" s="11" t="str">
        <f>VLOOKUP(D1834,Product_Dim!$A:$M,2,FALSE())</f>
        <v>Kitchen Storage Rack</v>
      </c>
      <c r="V1834" s="11" t="str">
        <f>VLOOKUP(E1834,Store_Dim!$A:$E,3,FALSE())</f>
        <v>East</v>
      </c>
      <c r="W1834" s="11" t="str">
        <f>VLOOKUP(C1834,Customer_Dim!$A:$N,13,FALSE())</f>
        <v>Gold</v>
      </c>
      <c r="X1834" s="11" t="str">
        <f t="shared" si="202"/>
        <v>High</v>
      </c>
    </row>
    <row r="1835" spans="1:24" ht="15.75" customHeight="1">
      <c r="A1835" s="4" t="s">
        <v>3831</v>
      </c>
      <c r="B1835" s="9">
        <v>45627</v>
      </c>
      <c r="C1835" s="4" t="s">
        <v>780</v>
      </c>
      <c r="D1835" s="4" t="s">
        <v>1648</v>
      </c>
      <c r="E1835" s="4" t="s">
        <v>1957</v>
      </c>
      <c r="F1835" s="4">
        <v>4</v>
      </c>
      <c r="G1835" s="4">
        <v>329.06</v>
      </c>
      <c r="H1835" s="4">
        <v>0.04</v>
      </c>
      <c r="I1835" s="4" t="s">
        <v>2004</v>
      </c>
      <c r="J1835" s="10">
        <v>1263.5904</v>
      </c>
      <c r="K1835" s="4" t="str">
        <f t="shared" si="196"/>
        <v>01-12-2024</v>
      </c>
      <c r="L1835" s="4" t="str">
        <f>TEXT(Sales_Fact!$B1835,"mmm")</f>
        <v>Dec</v>
      </c>
      <c r="M1835" s="4">
        <f t="shared" si="197"/>
        <v>4</v>
      </c>
      <c r="N1835" s="10">
        <f t="shared" si="198"/>
        <v>329.06</v>
      </c>
      <c r="O1835" s="10">
        <f t="shared" si="199"/>
        <v>1263.5904</v>
      </c>
      <c r="P1835" s="10">
        <f t="shared" si="200"/>
        <v>1316.24</v>
      </c>
      <c r="Q1835" s="3">
        <f t="shared" si="201"/>
        <v>3.9999999999999973E-2</v>
      </c>
      <c r="R1835" s="4" t="str">
        <f>IF(Sales_Fact!$O1835&gt;1000,"High","Low")</f>
        <v>High</v>
      </c>
      <c r="S1835" s="4" t="str">
        <f>VLOOKUP(C1835,Customer_Dim!$A:$N,9,FALSE())</f>
        <v>Nathaniel Hill</v>
      </c>
      <c r="T1835" s="4" t="str">
        <f>VLOOKUP(D1835,Product_Dim!$A:$M,3,FALSE())</f>
        <v>Sports</v>
      </c>
      <c r="U1835" s="11" t="str">
        <f>VLOOKUP(D1835,Product_Dim!$A:$M,2,FALSE())</f>
        <v>Soccer Training Cone Set</v>
      </c>
      <c r="V1835" s="11" t="str">
        <f>VLOOKUP(E1835,Store_Dim!$A:$E,3,FALSE())</f>
        <v>South</v>
      </c>
      <c r="W1835" s="11" t="str">
        <f>VLOOKUP(C1835,Customer_Dim!$A:$N,13,FALSE())</f>
        <v>Gold</v>
      </c>
      <c r="X1835" s="11" t="str">
        <f t="shared" si="202"/>
        <v>High</v>
      </c>
    </row>
    <row r="1836" spans="1:24" ht="15.75" customHeight="1">
      <c r="A1836" s="4" t="s">
        <v>3832</v>
      </c>
      <c r="B1836" s="9">
        <v>45282</v>
      </c>
      <c r="C1836" s="4" t="s">
        <v>226</v>
      </c>
      <c r="D1836" s="4" t="s">
        <v>1870</v>
      </c>
      <c r="E1836" s="4" t="s">
        <v>1937</v>
      </c>
      <c r="F1836" s="4">
        <v>4</v>
      </c>
      <c r="G1836" s="4">
        <v>127.1</v>
      </c>
      <c r="H1836" s="4">
        <v>0.24</v>
      </c>
      <c r="I1836" s="4" t="s">
        <v>2004</v>
      </c>
      <c r="J1836" s="10">
        <v>386.38400000000001</v>
      </c>
      <c r="K1836" s="4" t="str">
        <f t="shared" si="196"/>
        <v>22-12-2023</v>
      </c>
      <c r="L1836" s="4" t="str">
        <f>TEXT(Sales_Fact!$B1836,"mmm")</f>
        <v>Dec</v>
      </c>
      <c r="M1836" s="4">
        <f t="shared" si="197"/>
        <v>4</v>
      </c>
      <c r="N1836" s="10">
        <f t="shared" si="198"/>
        <v>127.1</v>
      </c>
      <c r="O1836" s="10">
        <f t="shared" si="199"/>
        <v>386.38400000000001</v>
      </c>
      <c r="P1836" s="10">
        <f t="shared" si="200"/>
        <v>508.4</v>
      </c>
      <c r="Q1836" s="3">
        <f t="shared" si="201"/>
        <v>0.23999999999999994</v>
      </c>
      <c r="R1836" s="4" t="str">
        <f>IF(Sales_Fact!$O1836&gt;1000,"High","Low")</f>
        <v>Low</v>
      </c>
      <c r="S1836" s="4" t="str">
        <f>VLOOKUP(C1836,Customer_Dim!$A:$N,9,FALSE())</f>
        <v>Katherine Dorsey</v>
      </c>
      <c r="T1836" s="4" t="str">
        <f>VLOOKUP(D1836,Product_Dim!$A:$M,3,FALSE())</f>
        <v>Sports</v>
      </c>
      <c r="U1836" s="11" t="str">
        <f>VLOOKUP(D1836,Product_Dim!$A:$M,2,FALSE())</f>
        <v>Sports Wrist Sweatbands</v>
      </c>
      <c r="V1836" s="11" t="str">
        <f>VLOOKUP(E1836,Store_Dim!$A:$E,3,FALSE())</f>
        <v>South</v>
      </c>
      <c r="W1836" s="11" t="str">
        <f>VLOOKUP(C1836,Customer_Dim!$A:$N,13,FALSE())</f>
        <v>Platinum</v>
      </c>
      <c r="X1836" s="11" t="str">
        <f t="shared" si="202"/>
        <v>High</v>
      </c>
    </row>
    <row r="1837" spans="1:24" ht="15.75" customHeight="1">
      <c r="A1837" s="4" t="s">
        <v>3833</v>
      </c>
      <c r="B1837" s="9">
        <v>45678</v>
      </c>
      <c r="C1837" s="4" t="s">
        <v>393</v>
      </c>
      <c r="D1837" s="4" t="s">
        <v>1809</v>
      </c>
      <c r="E1837" s="4" t="s">
        <v>1950</v>
      </c>
      <c r="F1837" s="4">
        <v>1</v>
      </c>
      <c r="G1837" s="4">
        <v>935.78</v>
      </c>
      <c r="H1837" s="4">
        <v>0.03</v>
      </c>
      <c r="I1837" s="4" t="s">
        <v>1998</v>
      </c>
      <c r="J1837" s="10">
        <v>907.70659999999998</v>
      </c>
      <c r="K1837" s="4" t="str">
        <f t="shared" si="196"/>
        <v>21-01-2025</v>
      </c>
      <c r="L1837" s="4" t="str">
        <f>TEXT(Sales_Fact!$B1837,"mmm")</f>
        <v>Jan</v>
      </c>
      <c r="M1837" s="4">
        <f t="shared" si="197"/>
        <v>1</v>
      </c>
      <c r="N1837" s="10">
        <f t="shared" si="198"/>
        <v>935.78</v>
      </c>
      <c r="O1837" s="10">
        <f t="shared" si="199"/>
        <v>907.70659999999998</v>
      </c>
      <c r="P1837" s="10">
        <f t="shared" si="200"/>
        <v>935.78</v>
      </c>
      <c r="Q1837" s="3">
        <f t="shared" si="201"/>
        <v>2.9999999999999992E-2</v>
      </c>
      <c r="R1837" s="4" t="str">
        <f>IF(Sales_Fact!$O1837&gt;1000,"High","Low")</f>
        <v>Low</v>
      </c>
      <c r="S1837" s="4" t="str">
        <f>VLOOKUP(C1837,Customer_Dim!$A:$N,9,FALSE())</f>
        <v>Lance Baker</v>
      </c>
      <c r="T1837" s="4" t="str">
        <f>VLOOKUP(D1837,Product_Dim!$A:$M,3,FALSE())</f>
        <v>Home</v>
      </c>
      <c r="U1837" s="11" t="str">
        <f>VLOOKUP(D1837,Product_Dim!$A:$M,2,FALSE())</f>
        <v>Wooden Nightstand</v>
      </c>
      <c r="V1837" s="11" t="str">
        <f>VLOOKUP(E1837,Store_Dim!$A:$E,3,FALSE())</f>
        <v>South</v>
      </c>
      <c r="W1837" s="11" t="str">
        <f>VLOOKUP(C1837,Customer_Dim!$A:$N,13,FALSE())</f>
        <v>Gold</v>
      </c>
      <c r="X1837" s="11" t="str">
        <f t="shared" si="202"/>
        <v>Low</v>
      </c>
    </row>
    <row r="1838" spans="1:24" ht="15.75" customHeight="1">
      <c r="A1838" s="4" t="s">
        <v>3834</v>
      </c>
      <c r="B1838" s="9">
        <v>45484</v>
      </c>
      <c r="C1838" s="4" t="s">
        <v>1036</v>
      </c>
      <c r="D1838" s="4" t="s">
        <v>1785</v>
      </c>
      <c r="E1838" s="4" t="s">
        <v>1947</v>
      </c>
      <c r="F1838" s="4">
        <v>4</v>
      </c>
      <c r="G1838" s="4">
        <v>597.79999999999995</v>
      </c>
      <c r="H1838" s="4">
        <v>0.2</v>
      </c>
      <c r="I1838" s="4" t="s">
        <v>1996</v>
      </c>
      <c r="J1838" s="10">
        <v>1912.96</v>
      </c>
      <c r="K1838" s="4" t="str">
        <f t="shared" si="196"/>
        <v>11-07-2024</v>
      </c>
      <c r="L1838" s="4" t="str">
        <f>TEXT(Sales_Fact!$B1838,"mmm")</f>
        <v>Jul</v>
      </c>
      <c r="M1838" s="4">
        <f t="shared" si="197"/>
        <v>4</v>
      </c>
      <c r="N1838" s="10">
        <f t="shared" si="198"/>
        <v>597.79999999999995</v>
      </c>
      <c r="O1838" s="10">
        <f t="shared" si="199"/>
        <v>1912.96</v>
      </c>
      <c r="P1838" s="10">
        <f t="shared" si="200"/>
        <v>2391.1999999999998</v>
      </c>
      <c r="Q1838" s="3">
        <f t="shared" si="201"/>
        <v>0.19999999999999993</v>
      </c>
      <c r="R1838" s="4" t="str">
        <f>IF(Sales_Fact!$O1838&gt;1000,"High","Low")</f>
        <v>High</v>
      </c>
      <c r="S1838" s="4" t="str">
        <f>VLOOKUP(C1838,Customer_Dim!$A:$N,9,FALSE())</f>
        <v>Jessica Gonzalez</v>
      </c>
      <c r="T1838" s="4" t="str">
        <f>VLOOKUP(D1838,Product_Dim!$A:$M,3,FALSE())</f>
        <v>Beauty</v>
      </c>
      <c r="U1838" s="11" t="str">
        <f>VLOOKUP(D1838,Product_Dim!$A:$M,2,FALSE())</f>
        <v>Luxury Perfume Spray</v>
      </c>
      <c r="V1838" s="11" t="str">
        <f>VLOOKUP(E1838,Store_Dim!$A:$E,3,FALSE())</f>
        <v>East</v>
      </c>
      <c r="W1838" s="11" t="str">
        <f>VLOOKUP(C1838,Customer_Dim!$A:$N,13,FALSE())</f>
        <v>Bronze</v>
      </c>
      <c r="X1838" s="11" t="str">
        <f t="shared" si="202"/>
        <v>High</v>
      </c>
    </row>
    <row r="1839" spans="1:24" ht="15.75" customHeight="1">
      <c r="A1839" s="4" t="s">
        <v>3835</v>
      </c>
      <c r="B1839" s="9">
        <v>45700</v>
      </c>
      <c r="C1839" s="4" t="s">
        <v>855</v>
      </c>
      <c r="D1839" s="4" t="s">
        <v>1633</v>
      </c>
      <c r="E1839" s="4" t="s">
        <v>1968</v>
      </c>
      <c r="F1839" s="4">
        <v>4</v>
      </c>
      <c r="G1839" s="4">
        <v>266.98</v>
      </c>
      <c r="H1839" s="4">
        <v>0.16</v>
      </c>
      <c r="I1839" s="4" t="s">
        <v>1996</v>
      </c>
      <c r="J1839" s="10">
        <v>897.05280000000005</v>
      </c>
      <c r="K1839" s="4" t="str">
        <f t="shared" si="196"/>
        <v>12-02-2025</v>
      </c>
      <c r="L1839" s="4" t="str">
        <f>TEXT(Sales_Fact!$B1839,"mmm")</f>
        <v>Feb</v>
      </c>
      <c r="M1839" s="4">
        <f t="shared" si="197"/>
        <v>4</v>
      </c>
      <c r="N1839" s="10">
        <f t="shared" si="198"/>
        <v>266.98</v>
      </c>
      <c r="O1839" s="10">
        <f t="shared" si="199"/>
        <v>897.05280000000005</v>
      </c>
      <c r="P1839" s="10">
        <f t="shared" si="200"/>
        <v>1067.92</v>
      </c>
      <c r="Q1839" s="3">
        <f t="shared" si="201"/>
        <v>0.16</v>
      </c>
      <c r="R1839" s="4" t="str">
        <f>IF(Sales_Fact!$O1839&gt;1000,"High","Low")</f>
        <v>Low</v>
      </c>
      <c r="S1839" s="4" t="str">
        <f>VLOOKUP(C1839,Customer_Dim!$A:$N,9,FALSE())</f>
        <v>Beth Allen</v>
      </c>
      <c r="T1839" s="4" t="str">
        <f>VLOOKUP(D1839,Product_Dim!$A:$M,3,FALSE())</f>
        <v>Electronics</v>
      </c>
      <c r="U1839" s="11" t="str">
        <f>VLOOKUP(D1839,Product_Dim!$A:$M,2,FALSE())</f>
        <v>USB-C Fast Charger</v>
      </c>
      <c r="V1839" s="11" t="str">
        <f>VLOOKUP(E1839,Store_Dim!$A:$E,3,FALSE())</f>
        <v>East</v>
      </c>
      <c r="W1839" s="11" t="str">
        <f>VLOOKUP(C1839,Customer_Dim!$A:$N,13,FALSE())</f>
        <v>Silver</v>
      </c>
      <c r="X1839" s="11" t="str">
        <f t="shared" si="202"/>
        <v>High</v>
      </c>
    </row>
    <row r="1840" spans="1:24" ht="15.75" customHeight="1">
      <c r="A1840" s="4" t="s">
        <v>3836</v>
      </c>
      <c r="B1840" s="9">
        <v>45873</v>
      </c>
      <c r="C1840" s="4" t="s">
        <v>1295</v>
      </c>
      <c r="D1840" s="4" t="s">
        <v>1816</v>
      </c>
      <c r="E1840" s="4" t="s">
        <v>1959</v>
      </c>
      <c r="F1840" s="4">
        <v>3</v>
      </c>
      <c r="G1840" s="4">
        <v>360.18</v>
      </c>
      <c r="H1840" s="4">
        <v>0.03</v>
      </c>
      <c r="I1840" s="4" t="s">
        <v>1996</v>
      </c>
      <c r="J1840" s="10">
        <v>1048.1238000000001</v>
      </c>
      <c r="K1840" s="4" t="str">
        <f t="shared" si="196"/>
        <v>04-08-2025</v>
      </c>
      <c r="L1840" s="4" t="str">
        <f>TEXT(Sales_Fact!$B1840,"mmm")</f>
        <v>Aug</v>
      </c>
      <c r="M1840" s="4">
        <f t="shared" si="197"/>
        <v>3</v>
      </c>
      <c r="N1840" s="10">
        <f t="shared" si="198"/>
        <v>360.18</v>
      </c>
      <c r="O1840" s="10">
        <f t="shared" si="199"/>
        <v>1048.1237999999998</v>
      </c>
      <c r="P1840" s="10">
        <f t="shared" si="200"/>
        <v>1080.54</v>
      </c>
      <c r="Q1840" s="3">
        <f t="shared" si="201"/>
        <v>3.000000000000011E-2</v>
      </c>
      <c r="R1840" s="4" t="str">
        <f>IF(Sales_Fact!$O1840&gt;1000,"High","Low")</f>
        <v>High</v>
      </c>
      <c r="S1840" s="4" t="str">
        <f>VLOOKUP(C1840,Customer_Dim!$A:$N,9,FALSE())</f>
        <v>Joseph Mendoza</v>
      </c>
      <c r="T1840" s="4" t="str">
        <f>VLOOKUP(D1840,Product_Dim!$A:$M,3,FALSE())</f>
        <v>Home</v>
      </c>
      <c r="U1840" s="11" t="str">
        <f>VLOOKUP(D1840,Product_Dim!$A:$M,2,FALSE())</f>
        <v>Kitchen Storage Rack</v>
      </c>
      <c r="V1840" s="11" t="str">
        <f>VLOOKUP(E1840,Store_Dim!$A:$E,3,FALSE())</f>
        <v>North</v>
      </c>
      <c r="W1840" s="11" t="str">
        <f>VLOOKUP(C1840,Customer_Dim!$A:$N,13,FALSE())</f>
        <v>Gold</v>
      </c>
      <c r="X1840" s="11" t="str">
        <f t="shared" si="202"/>
        <v>Low</v>
      </c>
    </row>
    <row r="1841" spans="1:24" ht="15.75" customHeight="1">
      <c r="A1841" s="4" t="s">
        <v>3837</v>
      </c>
      <c r="B1841" s="9">
        <v>45860</v>
      </c>
      <c r="C1841" s="4" t="s">
        <v>1165</v>
      </c>
      <c r="D1841" s="4" t="s">
        <v>1773</v>
      </c>
      <c r="E1841" s="4" t="s">
        <v>1910</v>
      </c>
      <c r="F1841" s="4">
        <v>3</v>
      </c>
      <c r="G1841" s="4">
        <v>247.41</v>
      </c>
      <c r="H1841" s="4">
        <v>0.05</v>
      </c>
      <c r="I1841" s="4" t="s">
        <v>2004</v>
      </c>
      <c r="J1841" s="10">
        <v>705.11850000000004</v>
      </c>
      <c r="K1841" s="4" t="str">
        <f t="shared" si="196"/>
        <v>22-07-2025</v>
      </c>
      <c r="L1841" s="4" t="str">
        <f>TEXT(Sales_Fact!$B1841,"mmm")</f>
        <v>Jul</v>
      </c>
      <c r="M1841" s="4">
        <f t="shared" si="197"/>
        <v>3</v>
      </c>
      <c r="N1841" s="10">
        <f t="shared" si="198"/>
        <v>247.41</v>
      </c>
      <c r="O1841" s="10">
        <f t="shared" si="199"/>
        <v>705.11850000000004</v>
      </c>
      <c r="P1841" s="10">
        <f t="shared" si="200"/>
        <v>742.23</v>
      </c>
      <c r="Q1841" s="3">
        <f t="shared" si="201"/>
        <v>4.9999999999999968E-2</v>
      </c>
      <c r="R1841" s="4" t="str">
        <f>IF(Sales_Fact!$O1841&gt;1000,"High","Low")</f>
        <v>Low</v>
      </c>
      <c r="S1841" s="4" t="str">
        <f>VLOOKUP(C1841,Customer_Dim!$A:$N,9,FALSE())</f>
        <v>Elizabeth Smith</v>
      </c>
      <c r="T1841" s="4" t="str">
        <f>VLOOKUP(D1841,Product_Dim!$A:$M,3,FALSE())</f>
        <v>Home</v>
      </c>
      <c r="U1841" s="11" t="str">
        <f>VLOOKUP(D1841,Product_Dim!$A:$M,2,FALSE())</f>
        <v>Premium Blanket Throw</v>
      </c>
      <c r="V1841" s="11" t="str">
        <f>VLOOKUP(E1841,Store_Dim!$A:$E,3,FALSE())</f>
        <v>East</v>
      </c>
      <c r="W1841" s="11" t="str">
        <f>VLOOKUP(C1841,Customer_Dim!$A:$N,13,FALSE())</f>
        <v>Bronze</v>
      </c>
      <c r="X1841" s="11" t="str">
        <f t="shared" si="202"/>
        <v>Low</v>
      </c>
    </row>
    <row r="1842" spans="1:24" ht="15.75" customHeight="1">
      <c r="A1842" s="4" t="s">
        <v>3838</v>
      </c>
      <c r="B1842" s="9">
        <v>45235</v>
      </c>
      <c r="C1842" s="4" t="s">
        <v>305</v>
      </c>
      <c r="D1842" s="4" t="s">
        <v>1738</v>
      </c>
      <c r="E1842" s="4" t="s">
        <v>1959</v>
      </c>
      <c r="F1842" s="4">
        <v>3</v>
      </c>
      <c r="G1842" s="4">
        <v>674.66</v>
      </c>
      <c r="H1842" s="4">
        <v>0.23</v>
      </c>
      <c r="I1842" s="4" t="s">
        <v>1996</v>
      </c>
      <c r="J1842" s="10">
        <v>1558.4646</v>
      </c>
      <c r="K1842" s="4" t="str">
        <f t="shared" si="196"/>
        <v>05-11-2023</v>
      </c>
      <c r="L1842" s="4" t="str">
        <f>TEXT(Sales_Fact!$B1842,"mmm")</f>
        <v>Nov</v>
      </c>
      <c r="M1842" s="4">
        <f t="shared" si="197"/>
        <v>3</v>
      </c>
      <c r="N1842" s="10">
        <f t="shared" si="198"/>
        <v>674.66</v>
      </c>
      <c r="O1842" s="10">
        <f t="shared" si="199"/>
        <v>1558.4646</v>
      </c>
      <c r="P1842" s="10">
        <f t="shared" si="200"/>
        <v>2023.98</v>
      </c>
      <c r="Q1842" s="3">
        <f t="shared" si="201"/>
        <v>0.23</v>
      </c>
      <c r="R1842" s="4" t="str">
        <f>IF(Sales_Fact!$O1842&gt;1000,"High","Low")</f>
        <v>High</v>
      </c>
      <c r="S1842" s="4" t="str">
        <f>VLOOKUP(C1842,Customer_Dim!$A:$N,9,FALSE())</f>
        <v>Cody Blake</v>
      </c>
      <c r="T1842" s="4" t="str">
        <f>VLOOKUP(D1842,Product_Dim!$A:$M,3,FALSE())</f>
        <v>Sports</v>
      </c>
      <c r="U1842" s="11" t="str">
        <f>VLOOKUP(D1842,Product_Dim!$A:$M,2,FALSE())</f>
        <v>High-Grip Football</v>
      </c>
      <c r="V1842" s="11" t="str">
        <f>VLOOKUP(E1842,Store_Dim!$A:$E,3,FALSE())</f>
        <v>North</v>
      </c>
      <c r="W1842" s="11" t="str">
        <f>VLOOKUP(C1842,Customer_Dim!$A:$N,13,FALSE())</f>
        <v>Gold</v>
      </c>
      <c r="X1842" s="11" t="str">
        <f t="shared" si="202"/>
        <v>Low</v>
      </c>
    </row>
    <row r="1843" spans="1:24" ht="15.75" customHeight="1">
      <c r="A1843" s="4" t="s">
        <v>3839</v>
      </c>
      <c r="B1843" s="9">
        <v>45874</v>
      </c>
      <c r="C1843" s="4" t="s">
        <v>1318</v>
      </c>
      <c r="D1843" s="4" t="s">
        <v>1729</v>
      </c>
      <c r="E1843" s="4" t="s">
        <v>1927</v>
      </c>
      <c r="F1843" s="4">
        <v>1</v>
      </c>
      <c r="G1843" s="4">
        <v>913.98</v>
      </c>
      <c r="H1843" s="4">
        <v>0.27</v>
      </c>
      <c r="I1843" s="4" t="s">
        <v>1998</v>
      </c>
      <c r="J1843" s="10">
        <v>667.20540000000005</v>
      </c>
      <c r="K1843" s="4" t="str">
        <f t="shared" si="196"/>
        <v>05-08-2025</v>
      </c>
      <c r="L1843" s="4" t="str">
        <f>TEXT(Sales_Fact!$B1843,"mmm")</f>
        <v>Aug</v>
      </c>
      <c r="M1843" s="4">
        <f t="shared" si="197"/>
        <v>1</v>
      </c>
      <c r="N1843" s="10">
        <f t="shared" si="198"/>
        <v>913.98</v>
      </c>
      <c r="O1843" s="10">
        <f t="shared" si="199"/>
        <v>667.20539999999994</v>
      </c>
      <c r="P1843" s="10">
        <f t="shared" si="200"/>
        <v>913.98</v>
      </c>
      <c r="Q1843" s="3">
        <f t="shared" si="201"/>
        <v>0.27000000000000007</v>
      </c>
      <c r="R1843" s="4" t="str">
        <f>IF(Sales_Fact!$O1843&gt;1000,"High","Low")</f>
        <v>Low</v>
      </c>
      <c r="S1843" s="4" t="str">
        <f>VLOOKUP(C1843,Customer_Dim!$A:$N,9,FALSE())</f>
        <v>Tyler Cook</v>
      </c>
      <c r="T1843" s="4" t="str">
        <f>VLOOKUP(D1843,Product_Dim!$A:$M,3,FALSE())</f>
        <v>Electronics</v>
      </c>
      <c r="U1843" s="11" t="str">
        <f>VLOOKUP(D1843,Product_Dim!$A:$M,2,FALSE())</f>
        <v>Smart Home WiFi Camera</v>
      </c>
      <c r="V1843" s="11" t="str">
        <f>VLOOKUP(E1843,Store_Dim!$A:$E,3,FALSE())</f>
        <v>South</v>
      </c>
      <c r="W1843" s="11" t="str">
        <f>VLOOKUP(C1843,Customer_Dim!$A:$N,13,FALSE())</f>
        <v>Silver</v>
      </c>
      <c r="X1843" s="11" t="str">
        <f t="shared" si="202"/>
        <v>Low</v>
      </c>
    </row>
    <row r="1844" spans="1:24" ht="15.75" customHeight="1">
      <c r="A1844" s="4" t="s">
        <v>3840</v>
      </c>
      <c r="B1844" s="9">
        <v>45769</v>
      </c>
      <c r="C1844" s="4" t="s">
        <v>1018</v>
      </c>
      <c r="D1844" s="4" t="s">
        <v>1885</v>
      </c>
      <c r="E1844" s="4" t="s">
        <v>1947</v>
      </c>
      <c r="F1844" s="4">
        <v>4</v>
      </c>
      <c r="G1844" s="4">
        <v>370.5</v>
      </c>
      <c r="H1844" s="4">
        <v>0.13</v>
      </c>
      <c r="I1844" s="4" t="s">
        <v>1998</v>
      </c>
      <c r="J1844" s="10">
        <v>1289.3399999999999</v>
      </c>
      <c r="K1844" s="4" t="str">
        <f t="shared" si="196"/>
        <v>22-04-2025</v>
      </c>
      <c r="L1844" s="4" t="str">
        <f>TEXT(Sales_Fact!$B1844,"mmm")</f>
        <v>Apr</v>
      </c>
      <c r="M1844" s="4">
        <f t="shared" si="197"/>
        <v>4</v>
      </c>
      <c r="N1844" s="10">
        <f t="shared" si="198"/>
        <v>370.5</v>
      </c>
      <c r="O1844" s="10">
        <f t="shared" si="199"/>
        <v>1289.3399999999999</v>
      </c>
      <c r="P1844" s="10">
        <f t="shared" si="200"/>
        <v>1482</v>
      </c>
      <c r="Q1844" s="3">
        <f t="shared" si="201"/>
        <v>0.13000000000000006</v>
      </c>
      <c r="R1844" s="4" t="str">
        <f>IF(Sales_Fact!$O1844&gt;1000,"High","Low")</f>
        <v>High</v>
      </c>
      <c r="S1844" s="4" t="str">
        <f>VLOOKUP(C1844,Customer_Dim!$A:$N,9,FALSE())</f>
        <v>Elizabeth Johnson</v>
      </c>
      <c r="T1844" s="4" t="str">
        <f>VLOOKUP(D1844,Product_Dim!$A:$M,3,FALSE())</f>
        <v>Electronics</v>
      </c>
      <c r="U1844" s="11" t="str">
        <f>VLOOKUP(D1844,Product_Dim!$A:$M,2,FALSE())</f>
        <v>USB-C Laptop Charger</v>
      </c>
      <c r="V1844" s="11" t="str">
        <f>VLOOKUP(E1844,Store_Dim!$A:$E,3,FALSE())</f>
        <v>East</v>
      </c>
      <c r="W1844" s="11" t="str">
        <f>VLOOKUP(C1844,Customer_Dim!$A:$N,13,FALSE())</f>
        <v>Silver</v>
      </c>
      <c r="X1844" s="11" t="str">
        <f t="shared" si="202"/>
        <v>High</v>
      </c>
    </row>
    <row r="1845" spans="1:24" ht="15.75" customHeight="1">
      <c r="A1845" s="4" t="s">
        <v>3841</v>
      </c>
      <c r="B1845" s="9">
        <v>45619</v>
      </c>
      <c r="C1845" s="4" t="s">
        <v>1150</v>
      </c>
      <c r="D1845" s="4" t="s">
        <v>1822</v>
      </c>
      <c r="E1845" s="4" t="s">
        <v>1955</v>
      </c>
      <c r="F1845" s="4">
        <v>1</v>
      </c>
      <c r="G1845" s="4">
        <v>735.1</v>
      </c>
      <c r="H1845" s="4">
        <v>0.1</v>
      </c>
      <c r="I1845" s="4" t="s">
        <v>1998</v>
      </c>
      <c r="J1845" s="10">
        <v>661.59</v>
      </c>
      <c r="K1845" s="4" t="str">
        <f t="shared" si="196"/>
        <v>23-11-2024</v>
      </c>
      <c r="L1845" s="4" t="str">
        <f>TEXT(Sales_Fact!$B1845,"mmm")</f>
        <v>Nov</v>
      </c>
      <c r="M1845" s="4">
        <f t="shared" si="197"/>
        <v>1</v>
      </c>
      <c r="N1845" s="10">
        <f t="shared" si="198"/>
        <v>735.1</v>
      </c>
      <c r="O1845" s="10">
        <f t="shared" si="199"/>
        <v>661.59</v>
      </c>
      <c r="P1845" s="10">
        <f t="shared" si="200"/>
        <v>735.1</v>
      </c>
      <c r="Q1845" s="3">
        <f t="shared" si="201"/>
        <v>9.9999999999999978E-2</v>
      </c>
      <c r="R1845" s="4" t="str">
        <f>IF(Sales_Fact!$O1845&gt;1000,"High","Low")</f>
        <v>Low</v>
      </c>
      <c r="S1845" s="4" t="str">
        <f>VLOOKUP(C1845,Customer_Dim!$A:$N,9,FALSE())</f>
        <v>Ashley Anderson</v>
      </c>
      <c r="T1845" s="4" t="str">
        <f>VLOOKUP(D1845,Product_Dim!$A:$M,3,FALSE())</f>
        <v>Sports</v>
      </c>
      <c r="U1845" s="11" t="str">
        <f>VLOOKUP(D1845,Product_Dim!$A:$M,2,FALSE())</f>
        <v>Professional Jump Rope</v>
      </c>
      <c r="V1845" s="11" t="str">
        <f>VLOOKUP(E1845,Store_Dim!$A:$E,3,FALSE())</f>
        <v>East</v>
      </c>
      <c r="W1845" s="11" t="str">
        <f>VLOOKUP(C1845,Customer_Dim!$A:$N,13,FALSE())</f>
        <v>Gold</v>
      </c>
      <c r="X1845" s="11" t="str">
        <f t="shared" si="202"/>
        <v>Low</v>
      </c>
    </row>
    <row r="1846" spans="1:24" ht="15.75" customHeight="1">
      <c r="A1846" s="4" t="s">
        <v>3842</v>
      </c>
      <c r="B1846" s="9">
        <v>45614</v>
      </c>
      <c r="C1846" s="4" t="s">
        <v>485</v>
      </c>
      <c r="D1846" s="4" t="s">
        <v>1843</v>
      </c>
      <c r="E1846" s="4" t="s">
        <v>1919</v>
      </c>
      <c r="F1846" s="4">
        <v>3</v>
      </c>
      <c r="G1846" s="4">
        <v>448.55</v>
      </c>
      <c r="H1846" s="4">
        <v>0.05</v>
      </c>
      <c r="I1846" s="4" t="s">
        <v>1996</v>
      </c>
      <c r="J1846" s="10">
        <v>1278.3675000000001</v>
      </c>
      <c r="K1846" s="4" t="str">
        <f t="shared" si="196"/>
        <v>18-11-2024</v>
      </c>
      <c r="L1846" s="4" t="str">
        <f>TEXT(Sales_Fact!$B1846,"mmm")</f>
        <v>Nov</v>
      </c>
      <c r="M1846" s="4">
        <f t="shared" si="197"/>
        <v>3</v>
      </c>
      <c r="N1846" s="10">
        <f t="shared" si="198"/>
        <v>448.55</v>
      </c>
      <c r="O1846" s="10">
        <f t="shared" si="199"/>
        <v>1278.3675000000001</v>
      </c>
      <c r="P1846" s="10">
        <f t="shared" si="200"/>
        <v>1345.65</v>
      </c>
      <c r="Q1846" s="3">
        <f t="shared" si="201"/>
        <v>5.0000000000000017E-2</v>
      </c>
      <c r="R1846" s="4" t="str">
        <f>IF(Sales_Fact!$O1846&gt;1000,"High","Low")</f>
        <v>High</v>
      </c>
      <c r="S1846" s="4" t="str">
        <f>VLOOKUP(C1846,Customer_Dim!$A:$N,9,FALSE())</f>
        <v>Matthew Hanna</v>
      </c>
      <c r="T1846" s="4" t="str">
        <f>VLOOKUP(D1846,Product_Dim!$A:$M,3,FALSE())</f>
        <v>Home</v>
      </c>
      <c r="U1846" s="11" t="str">
        <f>VLOOKUP(D1846,Product_Dim!$A:$M,2,FALSE())</f>
        <v>Decorative Lamp Shade</v>
      </c>
      <c r="V1846" s="11" t="str">
        <f>VLOOKUP(E1846,Store_Dim!$A:$E,3,FALSE())</f>
        <v>South</v>
      </c>
      <c r="W1846" s="11" t="str">
        <f>VLOOKUP(C1846,Customer_Dim!$A:$N,13,FALSE())</f>
        <v>Platinum</v>
      </c>
      <c r="X1846" s="11" t="str">
        <f t="shared" si="202"/>
        <v>Low</v>
      </c>
    </row>
    <row r="1847" spans="1:24" ht="15.75" customHeight="1">
      <c r="A1847" s="4" t="s">
        <v>3843</v>
      </c>
      <c r="B1847" s="9">
        <v>45545</v>
      </c>
      <c r="C1847" s="4" t="s">
        <v>985</v>
      </c>
      <c r="D1847" s="4" t="s">
        <v>1658</v>
      </c>
      <c r="E1847" s="4" t="s">
        <v>1924</v>
      </c>
      <c r="F1847" s="4">
        <v>3</v>
      </c>
      <c r="G1847" s="4">
        <v>899.58</v>
      </c>
      <c r="H1847" s="4">
        <v>0.28000000000000003</v>
      </c>
      <c r="I1847" s="4" t="s">
        <v>1998</v>
      </c>
      <c r="J1847" s="10">
        <v>1943.0927999999999</v>
      </c>
      <c r="K1847" s="4" t="str">
        <f t="shared" si="196"/>
        <v>10-09-2024</v>
      </c>
      <c r="L1847" s="4" t="str">
        <f>TEXT(Sales_Fact!$B1847,"mmm")</f>
        <v>Sep</v>
      </c>
      <c r="M1847" s="4">
        <f t="shared" si="197"/>
        <v>3</v>
      </c>
      <c r="N1847" s="10">
        <f t="shared" si="198"/>
        <v>899.58</v>
      </c>
      <c r="O1847" s="10">
        <f t="shared" si="199"/>
        <v>1943.0928000000001</v>
      </c>
      <c r="P1847" s="10">
        <f t="shared" si="200"/>
        <v>2698.7400000000002</v>
      </c>
      <c r="Q1847" s="3">
        <f t="shared" si="201"/>
        <v>0.28000000000000003</v>
      </c>
      <c r="R1847" s="4" t="str">
        <f>IF(Sales_Fact!$O1847&gt;1000,"High","Low")</f>
        <v>High</v>
      </c>
      <c r="S1847" s="4" t="str">
        <f>VLOOKUP(C1847,Customer_Dim!$A:$N,9,FALSE())</f>
        <v>John Sloan</v>
      </c>
      <c r="T1847" s="4" t="str">
        <f>VLOOKUP(D1847,Product_Dim!$A:$M,3,FALSE())</f>
        <v>Sports</v>
      </c>
      <c r="U1847" s="11" t="str">
        <f>VLOOKUP(D1847,Product_Dim!$A:$M,2,FALSE())</f>
        <v>Outdoor Sports Water Bottle</v>
      </c>
      <c r="V1847" s="11" t="str">
        <f>VLOOKUP(E1847,Store_Dim!$A:$E,3,FALSE())</f>
        <v>North</v>
      </c>
      <c r="W1847" s="11" t="str">
        <f>VLOOKUP(C1847,Customer_Dim!$A:$N,13,FALSE())</f>
        <v>Platinum</v>
      </c>
      <c r="X1847" s="11" t="str">
        <f t="shared" si="202"/>
        <v>Low</v>
      </c>
    </row>
    <row r="1848" spans="1:24" ht="15.75" customHeight="1">
      <c r="A1848" s="4" t="s">
        <v>3844</v>
      </c>
      <c r="B1848" s="9">
        <v>45691</v>
      </c>
      <c r="C1848" s="4" t="s">
        <v>242</v>
      </c>
      <c r="D1848" s="4" t="s">
        <v>1858</v>
      </c>
      <c r="E1848" s="4" t="s">
        <v>1955</v>
      </c>
      <c r="F1848" s="4">
        <v>3</v>
      </c>
      <c r="G1848" s="4">
        <v>904.96</v>
      </c>
      <c r="H1848" s="4">
        <v>7.0000000000000007E-2</v>
      </c>
      <c r="I1848" s="4" t="s">
        <v>2004</v>
      </c>
      <c r="J1848" s="10">
        <v>2524.8384000000001</v>
      </c>
      <c r="K1848" s="4" t="str">
        <f t="shared" si="196"/>
        <v>03-02-2025</v>
      </c>
      <c r="L1848" s="4" t="str">
        <f>TEXT(Sales_Fact!$B1848,"mmm")</f>
        <v>Feb</v>
      </c>
      <c r="M1848" s="4">
        <f t="shared" si="197"/>
        <v>3</v>
      </c>
      <c r="N1848" s="10">
        <f t="shared" si="198"/>
        <v>904.96</v>
      </c>
      <c r="O1848" s="10">
        <f t="shared" si="199"/>
        <v>2524.8384000000001</v>
      </c>
      <c r="P1848" s="10">
        <f t="shared" si="200"/>
        <v>2714.88</v>
      </c>
      <c r="Q1848" s="3">
        <f t="shared" si="201"/>
        <v>7.0000000000000007E-2</v>
      </c>
      <c r="R1848" s="4" t="str">
        <f>IF(Sales_Fact!$O1848&gt;1000,"High","Low")</f>
        <v>High</v>
      </c>
      <c r="S1848" s="4" t="str">
        <f>VLOOKUP(C1848,Customer_Dim!$A:$N,9,FALSE())</f>
        <v>Alyssa Vargas</v>
      </c>
      <c r="T1848" s="4" t="str">
        <f>VLOOKUP(D1848,Product_Dim!$A:$M,3,FALSE())</f>
        <v>Home</v>
      </c>
      <c r="U1848" s="11" t="str">
        <f>VLOOKUP(D1848,Product_Dim!$A:$M,2,FALSE())</f>
        <v>Wooden Bookshelf</v>
      </c>
      <c r="V1848" s="11" t="str">
        <f>VLOOKUP(E1848,Store_Dim!$A:$E,3,FALSE())</f>
        <v>East</v>
      </c>
      <c r="W1848" s="11" t="str">
        <f>VLOOKUP(C1848,Customer_Dim!$A:$N,13,FALSE())</f>
        <v>Platinum</v>
      </c>
      <c r="X1848" s="11" t="str">
        <f t="shared" si="202"/>
        <v>Low</v>
      </c>
    </row>
    <row r="1849" spans="1:24" ht="15.75" customHeight="1">
      <c r="A1849" s="4" t="s">
        <v>3845</v>
      </c>
      <c r="B1849" s="9">
        <v>45608</v>
      </c>
      <c r="C1849" s="4" t="s">
        <v>1216</v>
      </c>
      <c r="D1849" s="4" t="s">
        <v>1809</v>
      </c>
      <c r="E1849" s="4" t="s">
        <v>1955</v>
      </c>
      <c r="F1849" s="4">
        <v>4</v>
      </c>
      <c r="G1849" s="4">
        <v>408.72</v>
      </c>
      <c r="H1849" s="4">
        <v>0.16</v>
      </c>
      <c r="I1849" s="4" t="s">
        <v>2004</v>
      </c>
      <c r="J1849" s="10">
        <v>1373.2991999999999</v>
      </c>
      <c r="K1849" s="4" t="str">
        <f t="shared" si="196"/>
        <v>12-11-2024</v>
      </c>
      <c r="L1849" s="4" t="str">
        <f>TEXT(Sales_Fact!$B1849,"mmm")</f>
        <v>Nov</v>
      </c>
      <c r="M1849" s="4">
        <f t="shared" si="197"/>
        <v>4</v>
      </c>
      <c r="N1849" s="10">
        <f t="shared" si="198"/>
        <v>408.72</v>
      </c>
      <c r="O1849" s="10">
        <f t="shared" si="199"/>
        <v>1373.2991999999999</v>
      </c>
      <c r="P1849" s="10">
        <f t="shared" si="200"/>
        <v>1634.88</v>
      </c>
      <c r="Q1849" s="3">
        <f t="shared" si="201"/>
        <v>0.16000000000000009</v>
      </c>
      <c r="R1849" s="4" t="str">
        <f>IF(Sales_Fact!$O1849&gt;1000,"High","Low")</f>
        <v>High</v>
      </c>
      <c r="S1849" s="4" t="str">
        <f>VLOOKUP(C1849,Customer_Dim!$A:$N,9,FALSE())</f>
        <v>Shelley Ponce</v>
      </c>
      <c r="T1849" s="4" t="str">
        <f>VLOOKUP(D1849,Product_Dim!$A:$M,3,FALSE())</f>
        <v>Home</v>
      </c>
      <c r="U1849" s="11" t="str">
        <f>VLOOKUP(D1849,Product_Dim!$A:$M,2,FALSE())</f>
        <v>Wooden Nightstand</v>
      </c>
      <c r="V1849" s="11" t="str">
        <f>VLOOKUP(E1849,Store_Dim!$A:$E,3,FALSE())</f>
        <v>East</v>
      </c>
      <c r="W1849" s="11" t="str">
        <f>VLOOKUP(C1849,Customer_Dim!$A:$N,13,FALSE())</f>
        <v>Gold</v>
      </c>
      <c r="X1849" s="11" t="str">
        <f t="shared" si="202"/>
        <v>High</v>
      </c>
    </row>
    <row r="1850" spans="1:24" ht="15.75" customHeight="1">
      <c r="A1850" s="4" t="s">
        <v>3846</v>
      </c>
      <c r="B1850" s="9">
        <v>45412</v>
      </c>
      <c r="C1850" s="4" t="s">
        <v>924</v>
      </c>
      <c r="D1850" s="4" t="s">
        <v>1819</v>
      </c>
      <c r="E1850" s="4" t="s">
        <v>1924</v>
      </c>
      <c r="F1850" s="4">
        <v>4</v>
      </c>
      <c r="G1850" s="4">
        <v>770.65</v>
      </c>
      <c r="H1850" s="4">
        <v>0.27</v>
      </c>
      <c r="I1850" s="4" t="s">
        <v>1996</v>
      </c>
      <c r="J1850" s="10">
        <v>2250.2979999999998</v>
      </c>
      <c r="K1850" s="4" t="str">
        <f t="shared" si="196"/>
        <v>30-04-2024</v>
      </c>
      <c r="L1850" s="4" t="str">
        <f>TEXT(Sales_Fact!$B1850,"mmm")</f>
        <v>Apr</v>
      </c>
      <c r="M1850" s="4">
        <f t="shared" si="197"/>
        <v>4</v>
      </c>
      <c r="N1850" s="10">
        <f t="shared" si="198"/>
        <v>770.65</v>
      </c>
      <c r="O1850" s="10">
        <f t="shared" si="199"/>
        <v>2250.2979999999998</v>
      </c>
      <c r="P1850" s="10">
        <f t="shared" si="200"/>
        <v>3082.6</v>
      </c>
      <c r="Q1850" s="3">
        <f t="shared" si="201"/>
        <v>0.27000000000000007</v>
      </c>
      <c r="R1850" s="4" t="str">
        <f>IF(Sales_Fact!$O1850&gt;1000,"High","Low")</f>
        <v>High</v>
      </c>
      <c r="S1850" s="4" t="str">
        <f>VLOOKUP(C1850,Customer_Dim!$A:$N,9,FALSE())</f>
        <v>Kristi Lopez</v>
      </c>
      <c r="T1850" s="4" t="str">
        <f>VLOOKUP(D1850,Product_Dim!$A:$M,3,FALSE())</f>
        <v>Beauty</v>
      </c>
      <c r="U1850" s="11" t="str">
        <f>VLOOKUP(D1850,Product_Dim!$A:$M,2,FALSE())</f>
        <v>Hair Repair Oil Treatment</v>
      </c>
      <c r="V1850" s="11" t="str">
        <f>VLOOKUP(E1850,Store_Dim!$A:$E,3,FALSE())</f>
        <v>North</v>
      </c>
      <c r="W1850" s="11" t="str">
        <f>VLOOKUP(C1850,Customer_Dim!$A:$N,13,FALSE())</f>
        <v>Gold</v>
      </c>
      <c r="X1850" s="11" t="str">
        <f t="shared" si="202"/>
        <v>High</v>
      </c>
    </row>
    <row r="1851" spans="1:24" ht="15.75" customHeight="1">
      <c r="A1851" s="4" t="s">
        <v>3847</v>
      </c>
      <c r="B1851" s="9">
        <v>45767</v>
      </c>
      <c r="C1851" s="4" t="s">
        <v>688</v>
      </c>
      <c r="D1851" s="4" t="s">
        <v>1690</v>
      </c>
      <c r="E1851" s="4" t="s">
        <v>1934</v>
      </c>
      <c r="F1851" s="4">
        <v>1</v>
      </c>
      <c r="G1851" s="4">
        <v>649.22</v>
      </c>
      <c r="H1851" s="4">
        <v>0.03</v>
      </c>
      <c r="I1851" s="4" t="s">
        <v>2004</v>
      </c>
      <c r="J1851" s="10">
        <v>629.74339999999995</v>
      </c>
      <c r="K1851" s="4" t="str">
        <f t="shared" si="196"/>
        <v>20-04-2025</v>
      </c>
      <c r="L1851" s="4" t="str">
        <f>TEXT(Sales_Fact!$B1851,"mmm")</f>
        <v>Apr</v>
      </c>
      <c r="M1851" s="4">
        <f t="shared" si="197"/>
        <v>1</v>
      </c>
      <c r="N1851" s="10">
        <f t="shared" si="198"/>
        <v>649.22</v>
      </c>
      <c r="O1851" s="10">
        <f t="shared" si="199"/>
        <v>629.74340000000007</v>
      </c>
      <c r="P1851" s="10">
        <f t="shared" si="200"/>
        <v>649.22</v>
      </c>
      <c r="Q1851" s="3">
        <f t="shared" si="201"/>
        <v>2.999999999999994E-2</v>
      </c>
      <c r="R1851" s="4" t="str">
        <f>IF(Sales_Fact!$O1851&gt;1000,"High","Low")</f>
        <v>Low</v>
      </c>
      <c r="S1851" s="4" t="str">
        <f>VLOOKUP(C1851,Customer_Dim!$A:$N,9,FALSE())</f>
        <v>Sarah Brady</v>
      </c>
      <c r="T1851" s="4" t="str">
        <f>VLOOKUP(D1851,Product_Dim!$A:$M,3,FALSE())</f>
        <v>Home</v>
      </c>
      <c r="U1851" s="11" t="str">
        <f>VLOOKUP(D1851,Product_Dim!$A:$M,2,FALSE())</f>
        <v>Stainless Steel Cutlery Set</v>
      </c>
      <c r="V1851" s="11" t="str">
        <f>VLOOKUP(E1851,Store_Dim!$A:$E,3,FALSE())</f>
        <v>East</v>
      </c>
      <c r="W1851" s="11" t="str">
        <f>VLOOKUP(C1851,Customer_Dim!$A:$N,13,FALSE())</f>
        <v>Platinum</v>
      </c>
      <c r="X1851" s="11" t="str">
        <f t="shared" si="202"/>
        <v>Low</v>
      </c>
    </row>
    <row r="1852" spans="1:24" ht="15.75" customHeight="1">
      <c r="A1852" s="4" t="s">
        <v>3848</v>
      </c>
      <c r="B1852" s="9">
        <v>45428</v>
      </c>
      <c r="C1852" s="4" t="s">
        <v>1120</v>
      </c>
      <c r="D1852" s="4" t="s">
        <v>1700</v>
      </c>
      <c r="E1852" s="4" t="s">
        <v>1947</v>
      </c>
      <c r="F1852" s="4">
        <v>2</v>
      </c>
      <c r="G1852" s="4">
        <v>379.78</v>
      </c>
      <c r="H1852" s="4">
        <v>0.2</v>
      </c>
      <c r="I1852" s="4" t="s">
        <v>1996</v>
      </c>
      <c r="J1852" s="10">
        <v>607.64800000000002</v>
      </c>
      <c r="K1852" s="4" t="str">
        <f t="shared" si="196"/>
        <v>16-05-2024</v>
      </c>
      <c r="L1852" s="4" t="str">
        <f>TEXT(Sales_Fact!$B1852,"mmm")</f>
        <v>May</v>
      </c>
      <c r="M1852" s="4">
        <f t="shared" si="197"/>
        <v>2</v>
      </c>
      <c r="N1852" s="10">
        <f t="shared" si="198"/>
        <v>379.78</v>
      </c>
      <c r="O1852" s="10">
        <f t="shared" si="199"/>
        <v>607.64800000000002</v>
      </c>
      <c r="P1852" s="10">
        <f t="shared" si="200"/>
        <v>759.56</v>
      </c>
      <c r="Q1852" s="3">
        <f t="shared" si="201"/>
        <v>0.1999999999999999</v>
      </c>
      <c r="R1852" s="4" t="str">
        <f>IF(Sales_Fact!$O1852&gt;1000,"High","Low")</f>
        <v>Low</v>
      </c>
      <c r="S1852" s="4" t="str">
        <f>VLOOKUP(C1852,Customer_Dim!$A:$N,9,FALSE())</f>
        <v>Sherry Cabrera</v>
      </c>
      <c r="T1852" s="4" t="str">
        <f>VLOOKUP(D1852,Product_Dim!$A:$M,3,FALSE())</f>
        <v>Home</v>
      </c>
      <c r="U1852" s="11" t="str">
        <f>VLOOKUP(D1852,Product_Dim!$A:$M,2,FALSE())</f>
        <v>Modern Wall Clock</v>
      </c>
      <c r="V1852" s="11" t="str">
        <f>VLOOKUP(E1852,Store_Dim!$A:$E,3,FALSE())</f>
        <v>East</v>
      </c>
      <c r="W1852" s="11" t="str">
        <f>VLOOKUP(C1852,Customer_Dim!$A:$N,13,FALSE())</f>
        <v>Silver</v>
      </c>
      <c r="X1852" s="11" t="str">
        <f t="shared" si="202"/>
        <v>Low</v>
      </c>
    </row>
    <row r="1853" spans="1:24" ht="15.75" customHeight="1">
      <c r="A1853" s="4" t="s">
        <v>3849</v>
      </c>
      <c r="B1853" s="9">
        <v>45770</v>
      </c>
      <c r="C1853" s="4" t="s">
        <v>822</v>
      </c>
      <c r="D1853" s="4" t="s">
        <v>1732</v>
      </c>
      <c r="E1853" s="4" t="s">
        <v>1940</v>
      </c>
      <c r="F1853" s="4">
        <v>3</v>
      </c>
      <c r="G1853" s="4">
        <v>924.15</v>
      </c>
      <c r="H1853" s="4">
        <v>0.1</v>
      </c>
      <c r="I1853" s="4" t="s">
        <v>1998</v>
      </c>
      <c r="J1853" s="10">
        <v>2495.2049999999999</v>
      </c>
      <c r="K1853" s="4" t="str">
        <f t="shared" si="196"/>
        <v>23-04-2025</v>
      </c>
      <c r="L1853" s="4" t="str">
        <f>TEXT(Sales_Fact!$B1853,"mmm")</f>
        <v>Apr</v>
      </c>
      <c r="M1853" s="4">
        <f t="shared" si="197"/>
        <v>3</v>
      </c>
      <c r="N1853" s="10">
        <f t="shared" si="198"/>
        <v>924.15</v>
      </c>
      <c r="O1853" s="10">
        <f t="shared" si="199"/>
        <v>2495.2049999999999</v>
      </c>
      <c r="P1853" s="10">
        <f t="shared" si="200"/>
        <v>2772.45</v>
      </c>
      <c r="Q1853" s="3">
        <f t="shared" si="201"/>
        <v>9.9999999999999964E-2</v>
      </c>
      <c r="R1853" s="4" t="str">
        <f>IF(Sales_Fact!$O1853&gt;1000,"High","Low")</f>
        <v>High</v>
      </c>
      <c r="S1853" s="4" t="str">
        <f>VLOOKUP(C1853,Customer_Dim!$A:$N,9,FALSE())</f>
        <v>Nicholas Webb</v>
      </c>
      <c r="T1853" s="4" t="str">
        <f>VLOOKUP(D1853,Product_Dim!$A:$M,3,FALSE())</f>
        <v>Electronics</v>
      </c>
      <c r="U1853" s="11" t="str">
        <f>VLOOKUP(D1853,Product_Dim!$A:$M,2,FALSE())</f>
        <v>USB External Hard Drive</v>
      </c>
      <c r="V1853" s="11" t="str">
        <f>VLOOKUP(E1853,Store_Dim!$A:$E,3,FALSE())</f>
        <v>West</v>
      </c>
      <c r="W1853" s="11" t="str">
        <f>VLOOKUP(C1853,Customer_Dim!$A:$N,13,FALSE())</f>
        <v>Gold</v>
      </c>
      <c r="X1853" s="11" t="str">
        <f t="shared" si="202"/>
        <v>Low</v>
      </c>
    </row>
    <row r="1854" spans="1:24" ht="15.75" customHeight="1">
      <c r="A1854" s="4" t="s">
        <v>3850</v>
      </c>
      <c r="B1854" s="9">
        <v>45571</v>
      </c>
      <c r="C1854" s="4" t="s">
        <v>1475</v>
      </c>
      <c r="D1854" s="4" t="s">
        <v>1738</v>
      </c>
      <c r="E1854" s="4" t="s">
        <v>1965</v>
      </c>
      <c r="F1854" s="4">
        <v>3</v>
      </c>
      <c r="G1854" s="4">
        <v>144.66999999999999</v>
      </c>
      <c r="H1854" s="4">
        <v>0.28999999999999998</v>
      </c>
      <c r="I1854" s="4" t="s">
        <v>2004</v>
      </c>
      <c r="J1854" s="10">
        <v>308.14710000000002</v>
      </c>
      <c r="K1854" s="4" t="str">
        <f t="shared" si="196"/>
        <v>06-10-2024</v>
      </c>
      <c r="L1854" s="4" t="str">
        <f>TEXT(Sales_Fact!$B1854,"mmm")</f>
        <v>Oct</v>
      </c>
      <c r="M1854" s="4">
        <f t="shared" si="197"/>
        <v>3</v>
      </c>
      <c r="N1854" s="10">
        <f t="shared" si="198"/>
        <v>144.66999999999999</v>
      </c>
      <c r="O1854" s="10">
        <f t="shared" si="199"/>
        <v>308.14709999999997</v>
      </c>
      <c r="P1854" s="10">
        <f t="shared" si="200"/>
        <v>434.01</v>
      </c>
      <c r="Q1854" s="3">
        <f t="shared" si="201"/>
        <v>0.29000000000000004</v>
      </c>
      <c r="R1854" s="4" t="str">
        <f>IF(Sales_Fact!$O1854&gt;1000,"High","Low")</f>
        <v>Low</v>
      </c>
      <c r="S1854" s="4" t="str">
        <f>VLOOKUP(C1854,Customer_Dim!$A:$N,9,FALSE())</f>
        <v>James Foster</v>
      </c>
      <c r="T1854" s="4" t="str">
        <f>VLOOKUP(D1854,Product_Dim!$A:$M,3,FALSE())</f>
        <v>Sports</v>
      </c>
      <c r="U1854" s="11" t="str">
        <f>VLOOKUP(D1854,Product_Dim!$A:$M,2,FALSE())</f>
        <v>High-Grip Football</v>
      </c>
      <c r="V1854" s="11" t="str">
        <f>VLOOKUP(E1854,Store_Dim!$A:$E,3,FALSE())</f>
        <v>North</v>
      </c>
      <c r="W1854" s="11" t="str">
        <f>VLOOKUP(C1854,Customer_Dim!$A:$N,13,FALSE())</f>
        <v>Gold</v>
      </c>
      <c r="X1854" s="11" t="str">
        <f t="shared" si="202"/>
        <v>Low</v>
      </c>
    </row>
    <row r="1855" spans="1:24" ht="15.75" customHeight="1">
      <c r="A1855" s="4" t="s">
        <v>3851</v>
      </c>
      <c r="B1855" s="9">
        <v>45700</v>
      </c>
      <c r="C1855" s="4" t="s">
        <v>441</v>
      </c>
      <c r="D1855" s="4" t="s">
        <v>1700</v>
      </c>
      <c r="E1855" s="4" t="s">
        <v>1959</v>
      </c>
      <c r="F1855" s="4">
        <v>2</v>
      </c>
      <c r="G1855" s="4">
        <v>667.17</v>
      </c>
      <c r="H1855" s="4">
        <v>0.1</v>
      </c>
      <c r="I1855" s="4" t="s">
        <v>1998</v>
      </c>
      <c r="J1855" s="10">
        <v>1200.9059999999999</v>
      </c>
      <c r="K1855" s="4" t="str">
        <f t="shared" si="196"/>
        <v>12-02-2025</v>
      </c>
      <c r="L1855" s="4" t="str">
        <f>TEXT(Sales_Fact!$B1855,"mmm")</f>
        <v>Feb</v>
      </c>
      <c r="M1855" s="4">
        <f t="shared" si="197"/>
        <v>2</v>
      </c>
      <c r="N1855" s="10">
        <f t="shared" si="198"/>
        <v>667.17</v>
      </c>
      <c r="O1855" s="10">
        <f t="shared" si="199"/>
        <v>1200.9059999999999</v>
      </c>
      <c r="P1855" s="10">
        <f t="shared" si="200"/>
        <v>1334.34</v>
      </c>
      <c r="Q1855" s="3">
        <f t="shared" si="201"/>
        <v>9.9999999999999978E-2</v>
      </c>
      <c r="R1855" s="4" t="str">
        <f>IF(Sales_Fact!$O1855&gt;1000,"High","Low")</f>
        <v>High</v>
      </c>
      <c r="S1855" s="4" t="str">
        <f>VLOOKUP(C1855,Customer_Dim!$A:$N,9,FALSE())</f>
        <v>Joel Robinson</v>
      </c>
      <c r="T1855" s="4" t="str">
        <f>VLOOKUP(D1855,Product_Dim!$A:$M,3,FALSE())</f>
        <v>Home</v>
      </c>
      <c r="U1855" s="11" t="str">
        <f>VLOOKUP(D1855,Product_Dim!$A:$M,2,FALSE())</f>
        <v>Modern Wall Clock</v>
      </c>
      <c r="V1855" s="11" t="str">
        <f>VLOOKUP(E1855,Store_Dim!$A:$E,3,FALSE())</f>
        <v>North</v>
      </c>
      <c r="W1855" s="11" t="str">
        <f>VLOOKUP(C1855,Customer_Dim!$A:$N,13,FALSE())</f>
        <v>Platinum</v>
      </c>
      <c r="X1855" s="11" t="str">
        <f t="shared" si="202"/>
        <v>Low</v>
      </c>
    </row>
    <row r="1856" spans="1:24" ht="15.75" customHeight="1">
      <c r="A1856" s="4" t="s">
        <v>3852</v>
      </c>
      <c r="B1856" s="9">
        <v>45382</v>
      </c>
      <c r="C1856" s="4" t="s">
        <v>1281</v>
      </c>
      <c r="D1856" s="4" t="s">
        <v>1803</v>
      </c>
      <c r="E1856" s="4" t="s">
        <v>1924</v>
      </c>
      <c r="F1856" s="4">
        <v>1</v>
      </c>
      <c r="G1856" s="4">
        <v>984.6</v>
      </c>
      <c r="H1856" s="4">
        <v>0.22</v>
      </c>
      <c r="I1856" s="4" t="s">
        <v>1996</v>
      </c>
      <c r="J1856" s="10">
        <v>767.98800000000006</v>
      </c>
      <c r="K1856" s="4" t="str">
        <f t="shared" si="196"/>
        <v>31-03-2024</v>
      </c>
      <c r="L1856" s="4" t="str">
        <f>TEXT(Sales_Fact!$B1856,"mmm")</f>
        <v>Mar</v>
      </c>
      <c r="M1856" s="4">
        <f t="shared" si="197"/>
        <v>1</v>
      </c>
      <c r="N1856" s="10">
        <f t="shared" si="198"/>
        <v>984.6</v>
      </c>
      <c r="O1856" s="10">
        <f t="shared" si="199"/>
        <v>767.98800000000006</v>
      </c>
      <c r="P1856" s="10">
        <f t="shared" si="200"/>
        <v>984.6</v>
      </c>
      <c r="Q1856" s="3">
        <f t="shared" si="201"/>
        <v>0.21999999999999997</v>
      </c>
      <c r="R1856" s="4" t="str">
        <f>IF(Sales_Fact!$O1856&gt;1000,"High","Low")</f>
        <v>Low</v>
      </c>
      <c r="S1856" s="4" t="str">
        <f>VLOOKUP(C1856,Customer_Dim!$A:$N,9,FALSE())</f>
        <v>Cassandra Perez</v>
      </c>
      <c r="T1856" s="4" t="str">
        <f>VLOOKUP(D1856,Product_Dim!$A:$M,3,FALSE())</f>
        <v>Beauty</v>
      </c>
      <c r="U1856" s="11" t="str">
        <f>VLOOKUP(D1856,Product_Dim!$A:$M,2,FALSE())</f>
        <v>Women's Hair Dryer Brush</v>
      </c>
      <c r="V1856" s="11" t="str">
        <f>VLOOKUP(E1856,Store_Dim!$A:$E,3,FALSE())</f>
        <v>North</v>
      </c>
      <c r="W1856" s="11" t="str">
        <f>VLOOKUP(C1856,Customer_Dim!$A:$N,13,FALSE())</f>
        <v>Bronze</v>
      </c>
      <c r="X1856" s="11" t="str">
        <f t="shared" si="202"/>
        <v>Low</v>
      </c>
    </row>
    <row r="1857" spans="1:24" ht="15.75" customHeight="1">
      <c r="A1857" s="4" t="s">
        <v>3853</v>
      </c>
      <c r="B1857" s="9">
        <v>45260</v>
      </c>
      <c r="C1857" s="4" t="s">
        <v>915</v>
      </c>
      <c r="D1857" s="4" t="s">
        <v>1633</v>
      </c>
      <c r="E1857" s="4" t="s">
        <v>1940</v>
      </c>
      <c r="F1857" s="4">
        <v>1</v>
      </c>
      <c r="G1857" s="4">
        <v>139.29</v>
      </c>
      <c r="H1857" s="4">
        <v>0</v>
      </c>
      <c r="I1857" s="4" t="s">
        <v>1996</v>
      </c>
      <c r="J1857" s="10">
        <v>139.29</v>
      </c>
      <c r="K1857" s="4" t="str">
        <f t="shared" si="196"/>
        <v>30-11-2023</v>
      </c>
      <c r="L1857" s="4" t="str">
        <f>TEXT(Sales_Fact!$B1857,"mmm")</f>
        <v>Nov</v>
      </c>
      <c r="M1857" s="4">
        <f t="shared" si="197"/>
        <v>1</v>
      </c>
      <c r="N1857" s="10">
        <f t="shared" si="198"/>
        <v>139.29</v>
      </c>
      <c r="O1857" s="10">
        <f t="shared" si="199"/>
        <v>139.29</v>
      </c>
      <c r="P1857" s="10">
        <f t="shared" si="200"/>
        <v>139.29</v>
      </c>
      <c r="Q1857" s="3">
        <f t="shared" si="201"/>
        <v>0</v>
      </c>
      <c r="R1857" s="4" t="str">
        <f>IF(Sales_Fact!$O1857&gt;1000,"High","Low")</f>
        <v>Low</v>
      </c>
      <c r="S1857" s="4" t="str">
        <f>VLOOKUP(C1857,Customer_Dim!$A:$N,9,FALSE())</f>
        <v>Aaron Luna</v>
      </c>
      <c r="T1857" s="4" t="str">
        <f>VLOOKUP(D1857,Product_Dim!$A:$M,3,FALSE())</f>
        <v>Electronics</v>
      </c>
      <c r="U1857" s="11" t="str">
        <f>VLOOKUP(D1857,Product_Dim!$A:$M,2,FALSE())</f>
        <v>USB-C Fast Charger</v>
      </c>
      <c r="V1857" s="11" t="str">
        <f>VLOOKUP(E1857,Store_Dim!$A:$E,3,FALSE())</f>
        <v>West</v>
      </c>
      <c r="W1857" s="11" t="str">
        <f>VLOOKUP(C1857,Customer_Dim!$A:$N,13,FALSE())</f>
        <v>Bronze</v>
      </c>
      <c r="X1857" s="11" t="str">
        <f t="shared" si="202"/>
        <v>Low</v>
      </c>
    </row>
    <row r="1858" spans="1:24" ht="15.75" customHeight="1">
      <c r="A1858" s="4" t="s">
        <v>3854</v>
      </c>
      <c r="B1858" s="9">
        <v>45755</v>
      </c>
      <c r="C1858" s="4" t="s">
        <v>1057</v>
      </c>
      <c r="D1858" s="4" t="s">
        <v>1583</v>
      </c>
      <c r="E1858" s="4" t="s">
        <v>1947</v>
      </c>
      <c r="F1858" s="4">
        <v>3</v>
      </c>
      <c r="G1858" s="4">
        <v>964.39</v>
      </c>
      <c r="H1858" s="4">
        <v>0.04</v>
      </c>
      <c r="I1858" s="4" t="s">
        <v>1996</v>
      </c>
      <c r="J1858" s="10">
        <v>2777.4432000000002</v>
      </c>
      <c r="K1858" s="4" t="str">
        <f t="shared" ref="K1858:K1921" si="203">TEXT(B1858,"dd-mm-yyyy")</f>
        <v>08-04-2025</v>
      </c>
      <c r="L1858" s="4" t="str">
        <f>TEXT(Sales_Fact!$B1858,"mmm")</f>
        <v>Apr</v>
      </c>
      <c r="M1858" s="4">
        <f t="shared" ref="M1858:M1921" si="204">IF(ISBLANK(F1858),1,F1858)</f>
        <v>3</v>
      </c>
      <c r="N1858" s="10">
        <f t="shared" ref="N1858:N1921" si="205">ROUNDUP(IF(ISBLANK(G1858),AVERAGE(C:C,G1858,G:G),G1858),2)</f>
        <v>964.39</v>
      </c>
      <c r="O1858" s="10">
        <f t="shared" ref="O1858:O1921" si="206">M1858*N1858*(1-H1858)</f>
        <v>2777.4432000000002</v>
      </c>
      <c r="P1858" s="10">
        <f t="shared" ref="P1858:P1921" si="207">M1858*N1858</f>
        <v>2893.17</v>
      </c>
      <c r="Q1858" s="3">
        <f t="shared" ref="Q1858:Q1921" si="208">(P1858-O1858)/P1858</f>
        <v>3.9999999999999966E-2</v>
      </c>
      <c r="R1858" s="4" t="str">
        <f>IF(Sales_Fact!$O1858&gt;1000,"High","Low")</f>
        <v>High</v>
      </c>
      <c r="S1858" s="4" t="str">
        <f>VLOOKUP(C1858,Customer_Dim!$A:$N,9,FALSE())</f>
        <v>Reginald Willis</v>
      </c>
      <c r="T1858" s="4" t="str">
        <f>VLOOKUP(D1858,Product_Dim!$A:$M,3,FALSE())</f>
        <v>Clothing</v>
      </c>
      <c r="U1858" s="11" t="str">
        <f>VLOOKUP(D1858,Product_Dim!$A:$M,2,FALSE())</f>
        <v>Men's Graphic T-Shirt</v>
      </c>
      <c r="V1858" s="11" t="str">
        <f>VLOOKUP(E1858,Store_Dim!$A:$E,3,FALSE())</f>
        <v>East</v>
      </c>
      <c r="W1858" s="11" t="str">
        <f>VLOOKUP(C1858,Customer_Dim!$A:$N,13,FALSE())</f>
        <v>Bronze</v>
      </c>
      <c r="X1858" s="11" t="str">
        <f t="shared" ref="X1858:X1921" si="209">IF(F1858&gt;3,"High","Low")</f>
        <v>Low</v>
      </c>
    </row>
    <row r="1859" spans="1:24" ht="15.75" customHeight="1">
      <c r="A1859" s="4" t="s">
        <v>3855</v>
      </c>
      <c r="B1859" s="9">
        <v>45702</v>
      </c>
      <c r="C1859" s="4" t="s">
        <v>155</v>
      </c>
      <c r="D1859" s="4" t="s">
        <v>1644</v>
      </c>
      <c r="E1859" s="4" t="s">
        <v>1940</v>
      </c>
      <c r="F1859" s="4">
        <v>3</v>
      </c>
      <c r="G1859" s="4">
        <v>459.57</v>
      </c>
      <c r="H1859" s="4">
        <v>0.1</v>
      </c>
      <c r="I1859" s="4" t="s">
        <v>2004</v>
      </c>
      <c r="J1859" s="10">
        <v>1240.8389999999999</v>
      </c>
      <c r="K1859" s="4" t="str">
        <f t="shared" si="203"/>
        <v>14-02-2025</v>
      </c>
      <c r="L1859" s="4" t="str">
        <f>TEXT(Sales_Fact!$B1859,"mmm")</f>
        <v>Feb</v>
      </c>
      <c r="M1859" s="4">
        <f t="shared" si="204"/>
        <v>3</v>
      </c>
      <c r="N1859" s="10">
        <f t="shared" si="205"/>
        <v>459.57</v>
      </c>
      <c r="O1859" s="10">
        <f t="shared" si="206"/>
        <v>1240.8390000000002</v>
      </c>
      <c r="P1859" s="10">
        <f t="shared" si="207"/>
        <v>1378.71</v>
      </c>
      <c r="Q1859" s="3">
        <f t="shared" si="208"/>
        <v>9.9999999999999895E-2</v>
      </c>
      <c r="R1859" s="4" t="str">
        <f>IF(Sales_Fact!$O1859&gt;1000,"High","Low")</f>
        <v>High</v>
      </c>
      <c r="S1859" s="4" t="str">
        <f>VLOOKUP(C1859,Customer_Dim!$A:$N,9,FALSE())</f>
        <v>Robert Jones Dds</v>
      </c>
      <c r="T1859" s="4" t="str">
        <f>VLOOKUP(D1859,Product_Dim!$A:$M,3,FALSE())</f>
        <v>Beauty</v>
      </c>
      <c r="U1859" s="11" t="str">
        <f>VLOOKUP(D1859,Product_Dim!$A:$M,2,FALSE())</f>
        <v>Beard Grooming Kit</v>
      </c>
      <c r="V1859" s="11" t="str">
        <f>VLOOKUP(E1859,Store_Dim!$A:$E,3,FALSE())</f>
        <v>West</v>
      </c>
      <c r="W1859" s="11" t="str">
        <f>VLOOKUP(C1859,Customer_Dim!$A:$N,13,FALSE())</f>
        <v>Platinum</v>
      </c>
      <c r="X1859" s="11" t="str">
        <f t="shared" si="209"/>
        <v>Low</v>
      </c>
    </row>
    <row r="1860" spans="1:24" ht="15.75" customHeight="1">
      <c r="A1860" s="4" t="s">
        <v>3856</v>
      </c>
      <c r="B1860" s="9">
        <v>45302</v>
      </c>
      <c r="C1860" s="4" t="s">
        <v>265</v>
      </c>
      <c r="D1860" s="4" t="s">
        <v>1723</v>
      </c>
      <c r="E1860" s="4" t="s">
        <v>1959</v>
      </c>
      <c r="F1860" s="4">
        <v>1</v>
      </c>
      <c r="G1860" s="4">
        <v>517.82000000000005</v>
      </c>
      <c r="H1860" s="4">
        <v>0.28999999999999998</v>
      </c>
      <c r="I1860" s="4" t="s">
        <v>1996</v>
      </c>
      <c r="J1860" s="10">
        <v>367.65219999999999</v>
      </c>
      <c r="K1860" s="4" t="str">
        <f t="shared" si="203"/>
        <v>11-01-2024</v>
      </c>
      <c r="L1860" s="4" t="str">
        <f>TEXT(Sales_Fact!$B1860,"mmm")</f>
        <v>Jan</v>
      </c>
      <c r="M1860" s="4">
        <f t="shared" si="204"/>
        <v>1</v>
      </c>
      <c r="N1860" s="10">
        <f t="shared" si="205"/>
        <v>517.82000000000005</v>
      </c>
      <c r="O1860" s="10">
        <f t="shared" si="206"/>
        <v>367.65219999999999</v>
      </c>
      <c r="P1860" s="10">
        <f t="shared" si="207"/>
        <v>517.82000000000005</v>
      </c>
      <c r="Q1860" s="3">
        <f t="shared" si="208"/>
        <v>0.29000000000000009</v>
      </c>
      <c r="R1860" s="4" t="str">
        <f>IF(Sales_Fact!$O1860&gt;1000,"High","Low")</f>
        <v>Low</v>
      </c>
      <c r="S1860" s="4" t="str">
        <f>VLOOKUP(C1860,Customer_Dim!$A:$N,9,FALSE())</f>
        <v>Cody Diaz</v>
      </c>
      <c r="T1860" s="4" t="str">
        <f>VLOOKUP(D1860,Product_Dim!$A:$M,3,FALSE())</f>
        <v>Electronics</v>
      </c>
      <c r="U1860" s="11" t="str">
        <f>VLOOKUP(D1860,Product_Dim!$A:$M,2,FALSE())</f>
        <v>Noise-Canceling Headphones</v>
      </c>
      <c r="V1860" s="11" t="str">
        <f>VLOOKUP(E1860,Store_Dim!$A:$E,3,FALSE())</f>
        <v>North</v>
      </c>
      <c r="W1860" s="11" t="str">
        <f>VLOOKUP(C1860,Customer_Dim!$A:$N,13,FALSE())</f>
        <v>Silver</v>
      </c>
      <c r="X1860" s="11" t="str">
        <f t="shared" si="209"/>
        <v>Low</v>
      </c>
    </row>
    <row r="1861" spans="1:24" ht="15.75" customHeight="1">
      <c r="A1861" s="4" t="s">
        <v>3857</v>
      </c>
      <c r="B1861" s="9">
        <v>45653</v>
      </c>
      <c r="C1861" s="4" t="s">
        <v>1213</v>
      </c>
      <c r="D1861" s="4" t="s">
        <v>1834</v>
      </c>
      <c r="E1861" s="4" t="s">
        <v>1934</v>
      </c>
      <c r="F1861" s="4">
        <v>4</v>
      </c>
      <c r="G1861" s="4">
        <v>282.45</v>
      </c>
      <c r="H1861" s="4">
        <v>0.28999999999999998</v>
      </c>
      <c r="I1861" s="4" t="s">
        <v>2004</v>
      </c>
      <c r="J1861" s="10">
        <v>802.15800000000002</v>
      </c>
      <c r="K1861" s="4" t="str">
        <f t="shared" si="203"/>
        <v>27-12-2024</v>
      </c>
      <c r="L1861" s="4" t="str">
        <f>TEXT(Sales_Fact!$B1861,"mmm")</f>
        <v>Dec</v>
      </c>
      <c r="M1861" s="4">
        <f t="shared" si="204"/>
        <v>4</v>
      </c>
      <c r="N1861" s="10">
        <f t="shared" si="205"/>
        <v>282.45</v>
      </c>
      <c r="O1861" s="10">
        <f t="shared" si="206"/>
        <v>802.1579999999999</v>
      </c>
      <c r="P1861" s="10">
        <f t="shared" si="207"/>
        <v>1129.8</v>
      </c>
      <c r="Q1861" s="3">
        <f t="shared" si="208"/>
        <v>0.29000000000000004</v>
      </c>
      <c r="R1861" s="4" t="str">
        <f>IF(Sales_Fact!$O1861&gt;1000,"High","Low")</f>
        <v>Low</v>
      </c>
      <c r="S1861" s="4" t="str">
        <f>VLOOKUP(C1861,Customer_Dim!$A:$N,9,FALSE())</f>
        <v>Tanya Lopez</v>
      </c>
      <c r="T1861" s="4" t="str">
        <f>VLOOKUP(D1861,Product_Dim!$A:$M,3,FALSE())</f>
        <v>Electronics</v>
      </c>
      <c r="U1861" s="11" t="str">
        <f>VLOOKUP(D1861,Product_Dim!$A:$M,2,FALSE())</f>
        <v>Wireless Mouse</v>
      </c>
      <c r="V1861" s="11" t="str">
        <f>VLOOKUP(E1861,Store_Dim!$A:$E,3,FALSE())</f>
        <v>East</v>
      </c>
      <c r="W1861" s="11" t="str">
        <f>VLOOKUP(C1861,Customer_Dim!$A:$N,13,FALSE())</f>
        <v>Gold</v>
      </c>
      <c r="X1861" s="11" t="str">
        <f t="shared" si="209"/>
        <v>High</v>
      </c>
    </row>
    <row r="1862" spans="1:24" ht="15.75" customHeight="1">
      <c r="A1862" s="4" t="s">
        <v>3858</v>
      </c>
      <c r="B1862" s="9">
        <v>45250</v>
      </c>
      <c r="C1862" s="4" t="s">
        <v>1434</v>
      </c>
      <c r="D1862" s="4" t="s">
        <v>1867</v>
      </c>
      <c r="E1862" s="4" t="s">
        <v>1937</v>
      </c>
      <c r="F1862" s="4">
        <v>2</v>
      </c>
      <c r="G1862" s="4">
        <v>386.46</v>
      </c>
      <c r="H1862" s="4">
        <v>0.23</v>
      </c>
      <c r="I1862" s="4" t="s">
        <v>2004</v>
      </c>
      <c r="J1862" s="10">
        <v>595.14840000000004</v>
      </c>
      <c r="K1862" s="4" t="str">
        <f t="shared" si="203"/>
        <v>20-11-2023</v>
      </c>
      <c r="L1862" s="4" t="str">
        <f>TEXT(Sales_Fact!$B1862,"mmm")</f>
        <v>Nov</v>
      </c>
      <c r="M1862" s="4">
        <f t="shared" si="204"/>
        <v>2</v>
      </c>
      <c r="N1862" s="10">
        <f t="shared" si="205"/>
        <v>386.46</v>
      </c>
      <c r="O1862" s="10">
        <f t="shared" si="206"/>
        <v>595.14840000000004</v>
      </c>
      <c r="P1862" s="10">
        <f t="shared" si="207"/>
        <v>772.92</v>
      </c>
      <c r="Q1862" s="3">
        <f t="shared" si="208"/>
        <v>0.2299999999999999</v>
      </c>
      <c r="R1862" s="4" t="str">
        <f>IF(Sales_Fact!$O1862&gt;1000,"High","Low")</f>
        <v>Low</v>
      </c>
      <c r="S1862" s="4" t="str">
        <f>VLOOKUP(C1862,Customer_Dim!$A:$N,9,FALSE())</f>
        <v>Tyler Weber</v>
      </c>
      <c r="T1862" s="4" t="str">
        <f>VLOOKUP(D1862,Product_Dim!$A:$M,3,FALSE())</f>
        <v>Home</v>
      </c>
      <c r="U1862" s="11" t="str">
        <f>VLOOKUP(D1862,Product_Dim!$A:$M,2,FALSE())</f>
        <v>LED Bedside Lamp</v>
      </c>
      <c r="V1862" s="11" t="str">
        <f>VLOOKUP(E1862,Store_Dim!$A:$E,3,FALSE())</f>
        <v>South</v>
      </c>
      <c r="W1862" s="11" t="str">
        <f>VLOOKUP(C1862,Customer_Dim!$A:$N,13,FALSE())</f>
        <v>Gold</v>
      </c>
      <c r="X1862" s="11" t="str">
        <f t="shared" si="209"/>
        <v>Low</v>
      </c>
    </row>
    <row r="1863" spans="1:24" ht="15.75" customHeight="1">
      <c r="A1863" s="4" t="s">
        <v>3859</v>
      </c>
      <c r="B1863" s="9">
        <v>45661</v>
      </c>
      <c r="C1863" s="4" t="s">
        <v>665</v>
      </c>
      <c r="D1863" s="4" t="s">
        <v>1654</v>
      </c>
      <c r="E1863" s="4" t="s">
        <v>1924</v>
      </c>
      <c r="F1863" s="4">
        <v>1</v>
      </c>
      <c r="G1863" s="4">
        <v>270.45</v>
      </c>
      <c r="H1863" s="4">
        <v>0.15</v>
      </c>
      <c r="I1863" s="4" t="s">
        <v>2004</v>
      </c>
      <c r="J1863" s="10">
        <v>229.88249999999999</v>
      </c>
      <c r="K1863" s="4" t="str">
        <f t="shared" si="203"/>
        <v>04-01-2025</v>
      </c>
      <c r="L1863" s="4" t="str">
        <f>TEXT(Sales_Fact!$B1863,"mmm")</f>
        <v>Jan</v>
      </c>
      <c r="M1863" s="4">
        <f t="shared" si="204"/>
        <v>1</v>
      </c>
      <c r="N1863" s="10">
        <f t="shared" si="205"/>
        <v>270.45</v>
      </c>
      <c r="O1863" s="10">
        <f t="shared" si="206"/>
        <v>229.88249999999999</v>
      </c>
      <c r="P1863" s="10">
        <f t="shared" si="207"/>
        <v>270.45</v>
      </c>
      <c r="Q1863" s="3">
        <f t="shared" si="208"/>
        <v>0.15</v>
      </c>
      <c r="R1863" s="4" t="str">
        <f>IF(Sales_Fact!$O1863&gt;1000,"High","Low")</f>
        <v>Low</v>
      </c>
      <c r="S1863" s="4" t="str">
        <f>VLOOKUP(C1863,Customer_Dim!$A:$N,9,FALSE())</f>
        <v>Anthony Garcia</v>
      </c>
      <c r="T1863" s="4" t="str">
        <f>VLOOKUP(D1863,Product_Dim!$A:$M,3,FALSE())</f>
        <v>Sports</v>
      </c>
      <c r="U1863" s="11" t="str">
        <f>VLOOKUP(D1863,Product_Dim!$A:$M,2,FALSE())</f>
        <v>Knee Support Brace</v>
      </c>
      <c r="V1863" s="11" t="str">
        <f>VLOOKUP(E1863,Store_Dim!$A:$E,3,FALSE())</f>
        <v>North</v>
      </c>
      <c r="W1863" s="11" t="str">
        <f>VLOOKUP(C1863,Customer_Dim!$A:$N,13,FALSE())</f>
        <v>Silver</v>
      </c>
      <c r="X1863" s="11" t="str">
        <f t="shared" si="209"/>
        <v>Low</v>
      </c>
    </row>
    <row r="1864" spans="1:24" ht="15.75" customHeight="1">
      <c r="A1864" s="4" t="s">
        <v>3860</v>
      </c>
      <c r="B1864" s="9">
        <v>45493</v>
      </c>
      <c r="C1864" s="4" t="s">
        <v>181</v>
      </c>
      <c r="D1864" s="4" t="s">
        <v>1834</v>
      </c>
      <c r="E1864" s="4" t="s">
        <v>1947</v>
      </c>
      <c r="F1864" s="4">
        <v>4</v>
      </c>
      <c r="G1864" s="4">
        <v>762.94</v>
      </c>
      <c r="H1864" s="4">
        <v>0.09</v>
      </c>
      <c r="I1864" s="4" t="s">
        <v>2004</v>
      </c>
      <c r="J1864" s="10">
        <v>2777.1016</v>
      </c>
      <c r="K1864" s="4" t="str">
        <f t="shared" si="203"/>
        <v>20-07-2024</v>
      </c>
      <c r="L1864" s="4" t="str">
        <f>TEXT(Sales_Fact!$B1864,"mmm")</f>
        <v>Jul</v>
      </c>
      <c r="M1864" s="4">
        <f t="shared" si="204"/>
        <v>4</v>
      </c>
      <c r="N1864" s="10">
        <f t="shared" si="205"/>
        <v>762.94</v>
      </c>
      <c r="O1864" s="10">
        <f t="shared" si="206"/>
        <v>2777.1016000000004</v>
      </c>
      <c r="P1864" s="10">
        <f t="shared" si="207"/>
        <v>3051.76</v>
      </c>
      <c r="Q1864" s="3">
        <f t="shared" si="208"/>
        <v>8.9999999999999927E-2</v>
      </c>
      <c r="R1864" s="4" t="str">
        <f>IF(Sales_Fact!$O1864&gt;1000,"High","Low")</f>
        <v>High</v>
      </c>
      <c r="S1864" s="4" t="str">
        <f>VLOOKUP(C1864,Customer_Dim!$A:$N,9,FALSE())</f>
        <v>James Gibbs</v>
      </c>
      <c r="T1864" s="4" t="str">
        <f>VLOOKUP(D1864,Product_Dim!$A:$M,3,FALSE())</f>
        <v>Electronics</v>
      </c>
      <c r="U1864" s="11" t="str">
        <f>VLOOKUP(D1864,Product_Dim!$A:$M,2,FALSE())</f>
        <v>Wireless Mouse</v>
      </c>
      <c r="V1864" s="11" t="str">
        <f>VLOOKUP(E1864,Store_Dim!$A:$E,3,FALSE())</f>
        <v>East</v>
      </c>
      <c r="W1864" s="11" t="str">
        <f>VLOOKUP(C1864,Customer_Dim!$A:$N,13,FALSE())</f>
        <v>Platinum</v>
      </c>
      <c r="X1864" s="11" t="str">
        <f t="shared" si="209"/>
        <v>High</v>
      </c>
    </row>
    <row r="1865" spans="1:24" ht="15.75" customHeight="1">
      <c r="A1865" s="4" t="s">
        <v>3861</v>
      </c>
      <c r="B1865" s="9">
        <v>45242</v>
      </c>
      <c r="C1865" s="4" t="s">
        <v>1547</v>
      </c>
      <c r="D1865" s="4" t="s">
        <v>1726</v>
      </c>
      <c r="E1865" s="4" t="s">
        <v>1955</v>
      </c>
      <c r="F1865" s="4">
        <v>1</v>
      </c>
      <c r="G1865" s="4">
        <v>409.03</v>
      </c>
      <c r="H1865" s="4">
        <v>0.25</v>
      </c>
      <c r="I1865" s="4" t="s">
        <v>2004</v>
      </c>
      <c r="J1865" s="10">
        <v>306.77249999999998</v>
      </c>
      <c r="K1865" s="4" t="str">
        <f t="shared" si="203"/>
        <v>12-11-2023</v>
      </c>
      <c r="L1865" s="4" t="str">
        <f>TEXT(Sales_Fact!$B1865,"mmm")</f>
        <v>Nov</v>
      </c>
      <c r="M1865" s="4">
        <f t="shared" si="204"/>
        <v>1</v>
      </c>
      <c r="N1865" s="10">
        <f t="shared" si="205"/>
        <v>409.03</v>
      </c>
      <c r="O1865" s="10">
        <f t="shared" si="206"/>
        <v>306.77249999999998</v>
      </c>
      <c r="P1865" s="10">
        <f t="shared" si="207"/>
        <v>409.03</v>
      </c>
      <c r="Q1865" s="3">
        <f t="shared" si="208"/>
        <v>0.25</v>
      </c>
      <c r="R1865" s="4" t="str">
        <f>IF(Sales_Fact!$O1865&gt;1000,"High","Low")</f>
        <v>Low</v>
      </c>
      <c r="S1865" s="4" t="str">
        <f>VLOOKUP(C1865,Customer_Dim!$A:$N,9,FALSE())</f>
        <v>Justin Lopez</v>
      </c>
      <c r="T1865" s="4" t="str">
        <f>VLOOKUP(D1865,Product_Dim!$A:$M,3,FALSE())</f>
        <v>Sports</v>
      </c>
      <c r="U1865" s="11" t="str">
        <f>VLOOKUP(D1865,Product_Dim!$A:$M,2,FALSE())</f>
        <v>Yoga Exercise Mat</v>
      </c>
      <c r="V1865" s="11" t="str">
        <f>VLOOKUP(E1865,Store_Dim!$A:$E,3,FALSE())</f>
        <v>East</v>
      </c>
      <c r="W1865" s="11" t="str">
        <f>VLOOKUP(C1865,Customer_Dim!$A:$N,13,FALSE())</f>
        <v>Gold</v>
      </c>
      <c r="X1865" s="11" t="str">
        <f t="shared" si="209"/>
        <v>Low</v>
      </c>
    </row>
    <row r="1866" spans="1:24" ht="15.75" customHeight="1">
      <c r="A1866" s="4" t="s">
        <v>3862</v>
      </c>
      <c r="B1866" s="9">
        <v>45411</v>
      </c>
      <c r="C1866" s="4" t="s">
        <v>736</v>
      </c>
      <c r="D1866" s="4" t="s">
        <v>1894</v>
      </c>
      <c r="E1866" s="4" t="s">
        <v>1968</v>
      </c>
      <c r="F1866" s="4">
        <v>2</v>
      </c>
      <c r="G1866" s="4">
        <v>891.13</v>
      </c>
      <c r="H1866" s="4">
        <v>0.13</v>
      </c>
      <c r="I1866" s="4" t="s">
        <v>1996</v>
      </c>
      <c r="J1866" s="10">
        <v>1550.5662</v>
      </c>
      <c r="K1866" s="4" t="str">
        <f t="shared" si="203"/>
        <v>29-04-2024</v>
      </c>
      <c r="L1866" s="4" t="str">
        <f>TEXT(Sales_Fact!$B1866,"mmm")</f>
        <v>Apr</v>
      </c>
      <c r="M1866" s="4">
        <f t="shared" si="204"/>
        <v>2</v>
      </c>
      <c r="N1866" s="10">
        <f t="shared" si="205"/>
        <v>891.13</v>
      </c>
      <c r="O1866" s="10">
        <f t="shared" si="206"/>
        <v>1550.5662</v>
      </c>
      <c r="P1866" s="10">
        <f t="shared" si="207"/>
        <v>1782.26</v>
      </c>
      <c r="Q1866" s="3">
        <f t="shared" si="208"/>
        <v>0.13</v>
      </c>
      <c r="R1866" s="4" t="str">
        <f>IF(Sales_Fact!$O1866&gt;1000,"High","Low")</f>
        <v>High</v>
      </c>
      <c r="S1866" s="4" t="str">
        <f>VLOOKUP(C1866,Customer_Dim!$A:$N,9,FALSE())</f>
        <v>Jordan Wells</v>
      </c>
      <c r="T1866" s="4" t="str">
        <f>VLOOKUP(D1866,Product_Dim!$A:$M,3,FALSE())</f>
        <v>Clothing</v>
      </c>
      <c r="U1866" s="11" t="str">
        <f>VLOOKUP(D1866,Product_Dim!$A:$M,2,FALSE())</f>
        <v>Women's Formal Blazer</v>
      </c>
      <c r="V1866" s="11" t="str">
        <f>VLOOKUP(E1866,Store_Dim!$A:$E,3,FALSE())</f>
        <v>East</v>
      </c>
      <c r="W1866" s="11" t="str">
        <f>VLOOKUP(C1866,Customer_Dim!$A:$N,13,FALSE())</f>
        <v>Gold</v>
      </c>
      <c r="X1866" s="11" t="str">
        <f t="shared" si="209"/>
        <v>Low</v>
      </c>
    </row>
    <row r="1867" spans="1:24" ht="15.75" customHeight="1">
      <c r="A1867" s="4" t="s">
        <v>3863</v>
      </c>
      <c r="B1867" s="9">
        <v>45593</v>
      </c>
      <c r="C1867" s="4" t="s">
        <v>151</v>
      </c>
      <c r="D1867" s="4" t="s">
        <v>1882</v>
      </c>
      <c r="E1867" s="4" t="s">
        <v>1962</v>
      </c>
      <c r="F1867" s="4">
        <v>1</v>
      </c>
      <c r="G1867" s="4">
        <v>553.38</v>
      </c>
      <c r="H1867" s="4">
        <v>0.21</v>
      </c>
      <c r="I1867" s="4" t="s">
        <v>1998</v>
      </c>
      <c r="J1867" s="10">
        <v>437.17020000000002</v>
      </c>
      <c r="K1867" s="4" t="str">
        <f t="shared" si="203"/>
        <v>28-10-2024</v>
      </c>
      <c r="L1867" s="4" t="str">
        <f>TEXT(Sales_Fact!$B1867,"mmm")</f>
        <v>Oct</v>
      </c>
      <c r="M1867" s="4">
        <f t="shared" si="204"/>
        <v>1</v>
      </c>
      <c r="N1867" s="10">
        <f t="shared" si="205"/>
        <v>553.38</v>
      </c>
      <c r="O1867" s="10">
        <f t="shared" si="206"/>
        <v>437.17020000000002</v>
      </c>
      <c r="P1867" s="10">
        <f t="shared" si="207"/>
        <v>553.38</v>
      </c>
      <c r="Q1867" s="3">
        <f t="shared" si="208"/>
        <v>0.20999999999999996</v>
      </c>
      <c r="R1867" s="4" t="str">
        <f>IF(Sales_Fact!$O1867&gt;1000,"High","Low")</f>
        <v>Low</v>
      </c>
      <c r="S1867" s="4" t="str">
        <f>VLOOKUP(C1867,Customer_Dim!$A:$N,9,FALSE())</f>
        <v>Mike Jennings</v>
      </c>
      <c r="T1867" s="4" t="str">
        <f>VLOOKUP(D1867,Product_Dim!$A:$M,3,FALSE())</f>
        <v>Home</v>
      </c>
      <c r="U1867" s="11" t="str">
        <f>VLOOKUP(D1867,Product_Dim!$A:$M,2,FALSE())</f>
        <v>Microwave Oven</v>
      </c>
      <c r="V1867" s="11" t="str">
        <f>VLOOKUP(E1867,Store_Dim!$A:$E,3,FALSE())</f>
        <v>West</v>
      </c>
      <c r="W1867" s="11" t="str">
        <f>VLOOKUP(C1867,Customer_Dim!$A:$N,13,FALSE())</f>
        <v>Gold</v>
      </c>
      <c r="X1867" s="11" t="str">
        <f t="shared" si="209"/>
        <v>Low</v>
      </c>
    </row>
    <row r="1868" spans="1:24" ht="15.75" customHeight="1">
      <c r="A1868" s="4" t="s">
        <v>3864</v>
      </c>
      <c r="B1868" s="9">
        <v>45281</v>
      </c>
      <c r="C1868" s="4" t="s">
        <v>559</v>
      </c>
      <c r="D1868" s="4" t="s">
        <v>1861</v>
      </c>
      <c r="E1868" s="4" t="s">
        <v>1955</v>
      </c>
      <c r="F1868" s="4">
        <v>2</v>
      </c>
      <c r="G1868" s="4">
        <v>652.29999999999995</v>
      </c>
      <c r="H1868" s="4">
        <v>0.16</v>
      </c>
      <c r="I1868" s="4" t="s">
        <v>2004</v>
      </c>
      <c r="J1868" s="10">
        <v>1095.864</v>
      </c>
      <c r="K1868" s="4" t="str">
        <f t="shared" si="203"/>
        <v>21-12-2023</v>
      </c>
      <c r="L1868" s="4" t="str">
        <f>TEXT(Sales_Fact!$B1868,"mmm")</f>
        <v>Dec</v>
      </c>
      <c r="M1868" s="4">
        <f t="shared" si="204"/>
        <v>2</v>
      </c>
      <c r="N1868" s="10">
        <f t="shared" si="205"/>
        <v>652.29999999999995</v>
      </c>
      <c r="O1868" s="10">
        <f t="shared" si="206"/>
        <v>1095.8639999999998</v>
      </c>
      <c r="P1868" s="10">
        <f t="shared" si="207"/>
        <v>1304.5999999999999</v>
      </c>
      <c r="Q1868" s="3">
        <f t="shared" si="208"/>
        <v>0.16000000000000009</v>
      </c>
      <c r="R1868" s="4" t="str">
        <f>IF(Sales_Fact!$O1868&gt;1000,"High","Low")</f>
        <v>High</v>
      </c>
      <c r="S1868" s="4" t="str">
        <f>VLOOKUP(C1868,Customer_Dim!$A:$N,9,FALSE())</f>
        <v>John Lawson</v>
      </c>
      <c r="T1868" s="4" t="str">
        <f>VLOOKUP(D1868,Product_Dim!$A:$M,3,FALSE())</f>
        <v>Clothing</v>
      </c>
      <c r="U1868" s="11" t="str">
        <f>VLOOKUP(D1868,Product_Dim!$A:$M,2,FALSE())</f>
        <v>Women's Beanie Hat</v>
      </c>
      <c r="V1868" s="11" t="str">
        <f>VLOOKUP(E1868,Store_Dim!$A:$E,3,FALSE())</f>
        <v>East</v>
      </c>
      <c r="W1868" s="11" t="str">
        <f>VLOOKUP(C1868,Customer_Dim!$A:$N,13,FALSE())</f>
        <v>Platinum</v>
      </c>
      <c r="X1868" s="11" t="str">
        <f t="shared" si="209"/>
        <v>Low</v>
      </c>
    </row>
    <row r="1869" spans="1:24" ht="15.75" customHeight="1">
      <c r="A1869" s="4" t="s">
        <v>3865</v>
      </c>
      <c r="B1869" s="9">
        <v>45588</v>
      </c>
      <c r="C1869" s="4" t="s">
        <v>629</v>
      </c>
      <c r="D1869" s="4" t="s">
        <v>1716</v>
      </c>
      <c r="E1869" s="4" t="s">
        <v>1910</v>
      </c>
      <c r="F1869" s="4">
        <v>2</v>
      </c>
      <c r="G1869" s="4">
        <v>217.83</v>
      </c>
      <c r="H1869" s="4">
        <v>0.14000000000000001</v>
      </c>
      <c r="I1869" s="4" t="s">
        <v>1998</v>
      </c>
      <c r="J1869" s="10">
        <v>374.66759999999999</v>
      </c>
      <c r="K1869" s="4" t="str">
        <f t="shared" si="203"/>
        <v>23-10-2024</v>
      </c>
      <c r="L1869" s="4" t="str">
        <f>TEXT(Sales_Fact!$B1869,"mmm")</f>
        <v>Oct</v>
      </c>
      <c r="M1869" s="4">
        <f t="shared" si="204"/>
        <v>2</v>
      </c>
      <c r="N1869" s="10">
        <f t="shared" si="205"/>
        <v>217.83</v>
      </c>
      <c r="O1869" s="10">
        <f t="shared" si="206"/>
        <v>374.66759999999999</v>
      </c>
      <c r="P1869" s="10">
        <f t="shared" si="207"/>
        <v>435.66</v>
      </c>
      <c r="Q1869" s="3">
        <f t="shared" si="208"/>
        <v>0.14000000000000007</v>
      </c>
      <c r="R1869" s="4" t="str">
        <f>IF(Sales_Fact!$O1869&gt;1000,"High","Low")</f>
        <v>Low</v>
      </c>
      <c r="S1869" s="4" t="str">
        <f>VLOOKUP(C1869,Customer_Dim!$A:$N,9,FALSE())</f>
        <v>Mario Jacobs</v>
      </c>
      <c r="T1869" s="4" t="str">
        <f>VLOOKUP(D1869,Product_Dim!$A:$M,3,FALSE())</f>
        <v>Sports</v>
      </c>
      <c r="U1869" s="11" t="str">
        <f>VLOOKUP(D1869,Product_Dim!$A:$M,2,FALSE())</f>
        <v>Sports Water Hydration Pack</v>
      </c>
      <c r="V1869" s="11" t="str">
        <f>VLOOKUP(E1869,Store_Dim!$A:$E,3,FALSE())</f>
        <v>East</v>
      </c>
      <c r="W1869" s="11" t="str">
        <f>VLOOKUP(C1869,Customer_Dim!$A:$N,13,FALSE())</f>
        <v>Platinum</v>
      </c>
      <c r="X1869" s="11" t="str">
        <f t="shared" si="209"/>
        <v>Low</v>
      </c>
    </row>
    <row r="1870" spans="1:24" ht="15.75" customHeight="1">
      <c r="A1870" s="4" t="s">
        <v>3866</v>
      </c>
      <c r="B1870" s="9">
        <v>45575</v>
      </c>
      <c r="C1870" s="4" t="s">
        <v>444</v>
      </c>
      <c r="D1870" s="4" t="s">
        <v>1729</v>
      </c>
      <c r="E1870" s="4" t="s">
        <v>1944</v>
      </c>
      <c r="F1870" s="4">
        <v>4</v>
      </c>
      <c r="G1870" s="4">
        <v>194.36</v>
      </c>
      <c r="H1870" s="4">
        <v>0.18</v>
      </c>
      <c r="I1870" s="4" t="s">
        <v>2004</v>
      </c>
      <c r="J1870" s="10">
        <v>637.50080000000003</v>
      </c>
      <c r="K1870" s="4" t="str">
        <f t="shared" si="203"/>
        <v>10-10-2024</v>
      </c>
      <c r="L1870" s="4" t="str">
        <f>TEXT(Sales_Fact!$B1870,"mmm")</f>
        <v>Oct</v>
      </c>
      <c r="M1870" s="4">
        <f t="shared" si="204"/>
        <v>4</v>
      </c>
      <c r="N1870" s="10">
        <f t="shared" si="205"/>
        <v>194.36</v>
      </c>
      <c r="O1870" s="10">
        <f t="shared" si="206"/>
        <v>637.50080000000014</v>
      </c>
      <c r="P1870" s="10">
        <f t="shared" si="207"/>
        <v>777.44</v>
      </c>
      <c r="Q1870" s="3">
        <f t="shared" si="208"/>
        <v>0.17999999999999988</v>
      </c>
      <c r="R1870" s="4" t="str">
        <f>IF(Sales_Fact!$O1870&gt;1000,"High","Low")</f>
        <v>Low</v>
      </c>
      <c r="S1870" s="4" t="str">
        <f>VLOOKUP(C1870,Customer_Dim!$A:$N,9,FALSE())</f>
        <v>Michael Chang</v>
      </c>
      <c r="T1870" s="4" t="str">
        <f>VLOOKUP(D1870,Product_Dim!$A:$M,3,FALSE())</f>
        <v>Electronics</v>
      </c>
      <c r="U1870" s="11" t="str">
        <f>VLOOKUP(D1870,Product_Dim!$A:$M,2,FALSE())</f>
        <v>Smart Home WiFi Camera</v>
      </c>
      <c r="V1870" s="11" t="str">
        <f>VLOOKUP(E1870,Store_Dim!$A:$E,3,FALSE())</f>
        <v>South</v>
      </c>
      <c r="W1870" s="11" t="str">
        <f>VLOOKUP(C1870,Customer_Dim!$A:$N,13,FALSE())</f>
        <v>Platinum</v>
      </c>
      <c r="X1870" s="11" t="str">
        <f t="shared" si="209"/>
        <v>High</v>
      </c>
    </row>
    <row r="1871" spans="1:24" ht="15.75" customHeight="1">
      <c r="A1871" s="4" t="s">
        <v>3867</v>
      </c>
      <c r="B1871" s="9">
        <v>45660</v>
      </c>
      <c r="C1871" s="4" t="s">
        <v>538</v>
      </c>
      <c r="D1871" s="4" t="s">
        <v>1882</v>
      </c>
      <c r="E1871" s="4" t="s">
        <v>1915</v>
      </c>
      <c r="F1871" s="4">
        <v>3</v>
      </c>
      <c r="G1871" s="4">
        <v>476.37</v>
      </c>
      <c r="H1871" s="4">
        <v>0.21</v>
      </c>
      <c r="I1871" s="4" t="s">
        <v>2004</v>
      </c>
      <c r="J1871" s="10">
        <v>1128.9969000000001</v>
      </c>
      <c r="K1871" s="4" t="str">
        <f t="shared" si="203"/>
        <v>03-01-2025</v>
      </c>
      <c r="L1871" s="4" t="str">
        <f>TEXT(Sales_Fact!$B1871,"mmm")</f>
        <v>Jan</v>
      </c>
      <c r="M1871" s="4">
        <f t="shared" si="204"/>
        <v>3</v>
      </c>
      <c r="N1871" s="10">
        <f t="shared" si="205"/>
        <v>476.37</v>
      </c>
      <c r="O1871" s="10">
        <f t="shared" si="206"/>
        <v>1128.9969000000001</v>
      </c>
      <c r="P1871" s="10">
        <f t="shared" si="207"/>
        <v>1429.1100000000001</v>
      </c>
      <c r="Q1871" s="3">
        <f t="shared" si="208"/>
        <v>0.21</v>
      </c>
      <c r="R1871" s="4" t="str">
        <f>IF(Sales_Fact!$O1871&gt;1000,"High","Low")</f>
        <v>High</v>
      </c>
      <c r="S1871" s="4" t="str">
        <f>VLOOKUP(C1871,Customer_Dim!$A:$N,9,FALSE())</f>
        <v>Joseph Faulkner</v>
      </c>
      <c r="T1871" s="4" t="str">
        <f>VLOOKUP(D1871,Product_Dim!$A:$M,3,FALSE())</f>
        <v>Home</v>
      </c>
      <c r="U1871" s="11" t="str">
        <f>VLOOKUP(D1871,Product_Dim!$A:$M,2,FALSE())</f>
        <v>Microwave Oven</v>
      </c>
      <c r="V1871" s="11" t="str">
        <f>VLOOKUP(E1871,Store_Dim!$A:$E,3,FALSE())</f>
        <v>North</v>
      </c>
      <c r="W1871" s="11" t="str">
        <f>VLOOKUP(C1871,Customer_Dim!$A:$N,13,FALSE())</f>
        <v>Bronze</v>
      </c>
      <c r="X1871" s="11" t="str">
        <f t="shared" si="209"/>
        <v>Low</v>
      </c>
    </row>
    <row r="1872" spans="1:24" ht="15.75" customHeight="1">
      <c r="A1872" s="4" t="s">
        <v>3868</v>
      </c>
      <c r="B1872" s="9">
        <v>45360</v>
      </c>
      <c r="C1872" s="4" t="s">
        <v>1171</v>
      </c>
      <c r="D1872" s="4" t="s">
        <v>1723</v>
      </c>
      <c r="E1872" s="4" t="s">
        <v>1931</v>
      </c>
      <c r="F1872" s="4">
        <v>3</v>
      </c>
      <c r="G1872" s="4">
        <v>174.57</v>
      </c>
      <c r="H1872" s="4">
        <v>0</v>
      </c>
      <c r="I1872" s="4" t="s">
        <v>1998</v>
      </c>
      <c r="J1872" s="10">
        <v>523.71</v>
      </c>
      <c r="K1872" s="4" t="str">
        <f t="shared" si="203"/>
        <v>09-03-2024</v>
      </c>
      <c r="L1872" s="4" t="str">
        <f>TEXT(Sales_Fact!$B1872,"mmm")</f>
        <v>Mar</v>
      </c>
      <c r="M1872" s="4">
        <f t="shared" si="204"/>
        <v>3</v>
      </c>
      <c r="N1872" s="10">
        <f t="shared" si="205"/>
        <v>174.57</v>
      </c>
      <c r="O1872" s="10">
        <f t="shared" si="206"/>
        <v>523.71</v>
      </c>
      <c r="P1872" s="10">
        <f t="shared" si="207"/>
        <v>523.71</v>
      </c>
      <c r="Q1872" s="3">
        <f t="shared" si="208"/>
        <v>0</v>
      </c>
      <c r="R1872" s="4" t="str">
        <f>IF(Sales_Fact!$O1872&gt;1000,"High","Low")</f>
        <v>Low</v>
      </c>
      <c r="S1872" s="4" t="str">
        <f>VLOOKUP(C1872,Customer_Dim!$A:$N,9,FALSE())</f>
        <v>Brandon Mcbride</v>
      </c>
      <c r="T1872" s="4" t="str">
        <f>VLOOKUP(D1872,Product_Dim!$A:$M,3,FALSE())</f>
        <v>Electronics</v>
      </c>
      <c r="U1872" s="11" t="str">
        <f>VLOOKUP(D1872,Product_Dim!$A:$M,2,FALSE())</f>
        <v>Noise-Canceling Headphones</v>
      </c>
      <c r="V1872" s="11" t="str">
        <f>VLOOKUP(E1872,Store_Dim!$A:$E,3,FALSE())</f>
        <v>North</v>
      </c>
      <c r="W1872" s="11" t="str">
        <f>VLOOKUP(C1872,Customer_Dim!$A:$N,13,FALSE())</f>
        <v>Platinum</v>
      </c>
      <c r="X1872" s="11" t="str">
        <f t="shared" si="209"/>
        <v>Low</v>
      </c>
    </row>
    <row r="1873" spans="1:24" ht="15.75" customHeight="1">
      <c r="A1873" s="4" t="s">
        <v>3869</v>
      </c>
      <c r="B1873" s="9">
        <v>45526</v>
      </c>
      <c r="C1873" s="4" t="s">
        <v>435</v>
      </c>
      <c r="D1873" s="4" t="s">
        <v>1861</v>
      </c>
      <c r="E1873" s="4" t="s">
        <v>1910</v>
      </c>
      <c r="F1873" s="4">
        <v>3</v>
      </c>
      <c r="G1873" s="4">
        <v>762</v>
      </c>
      <c r="H1873" s="4">
        <v>0.02</v>
      </c>
      <c r="I1873" s="4" t="s">
        <v>1998</v>
      </c>
      <c r="J1873" s="10">
        <v>2240.2800000000002</v>
      </c>
      <c r="K1873" s="4" t="str">
        <f t="shared" si="203"/>
        <v>22-08-2024</v>
      </c>
      <c r="L1873" s="4" t="str">
        <f>TEXT(Sales_Fact!$B1873,"mmm")</f>
        <v>Aug</v>
      </c>
      <c r="M1873" s="4">
        <f t="shared" si="204"/>
        <v>3</v>
      </c>
      <c r="N1873" s="10">
        <f t="shared" si="205"/>
        <v>762</v>
      </c>
      <c r="O1873" s="10">
        <f t="shared" si="206"/>
        <v>2240.2799999999997</v>
      </c>
      <c r="P1873" s="10">
        <f t="shared" si="207"/>
        <v>2286</v>
      </c>
      <c r="Q1873" s="3">
        <f t="shared" si="208"/>
        <v>2.0000000000000111E-2</v>
      </c>
      <c r="R1873" s="4" t="str">
        <f>IF(Sales_Fact!$O1873&gt;1000,"High","Low")</f>
        <v>High</v>
      </c>
      <c r="S1873" s="4" t="str">
        <f>VLOOKUP(C1873,Customer_Dim!$A:$N,9,FALSE())</f>
        <v>Michael Jones</v>
      </c>
      <c r="T1873" s="4" t="str">
        <f>VLOOKUP(D1873,Product_Dim!$A:$M,3,FALSE())</f>
        <v>Clothing</v>
      </c>
      <c r="U1873" s="11" t="str">
        <f>VLOOKUP(D1873,Product_Dim!$A:$M,2,FALSE())</f>
        <v>Women's Beanie Hat</v>
      </c>
      <c r="V1873" s="11" t="str">
        <f>VLOOKUP(E1873,Store_Dim!$A:$E,3,FALSE())</f>
        <v>East</v>
      </c>
      <c r="W1873" s="11" t="str">
        <f>VLOOKUP(C1873,Customer_Dim!$A:$N,13,FALSE())</f>
        <v>Bronze</v>
      </c>
      <c r="X1873" s="11" t="str">
        <f t="shared" si="209"/>
        <v>Low</v>
      </c>
    </row>
    <row r="1874" spans="1:24" ht="15.75" customHeight="1">
      <c r="A1874" s="4" t="s">
        <v>3870</v>
      </c>
      <c r="B1874" s="9">
        <v>45395</v>
      </c>
      <c r="C1874" s="4" t="s">
        <v>1348</v>
      </c>
      <c r="D1874" s="4" t="s">
        <v>1822</v>
      </c>
      <c r="E1874" s="4" t="s">
        <v>1971</v>
      </c>
      <c r="F1874" s="4">
        <v>1</v>
      </c>
      <c r="G1874" s="4">
        <v>44.08</v>
      </c>
      <c r="H1874" s="4">
        <v>0.05</v>
      </c>
      <c r="I1874" s="4" t="s">
        <v>1996</v>
      </c>
      <c r="J1874" s="10">
        <v>41.875999999999998</v>
      </c>
      <c r="K1874" s="4" t="str">
        <f t="shared" si="203"/>
        <v>13-04-2024</v>
      </c>
      <c r="L1874" s="4" t="str">
        <f>TEXT(Sales_Fact!$B1874,"mmm")</f>
        <v>Apr</v>
      </c>
      <c r="M1874" s="4">
        <f t="shared" si="204"/>
        <v>1</v>
      </c>
      <c r="N1874" s="10">
        <f t="shared" si="205"/>
        <v>44.08</v>
      </c>
      <c r="O1874" s="10">
        <f t="shared" si="206"/>
        <v>41.875999999999998</v>
      </c>
      <c r="P1874" s="10">
        <f t="shared" si="207"/>
        <v>44.08</v>
      </c>
      <c r="Q1874" s="3">
        <f t="shared" si="208"/>
        <v>5.0000000000000017E-2</v>
      </c>
      <c r="R1874" s="4" t="str">
        <f>IF(Sales_Fact!$O1874&gt;1000,"High","Low")</f>
        <v>Low</v>
      </c>
      <c r="S1874" s="4" t="str">
        <f>VLOOKUP(C1874,Customer_Dim!$A:$N,9,FALSE())</f>
        <v>Bryce Hawkins</v>
      </c>
      <c r="T1874" s="4" t="str">
        <f>VLOOKUP(D1874,Product_Dim!$A:$M,3,FALSE())</f>
        <v>Sports</v>
      </c>
      <c r="U1874" s="11" t="str">
        <f>VLOOKUP(D1874,Product_Dim!$A:$M,2,FALSE())</f>
        <v>Professional Jump Rope</v>
      </c>
      <c r="V1874" s="11" t="str">
        <f>VLOOKUP(E1874,Store_Dim!$A:$E,3,FALSE())</f>
        <v>East</v>
      </c>
      <c r="W1874" s="11" t="str">
        <f>VLOOKUP(C1874,Customer_Dim!$A:$N,13,FALSE())</f>
        <v>Bronze</v>
      </c>
      <c r="X1874" s="11" t="str">
        <f t="shared" si="209"/>
        <v>Low</v>
      </c>
    </row>
    <row r="1875" spans="1:24" ht="15.75" customHeight="1">
      <c r="A1875" s="4" t="s">
        <v>3871</v>
      </c>
      <c r="B1875" s="9">
        <v>45466</v>
      </c>
      <c r="C1875" s="4" t="s">
        <v>1550</v>
      </c>
      <c r="D1875" s="4" t="s">
        <v>1782</v>
      </c>
      <c r="E1875" s="4" t="s">
        <v>1955</v>
      </c>
      <c r="F1875" s="4">
        <v>1</v>
      </c>
      <c r="G1875" s="4">
        <v>992.37</v>
      </c>
      <c r="H1875" s="4">
        <v>0.24</v>
      </c>
      <c r="I1875" s="4" t="s">
        <v>2004</v>
      </c>
      <c r="J1875" s="10">
        <v>754.20119999999997</v>
      </c>
      <c r="K1875" s="4" t="str">
        <f t="shared" si="203"/>
        <v>23-06-2024</v>
      </c>
      <c r="L1875" s="4" t="str">
        <f>TEXT(Sales_Fact!$B1875,"mmm")</f>
        <v>Jun</v>
      </c>
      <c r="M1875" s="4">
        <f t="shared" si="204"/>
        <v>1</v>
      </c>
      <c r="N1875" s="10">
        <f t="shared" si="205"/>
        <v>992.37</v>
      </c>
      <c r="O1875" s="10">
        <f t="shared" si="206"/>
        <v>754.20119999999997</v>
      </c>
      <c r="P1875" s="10">
        <f t="shared" si="207"/>
        <v>992.37</v>
      </c>
      <c r="Q1875" s="3">
        <f t="shared" si="208"/>
        <v>0.24000000000000002</v>
      </c>
      <c r="R1875" s="4" t="str">
        <f>IF(Sales_Fact!$O1875&gt;1000,"High","Low")</f>
        <v>Low</v>
      </c>
      <c r="S1875" s="4" t="str">
        <f>VLOOKUP(C1875,Customer_Dim!$A:$N,9,FALSE())</f>
        <v>James Berger</v>
      </c>
      <c r="T1875" s="4" t="str">
        <f>VLOOKUP(D1875,Product_Dim!$A:$M,3,FALSE())</f>
        <v>Beauty</v>
      </c>
      <c r="U1875" s="11" t="str">
        <f>VLOOKUP(D1875,Product_Dim!$A:$M,2,FALSE())</f>
        <v>Men's Hair Styling Gel</v>
      </c>
      <c r="V1875" s="11" t="str">
        <f>VLOOKUP(E1875,Store_Dim!$A:$E,3,FALSE())</f>
        <v>East</v>
      </c>
      <c r="W1875" s="11" t="str">
        <f>VLOOKUP(C1875,Customer_Dim!$A:$N,13,FALSE())</f>
        <v>Bronze</v>
      </c>
      <c r="X1875" s="11" t="str">
        <f t="shared" si="209"/>
        <v>Low</v>
      </c>
    </row>
    <row r="1876" spans="1:24" ht="15.75" customHeight="1">
      <c r="A1876" s="4" t="s">
        <v>3872</v>
      </c>
      <c r="B1876" s="9">
        <v>45876</v>
      </c>
      <c r="C1876" s="4" t="s">
        <v>682</v>
      </c>
      <c r="D1876" s="4" t="s">
        <v>1693</v>
      </c>
      <c r="E1876" s="4" t="s">
        <v>1947</v>
      </c>
      <c r="F1876" s="4">
        <v>3</v>
      </c>
      <c r="G1876" s="4">
        <v>465.4</v>
      </c>
      <c r="H1876" s="4">
        <v>0.28999999999999998</v>
      </c>
      <c r="I1876" s="4" t="s">
        <v>2004</v>
      </c>
      <c r="J1876" s="10">
        <v>991.30200000000002</v>
      </c>
      <c r="K1876" s="4" t="str">
        <f t="shared" si="203"/>
        <v>07-08-2025</v>
      </c>
      <c r="L1876" s="4" t="str">
        <f>TEXT(Sales_Fact!$B1876,"mmm")</f>
        <v>Aug</v>
      </c>
      <c r="M1876" s="4">
        <f t="shared" si="204"/>
        <v>3</v>
      </c>
      <c r="N1876" s="10">
        <f t="shared" si="205"/>
        <v>465.4</v>
      </c>
      <c r="O1876" s="10">
        <f t="shared" si="206"/>
        <v>991.30199999999979</v>
      </c>
      <c r="P1876" s="10">
        <f t="shared" si="207"/>
        <v>1396.1999999999998</v>
      </c>
      <c r="Q1876" s="3">
        <f t="shared" si="208"/>
        <v>0.29000000000000004</v>
      </c>
      <c r="R1876" s="4" t="str">
        <f>IF(Sales_Fact!$O1876&gt;1000,"High","Low")</f>
        <v>Low</v>
      </c>
      <c r="S1876" s="4" t="str">
        <f>VLOOKUP(C1876,Customer_Dim!$A:$N,9,FALSE())</f>
        <v>Mary Boyd</v>
      </c>
      <c r="T1876" s="4" t="str">
        <f>VLOOKUP(D1876,Product_Dim!$A:$M,3,FALSE())</f>
        <v>Sports</v>
      </c>
      <c r="U1876" s="11" t="str">
        <f>VLOOKUP(D1876,Product_Dim!$A:$M,2,FALSE())</f>
        <v>Basketball</v>
      </c>
      <c r="V1876" s="11" t="str">
        <f>VLOOKUP(E1876,Store_Dim!$A:$E,3,FALSE())</f>
        <v>East</v>
      </c>
      <c r="W1876" s="11" t="str">
        <f>VLOOKUP(C1876,Customer_Dim!$A:$N,13,FALSE())</f>
        <v>Bronze</v>
      </c>
      <c r="X1876" s="11" t="str">
        <f t="shared" si="209"/>
        <v>Low</v>
      </c>
    </row>
    <row r="1877" spans="1:24" ht="15.75" customHeight="1">
      <c r="A1877" s="4" t="s">
        <v>3873</v>
      </c>
      <c r="B1877" s="9">
        <v>45724</v>
      </c>
      <c r="C1877" s="4" t="s">
        <v>1087</v>
      </c>
      <c r="D1877" s="4" t="s">
        <v>1644</v>
      </c>
      <c r="E1877" s="4" t="s">
        <v>1947</v>
      </c>
      <c r="F1877" s="4">
        <v>2</v>
      </c>
      <c r="G1877" s="4">
        <v>693.61</v>
      </c>
      <c r="H1877" s="4">
        <v>0.15</v>
      </c>
      <c r="I1877" s="4" t="s">
        <v>1998</v>
      </c>
      <c r="J1877" s="10">
        <v>1179.1369999999999</v>
      </c>
      <c r="K1877" s="4" t="str">
        <f t="shared" si="203"/>
        <v>08-03-2025</v>
      </c>
      <c r="L1877" s="4" t="str">
        <f>TEXT(Sales_Fact!$B1877,"mmm")</f>
        <v>Mar</v>
      </c>
      <c r="M1877" s="4">
        <f t="shared" si="204"/>
        <v>2</v>
      </c>
      <c r="N1877" s="10">
        <f t="shared" si="205"/>
        <v>693.61</v>
      </c>
      <c r="O1877" s="10">
        <f t="shared" si="206"/>
        <v>1179.1369999999999</v>
      </c>
      <c r="P1877" s="10">
        <f t="shared" si="207"/>
        <v>1387.22</v>
      </c>
      <c r="Q1877" s="3">
        <f t="shared" si="208"/>
        <v>0.15000000000000005</v>
      </c>
      <c r="R1877" s="4" t="str">
        <f>IF(Sales_Fact!$O1877&gt;1000,"High","Low")</f>
        <v>High</v>
      </c>
      <c r="S1877" s="4" t="str">
        <f>VLOOKUP(C1877,Customer_Dim!$A:$N,9,FALSE())</f>
        <v>Carol Lewis</v>
      </c>
      <c r="T1877" s="4" t="str">
        <f>VLOOKUP(D1877,Product_Dim!$A:$M,3,FALSE())</f>
        <v>Beauty</v>
      </c>
      <c r="U1877" s="11" t="str">
        <f>VLOOKUP(D1877,Product_Dim!$A:$M,2,FALSE())</f>
        <v>Beard Grooming Kit</v>
      </c>
      <c r="V1877" s="11" t="str">
        <f>VLOOKUP(E1877,Store_Dim!$A:$E,3,FALSE())</f>
        <v>East</v>
      </c>
      <c r="W1877" s="11" t="str">
        <f>VLOOKUP(C1877,Customer_Dim!$A:$N,13,FALSE())</f>
        <v>Bronze</v>
      </c>
      <c r="X1877" s="11" t="str">
        <f t="shared" si="209"/>
        <v>Low</v>
      </c>
    </row>
    <row r="1878" spans="1:24" ht="15.75" customHeight="1">
      <c r="A1878" s="4" t="s">
        <v>3874</v>
      </c>
      <c r="B1878" s="9">
        <v>45801</v>
      </c>
      <c r="C1878" s="4" t="s">
        <v>1463</v>
      </c>
      <c r="D1878" s="4" t="s">
        <v>1806</v>
      </c>
      <c r="E1878" s="4" t="s">
        <v>1940</v>
      </c>
      <c r="F1878" s="4">
        <v>2</v>
      </c>
      <c r="G1878" s="4">
        <v>995.11</v>
      </c>
      <c r="H1878" s="4">
        <v>0.13</v>
      </c>
      <c r="I1878" s="4" t="s">
        <v>1998</v>
      </c>
      <c r="J1878" s="10">
        <v>1731.4914000000001</v>
      </c>
      <c r="K1878" s="4" t="str">
        <f t="shared" si="203"/>
        <v>24-05-2025</v>
      </c>
      <c r="L1878" s="4" t="str">
        <f>TEXT(Sales_Fact!$B1878,"mmm")</f>
        <v>May</v>
      </c>
      <c r="M1878" s="4">
        <f t="shared" si="204"/>
        <v>2</v>
      </c>
      <c r="N1878" s="10">
        <f t="shared" si="205"/>
        <v>995.11</v>
      </c>
      <c r="O1878" s="10">
        <f t="shared" si="206"/>
        <v>1731.4914000000001</v>
      </c>
      <c r="P1878" s="10">
        <f t="shared" si="207"/>
        <v>1990.22</v>
      </c>
      <c r="Q1878" s="3">
        <f t="shared" si="208"/>
        <v>0.12999999999999995</v>
      </c>
      <c r="R1878" s="4" t="str">
        <f>IF(Sales_Fact!$O1878&gt;1000,"High","Low")</f>
        <v>High</v>
      </c>
      <c r="S1878" s="4" t="str">
        <f>VLOOKUP(C1878,Customer_Dim!$A:$N,9,FALSE())</f>
        <v>Ronald Ross</v>
      </c>
      <c r="T1878" s="4" t="str">
        <f>VLOOKUP(D1878,Product_Dim!$A:$M,3,FALSE())</f>
        <v>Electronics</v>
      </c>
      <c r="U1878" s="11" t="str">
        <f>VLOOKUP(D1878,Product_Dim!$A:$M,2,FALSE())</f>
        <v>Smart LED Light Strip</v>
      </c>
      <c r="V1878" s="11" t="str">
        <f>VLOOKUP(E1878,Store_Dim!$A:$E,3,FALSE())</f>
        <v>West</v>
      </c>
      <c r="W1878" s="11" t="str">
        <f>VLOOKUP(C1878,Customer_Dim!$A:$N,13,FALSE())</f>
        <v>Silver</v>
      </c>
      <c r="X1878" s="11" t="str">
        <f t="shared" si="209"/>
        <v>Low</v>
      </c>
    </row>
    <row r="1879" spans="1:24" ht="15.75" customHeight="1">
      <c r="A1879" s="4" t="s">
        <v>3875</v>
      </c>
      <c r="B1879" s="9">
        <v>45749</v>
      </c>
      <c r="C1879" s="4" t="s">
        <v>1219</v>
      </c>
      <c r="D1879" s="4" t="s">
        <v>1668</v>
      </c>
      <c r="E1879" s="4" t="s">
        <v>1927</v>
      </c>
      <c r="F1879" s="4">
        <v>3</v>
      </c>
      <c r="G1879" s="4">
        <v>70.97</v>
      </c>
      <c r="H1879" s="4">
        <v>0.06</v>
      </c>
      <c r="I1879" s="4" t="s">
        <v>2004</v>
      </c>
      <c r="J1879" s="10">
        <v>200.1354</v>
      </c>
      <c r="K1879" s="4" t="str">
        <f t="shared" si="203"/>
        <v>02-04-2025</v>
      </c>
      <c r="L1879" s="4" t="str">
        <f>TEXT(Sales_Fact!$B1879,"mmm")</f>
        <v>Apr</v>
      </c>
      <c r="M1879" s="4">
        <f t="shared" si="204"/>
        <v>3</v>
      </c>
      <c r="N1879" s="10">
        <f t="shared" si="205"/>
        <v>70.97</v>
      </c>
      <c r="O1879" s="10">
        <f t="shared" si="206"/>
        <v>200.13539999999998</v>
      </c>
      <c r="P1879" s="10">
        <f t="shared" si="207"/>
        <v>212.91</v>
      </c>
      <c r="Q1879" s="3">
        <f t="shared" si="208"/>
        <v>6.0000000000000102E-2</v>
      </c>
      <c r="R1879" s="4" t="str">
        <f>IF(Sales_Fact!$O1879&gt;1000,"High","Low")</f>
        <v>Low</v>
      </c>
      <c r="S1879" s="4" t="str">
        <f>VLOOKUP(C1879,Customer_Dim!$A:$N,9,FALSE())</f>
        <v>Erika Padilla</v>
      </c>
      <c r="T1879" s="4" t="str">
        <f>VLOOKUP(D1879,Product_Dim!$A:$M,3,FALSE())</f>
        <v>Clothing</v>
      </c>
      <c r="U1879" s="11" t="str">
        <f>VLOOKUP(D1879,Product_Dim!$A:$M,2,FALSE())</f>
        <v>Men's Formal Shirt</v>
      </c>
      <c r="V1879" s="11" t="str">
        <f>VLOOKUP(E1879,Store_Dim!$A:$E,3,FALSE())</f>
        <v>South</v>
      </c>
      <c r="W1879" s="11" t="str">
        <f>VLOOKUP(C1879,Customer_Dim!$A:$N,13,FALSE())</f>
        <v>Silver</v>
      </c>
      <c r="X1879" s="11" t="str">
        <f t="shared" si="209"/>
        <v>Low</v>
      </c>
    </row>
    <row r="1880" spans="1:24" ht="15.75" customHeight="1">
      <c r="A1880" s="4" t="s">
        <v>3876</v>
      </c>
      <c r="B1880" s="9">
        <v>45848</v>
      </c>
      <c r="C1880" s="4" t="s">
        <v>508</v>
      </c>
      <c r="D1880" s="4" t="s">
        <v>1648</v>
      </c>
      <c r="E1880" s="4" t="s">
        <v>1915</v>
      </c>
      <c r="F1880" s="4">
        <v>4</v>
      </c>
      <c r="G1880" s="4">
        <v>187.71</v>
      </c>
      <c r="H1880" s="4">
        <v>0.06</v>
      </c>
      <c r="I1880" s="4" t="s">
        <v>2004</v>
      </c>
      <c r="J1880" s="10">
        <v>705.78959999999995</v>
      </c>
      <c r="K1880" s="4" t="str">
        <f t="shared" si="203"/>
        <v>10-07-2025</v>
      </c>
      <c r="L1880" s="4" t="str">
        <f>TEXT(Sales_Fact!$B1880,"mmm")</f>
        <v>Jul</v>
      </c>
      <c r="M1880" s="4">
        <f t="shared" si="204"/>
        <v>4</v>
      </c>
      <c r="N1880" s="10">
        <f t="shared" si="205"/>
        <v>187.71</v>
      </c>
      <c r="O1880" s="10">
        <f t="shared" si="206"/>
        <v>705.78959999999995</v>
      </c>
      <c r="P1880" s="10">
        <f t="shared" si="207"/>
        <v>750.84</v>
      </c>
      <c r="Q1880" s="3">
        <f t="shared" si="208"/>
        <v>6.0000000000000109E-2</v>
      </c>
      <c r="R1880" s="4" t="str">
        <f>IF(Sales_Fact!$O1880&gt;1000,"High","Low")</f>
        <v>Low</v>
      </c>
      <c r="S1880" s="4" t="str">
        <f>VLOOKUP(C1880,Customer_Dim!$A:$N,9,FALSE())</f>
        <v>Carlos Skinner</v>
      </c>
      <c r="T1880" s="4" t="str">
        <f>VLOOKUP(D1880,Product_Dim!$A:$M,3,FALSE())</f>
        <v>Sports</v>
      </c>
      <c r="U1880" s="11" t="str">
        <f>VLOOKUP(D1880,Product_Dim!$A:$M,2,FALSE())</f>
        <v>Soccer Training Cone Set</v>
      </c>
      <c r="V1880" s="11" t="str">
        <f>VLOOKUP(E1880,Store_Dim!$A:$E,3,FALSE())</f>
        <v>North</v>
      </c>
      <c r="W1880" s="11" t="str">
        <f>VLOOKUP(C1880,Customer_Dim!$A:$N,13,FALSE())</f>
        <v>Bronze</v>
      </c>
      <c r="X1880" s="11" t="str">
        <f t="shared" si="209"/>
        <v>High</v>
      </c>
    </row>
    <row r="1881" spans="1:24" ht="15.75" customHeight="1">
      <c r="A1881" s="4" t="s">
        <v>3877</v>
      </c>
      <c r="B1881" s="9">
        <v>45325</v>
      </c>
      <c r="C1881" s="4" t="s">
        <v>417</v>
      </c>
      <c r="D1881" s="4" t="s">
        <v>1855</v>
      </c>
      <c r="E1881" s="4" t="s">
        <v>1944</v>
      </c>
      <c r="F1881" s="4">
        <v>3</v>
      </c>
      <c r="G1881" s="4">
        <v>470.42</v>
      </c>
      <c r="H1881" s="4">
        <v>0.16</v>
      </c>
      <c r="I1881" s="4" t="s">
        <v>1996</v>
      </c>
      <c r="J1881" s="10">
        <v>1185.4584</v>
      </c>
      <c r="K1881" s="4" t="str">
        <f t="shared" si="203"/>
        <v>03-02-2024</v>
      </c>
      <c r="L1881" s="4" t="str">
        <f>TEXT(Sales_Fact!$B1881,"mmm")</f>
        <v>Feb</v>
      </c>
      <c r="M1881" s="4">
        <f t="shared" si="204"/>
        <v>3</v>
      </c>
      <c r="N1881" s="10">
        <f t="shared" si="205"/>
        <v>470.42</v>
      </c>
      <c r="O1881" s="10">
        <f t="shared" si="206"/>
        <v>1185.4584</v>
      </c>
      <c r="P1881" s="10">
        <f t="shared" si="207"/>
        <v>1411.26</v>
      </c>
      <c r="Q1881" s="3">
        <f t="shared" si="208"/>
        <v>0.16</v>
      </c>
      <c r="R1881" s="4" t="str">
        <f>IF(Sales_Fact!$O1881&gt;1000,"High","Low")</f>
        <v>High</v>
      </c>
      <c r="S1881" s="4" t="str">
        <f>VLOOKUP(C1881,Customer_Dim!$A:$N,9,FALSE())</f>
        <v>Edward Hall</v>
      </c>
      <c r="T1881" s="4" t="str">
        <f>VLOOKUP(D1881,Product_Dim!$A:$M,3,FALSE())</f>
        <v>Beauty</v>
      </c>
      <c r="U1881" s="11" t="str">
        <f>VLOOKUP(D1881,Product_Dim!$A:$M,2,FALSE())</f>
        <v>Hydrating Face Cleanser</v>
      </c>
      <c r="V1881" s="11" t="str">
        <f>VLOOKUP(E1881,Store_Dim!$A:$E,3,FALSE())</f>
        <v>South</v>
      </c>
      <c r="W1881" s="11" t="str">
        <f>VLOOKUP(C1881,Customer_Dim!$A:$N,13,FALSE())</f>
        <v>Gold</v>
      </c>
      <c r="X1881" s="11" t="str">
        <f t="shared" si="209"/>
        <v>Low</v>
      </c>
    </row>
    <row r="1882" spans="1:24" ht="15.75" customHeight="1">
      <c r="A1882" s="4" t="s">
        <v>3878</v>
      </c>
      <c r="B1882" s="9">
        <v>45932</v>
      </c>
      <c r="C1882" s="4" t="s">
        <v>1018</v>
      </c>
      <c r="D1882" s="4" t="s">
        <v>1864</v>
      </c>
      <c r="E1882" s="4" t="s">
        <v>1962</v>
      </c>
      <c r="F1882" s="4">
        <v>2</v>
      </c>
      <c r="G1882" s="4">
        <v>215.59</v>
      </c>
      <c r="H1882" s="4">
        <v>0.18</v>
      </c>
      <c r="I1882" s="4" t="s">
        <v>1996</v>
      </c>
      <c r="J1882" s="10">
        <v>353.56760000000003</v>
      </c>
      <c r="K1882" s="4" t="str">
        <f t="shared" si="203"/>
        <v>02-10-2025</v>
      </c>
      <c r="L1882" s="4" t="str">
        <f>TEXT(Sales_Fact!$B1882,"mmm")</f>
        <v>Oct</v>
      </c>
      <c r="M1882" s="4">
        <f t="shared" si="204"/>
        <v>2</v>
      </c>
      <c r="N1882" s="10">
        <f t="shared" si="205"/>
        <v>215.59</v>
      </c>
      <c r="O1882" s="10">
        <f t="shared" si="206"/>
        <v>353.56760000000003</v>
      </c>
      <c r="P1882" s="10">
        <f t="shared" si="207"/>
        <v>431.18</v>
      </c>
      <c r="Q1882" s="3">
        <f t="shared" si="208"/>
        <v>0.17999999999999994</v>
      </c>
      <c r="R1882" s="4" t="str">
        <f>IF(Sales_Fact!$O1882&gt;1000,"High","Low")</f>
        <v>Low</v>
      </c>
      <c r="S1882" s="4" t="str">
        <f>VLOOKUP(C1882,Customer_Dim!$A:$N,9,FALSE())</f>
        <v>Elizabeth Johnson</v>
      </c>
      <c r="T1882" s="4" t="str">
        <f>VLOOKUP(D1882,Product_Dim!$A:$M,3,FALSE())</f>
        <v>Home</v>
      </c>
      <c r="U1882" s="11" t="str">
        <f>VLOOKUP(D1882,Product_Dim!$A:$M,2,FALSE())</f>
        <v>Kitchen Cutting Board</v>
      </c>
      <c r="V1882" s="11" t="str">
        <f>VLOOKUP(E1882,Store_Dim!$A:$E,3,FALSE())</f>
        <v>West</v>
      </c>
      <c r="W1882" s="11" t="str">
        <f>VLOOKUP(C1882,Customer_Dim!$A:$N,13,FALSE())</f>
        <v>Silver</v>
      </c>
      <c r="X1882" s="11" t="str">
        <f t="shared" si="209"/>
        <v>Low</v>
      </c>
    </row>
    <row r="1883" spans="1:24" ht="15.75" customHeight="1">
      <c r="A1883" s="4" t="s">
        <v>3879</v>
      </c>
      <c r="B1883" s="9">
        <v>45895</v>
      </c>
      <c r="C1883" s="4" t="s">
        <v>795</v>
      </c>
      <c r="D1883" s="4" t="s">
        <v>1882</v>
      </c>
      <c r="E1883" s="4" t="s">
        <v>1910</v>
      </c>
      <c r="F1883" s="4">
        <v>1</v>
      </c>
      <c r="G1883" s="4">
        <v>533.79999999999995</v>
      </c>
      <c r="H1883" s="4">
        <v>0.27</v>
      </c>
      <c r="I1883" s="4" t="s">
        <v>2004</v>
      </c>
      <c r="J1883" s="10">
        <v>389.67399999999998</v>
      </c>
      <c r="K1883" s="4" t="str">
        <f t="shared" si="203"/>
        <v>26-08-2025</v>
      </c>
      <c r="L1883" s="4" t="str">
        <f>TEXT(Sales_Fact!$B1883,"mmm")</f>
        <v>Aug</v>
      </c>
      <c r="M1883" s="4">
        <f t="shared" si="204"/>
        <v>1</v>
      </c>
      <c r="N1883" s="10">
        <f t="shared" si="205"/>
        <v>533.79999999999995</v>
      </c>
      <c r="O1883" s="10">
        <f t="shared" si="206"/>
        <v>389.67399999999998</v>
      </c>
      <c r="P1883" s="10">
        <f t="shared" si="207"/>
        <v>533.79999999999995</v>
      </c>
      <c r="Q1883" s="3">
        <f t="shared" si="208"/>
        <v>0.26999999999999996</v>
      </c>
      <c r="R1883" s="4" t="str">
        <f>IF(Sales_Fact!$O1883&gt;1000,"High","Low")</f>
        <v>Low</v>
      </c>
      <c r="S1883" s="4" t="str">
        <f>VLOOKUP(C1883,Customer_Dim!$A:$N,9,FALSE())</f>
        <v>Maria Hill</v>
      </c>
      <c r="T1883" s="4" t="str">
        <f>VLOOKUP(D1883,Product_Dim!$A:$M,3,FALSE())</f>
        <v>Home</v>
      </c>
      <c r="U1883" s="11" t="str">
        <f>VLOOKUP(D1883,Product_Dim!$A:$M,2,FALSE())</f>
        <v>Microwave Oven</v>
      </c>
      <c r="V1883" s="11" t="str">
        <f>VLOOKUP(E1883,Store_Dim!$A:$E,3,FALSE())</f>
        <v>East</v>
      </c>
      <c r="W1883" s="11" t="str">
        <f>VLOOKUP(C1883,Customer_Dim!$A:$N,13,FALSE())</f>
        <v>Platinum</v>
      </c>
      <c r="X1883" s="11" t="str">
        <f t="shared" si="209"/>
        <v>Low</v>
      </c>
    </row>
    <row r="1884" spans="1:24" ht="15.75" customHeight="1">
      <c r="A1884" s="4" t="s">
        <v>3880</v>
      </c>
      <c r="B1884" s="9">
        <v>45614</v>
      </c>
      <c r="C1884" s="4" t="s">
        <v>356</v>
      </c>
      <c r="D1884" s="4" t="s">
        <v>1697</v>
      </c>
      <c r="E1884" s="4" t="s">
        <v>1924</v>
      </c>
      <c r="F1884" s="4">
        <v>2</v>
      </c>
      <c r="G1884" s="4">
        <v>732.67</v>
      </c>
      <c r="H1884" s="4">
        <v>0.24</v>
      </c>
      <c r="I1884" s="4" t="s">
        <v>1998</v>
      </c>
      <c r="J1884" s="10">
        <v>1113.6584</v>
      </c>
      <c r="K1884" s="4" t="str">
        <f t="shared" si="203"/>
        <v>18-11-2024</v>
      </c>
      <c r="L1884" s="4" t="str">
        <f>TEXT(Sales_Fact!$B1884,"mmm")</f>
        <v>Nov</v>
      </c>
      <c r="M1884" s="4">
        <f t="shared" si="204"/>
        <v>2</v>
      </c>
      <c r="N1884" s="10">
        <f t="shared" si="205"/>
        <v>732.67</v>
      </c>
      <c r="O1884" s="10">
        <f t="shared" si="206"/>
        <v>1113.6584</v>
      </c>
      <c r="P1884" s="10">
        <f t="shared" si="207"/>
        <v>1465.34</v>
      </c>
      <c r="Q1884" s="3">
        <f t="shared" si="208"/>
        <v>0.23999999999999994</v>
      </c>
      <c r="R1884" s="4" t="str">
        <f>IF(Sales_Fact!$O1884&gt;1000,"High","Low")</f>
        <v>High</v>
      </c>
      <c r="S1884" s="4" t="str">
        <f>VLOOKUP(C1884,Customer_Dim!$A:$N,9,FALSE())</f>
        <v>Christy Vasquez</v>
      </c>
      <c r="T1884" s="4" t="str">
        <f>VLOOKUP(D1884,Product_Dim!$A:$M,3,FALSE())</f>
        <v>Beauty</v>
      </c>
      <c r="U1884" s="11" t="str">
        <f>VLOOKUP(D1884,Product_Dim!$A:$M,2,FALSE())</f>
        <v>Vitamin C Face Serum</v>
      </c>
      <c r="V1884" s="11" t="str">
        <f>VLOOKUP(E1884,Store_Dim!$A:$E,3,FALSE())</f>
        <v>North</v>
      </c>
      <c r="W1884" s="11" t="str">
        <f>VLOOKUP(C1884,Customer_Dim!$A:$N,13,FALSE())</f>
        <v>Gold</v>
      </c>
      <c r="X1884" s="11" t="str">
        <f t="shared" si="209"/>
        <v>Low</v>
      </c>
    </row>
    <row r="1885" spans="1:24" ht="15.75" customHeight="1">
      <c r="A1885" s="4" t="s">
        <v>3881</v>
      </c>
      <c r="B1885" s="9">
        <v>45247</v>
      </c>
      <c r="C1885" s="4" t="s">
        <v>1533</v>
      </c>
      <c r="D1885" s="4" t="s">
        <v>1785</v>
      </c>
      <c r="E1885" s="4" t="s">
        <v>1955</v>
      </c>
      <c r="F1885" s="4">
        <v>4</v>
      </c>
      <c r="G1885" s="4">
        <v>106.48</v>
      </c>
      <c r="H1885" s="4">
        <v>0.1</v>
      </c>
      <c r="I1885" s="4" t="s">
        <v>2004</v>
      </c>
      <c r="J1885" s="10">
        <v>383.32799999999997</v>
      </c>
      <c r="K1885" s="4" t="str">
        <f t="shared" si="203"/>
        <v>17-11-2023</v>
      </c>
      <c r="L1885" s="4" t="str">
        <f>TEXT(Sales_Fact!$B1885,"mmm")</f>
        <v>Nov</v>
      </c>
      <c r="M1885" s="4">
        <f t="shared" si="204"/>
        <v>4</v>
      </c>
      <c r="N1885" s="10">
        <f t="shared" si="205"/>
        <v>106.48</v>
      </c>
      <c r="O1885" s="10">
        <f t="shared" si="206"/>
        <v>383.32800000000003</v>
      </c>
      <c r="P1885" s="10">
        <f t="shared" si="207"/>
        <v>425.92</v>
      </c>
      <c r="Q1885" s="3">
        <f t="shared" si="208"/>
        <v>9.9999999999999964E-2</v>
      </c>
      <c r="R1885" s="4" t="str">
        <f>IF(Sales_Fact!$O1885&gt;1000,"High","Low")</f>
        <v>Low</v>
      </c>
      <c r="S1885" s="4" t="str">
        <f>VLOOKUP(C1885,Customer_Dim!$A:$N,9,FALSE())</f>
        <v>Melinda Thomas</v>
      </c>
      <c r="T1885" s="4" t="str">
        <f>VLOOKUP(D1885,Product_Dim!$A:$M,3,FALSE())</f>
        <v>Beauty</v>
      </c>
      <c r="U1885" s="11" t="str">
        <f>VLOOKUP(D1885,Product_Dim!$A:$M,2,FALSE())</f>
        <v>Luxury Perfume Spray</v>
      </c>
      <c r="V1885" s="11" t="str">
        <f>VLOOKUP(E1885,Store_Dim!$A:$E,3,FALSE())</f>
        <v>East</v>
      </c>
      <c r="W1885" s="11" t="str">
        <f>VLOOKUP(C1885,Customer_Dim!$A:$N,13,FALSE())</f>
        <v>Silver</v>
      </c>
      <c r="X1885" s="11" t="str">
        <f t="shared" si="209"/>
        <v>High</v>
      </c>
    </row>
    <row r="1886" spans="1:24" ht="15.75" customHeight="1">
      <c r="A1886" s="4" t="s">
        <v>3882</v>
      </c>
      <c r="B1886" s="9">
        <v>45696</v>
      </c>
      <c r="C1886" s="4" t="s">
        <v>393</v>
      </c>
      <c r="D1886" s="4" t="s">
        <v>1776</v>
      </c>
      <c r="E1886" s="4" t="s">
        <v>1924</v>
      </c>
      <c r="F1886" s="4">
        <v>1</v>
      </c>
      <c r="G1886" s="4">
        <v>38.950000000000003</v>
      </c>
      <c r="H1886" s="4">
        <v>0.28000000000000003</v>
      </c>
      <c r="I1886" s="4" t="s">
        <v>1996</v>
      </c>
      <c r="J1886" s="10">
        <v>28.044</v>
      </c>
      <c r="K1886" s="4" t="str">
        <f t="shared" si="203"/>
        <v>08-02-2025</v>
      </c>
      <c r="L1886" s="4" t="str">
        <f>TEXT(Sales_Fact!$B1886,"mmm")</f>
        <v>Feb</v>
      </c>
      <c r="M1886" s="4">
        <f t="shared" si="204"/>
        <v>1</v>
      </c>
      <c r="N1886" s="10">
        <f t="shared" si="205"/>
        <v>38.950000000000003</v>
      </c>
      <c r="O1886" s="10">
        <f t="shared" si="206"/>
        <v>28.044</v>
      </c>
      <c r="P1886" s="10">
        <f t="shared" si="207"/>
        <v>38.950000000000003</v>
      </c>
      <c r="Q1886" s="3">
        <f t="shared" si="208"/>
        <v>0.28000000000000003</v>
      </c>
      <c r="R1886" s="4" t="str">
        <f>IF(Sales_Fact!$O1886&gt;1000,"High","Low")</f>
        <v>Low</v>
      </c>
      <c r="S1886" s="4" t="str">
        <f>VLOOKUP(C1886,Customer_Dim!$A:$N,9,FALSE())</f>
        <v>Lance Baker</v>
      </c>
      <c r="T1886" s="4" t="str">
        <f>VLOOKUP(D1886,Product_Dim!$A:$M,3,FALSE())</f>
        <v>Sports</v>
      </c>
      <c r="U1886" s="11" t="str">
        <f>VLOOKUP(D1886,Product_Dim!$A:$M,2,FALSE())</f>
        <v>Foam Roller</v>
      </c>
      <c r="V1886" s="11" t="str">
        <f>VLOOKUP(E1886,Store_Dim!$A:$E,3,FALSE())</f>
        <v>North</v>
      </c>
      <c r="W1886" s="11" t="str">
        <f>VLOOKUP(C1886,Customer_Dim!$A:$N,13,FALSE())</f>
        <v>Gold</v>
      </c>
      <c r="X1886" s="11" t="str">
        <f t="shared" si="209"/>
        <v>Low</v>
      </c>
    </row>
    <row r="1887" spans="1:24" ht="15.75" customHeight="1">
      <c r="A1887" s="4" t="s">
        <v>3883</v>
      </c>
      <c r="B1887" s="9">
        <v>45294</v>
      </c>
      <c r="C1887" s="4" t="s">
        <v>1366</v>
      </c>
      <c r="D1887" s="4" t="s">
        <v>1894</v>
      </c>
      <c r="E1887" s="4" t="s">
        <v>1962</v>
      </c>
      <c r="F1887" s="4">
        <v>1</v>
      </c>
      <c r="G1887" s="4">
        <v>835.17</v>
      </c>
      <c r="H1887" s="4">
        <v>0.02</v>
      </c>
      <c r="I1887" s="4" t="s">
        <v>2004</v>
      </c>
      <c r="J1887" s="10">
        <v>818.46659999999997</v>
      </c>
      <c r="K1887" s="4" t="str">
        <f t="shared" si="203"/>
        <v>03-01-2024</v>
      </c>
      <c r="L1887" s="4" t="str">
        <f>TEXT(Sales_Fact!$B1887,"mmm")</f>
        <v>Jan</v>
      </c>
      <c r="M1887" s="4">
        <f t="shared" si="204"/>
        <v>1</v>
      </c>
      <c r="N1887" s="10">
        <f t="shared" si="205"/>
        <v>835.17</v>
      </c>
      <c r="O1887" s="10">
        <f t="shared" si="206"/>
        <v>818.46659999999997</v>
      </c>
      <c r="P1887" s="10">
        <f t="shared" si="207"/>
        <v>835.17</v>
      </c>
      <c r="Q1887" s="3">
        <f t="shared" si="208"/>
        <v>1.9999999999999987E-2</v>
      </c>
      <c r="R1887" s="4" t="str">
        <f>IF(Sales_Fact!$O1887&gt;1000,"High","Low")</f>
        <v>Low</v>
      </c>
      <c r="S1887" s="4" t="str">
        <f>VLOOKUP(C1887,Customer_Dim!$A:$N,9,FALSE())</f>
        <v>John Smith</v>
      </c>
      <c r="T1887" s="4" t="str">
        <f>VLOOKUP(D1887,Product_Dim!$A:$M,3,FALSE())</f>
        <v>Clothing</v>
      </c>
      <c r="U1887" s="11" t="str">
        <f>VLOOKUP(D1887,Product_Dim!$A:$M,2,FALSE())</f>
        <v>Women's Formal Blazer</v>
      </c>
      <c r="V1887" s="11" t="str">
        <f>VLOOKUP(E1887,Store_Dim!$A:$E,3,FALSE())</f>
        <v>West</v>
      </c>
      <c r="W1887" s="11" t="str">
        <f>VLOOKUP(C1887,Customer_Dim!$A:$N,13,FALSE())</f>
        <v>Platinum</v>
      </c>
      <c r="X1887" s="11" t="str">
        <f t="shared" si="209"/>
        <v>Low</v>
      </c>
    </row>
    <row r="1888" spans="1:24" ht="15.75" customHeight="1">
      <c r="A1888" s="4" t="s">
        <v>3884</v>
      </c>
      <c r="B1888" s="9">
        <v>45389</v>
      </c>
      <c r="C1888" s="4" t="s">
        <v>482</v>
      </c>
      <c r="D1888" s="4" t="s">
        <v>1855</v>
      </c>
      <c r="E1888" s="4" t="s">
        <v>1924</v>
      </c>
      <c r="F1888" s="4">
        <v>1</v>
      </c>
      <c r="G1888" s="4">
        <v>113.07</v>
      </c>
      <c r="H1888" s="4">
        <v>0.24</v>
      </c>
      <c r="I1888" s="4" t="s">
        <v>1996</v>
      </c>
      <c r="J1888" s="10">
        <v>85.933199999999999</v>
      </c>
      <c r="K1888" s="4" t="str">
        <f t="shared" si="203"/>
        <v>07-04-2024</v>
      </c>
      <c r="L1888" s="4" t="str">
        <f>TEXT(Sales_Fact!$B1888,"mmm")</f>
        <v>Apr</v>
      </c>
      <c r="M1888" s="4">
        <f t="shared" si="204"/>
        <v>1</v>
      </c>
      <c r="N1888" s="10">
        <f t="shared" si="205"/>
        <v>113.07</v>
      </c>
      <c r="O1888" s="10">
        <f t="shared" si="206"/>
        <v>85.933199999999999</v>
      </c>
      <c r="P1888" s="10">
        <f t="shared" si="207"/>
        <v>113.07</v>
      </c>
      <c r="Q1888" s="3">
        <f t="shared" si="208"/>
        <v>0.23999999999999996</v>
      </c>
      <c r="R1888" s="4" t="str">
        <f>IF(Sales_Fact!$O1888&gt;1000,"High","Low")</f>
        <v>Low</v>
      </c>
      <c r="S1888" s="4" t="str">
        <f>VLOOKUP(C1888,Customer_Dim!$A:$N,9,FALSE())</f>
        <v>Morgan Bowen</v>
      </c>
      <c r="T1888" s="4" t="str">
        <f>VLOOKUP(D1888,Product_Dim!$A:$M,3,FALSE())</f>
        <v>Beauty</v>
      </c>
      <c r="U1888" s="11" t="str">
        <f>VLOOKUP(D1888,Product_Dim!$A:$M,2,FALSE())</f>
        <v>Hydrating Face Cleanser</v>
      </c>
      <c r="V1888" s="11" t="str">
        <f>VLOOKUP(E1888,Store_Dim!$A:$E,3,FALSE())</f>
        <v>North</v>
      </c>
      <c r="W1888" s="11" t="str">
        <f>VLOOKUP(C1888,Customer_Dim!$A:$N,13,FALSE())</f>
        <v>Gold</v>
      </c>
      <c r="X1888" s="11" t="str">
        <f t="shared" si="209"/>
        <v>Low</v>
      </c>
    </row>
    <row r="1889" spans="1:24" ht="15.75" customHeight="1">
      <c r="A1889" s="4" t="s">
        <v>3885</v>
      </c>
      <c r="B1889" s="9">
        <v>45930</v>
      </c>
      <c r="C1889" s="4" t="s">
        <v>1466</v>
      </c>
      <c r="D1889" s="4" t="s">
        <v>1888</v>
      </c>
      <c r="E1889" s="4" t="s">
        <v>1952</v>
      </c>
      <c r="F1889" s="4">
        <v>2</v>
      </c>
      <c r="G1889" s="4">
        <v>451.33</v>
      </c>
      <c r="H1889" s="4">
        <v>0.23</v>
      </c>
      <c r="I1889" s="4" t="s">
        <v>2004</v>
      </c>
      <c r="J1889" s="10">
        <v>695.04819999999995</v>
      </c>
      <c r="K1889" s="4" t="str">
        <f t="shared" si="203"/>
        <v>30-09-2025</v>
      </c>
      <c r="L1889" s="4" t="str">
        <f>TEXT(Sales_Fact!$B1889,"mmm")</f>
        <v>Sep</v>
      </c>
      <c r="M1889" s="4">
        <f t="shared" si="204"/>
        <v>2</v>
      </c>
      <c r="N1889" s="10">
        <f t="shared" si="205"/>
        <v>451.33</v>
      </c>
      <c r="O1889" s="10">
        <f t="shared" si="206"/>
        <v>695.04819999999995</v>
      </c>
      <c r="P1889" s="10">
        <f t="shared" si="207"/>
        <v>902.66</v>
      </c>
      <c r="Q1889" s="3">
        <f t="shared" si="208"/>
        <v>0.23000000000000004</v>
      </c>
      <c r="R1889" s="4" t="str">
        <f>IF(Sales_Fact!$O1889&gt;1000,"High","Low")</f>
        <v>Low</v>
      </c>
      <c r="S1889" s="4" t="str">
        <f>VLOOKUP(C1889,Customer_Dim!$A:$N,9,FALSE())</f>
        <v>Cynthia Parrish</v>
      </c>
      <c r="T1889" s="4" t="str">
        <f>VLOOKUP(D1889,Product_Dim!$A:$M,3,FALSE())</f>
        <v>Beauty</v>
      </c>
      <c r="U1889" s="11" t="str">
        <f>VLOOKUP(D1889,Product_Dim!$A:$M,2,FALSE())</f>
        <v>Vitamin E Body Lotion</v>
      </c>
      <c r="V1889" s="11" t="str">
        <f>VLOOKUP(E1889,Store_Dim!$A:$E,3,FALSE())</f>
        <v>North</v>
      </c>
      <c r="W1889" s="11" t="str">
        <f>VLOOKUP(C1889,Customer_Dim!$A:$N,13,FALSE())</f>
        <v>Silver</v>
      </c>
      <c r="X1889" s="11" t="str">
        <f t="shared" si="209"/>
        <v>Low</v>
      </c>
    </row>
    <row r="1890" spans="1:24" ht="15.75" customHeight="1">
      <c r="A1890" s="4" t="s">
        <v>3886</v>
      </c>
      <c r="B1890" s="9">
        <v>45456</v>
      </c>
      <c r="C1890" s="4" t="s">
        <v>1192</v>
      </c>
      <c r="D1890" s="4" t="s">
        <v>1864</v>
      </c>
      <c r="E1890" s="4" t="s">
        <v>1934</v>
      </c>
      <c r="F1890" s="4">
        <v>3</v>
      </c>
      <c r="G1890" s="4">
        <v>619.80999999999995</v>
      </c>
      <c r="H1890" s="4">
        <v>0.16</v>
      </c>
      <c r="I1890" s="4" t="s">
        <v>2004</v>
      </c>
      <c r="J1890" s="10">
        <v>1561.9212</v>
      </c>
      <c r="K1890" s="4" t="str">
        <f t="shared" si="203"/>
        <v>13-06-2024</v>
      </c>
      <c r="L1890" s="4" t="str">
        <f>TEXT(Sales_Fact!$B1890,"mmm")</f>
        <v>Jun</v>
      </c>
      <c r="M1890" s="4">
        <f t="shared" si="204"/>
        <v>3</v>
      </c>
      <c r="N1890" s="10">
        <f t="shared" si="205"/>
        <v>619.80999999999995</v>
      </c>
      <c r="O1890" s="10">
        <f t="shared" si="206"/>
        <v>1561.9211999999998</v>
      </c>
      <c r="P1890" s="10">
        <f t="shared" si="207"/>
        <v>1859.4299999999998</v>
      </c>
      <c r="Q1890" s="3">
        <f t="shared" si="208"/>
        <v>0.16000000000000006</v>
      </c>
      <c r="R1890" s="4" t="str">
        <f>IF(Sales_Fact!$O1890&gt;1000,"High","Low")</f>
        <v>High</v>
      </c>
      <c r="S1890" s="4" t="str">
        <f>VLOOKUP(C1890,Customer_Dim!$A:$N,9,FALSE())</f>
        <v>Jacqueline Anthony</v>
      </c>
      <c r="T1890" s="4" t="str">
        <f>VLOOKUP(D1890,Product_Dim!$A:$M,3,FALSE())</f>
        <v>Home</v>
      </c>
      <c r="U1890" s="11" t="str">
        <f>VLOOKUP(D1890,Product_Dim!$A:$M,2,FALSE())</f>
        <v>Kitchen Cutting Board</v>
      </c>
      <c r="V1890" s="11" t="str">
        <f>VLOOKUP(E1890,Store_Dim!$A:$E,3,FALSE())</f>
        <v>East</v>
      </c>
      <c r="W1890" s="11" t="str">
        <f>VLOOKUP(C1890,Customer_Dim!$A:$N,13,FALSE())</f>
        <v>Bronze</v>
      </c>
      <c r="X1890" s="11" t="str">
        <f t="shared" si="209"/>
        <v>Low</v>
      </c>
    </row>
    <row r="1891" spans="1:24" ht="15.75" customHeight="1">
      <c r="A1891" s="4" t="s">
        <v>3887</v>
      </c>
      <c r="B1891" s="9">
        <v>45869</v>
      </c>
      <c r="C1891" s="4" t="s">
        <v>1460</v>
      </c>
      <c r="D1891" s="4" t="s">
        <v>1700</v>
      </c>
      <c r="E1891" s="4" t="s">
        <v>1910</v>
      </c>
      <c r="F1891" s="4">
        <v>2</v>
      </c>
      <c r="G1891" s="4">
        <v>873.17</v>
      </c>
      <c r="H1891" s="4">
        <v>0.23</v>
      </c>
      <c r="I1891" s="4" t="s">
        <v>1998</v>
      </c>
      <c r="J1891" s="10">
        <v>1344.6818000000001</v>
      </c>
      <c r="K1891" s="4" t="str">
        <f t="shared" si="203"/>
        <v>31-07-2025</v>
      </c>
      <c r="L1891" s="4" t="str">
        <f>TEXT(Sales_Fact!$B1891,"mmm")</f>
        <v>Jul</v>
      </c>
      <c r="M1891" s="4">
        <f t="shared" si="204"/>
        <v>2</v>
      </c>
      <c r="N1891" s="10">
        <f t="shared" si="205"/>
        <v>873.17</v>
      </c>
      <c r="O1891" s="10">
        <f t="shared" si="206"/>
        <v>1344.6818000000001</v>
      </c>
      <c r="P1891" s="10">
        <f t="shared" si="207"/>
        <v>1746.34</v>
      </c>
      <c r="Q1891" s="3">
        <f t="shared" si="208"/>
        <v>0.22999999999999993</v>
      </c>
      <c r="R1891" s="4" t="str">
        <f>IF(Sales_Fact!$O1891&gt;1000,"High","Low")</f>
        <v>High</v>
      </c>
      <c r="S1891" s="4" t="str">
        <f>VLOOKUP(C1891,Customer_Dim!$A:$N,9,FALSE())</f>
        <v>David Pierce</v>
      </c>
      <c r="T1891" s="4" t="str">
        <f>VLOOKUP(D1891,Product_Dim!$A:$M,3,FALSE())</f>
        <v>Home</v>
      </c>
      <c r="U1891" s="11" t="str">
        <f>VLOOKUP(D1891,Product_Dim!$A:$M,2,FALSE())</f>
        <v>Modern Wall Clock</v>
      </c>
      <c r="V1891" s="11" t="str">
        <f>VLOOKUP(E1891,Store_Dim!$A:$E,3,FALSE())</f>
        <v>East</v>
      </c>
      <c r="W1891" s="11" t="str">
        <f>VLOOKUP(C1891,Customer_Dim!$A:$N,13,FALSE())</f>
        <v>Platinum</v>
      </c>
      <c r="X1891" s="11" t="str">
        <f t="shared" si="209"/>
        <v>Low</v>
      </c>
    </row>
    <row r="1892" spans="1:24" ht="15.75" customHeight="1">
      <c r="A1892" s="4" t="s">
        <v>3888</v>
      </c>
      <c r="B1892" s="9">
        <v>45577</v>
      </c>
      <c r="C1892" s="4" t="s">
        <v>72</v>
      </c>
      <c r="D1892" s="4" t="s">
        <v>1700</v>
      </c>
      <c r="E1892" s="4" t="s">
        <v>1968</v>
      </c>
      <c r="F1892" s="4">
        <v>2</v>
      </c>
      <c r="G1892" s="4">
        <v>350.12</v>
      </c>
      <c r="H1892" s="4">
        <v>0.12</v>
      </c>
      <c r="I1892" s="4" t="s">
        <v>2004</v>
      </c>
      <c r="J1892" s="10">
        <v>616.21119999999996</v>
      </c>
      <c r="K1892" s="4" t="str">
        <f t="shared" si="203"/>
        <v>12-10-2024</v>
      </c>
      <c r="L1892" s="4" t="str">
        <f>TEXT(Sales_Fact!$B1892,"mmm")</f>
        <v>Oct</v>
      </c>
      <c r="M1892" s="4">
        <f t="shared" si="204"/>
        <v>2</v>
      </c>
      <c r="N1892" s="10">
        <f t="shared" si="205"/>
        <v>350.12</v>
      </c>
      <c r="O1892" s="10">
        <f t="shared" si="206"/>
        <v>616.21119999999996</v>
      </c>
      <c r="P1892" s="10">
        <f t="shared" si="207"/>
        <v>700.24</v>
      </c>
      <c r="Q1892" s="3">
        <f t="shared" si="208"/>
        <v>0.12000000000000006</v>
      </c>
      <c r="R1892" s="4" t="str">
        <f>IF(Sales_Fact!$O1892&gt;1000,"High","Low")</f>
        <v>Low</v>
      </c>
      <c r="S1892" s="4" t="str">
        <f>VLOOKUP(C1892,Customer_Dim!$A:$N,9,FALSE())</f>
        <v>Dominic Page</v>
      </c>
      <c r="T1892" s="4" t="str">
        <f>VLOOKUP(D1892,Product_Dim!$A:$M,3,FALSE())</f>
        <v>Home</v>
      </c>
      <c r="U1892" s="11" t="str">
        <f>VLOOKUP(D1892,Product_Dim!$A:$M,2,FALSE())</f>
        <v>Modern Wall Clock</v>
      </c>
      <c r="V1892" s="11" t="str">
        <f>VLOOKUP(E1892,Store_Dim!$A:$E,3,FALSE())</f>
        <v>East</v>
      </c>
      <c r="W1892" s="11" t="str">
        <f>VLOOKUP(C1892,Customer_Dim!$A:$N,13,FALSE())</f>
        <v>Bronze</v>
      </c>
      <c r="X1892" s="11" t="str">
        <f t="shared" si="209"/>
        <v>Low</v>
      </c>
    </row>
    <row r="1893" spans="1:24" ht="15.75" customHeight="1">
      <c r="A1893" s="4" t="s">
        <v>3889</v>
      </c>
      <c r="B1893" s="9">
        <v>45713</v>
      </c>
      <c r="C1893" s="4" t="s">
        <v>402</v>
      </c>
      <c r="D1893" s="4" t="s">
        <v>1791</v>
      </c>
      <c r="E1893" s="4" t="s">
        <v>1937</v>
      </c>
      <c r="F1893" s="4">
        <v>4</v>
      </c>
      <c r="G1893" s="4">
        <v>46.97</v>
      </c>
      <c r="H1893" s="4">
        <v>0.26</v>
      </c>
      <c r="I1893" s="4" t="s">
        <v>1998</v>
      </c>
      <c r="J1893" s="10">
        <v>139.03120000000001</v>
      </c>
      <c r="K1893" s="4" t="str">
        <f t="shared" si="203"/>
        <v>25-02-2025</v>
      </c>
      <c r="L1893" s="4" t="str">
        <f>TEXT(Sales_Fact!$B1893,"mmm")</f>
        <v>Feb</v>
      </c>
      <c r="M1893" s="4">
        <f t="shared" si="204"/>
        <v>4</v>
      </c>
      <c r="N1893" s="10">
        <f t="shared" si="205"/>
        <v>46.97</v>
      </c>
      <c r="O1893" s="10">
        <f t="shared" si="206"/>
        <v>139.03119999999998</v>
      </c>
      <c r="P1893" s="10">
        <f t="shared" si="207"/>
        <v>187.88</v>
      </c>
      <c r="Q1893" s="3">
        <f t="shared" si="208"/>
        <v>0.26000000000000006</v>
      </c>
      <c r="R1893" s="4" t="str">
        <f>IF(Sales_Fact!$O1893&gt;1000,"High","Low")</f>
        <v>Low</v>
      </c>
      <c r="S1893" s="4" t="str">
        <f>VLOOKUP(C1893,Customer_Dim!$A:$N,9,FALSE())</f>
        <v>Travis Holland</v>
      </c>
      <c r="T1893" s="4" t="str">
        <f>VLOOKUP(D1893,Product_Dim!$A:$M,3,FALSE())</f>
        <v>Electronics</v>
      </c>
      <c r="U1893" s="11" t="str">
        <f>VLOOKUP(D1893,Product_Dim!$A:$M,2,FALSE())</f>
        <v>Laptop Cooling Pad</v>
      </c>
      <c r="V1893" s="11" t="str">
        <f>VLOOKUP(E1893,Store_Dim!$A:$E,3,FALSE())</f>
        <v>South</v>
      </c>
      <c r="W1893" s="11" t="str">
        <f>VLOOKUP(C1893,Customer_Dim!$A:$N,13,FALSE())</f>
        <v>Bronze</v>
      </c>
      <c r="X1893" s="11" t="str">
        <f t="shared" si="209"/>
        <v>High</v>
      </c>
    </row>
    <row r="1894" spans="1:24" ht="15.75" customHeight="1">
      <c r="A1894" s="4" t="s">
        <v>3890</v>
      </c>
      <c r="B1894" s="9">
        <v>45784</v>
      </c>
      <c r="C1894" s="4" t="s">
        <v>632</v>
      </c>
      <c r="D1894" s="4" t="s">
        <v>1741</v>
      </c>
      <c r="E1894" s="4" t="s">
        <v>1919</v>
      </c>
      <c r="F1894" s="4">
        <v>2</v>
      </c>
      <c r="G1894" s="4">
        <v>71.48</v>
      </c>
      <c r="H1894" s="4">
        <v>0.14000000000000001</v>
      </c>
      <c r="I1894" s="4" t="s">
        <v>2004</v>
      </c>
      <c r="J1894" s="10">
        <v>122.9456</v>
      </c>
      <c r="K1894" s="4" t="str">
        <f t="shared" si="203"/>
        <v>07-05-2025</v>
      </c>
      <c r="L1894" s="4" t="str">
        <f>TEXT(Sales_Fact!$B1894,"mmm")</f>
        <v>May</v>
      </c>
      <c r="M1894" s="4">
        <f t="shared" si="204"/>
        <v>2</v>
      </c>
      <c r="N1894" s="10">
        <f t="shared" si="205"/>
        <v>71.48</v>
      </c>
      <c r="O1894" s="10">
        <f t="shared" si="206"/>
        <v>122.9456</v>
      </c>
      <c r="P1894" s="10">
        <f t="shared" si="207"/>
        <v>142.96</v>
      </c>
      <c r="Q1894" s="3">
        <f t="shared" si="208"/>
        <v>0.14000000000000007</v>
      </c>
      <c r="R1894" s="4" t="str">
        <f>IF(Sales_Fact!$O1894&gt;1000,"High","Low")</f>
        <v>Low</v>
      </c>
      <c r="S1894" s="4" t="str">
        <f>VLOOKUP(C1894,Customer_Dim!$A:$N,9,FALSE())</f>
        <v>Leonard Cochran</v>
      </c>
      <c r="T1894" s="4" t="str">
        <f>VLOOKUP(D1894,Product_Dim!$A:$M,3,FALSE())</f>
        <v>Clothing</v>
      </c>
      <c r="U1894" s="11" t="str">
        <f>VLOOKUP(D1894,Product_Dim!$A:$M,2,FALSE())</f>
        <v>Men's Winter Jacket</v>
      </c>
      <c r="V1894" s="11" t="str">
        <f>VLOOKUP(E1894,Store_Dim!$A:$E,3,FALSE())</f>
        <v>South</v>
      </c>
      <c r="W1894" s="11" t="str">
        <f>VLOOKUP(C1894,Customer_Dim!$A:$N,13,FALSE())</f>
        <v>Silver</v>
      </c>
      <c r="X1894" s="11" t="str">
        <f t="shared" si="209"/>
        <v>Low</v>
      </c>
    </row>
    <row r="1895" spans="1:24" ht="15.75" customHeight="1">
      <c r="A1895" s="4" t="s">
        <v>3891</v>
      </c>
      <c r="B1895" s="9">
        <v>45812</v>
      </c>
      <c r="C1895" s="4" t="s">
        <v>23</v>
      </c>
      <c r="D1895" s="4" t="s">
        <v>1773</v>
      </c>
      <c r="E1895" s="4" t="s">
        <v>1971</v>
      </c>
      <c r="F1895" s="4">
        <v>2</v>
      </c>
      <c r="G1895" s="4">
        <v>404.08</v>
      </c>
      <c r="H1895" s="4">
        <v>7.0000000000000007E-2</v>
      </c>
      <c r="I1895" s="4" t="s">
        <v>1996</v>
      </c>
      <c r="J1895" s="10">
        <v>751.58879999999999</v>
      </c>
      <c r="K1895" s="4" t="str">
        <f t="shared" si="203"/>
        <v>04-06-2025</v>
      </c>
      <c r="L1895" s="4" t="str">
        <f>TEXT(Sales_Fact!$B1895,"mmm")</f>
        <v>Jun</v>
      </c>
      <c r="M1895" s="4">
        <f t="shared" si="204"/>
        <v>2</v>
      </c>
      <c r="N1895" s="10">
        <f t="shared" si="205"/>
        <v>404.08</v>
      </c>
      <c r="O1895" s="10">
        <f t="shared" si="206"/>
        <v>751.58879999999988</v>
      </c>
      <c r="P1895" s="10">
        <f t="shared" si="207"/>
        <v>808.16</v>
      </c>
      <c r="Q1895" s="3">
        <f t="shared" si="208"/>
        <v>7.0000000000000118E-2</v>
      </c>
      <c r="R1895" s="4" t="str">
        <f>IF(Sales_Fact!$O1895&gt;1000,"High","Low")</f>
        <v>Low</v>
      </c>
      <c r="S1895" s="4" t="str">
        <f>VLOOKUP(C1895,Customer_Dim!$A:$N,9,FALSE())</f>
        <v>Sheena Bonilla</v>
      </c>
      <c r="T1895" s="4" t="str">
        <f>VLOOKUP(D1895,Product_Dim!$A:$M,3,FALSE())</f>
        <v>Home</v>
      </c>
      <c r="U1895" s="11" t="str">
        <f>VLOOKUP(D1895,Product_Dim!$A:$M,2,FALSE())</f>
        <v>Premium Blanket Throw</v>
      </c>
      <c r="V1895" s="11" t="str">
        <f>VLOOKUP(E1895,Store_Dim!$A:$E,3,FALSE())</f>
        <v>East</v>
      </c>
      <c r="W1895" s="11" t="str">
        <f>VLOOKUP(C1895,Customer_Dim!$A:$N,13,FALSE())</f>
        <v>Standard</v>
      </c>
      <c r="X1895" s="11" t="str">
        <f t="shared" si="209"/>
        <v>Low</v>
      </c>
    </row>
    <row r="1896" spans="1:24" ht="15.75" customHeight="1">
      <c r="A1896" s="4" t="s">
        <v>3892</v>
      </c>
      <c r="B1896" s="9">
        <v>45653</v>
      </c>
      <c r="C1896" s="4" t="s">
        <v>870</v>
      </c>
      <c r="D1896" s="4" t="s">
        <v>1648</v>
      </c>
      <c r="E1896" s="4" t="s">
        <v>1962</v>
      </c>
      <c r="F1896" s="4">
        <v>1</v>
      </c>
      <c r="G1896" s="4">
        <v>519.91</v>
      </c>
      <c r="H1896" s="4">
        <v>0.05</v>
      </c>
      <c r="I1896" s="4" t="s">
        <v>2004</v>
      </c>
      <c r="J1896" s="10">
        <v>493.91449999999998</v>
      </c>
      <c r="K1896" s="4" t="str">
        <f t="shared" si="203"/>
        <v>27-12-2024</v>
      </c>
      <c r="L1896" s="4" t="str">
        <f>TEXT(Sales_Fact!$B1896,"mmm")</f>
        <v>Dec</v>
      </c>
      <c r="M1896" s="4">
        <f t="shared" si="204"/>
        <v>1</v>
      </c>
      <c r="N1896" s="10">
        <f t="shared" si="205"/>
        <v>519.91</v>
      </c>
      <c r="O1896" s="10">
        <f t="shared" si="206"/>
        <v>493.91449999999992</v>
      </c>
      <c r="P1896" s="10">
        <f t="shared" si="207"/>
        <v>519.91</v>
      </c>
      <c r="Q1896" s="3">
        <f t="shared" si="208"/>
        <v>5.00000000000001E-2</v>
      </c>
      <c r="R1896" s="4" t="str">
        <f>IF(Sales_Fact!$O1896&gt;1000,"High","Low")</f>
        <v>Low</v>
      </c>
      <c r="S1896" s="4" t="str">
        <f>VLOOKUP(C1896,Customer_Dim!$A:$N,9,FALSE())</f>
        <v>Matthew Payne</v>
      </c>
      <c r="T1896" s="4" t="str">
        <f>VLOOKUP(D1896,Product_Dim!$A:$M,3,FALSE())</f>
        <v>Sports</v>
      </c>
      <c r="U1896" s="11" t="str">
        <f>VLOOKUP(D1896,Product_Dim!$A:$M,2,FALSE())</f>
        <v>Soccer Training Cone Set</v>
      </c>
      <c r="V1896" s="11" t="str">
        <f>VLOOKUP(E1896,Store_Dim!$A:$E,3,FALSE())</f>
        <v>West</v>
      </c>
      <c r="W1896" s="11" t="str">
        <f>VLOOKUP(C1896,Customer_Dim!$A:$N,13,FALSE())</f>
        <v>Gold</v>
      </c>
      <c r="X1896" s="11" t="str">
        <f t="shared" si="209"/>
        <v>Low</v>
      </c>
    </row>
    <row r="1897" spans="1:24" ht="15.75" customHeight="1">
      <c r="A1897" s="4" t="s">
        <v>3893</v>
      </c>
      <c r="B1897" s="9">
        <v>45672</v>
      </c>
      <c r="C1897" s="4" t="s">
        <v>514</v>
      </c>
      <c r="D1897" s="4" t="s">
        <v>1748</v>
      </c>
      <c r="E1897" s="4" t="s">
        <v>1955</v>
      </c>
      <c r="F1897" s="4">
        <v>3</v>
      </c>
      <c r="G1897" s="4">
        <v>566.16</v>
      </c>
      <c r="H1897" s="4">
        <v>0.05</v>
      </c>
      <c r="I1897" s="4" t="s">
        <v>1998</v>
      </c>
      <c r="J1897" s="10">
        <v>1613.556</v>
      </c>
      <c r="K1897" s="4" t="str">
        <f t="shared" si="203"/>
        <v>15-01-2025</v>
      </c>
      <c r="L1897" s="4" t="str">
        <f>TEXT(Sales_Fact!$B1897,"mmm")</f>
        <v>Jan</v>
      </c>
      <c r="M1897" s="4">
        <f t="shared" si="204"/>
        <v>3</v>
      </c>
      <c r="N1897" s="10">
        <f t="shared" si="205"/>
        <v>566.16</v>
      </c>
      <c r="O1897" s="10">
        <f t="shared" si="206"/>
        <v>1613.556</v>
      </c>
      <c r="P1897" s="10">
        <f t="shared" si="207"/>
        <v>1698.48</v>
      </c>
      <c r="Q1897" s="3">
        <f t="shared" si="208"/>
        <v>4.9999999999999989E-2</v>
      </c>
      <c r="R1897" s="4" t="str">
        <f>IF(Sales_Fact!$O1897&gt;1000,"High","Low")</f>
        <v>High</v>
      </c>
      <c r="S1897" s="4" t="str">
        <f>VLOOKUP(C1897,Customer_Dim!$A:$N,9,FALSE())</f>
        <v>Cameron Simpson</v>
      </c>
      <c r="T1897" s="4" t="str">
        <f>VLOOKUP(D1897,Product_Dim!$A:$M,3,FALSE())</f>
        <v>Electronics</v>
      </c>
      <c r="U1897" s="11" t="str">
        <f>VLOOKUP(D1897,Product_Dim!$A:$M,2,FALSE())</f>
        <v>Car Dashboard Phone Holder</v>
      </c>
      <c r="V1897" s="11" t="str">
        <f>VLOOKUP(E1897,Store_Dim!$A:$E,3,FALSE())</f>
        <v>East</v>
      </c>
      <c r="W1897" s="11" t="str">
        <f>VLOOKUP(C1897,Customer_Dim!$A:$N,13,FALSE())</f>
        <v>Platinum</v>
      </c>
      <c r="X1897" s="11" t="str">
        <f t="shared" si="209"/>
        <v>Low</v>
      </c>
    </row>
    <row r="1898" spans="1:24" ht="15.75" customHeight="1">
      <c r="A1898" s="4" t="s">
        <v>3894</v>
      </c>
      <c r="B1898" s="9">
        <v>45799</v>
      </c>
      <c r="C1898" s="4" t="s">
        <v>1252</v>
      </c>
      <c r="D1898" s="4" t="s">
        <v>1761</v>
      </c>
      <c r="E1898" s="4" t="s">
        <v>1947</v>
      </c>
      <c r="F1898" s="4">
        <v>2</v>
      </c>
      <c r="G1898" s="4">
        <v>295.12</v>
      </c>
      <c r="H1898" s="4">
        <v>0.09</v>
      </c>
      <c r="I1898" s="4" t="s">
        <v>2004</v>
      </c>
      <c r="J1898" s="10">
        <v>537.11839999999995</v>
      </c>
      <c r="K1898" s="4" t="str">
        <f t="shared" si="203"/>
        <v>22-05-2025</v>
      </c>
      <c r="L1898" s="4" t="str">
        <f>TEXT(Sales_Fact!$B1898,"mmm")</f>
        <v>May</v>
      </c>
      <c r="M1898" s="4">
        <f t="shared" si="204"/>
        <v>2</v>
      </c>
      <c r="N1898" s="10">
        <f t="shared" si="205"/>
        <v>295.12</v>
      </c>
      <c r="O1898" s="10">
        <f t="shared" si="206"/>
        <v>537.11840000000007</v>
      </c>
      <c r="P1898" s="10">
        <f t="shared" si="207"/>
        <v>590.24</v>
      </c>
      <c r="Q1898" s="3">
        <f t="shared" si="208"/>
        <v>8.99999999999999E-2</v>
      </c>
      <c r="R1898" s="4" t="str">
        <f>IF(Sales_Fact!$O1898&gt;1000,"High","Low")</f>
        <v>Low</v>
      </c>
      <c r="S1898" s="4" t="str">
        <f>VLOOKUP(C1898,Customer_Dim!$A:$N,9,FALSE())</f>
        <v>Jacqueline Payne</v>
      </c>
      <c r="T1898" s="4" t="str">
        <f>VLOOKUP(D1898,Product_Dim!$A:$M,3,FALSE())</f>
        <v>Sports</v>
      </c>
      <c r="U1898" s="11" t="str">
        <f>VLOOKUP(D1898,Product_Dim!$A:$M,2,FALSE())</f>
        <v>Rugby Ball</v>
      </c>
      <c r="V1898" s="11" t="str">
        <f>VLOOKUP(E1898,Store_Dim!$A:$E,3,FALSE())</f>
        <v>East</v>
      </c>
      <c r="W1898" s="11" t="str">
        <f>VLOOKUP(C1898,Customer_Dim!$A:$N,13,FALSE())</f>
        <v>Gold</v>
      </c>
      <c r="X1898" s="11" t="str">
        <f t="shared" si="209"/>
        <v>Low</v>
      </c>
    </row>
    <row r="1899" spans="1:24" ht="15.75" customHeight="1">
      <c r="A1899" s="4" t="s">
        <v>3895</v>
      </c>
      <c r="B1899" s="9">
        <v>45848</v>
      </c>
      <c r="C1899" s="4" t="s">
        <v>405</v>
      </c>
      <c r="D1899" s="4" t="s">
        <v>1703</v>
      </c>
      <c r="E1899" s="4" t="s">
        <v>1950</v>
      </c>
      <c r="F1899" s="4">
        <v>2</v>
      </c>
      <c r="G1899" s="4">
        <v>414.18</v>
      </c>
      <c r="H1899" s="4">
        <v>0.25</v>
      </c>
      <c r="I1899" s="4" t="s">
        <v>1998</v>
      </c>
      <c r="J1899" s="10">
        <v>621.27</v>
      </c>
      <c r="K1899" s="4" t="str">
        <f t="shared" si="203"/>
        <v>10-07-2025</v>
      </c>
      <c r="L1899" s="4" t="str">
        <f>TEXT(Sales_Fact!$B1899,"mmm")</f>
        <v>Jul</v>
      </c>
      <c r="M1899" s="4">
        <f t="shared" si="204"/>
        <v>2</v>
      </c>
      <c r="N1899" s="10">
        <f t="shared" si="205"/>
        <v>414.18</v>
      </c>
      <c r="O1899" s="10">
        <f t="shared" si="206"/>
        <v>621.27</v>
      </c>
      <c r="P1899" s="10">
        <f t="shared" si="207"/>
        <v>828.36</v>
      </c>
      <c r="Q1899" s="3">
        <f t="shared" si="208"/>
        <v>0.25000000000000006</v>
      </c>
      <c r="R1899" s="4" t="str">
        <f>IF(Sales_Fact!$O1899&gt;1000,"High","Low")</f>
        <v>Low</v>
      </c>
      <c r="S1899" s="4" t="str">
        <f>VLOOKUP(C1899,Customer_Dim!$A:$N,9,FALSE())</f>
        <v>Amy Walker</v>
      </c>
      <c r="T1899" s="4" t="str">
        <f>VLOOKUP(D1899,Product_Dim!$A:$M,3,FALSE())</f>
        <v>Electronics</v>
      </c>
      <c r="U1899" s="11" t="str">
        <f>VLOOKUP(D1899,Product_Dim!$A:$M,2,FALSE())</f>
        <v>Gaming Mechanical Keyboard</v>
      </c>
      <c r="V1899" s="11" t="str">
        <f>VLOOKUP(E1899,Store_Dim!$A:$E,3,FALSE())</f>
        <v>South</v>
      </c>
      <c r="W1899" s="11" t="str">
        <f>VLOOKUP(C1899,Customer_Dim!$A:$N,13,FALSE())</f>
        <v>Silver</v>
      </c>
      <c r="X1899" s="11" t="str">
        <f t="shared" si="209"/>
        <v>Low</v>
      </c>
    </row>
    <row r="1900" spans="1:24" ht="15.75" customHeight="1">
      <c r="A1900" s="4" t="s">
        <v>3896</v>
      </c>
      <c r="B1900" s="9">
        <v>45918</v>
      </c>
      <c r="C1900" s="4" t="s">
        <v>882</v>
      </c>
      <c r="D1900" s="4" t="s">
        <v>1779</v>
      </c>
      <c r="E1900" s="4" t="s">
        <v>1940</v>
      </c>
      <c r="F1900" s="4">
        <v>2</v>
      </c>
      <c r="G1900" s="4">
        <v>433.75</v>
      </c>
      <c r="H1900" s="4">
        <v>0</v>
      </c>
      <c r="I1900" s="4" t="s">
        <v>1996</v>
      </c>
      <c r="J1900" s="10">
        <v>867.5</v>
      </c>
      <c r="K1900" s="4" t="str">
        <f t="shared" si="203"/>
        <v>18-09-2025</v>
      </c>
      <c r="L1900" s="4" t="str">
        <f>TEXT(Sales_Fact!$B1900,"mmm")</f>
        <v>Sep</v>
      </c>
      <c r="M1900" s="4">
        <f t="shared" si="204"/>
        <v>2</v>
      </c>
      <c r="N1900" s="10">
        <f t="shared" si="205"/>
        <v>433.75</v>
      </c>
      <c r="O1900" s="10">
        <f t="shared" si="206"/>
        <v>867.5</v>
      </c>
      <c r="P1900" s="10">
        <f t="shared" si="207"/>
        <v>867.5</v>
      </c>
      <c r="Q1900" s="3">
        <f t="shared" si="208"/>
        <v>0</v>
      </c>
      <c r="R1900" s="4" t="str">
        <f>IF(Sales_Fact!$O1900&gt;1000,"High","Low")</f>
        <v>Low</v>
      </c>
      <c r="S1900" s="4" t="str">
        <f>VLOOKUP(C1900,Customer_Dim!$A:$N,9,FALSE())</f>
        <v>Kevin Orr</v>
      </c>
      <c r="T1900" s="4" t="str">
        <f>VLOOKUP(D1900,Product_Dim!$A:$M,3,FALSE())</f>
        <v>Clothing</v>
      </c>
      <c r="U1900" s="11" t="str">
        <f>VLOOKUP(D1900,Product_Dim!$A:$M,2,FALSE())</f>
        <v>Womens Cotton Scarf</v>
      </c>
      <c r="V1900" s="11" t="str">
        <f>VLOOKUP(E1900,Store_Dim!$A:$E,3,FALSE())</f>
        <v>West</v>
      </c>
      <c r="W1900" s="11" t="str">
        <f>VLOOKUP(C1900,Customer_Dim!$A:$N,13,FALSE())</f>
        <v>Bronze</v>
      </c>
      <c r="X1900" s="11" t="str">
        <f t="shared" si="209"/>
        <v>Low</v>
      </c>
    </row>
    <row r="1901" spans="1:24" ht="15.75" customHeight="1">
      <c r="A1901" s="4" t="s">
        <v>3897</v>
      </c>
      <c r="B1901" s="9">
        <v>45288</v>
      </c>
      <c r="C1901" s="4" t="s">
        <v>921</v>
      </c>
      <c r="D1901" s="4" t="s">
        <v>1861</v>
      </c>
      <c r="E1901" s="4" t="s">
        <v>1971</v>
      </c>
      <c r="F1901" s="4">
        <v>3</v>
      </c>
      <c r="G1901" s="4">
        <v>104.33</v>
      </c>
      <c r="H1901" s="4">
        <v>0.13</v>
      </c>
      <c r="I1901" s="4" t="s">
        <v>2004</v>
      </c>
      <c r="J1901" s="10">
        <v>272.30130000000003</v>
      </c>
      <c r="K1901" s="4" t="str">
        <f t="shared" si="203"/>
        <v>28-12-2023</v>
      </c>
      <c r="L1901" s="4" t="str">
        <f>TEXT(Sales_Fact!$B1901,"mmm")</f>
        <v>Dec</v>
      </c>
      <c r="M1901" s="4">
        <f t="shared" si="204"/>
        <v>3</v>
      </c>
      <c r="N1901" s="10">
        <f t="shared" si="205"/>
        <v>104.33</v>
      </c>
      <c r="O1901" s="10">
        <f t="shared" si="206"/>
        <v>272.30130000000003</v>
      </c>
      <c r="P1901" s="10">
        <f t="shared" si="207"/>
        <v>312.99</v>
      </c>
      <c r="Q1901" s="3">
        <f t="shared" si="208"/>
        <v>0.12999999999999995</v>
      </c>
      <c r="R1901" s="4" t="str">
        <f>IF(Sales_Fact!$O1901&gt;1000,"High","Low")</f>
        <v>Low</v>
      </c>
      <c r="S1901" s="4" t="str">
        <f>VLOOKUP(C1901,Customer_Dim!$A:$N,9,FALSE())</f>
        <v>Brittany Watson</v>
      </c>
      <c r="T1901" s="4" t="str">
        <f>VLOOKUP(D1901,Product_Dim!$A:$M,3,FALSE())</f>
        <v>Clothing</v>
      </c>
      <c r="U1901" s="11" t="str">
        <f>VLOOKUP(D1901,Product_Dim!$A:$M,2,FALSE())</f>
        <v>Women's Beanie Hat</v>
      </c>
      <c r="V1901" s="11" t="str">
        <f>VLOOKUP(E1901,Store_Dim!$A:$E,3,FALSE())</f>
        <v>East</v>
      </c>
      <c r="W1901" s="11" t="str">
        <f>VLOOKUP(C1901,Customer_Dim!$A:$N,13,FALSE())</f>
        <v>Platinum</v>
      </c>
      <c r="X1901" s="11" t="str">
        <f t="shared" si="209"/>
        <v>Low</v>
      </c>
    </row>
    <row r="1902" spans="1:24" ht="15.75" customHeight="1">
      <c r="A1902" s="4" t="s">
        <v>3898</v>
      </c>
      <c r="B1902" s="9">
        <v>45477</v>
      </c>
      <c r="C1902" s="4" t="s">
        <v>1460</v>
      </c>
      <c r="D1902" s="4" t="s">
        <v>1595</v>
      </c>
      <c r="E1902" s="4" t="s">
        <v>1952</v>
      </c>
      <c r="F1902" s="4">
        <v>1</v>
      </c>
      <c r="G1902" s="4">
        <v>221.7</v>
      </c>
      <c r="H1902" s="4">
        <v>0.04</v>
      </c>
      <c r="I1902" s="4" t="s">
        <v>1996</v>
      </c>
      <c r="J1902" s="10">
        <v>212.83199999999999</v>
      </c>
      <c r="K1902" s="4" t="str">
        <f t="shared" si="203"/>
        <v>04-07-2024</v>
      </c>
      <c r="L1902" s="4" t="str">
        <f>TEXT(Sales_Fact!$B1902,"mmm")</f>
        <v>Jul</v>
      </c>
      <c r="M1902" s="4">
        <f t="shared" si="204"/>
        <v>1</v>
      </c>
      <c r="N1902" s="10">
        <f t="shared" si="205"/>
        <v>221.7</v>
      </c>
      <c r="O1902" s="10">
        <f t="shared" si="206"/>
        <v>212.83199999999999</v>
      </c>
      <c r="P1902" s="10">
        <f t="shared" si="207"/>
        <v>221.7</v>
      </c>
      <c r="Q1902" s="3">
        <f t="shared" si="208"/>
        <v>3.999999999999998E-2</v>
      </c>
      <c r="R1902" s="4" t="str">
        <f>IF(Sales_Fact!$O1902&gt;1000,"High","Low")</f>
        <v>Low</v>
      </c>
      <c r="S1902" s="4" t="str">
        <f>VLOOKUP(C1902,Customer_Dim!$A:$N,9,FALSE())</f>
        <v>David Pierce</v>
      </c>
      <c r="T1902" s="4" t="str">
        <f>VLOOKUP(D1902,Product_Dim!$A:$M,3,FALSE())</f>
        <v>Clothing</v>
      </c>
      <c r="U1902" s="11" t="str">
        <f>VLOOKUP(D1902,Product_Dim!$A:$M,2,FALSE())</f>
        <v>Women's Yoga Pants</v>
      </c>
      <c r="V1902" s="11" t="str">
        <f>VLOOKUP(E1902,Store_Dim!$A:$E,3,FALSE())</f>
        <v>North</v>
      </c>
      <c r="W1902" s="11" t="str">
        <f>VLOOKUP(C1902,Customer_Dim!$A:$N,13,FALSE())</f>
        <v>Platinum</v>
      </c>
      <c r="X1902" s="11" t="str">
        <f t="shared" si="209"/>
        <v>Low</v>
      </c>
    </row>
    <row r="1903" spans="1:24" ht="15.75" customHeight="1">
      <c r="A1903" s="4" t="s">
        <v>3899</v>
      </c>
      <c r="B1903" s="9">
        <v>45312</v>
      </c>
      <c r="C1903" s="4" t="s">
        <v>1292</v>
      </c>
      <c r="D1903" s="4" t="s">
        <v>1644</v>
      </c>
      <c r="E1903" s="4" t="s">
        <v>1915</v>
      </c>
      <c r="F1903" s="4">
        <v>4</v>
      </c>
      <c r="G1903" s="4">
        <v>102.19</v>
      </c>
      <c r="H1903" s="4">
        <v>0.17</v>
      </c>
      <c r="I1903" s="4" t="s">
        <v>1998</v>
      </c>
      <c r="J1903" s="10">
        <v>339.27080000000001</v>
      </c>
      <c r="K1903" s="4" t="str">
        <f t="shared" si="203"/>
        <v>21-01-2024</v>
      </c>
      <c r="L1903" s="4" t="str">
        <f>TEXT(Sales_Fact!$B1903,"mmm")</f>
        <v>Jan</v>
      </c>
      <c r="M1903" s="4">
        <f t="shared" si="204"/>
        <v>4</v>
      </c>
      <c r="N1903" s="10">
        <f t="shared" si="205"/>
        <v>102.19</v>
      </c>
      <c r="O1903" s="10">
        <f t="shared" si="206"/>
        <v>339.27079999999995</v>
      </c>
      <c r="P1903" s="10">
        <f t="shared" si="207"/>
        <v>408.76</v>
      </c>
      <c r="Q1903" s="3">
        <f t="shared" si="208"/>
        <v>0.1700000000000001</v>
      </c>
      <c r="R1903" s="4" t="str">
        <f>IF(Sales_Fact!$O1903&gt;1000,"High","Low")</f>
        <v>Low</v>
      </c>
      <c r="S1903" s="4" t="str">
        <f>VLOOKUP(C1903,Customer_Dim!$A:$N,9,FALSE())</f>
        <v>David Lozano</v>
      </c>
      <c r="T1903" s="4" t="str">
        <f>VLOOKUP(D1903,Product_Dim!$A:$M,3,FALSE())</f>
        <v>Beauty</v>
      </c>
      <c r="U1903" s="11" t="str">
        <f>VLOOKUP(D1903,Product_Dim!$A:$M,2,FALSE())</f>
        <v>Beard Grooming Kit</v>
      </c>
      <c r="V1903" s="11" t="str">
        <f>VLOOKUP(E1903,Store_Dim!$A:$E,3,FALSE())</f>
        <v>North</v>
      </c>
      <c r="W1903" s="11" t="str">
        <f>VLOOKUP(C1903,Customer_Dim!$A:$N,13,FALSE())</f>
        <v>Gold</v>
      </c>
      <c r="X1903" s="11" t="str">
        <f t="shared" si="209"/>
        <v>High</v>
      </c>
    </row>
    <row r="1904" spans="1:24" ht="15.75" customHeight="1">
      <c r="A1904" s="4" t="s">
        <v>3900</v>
      </c>
      <c r="B1904" s="9">
        <v>45796</v>
      </c>
      <c r="C1904" s="4" t="s">
        <v>712</v>
      </c>
      <c r="D1904" s="4" t="s">
        <v>1806</v>
      </c>
      <c r="E1904" s="4" t="s">
        <v>1931</v>
      </c>
      <c r="F1904" s="4">
        <v>2</v>
      </c>
      <c r="G1904" s="4">
        <v>491.26</v>
      </c>
      <c r="H1904" s="4">
        <v>0.14000000000000001</v>
      </c>
      <c r="I1904" s="4" t="s">
        <v>2004</v>
      </c>
      <c r="J1904" s="10">
        <v>844.96720000000005</v>
      </c>
      <c r="K1904" s="4" t="str">
        <f t="shared" si="203"/>
        <v>19-05-2025</v>
      </c>
      <c r="L1904" s="4" t="str">
        <f>TEXT(Sales_Fact!$B1904,"mmm")</f>
        <v>May</v>
      </c>
      <c r="M1904" s="4">
        <f t="shared" si="204"/>
        <v>2</v>
      </c>
      <c r="N1904" s="10">
        <f t="shared" si="205"/>
        <v>491.26</v>
      </c>
      <c r="O1904" s="10">
        <f t="shared" si="206"/>
        <v>844.96719999999993</v>
      </c>
      <c r="P1904" s="10">
        <f t="shared" si="207"/>
        <v>982.52</v>
      </c>
      <c r="Q1904" s="3">
        <f t="shared" si="208"/>
        <v>0.14000000000000004</v>
      </c>
      <c r="R1904" s="4" t="str">
        <f>IF(Sales_Fact!$O1904&gt;1000,"High","Low")</f>
        <v>Low</v>
      </c>
      <c r="S1904" s="4" t="str">
        <f>VLOOKUP(C1904,Customer_Dim!$A:$N,9,FALSE())</f>
        <v>Rodney Huffman</v>
      </c>
      <c r="T1904" s="4" t="str">
        <f>VLOOKUP(D1904,Product_Dim!$A:$M,3,FALSE())</f>
        <v>Electronics</v>
      </c>
      <c r="U1904" s="11" t="str">
        <f>VLOOKUP(D1904,Product_Dim!$A:$M,2,FALSE())</f>
        <v>Smart LED Light Strip</v>
      </c>
      <c r="V1904" s="11" t="str">
        <f>VLOOKUP(E1904,Store_Dim!$A:$E,3,FALSE())</f>
        <v>North</v>
      </c>
      <c r="W1904" s="11" t="str">
        <f>VLOOKUP(C1904,Customer_Dim!$A:$N,13,FALSE())</f>
        <v>Silver</v>
      </c>
      <c r="X1904" s="11" t="str">
        <f t="shared" si="209"/>
        <v>Low</v>
      </c>
    </row>
    <row r="1905" spans="1:24" ht="15.75" customHeight="1">
      <c r="A1905" s="4" t="s">
        <v>3901</v>
      </c>
      <c r="B1905" s="9">
        <v>45630</v>
      </c>
      <c r="C1905" s="4" t="s">
        <v>623</v>
      </c>
      <c r="D1905" s="4" t="s">
        <v>1712</v>
      </c>
      <c r="E1905" s="4" t="s">
        <v>1940</v>
      </c>
      <c r="F1905" s="4">
        <v>4</v>
      </c>
      <c r="G1905" s="4">
        <v>923.14</v>
      </c>
      <c r="H1905" s="4">
        <v>0.15</v>
      </c>
      <c r="I1905" s="4" t="s">
        <v>1996</v>
      </c>
      <c r="J1905" s="10">
        <v>3138.6759999999999</v>
      </c>
      <c r="K1905" s="4" t="str">
        <f t="shared" si="203"/>
        <v>04-12-2024</v>
      </c>
      <c r="L1905" s="4" t="str">
        <f>TEXT(Sales_Fact!$B1905,"mmm")</f>
        <v>Dec</v>
      </c>
      <c r="M1905" s="4">
        <f t="shared" si="204"/>
        <v>4</v>
      </c>
      <c r="N1905" s="10">
        <f t="shared" si="205"/>
        <v>923.14</v>
      </c>
      <c r="O1905" s="10">
        <f t="shared" si="206"/>
        <v>3138.6759999999999</v>
      </c>
      <c r="P1905" s="10">
        <f t="shared" si="207"/>
        <v>3692.56</v>
      </c>
      <c r="Q1905" s="3">
        <f t="shared" si="208"/>
        <v>0.15</v>
      </c>
      <c r="R1905" s="4" t="str">
        <f>IF(Sales_Fact!$O1905&gt;1000,"High","Low")</f>
        <v>High</v>
      </c>
      <c r="S1905" s="4" t="str">
        <f>VLOOKUP(C1905,Customer_Dim!$A:$N,9,FALSE())</f>
        <v>Erin Ward</v>
      </c>
      <c r="T1905" s="4" t="str">
        <f>VLOOKUP(D1905,Product_Dim!$A:$M,3,FALSE())</f>
        <v>Clothing</v>
      </c>
      <c r="U1905" s="11" t="str">
        <f>VLOOKUP(D1905,Product_Dim!$A:$M,2,FALSE())</f>
        <v>Men's Casual Sneakers</v>
      </c>
      <c r="V1905" s="11" t="str">
        <f>VLOOKUP(E1905,Store_Dim!$A:$E,3,FALSE())</f>
        <v>West</v>
      </c>
      <c r="W1905" s="11" t="str">
        <f>VLOOKUP(C1905,Customer_Dim!$A:$N,13,FALSE())</f>
        <v>Bronze</v>
      </c>
      <c r="X1905" s="11" t="str">
        <f t="shared" si="209"/>
        <v>High</v>
      </c>
    </row>
    <row r="1906" spans="1:24" ht="15.75" customHeight="1">
      <c r="A1906" s="4" t="s">
        <v>3902</v>
      </c>
      <c r="B1906" s="9">
        <v>45625</v>
      </c>
      <c r="C1906" s="4" t="s">
        <v>659</v>
      </c>
      <c r="D1906" s="4" t="s">
        <v>1797</v>
      </c>
      <c r="E1906" s="4" t="s">
        <v>1937</v>
      </c>
      <c r="F1906" s="4">
        <v>2</v>
      </c>
      <c r="G1906" s="4">
        <v>747.65</v>
      </c>
      <c r="H1906" s="4">
        <v>0.08</v>
      </c>
      <c r="I1906" s="4" t="s">
        <v>1996</v>
      </c>
      <c r="J1906" s="10">
        <v>1375.6759999999999</v>
      </c>
      <c r="K1906" s="4" t="str">
        <f t="shared" si="203"/>
        <v>29-11-2024</v>
      </c>
      <c r="L1906" s="4" t="str">
        <f>TEXT(Sales_Fact!$B1906,"mmm")</f>
        <v>Nov</v>
      </c>
      <c r="M1906" s="4">
        <f t="shared" si="204"/>
        <v>2</v>
      </c>
      <c r="N1906" s="10">
        <f t="shared" si="205"/>
        <v>747.65</v>
      </c>
      <c r="O1906" s="10">
        <f t="shared" si="206"/>
        <v>1375.6759999999999</v>
      </c>
      <c r="P1906" s="10">
        <f t="shared" si="207"/>
        <v>1495.3</v>
      </c>
      <c r="Q1906" s="3">
        <f t="shared" si="208"/>
        <v>8.0000000000000016E-2</v>
      </c>
      <c r="R1906" s="4" t="str">
        <f>IF(Sales_Fact!$O1906&gt;1000,"High","Low")</f>
        <v>High</v>
      </c>
      <c r="S1906" s="4" t="str">
        <f>VLOOKUP(C1906,Customer_Dim!$A:$N,9,FALSE())</f>
        <v>David Roberts</v>
      </c>
      <c r="T1906" s="4" t="str">
        <f>VLOOKUP(D1906,Product_Dim!$A:$M,3,FALSE())</f>
        <v>Beauty</v>
      </c>
      <c r="U1906" s="11" t="str">
        <f>VLOOKUP(D1906,Product_Dim!$A:$M,2,FALSE())</f>
        <v>Matte Lipstick Set</v>
      </c>
      <c r="V1906" s="11" t="str">
        <f>VLOOKUP(E1906,Store_Dim!$A:$E,3,FALSE())</f>
        <v>South</v>
      </c>
      <c r="W1906" s="11" t="str">
        <f>VLOOKUP(C1906,Customer_Dim!$A:$N,13,FALSE())</f>
        <v>Gold</v>
      </c>
      <c r="X1906" s="11" t="str">
        <f t="shared" si="209"/>
        <v>Low</v>
      </c>
    </row>
    <row r="1907" spans="1:24" ht="15.75" customHeight="1">
      <c r="A1907" s="4" t="s">
        <v>3903</v>
      </c>
      <c r="B1907" s="9">
        <v>45773</v>
      </c>
      <c r="C1907" s="4" t="s">
        <v>405</v>
      </c>
      <c r="D1907" s="4" t="s">
        <v>1729</v>
      </c>
      <c r="E1907" s="4" t="s">
        <v>1937</v>
      </c>
      <c r="F1907" s="4">
        <v>3</v>
      </c>
      <c r="G1907" s="4">
        <v>94.55</v>
      </c>
      <c r="H1907" s="4">
        <v>0.13</v>
      </c>
      <c r="I1907" s="4" t="s">
        <v>2004</v>
      </c>
      <c r="J1907" s="10">
        <v>246.77549999999999</v>
      </c>
      <c r="K1907" s="4" t="str">
        <f t="shared" si="203"/>
        <v>26-04-2025</v>
      </c>
      <c r="L1907" s="4" t="str">
        <f>TEXT(Sales_Fact!$B1907,"mmm")</f>
        <v>Apr</v>
      </c>
      <c r="M1907" s="4">
        <f t="shared" si="204"/>
        <v>3</v>
      </c>
      <c r="N1907" s="10">
        <f t="shared" si="205"/>
        <v>94.55</v>
      </c>
      <c r="O1907" s="10">
        <f t="shared" si="206"/>
        <v>246.77549999999997</v>
      </c>
      <c r="P1907" s="10">
        <f t="shared" si="207"/>
        <v>283.64999999999998</v>
      </c>
      <c r="Q1907" s="3">
        <f t="shared" si="208"/>
        <v>0.13000000000000006</v>
      </c>
      <c r="R1907" s="4" t="str">
        <f>IF(Sales_Fact!$O1907&gt;1000,"High","Low")</f>
        <v>Low</v>
      </c>
      <c r="S1907" s="4" t="str">
        <f>VLOOKUP(C1907,Customer_Dim!$A:$N,9,FALSE())</f>
        <v>Amy Walker</v>
      </c>
      <c r="T1907" s="4" t="str">
        <f>VLOOKUP(D1907,Product_Dim!$A:$M,3,FALSE())</f>
        <v>Electronics</v>
      </c>
      <c r="U1907" s="11" t="str">
        <f>VLOOKUP(D1907,Product_Dim!$A:$M,2,FALSE())</f>
        <v>Smart Home WiFi Camera</v>
      </c>
      <c r="V1907" s="11" t="str">
        <f>VLOOKUP(E1907,Store_Dim!$A:$E,3,FALSE())</f>
        <v>South</v>
      </c>
      <c r="W1907" s="11" t="str">
        <f>VLOOKUP(C1907,Customer_Dim!$A:$N,13,FALSE())</f>
        <v>Silver</v>
      </c>
      <c r="X1907" s="11" t="str">
        <f t="shared" si="209"/>
        <v>Low</v>
      </c>
    </row>
    <row r="1908" spans="1:24" ht="15.75" customHeight="1">
      <c r="A1908" s="4" t="s">
        <v>3904</v>
      </c>
      <c r="B1908" s="9">
        <v>45308</v>
      </c>
      <c r="C1908" s="4" t="s">
        <v>174</v>
      </c>
      <c r="D1908" s="4" t="s">
        <v>1640</v>
      </c>
      <c r="E1908" s="4" t="s">
        <v>1971</v>
      </c>
      <c r="F1908" s="4">
        <v>3</v>
      </c>
      <c r="G1908" s="4">
        <v>620.12</v>
      </c>
      <c r="H1908" s="4">
        <v>0.06</v>
      </c>
      <c r="I1908" s="4" t="s">
        <v>1996</v>
      </c>
      <c r="J1908" s="10">
        <v>1748.7384</v>
      </c>
      <c r="K1908" s="4" t="str">
        <f t="shared" si="203"/>
        <v>17-01-2024</v>
      </c>
      <c r="L1908" s="4" t="str">
        <f>TEXT(Sales_Fact!$B1908,"mmm")</f>
        <v>Jan</v>
      </c>
      <c r="M1908" s="4">
        <f t="shared" si="204"/>
        <v>3</v>
      </c>
      <c r="N1908" s="10">
        <f t="shared" si="205"/>
        <v>620.12</v>
      </c>
      <c r="O1908" s="10">
        <f t="shared" si="206"/>
        <v>1748.7384</v>
      </c>
      <c r="P1908" s="10">
        <f t="shared" si="207"/>
        <v>1860.3600000000001</v>
      </c>
      <c r="Q1908" s="3">
        <f t="shared" si="208"/>
        <v>6.0000000000000088E-2</v>
      </c>
      <c r="R1908" s="4" t="str">
        <f>IF(Sales_Fact!$O1908&gt;1000,"High","Low")</f>
        <v>High</v>
      </c>
      <c r="S1908" s="4" t="str">
        <f>VLOOKUP(C1908,Customer_Dim!$A:$N,9,FALSE())</f>
        <v>Tonya Reynolds</v>
      </c>
      <c r="T1908" s="4" t="str">
        <f>VLOOKUP(D1908,Product_Dim!$A:$M,3,FALSE())</f>
        <v>Electronics</v>
      </c>
      <c r="U1908" s="11" t="str">
        <f>VLOOKUP(D1908,Product_Dim!$A:$M,2,FALSE())</f>
        <v>4K Home Projector</v>
      </c>
      <c r="V1908" s="11" t="str">
        <f>VLOOKUP(E1908,Store_Dim!$A:$E,3,FALSE())</f>
        <v>East</v>
      </c>
      <c r="W1908" s="11" t="str">
        <f>VLOOKUP(C1908,Customer_Dim!$A:$N,13,FALSE())</f>
        <v>Gold</v>
      </c>
      <c r="X1908" s="11" t="str">
        <f t="shared" si="209"/>
        <v>Low</v>
      </c>
    </row>
    <row r="1909" spans="1:24" ht="15.75" customHeight="1">
      <c r="A1909" s="4" t="s">
        <v>3905</v>
      </c>
      <c r="B1909" s="9">
        <v>45869</v>
      </c>
      <c r="C1909" s="4" t="s">
        <v>1524</v>
      </c>
      <c r="D1909" s="4" t="s">
        <v>1813</v>
      </c>
      <c r="E1909" s="4" t="s">
        <v>1934</v>
      </c>
      <c r="F1909" s="4">
        <v>2</v>
      </c>
      <c r="G1909" s="4">
        <v>354.09</v>
      </c>
      <c r="H1909" s="4">
        <v>0.12</v>
      </c>
      <c r="I1909" s="4" t="s">
        <v>2004</v>
      </c>
      <c r="J1909" s="10">
        <v>623.19839999999999</v>
      </c>
      <c r="K1909" s="4" t="str">
        <f t="shared" si="203"/>
        <v>31-07-2025</v>
      </c>
      <c r="L1909" s="4" t="str">
        <f>TEXT(Sales_Fact!$B1909,"mmm")</f>
        <v>Jul</v>
      </c>
      <c r="M1909" s="4">
        <f t="shared" si="204"/>
        <v>2</v>
      </c>
      <c r="N1909" s="10">
        <f t="shared" si="205"/>
        <v>354.09</v>
      </c>
      <c r="O1909" s="10">
        <f t="shared" si="206"/>
        <v>623.19839999999999</v>
      </c>
      <c r="P1909" s="10">
        <f t="shared" si="207"/>
        <v>708.18</v>
      </c>
      <c r="Q1909" s="3">
        <f t="shared" si="208"/>
        <v>0.11999999999999995</v>
      </c>
      <c r="R1909" s="4" t="str">
        <f>IF(Sales_Fact!$O1909&gt;1000,"High","Low")</f>
        <v>Low</v>
      </c>
      <c r="S1909" s="4" t="str">
        <f>VLOOKUP(C1909,Customer_Dim!$A:$N,9,FALSE())</f>
        <v>Eric Lee</v>
      </c>
      <c r="T1909" s="4" t="str">
        <f>VLOOKUP(D1909,Product_Dim!$A:$M,3,FALSE())</f>
        <v>Clothing</v>
      </c>
      <c r="U1909" s="11" t="str">
        <f>VLOOKUP(D1909,Product_Dim!$A:$M,2,FALSE())</f>
        <v>Men's Sports Shorts</v>
      </c>
      <c r="V1909" s="11" t="str">
        <f>VLOOKUP(E1909,Store_Dim!$A:$E,3,FALSE())</f>
        <v>East</v>
      </c>
      <c r="W1909" s="11" t="str">
        <f>VLOOKUP(C1909,Customer_Dim!$A:$N,13,FALSE())</f>
        <v>Bronze</v>
      </c>
      <c r="X1909" s="11" t="str">
        <f t="shared" si="209"/>
        <v>Low</v>
      </c>
    </row>
    <row r="1910" spans="1:24" ht="15.75" customHeight="1">
      <c r="A1910" s="4" t="s">
        <v>3906</v>
      </c>
      <c r="B1910" s="9">
        <v>45621</v>
      </c>
      <c r="C1910" s="4" t="s">
        <v>469</v>
      </c>
      <c r="D1910" s="4" t="s">
        <v>1764</v>
      </c>
      <c r="E1910" s="4" t="s">
        <v>1931</v>
      </c>
      <c r="F1910" s="4">
        <v>3</v>
      </c>
      <c r="G1910" s="4">
        <v>214.94</v>
      </c>
      <c r="H1910" s="4">
        <v>0.22</v>
      </c>
      <c r="I1910" s="4" t="s">
        <v>2004</v>
      </c>
      <c r="J1910" s="10">
        <v>502.95960000000002</v>
      </c>
      <c r="K1910" s="4" t="str">
        <f t="shared" si="203"/>
        <v>25-11-2024</v>
      </c>
      <c r="L1910" s="4" t="str">
        <f>TEXT(Sales_Fact!$B1910,"mmm")</f>
        <v>Nov</v>
      </c>
      <c r="M1910" s="4">
        <f t="shared" si="204"/>
        <v>3</v>
      </c>
      <c r="N1910" s="10">
        <f t="shared" si="205"/>
        <v>214.94</v>
      </c>
      <c r="O1910" s="10">
        <f t="shared" si="206"/>
        <v>502.95959999999997</v>
      </c>
      <c r="P1910" s="10">
        <f t="shared" si="207"/>
        <v>644.81999999999994</v>
      </c>
      <c r="Q1910" s="3">
        <f t="shared" si="208"/>
        <v>0.21999999999999997</v>
      </c>
      <c r="R1910" s="4" t="str">
        <f>IF(Sales_Fact!$O1910&gt;1000,"High","Low")</f>
        <v>Low</v>
      </c>
      <c r="S1910" s="4" t="str">
        <f>VLOOKUP(C1910,Customer_Dim!$A:$N,9,FALSE())</f>
        <v>Jamie Reyes</v>
      </c>
      <c r="T1910" s="4" t="str">
        <f>VLOOKUP(D1910,Product_Dim!$A:$M,3,FALSE())</f>
        <v>Clothing</v>
      </c>
      <c r="U1910" s="11" t="str">
        <f>VLOOKUP(D1910,Product_Dim!$A:$M,2,FALSE())</f>
        <v>Men's Track Pants</v>
      </c>
      <c r="V1910" s="11" t="str">
        <f>VLOOKUP(E1910,Store_Dim!$A:$E,3,FALSE())</f>
        <v>North</v>
      </c>
      <c r="W1910" s="11" t="str">
        <f>VLOOKUP(C1910,Customer_Dim!$A:$N,13,FALSE())</f>
        <v>Platinum</v>
      </c>
      <c r="X1910" s="11" t="str">
        <f t="shared" si="209"/>
        <v>Low</v>
      </c>
    </row>
    <row r="1911" spans="1:24" ht="15.75" customHeight="1">
      <c r="A1911" s="4" t="s">
        <v>3907</v>
      </c>
      <c r="B1911" s="9">
        <v>45428</v>
      </c>
      <c r="C1911" s="4" t="s">
        <v>676</v>
      </c>
      <c r="D1911" s="4" t="s">
        <v>1617</v>
      </c>
      <c r="E1911" s="4" t="s">
        <v>1952</v>
      </c>
      <c r="F1911" s="4">
        <v>2</v>
      </c>
      <c r="G1911" s="4">
        <v>309.77999999999997</v>
      </c>
      <c r="H1911" s="4">
        <v>0.16</v>
      </c>
      <c r="I1911" s="4" t="s">
        <v>1996</v>
      </c>
      <c r="J1911" s="10">
        <v>520.43039999999996</v>
      </c>
      <c r="K1911" s="4" t="str">
        <f t="shared" si="203"/>
        <v>16-05-2024</v>
      </c>
      <c r="L1911" s="4" t="str">
        <f>TEXT(Sales_Fact!$B1911,"mmm")</f>
        <v>May</v>
      </c>
      <c r="M1911" s="4">
        <f t="shared" si="204"/>
        <v>2</v>
      </c>
      <c r="N1911" s="10">
        <f t="shared" si="205"/>
        <v>309.77999999999997</v>
      </c>
      <c r="O1911" s="10">
        <f t="shared" si="206"/>
        <v>520.43039999999996</v>
      </c>
      <c r="P1911" s="10">
        <f t="shared" si="207"/>
        <v>619.55999999999995</v>
      </c>
      <c r="Q1911" s="3">
        <f t="shared" si="208"/>
        <v>0.15999999999999998</v>
      </c>
      <c r="R1911" s="4" t="str">
        <f>IF(Sales_Fact!$O1911&gt;1000,"High","Low")</f>
        <v>Low</v>
      </c>
      <c r="S1911" s="4" t="str">
        <f>VLOOKUP(C1911,Customer_Dim!$A:$N,9,FALSE())</f>
        <v>Carmen Price</v>
      </c>
      <c r="T1911" s="4" t="str">
        <f>VLOOKUP(D1911,Product_Dim!$A:$M,3,FALSE())</f>
        <v>Sports</v>
      </c>
      <c r="U1911" s="11" t="str">
        <f>VLOOKUP(D1911,Product_Dim!$A:$M,2,FALSE())</f>
        <v>Adjustable Dumbbell Set</v>
      </c>
      <c r="V1911" s="11" t="str">
        <f>VLOOKUP(E1911,Store_Dim!$A:$E,3,FALSE())</f>
        <v>North</v>
      </c>
      <c r="W1911" s="11" t="str">
        <f>VLOOKUP(C1911,Customer_Dim!$A:$N,13,FALSE())</f>
        <v>Bronze</v>
      </c>
      <c r="X1911" s="11" t="str">
        <f t="shared" si="209"/>
        <v>Low</v>
      </c>
    </row>
    <row r="1912" spans="1:24" ht="15.75" customHeight="1">
      <c r="A1912" s="4" t="s">
        <v>3908</v>
      </c>
      <c r="B1912" s="9">
        <v>45807</v>
      </c>
      <c r="C1912" s="4" t="s">
        <v>276</v>
      </c>
      <c r="D1912" s="4" t="s">
        <v>1633</v>
      </c>
      <c r="E1912" s="4" t="s">
        <v>1924</v>
      </c>
      <c r="F1912" s="4">
        <v>2</v>
      </c>
      <c r="G1912" s="4">
        <v>183.85</v>
      </c>
      <c r="H1912" s="4">
        <v>0.14000000000000001</v>
      </c>
      <c r="I1912" s="4" t="s">
        <v>1998</v>
      </c>
      <c r="J1912" s="10">
        <v>316.22199999999998</v>
      </c>
      <c r="K1912" s="4" t="str">
        <f t="shared" si="203"/>
        <v>30-05-2025</v>
      </c>
      <c r="L1912" s="4" t="str">
        <f>TEXT(Sales_Fact!$B1912,"mmm")</f>
        <v>May</v>
      </c>
      <c r="M1912" s="4">
        <f t="shared" si="204"/>
        <v>2</v>
      </c>
      <c r="N1912" s="10">
        <f t="shared" si="205"/>
        <v>183.85</v>
      </c>
      <c r="O1912" s="10">
        <f t="shared" si="206"/>
        <v>316.22199999999998</v>
      </c>
      <c r="P1912" s="10">
        <f t="shared" si="207"/>
        <v>367.7</v>
      </c>
      <c r="Q1912" s="3">
        <f t="shared" si="208"/>
        <v>0.14000000000000004</v>
      </c>
      <c r="R1912" s="4" t="str">
        <f>IF(Sales_Fact!$O1912&gt;1000,"High","Low")</f>
        <v>Low</v>
      </c>
      <c r="S1912" s="4" t="str">
        <f>VLOOKUP(C1912,Customer_Dim!$A:$N,9,FALSE())</f>
        <v>Roy Cole</v>
      </c>
      <c r="T1912" s="4" t="str">
        <f>VLOOKUP(D1912,Product_Dim!$A:$M,3,FALSE())</f>
        <v>Electronics</v>
      </c>
      <c r="U1912" s="11" t="str">
        <f>VLOOKUP(D1912,Product_Dim!$A:$M,2,FALSE())</f>
        <v>USB-C Fast Charger</v>
      </c>
      <c r="V1912" s="11" t="str">
        <f>VLOOKUP(E1912,Store_Dim!$A:$E,3,FALSE())</f>
        <v>North</v>
      </c>
      <c r="W1912" s="11" t="str">
        <f>VLOOKUP(C1912,Customer_Dim!$A:$N,13,FALSE())</f>
        <v>Platinum</v>
      </c>
      <c r="X1912" s="11" t="str">
        <f t="shared" si="209"/>
        <v>Low</v>
      </c>
    </row>
    <row r="1913" spans="1:24" ht="15.75" customHeight="1">
      <c r="A1913" s="4" t="s">
        <v>3909</v>
      </c>
      <c r="B1913" s="9">
        <v>45238</v>
      </c>
      <c r="C1913" s="4" t="s">
        <v>1301</v>
      </c>
      <c r="D1913" s="4" t="s">
        <v>1816</v>
      </c>
      <c r="E1913" s="4" t="s">
        <v>1910</v>
      </c>
      <c r="F1913" s="4">
        <v>1</v>
      </c>
      <c r="G1913" s="4">
        <v>550.05999999999995</v>
      </c>
      <c r="H1913" s="4">
        <v>0.01</v>
      </c>
      <c r="I1913" s="4" t="s">
        <v>1996</v>
      </c>
      <c r="J1913" s="10">
        <v>544.55939999999998</v>
      </c>
      <c r="K1913" s="4" t="str">
        <f t="shared" si="203"/>
        <v>08-11-2023</v>
      </c>
      <c r="L1913" s="4" t="str">
        <f>TEXT(Sales_Fact!$B1913,"mmm")</f>
        <v>Nov</v>
      </c>
      <c r="M1913" s="4">
        <f t="shared" si="204"/>
        <v>1</v>
      </c>
      <c r="N1913" s="10">
        <f t="shared" si="205"/>
        <v>550.05999999999995</v>
      </c>
      <c r="O1913" s="10">
        <f t="shared" si="206"/>
        <v>544.55939999999998</v>
      </c>
      <c r="P1913" s="10">
        <f t="shared" si="207"/>
        <v>550.05999999999995</v>
      </c>
      <c r="Q1913" s="3">
        <f t="shared" si="208"/>
        <v>9.9999999999999343E-3</v>
      </c>
      <c r="R1913" s="4" t="str">
        <f>IF(Sales_Fact!$O1913&gt;1000,"High","Low")</f>
        <v>Low</v>
      </c>
      <c r="S1913" s="4" t="str">
        <f>VLOOKUP(C1913,Customer_Dim!$A:$N,9,FALSE())</f>
        <v>Sarah Smith</v>
      </c>
      <c r="T1913" s="4" t="str">
        <f>VLOOKUP(D1913,Product_Dim!$A:$M,3,FALSE())</f>
        <v>Home</v>
      </c>
      <c r="U1913" s="11" t="str">
        <f>VLOOKUP(D1913,Product_Dim!$A:$M,2,FALSE())</f>
        <v>Kitchen Storage Rack</v>
      </c>
      <c r="V1913" s="11" t="str">
        <f>VLOOKUP(E1913,Store_Dim!$A:$E,3,FALSE())</f>
        <v>East</v>
      </c>
      <c r="W1913" s="11" t="str">
        <f>VLOOKUP(C1913,Customer_Dim!$A:$N,13,FALSE())</f>
        <v>Gold</v>
      </c>
      <c r="X1913" s="11" t="str">
        <f t="shared" si="209"/>
        <v>Low</v>
      </c>
    </row>
    <row r="1914" spans="1:24" ht="15.75" customHeight="1">
      <c r="A1914" s="4" t="s">
        <v>3910</v>
      </c>
      <c r="B1914" s="9">
        <v>45350</v>
      </c>
      <c r="C1914" s="4" t="s">
        <v>59</v>
      </c>
      <c r="D1914" s="4" t="s">
        <v>1864</v>
      </c>
      <c r="E1914" s="4" t="s">
        <v>1927</v>
      </c>
      <c r="F1914" s="4">
        <v>1</v>
      </c>
      <c r="G1914" s="4">
        <v>696.53</v>
      </c>
      <c r="H1914" s="4">
        <v>0.17</v>
      </c>
      <c r="I1914" s="4" t="s">
        <v>1996</v>
      </c>
      <c r="J1914" s="10">
        <v>578.11990000000003</v>
      </c>
      <c r="K1914" s="4" t="str">
        <f t="shared" si="203"/>
        <v>28-02-2024</v>
      </c>
      <c r="L1914" s="4" t="str">
        <f>TEXT(Sales_Fact!$B1914,"mmm")</f>
        <v>Feb</v>
      </c>
      <c r="M1914" s="4">
        <f t="shared" si="204"/>
        <v>1</v>
      </c>
      <c r="N1914" s="10">
        <f t="shared" si="205"/>
        <v>696.53</v>
      </c>
      <c r="O1914" s="10">
        <f t="shared" si="206"/>
        <v>578.11989999999992</v>
      </c>
      <c r="P1914" s="10">
        <f t="shared" si="207"/>
        <v>696.53</v>
      </c>
      <c r="Q1914" s="3">
        <f t="shared" si="208"/>
        <v>0.1700000000000001</v>
      </c>
      <c r="R1914" s="4" t="str">
        <f>IF(Sales_Fact!$O1914&gt;1000,"High","Low")</f>
        <v>Low</v>
      </c>
      <c r="S1914" s="4" t="str">
        <f>VLOOKUP(C1914,Customer_Dim!$A:$N,9,FALSE())</f>
        <v>Daniel Boyd</v>
      </c>
      <c r="T1914" s="4" t="str">
        <f>VLOOKUP(D1914,Product_Dim!$A:$M,3,FALSE())</f>
        <v>Home</v>
      </c>
      <c r="U1914" s="11" t="str">
        <f>VLOOKUP(D1914,Product_Dim!$A:$M,2,FALSE())</f>
        <v>Kitchen Cutting Board</v>
      </c>
      <c r="V1914" s="11" t="str">
        <f>VLOOKUP(E1914,Store_Dim!$A:$E,3,FALSE())</f>
        <v>South</v>
      </c>
      <c r="W1914" s="11" t="str">
        <f>VLOOKUP(C1914,Customer_Dim!$A:$N,13,FALSE())</f>
        <v>Bronze</v>
      </c>
      <c r="X1914" s="11" t="str">
        <f t="shared" si="209"/>
        <v>Low</v>
      </c>
    </row>
    <row r="1915" spans="1:24" ht="15.75" customHeight="1">
      <c r="A1915" s="4" t="s">
        <v>3911</v>
      </c>
      <c r="B1915" s="9">
        <v>45253</v>
      </c>
      <c r="C1915" s="4" t="s">
        <v>142</v>
      </c>
      <c r="D1915" s="4" t="s">
        <v>1843</v>
      </c>
      <c r="E1915" s="4" t="s">
        <v>1927</v>
      </c>
      <c r="F1915" s="4">
        <v>2</v>
      </c>
      <c r="G1915" s="4">
        <v>32.19</v>
      </c>
      <c r="H1915" s="4">
        <v>0.13</v>
      </c>
      <c r="I1915" s="4" t="s">
        <v>2004</v>
      </c>
      <c r="J1915" s="10">
        <v>56.010599999999997</v>
      </c>
      <c r="K1915" s="4" t="str">
        <f t="shared" si="203"/>
        <v>23-11-2023</v>
      </c>
      <c r="L1915" s="4" t="str">
        <f>TEXT(Sales_Fact!$B1915,"mmm")</f>
        <v>Nov</v>
      </c>
      <c r="M1915" s="4">
        <f t="shared" si="204"/>
        <v>2</v>
      </c>
      <c r="N1915" s="10">
        <f t="shared" si="205"/>
        <v>32.19</v>
      </c>
      <c r="O1915" s="10">
        <f t="shared" si="206"/>
        <v>56.010599999999997</v>
      </c>
      <c r="P1915" s="10">
        <f t="shared" si="207"/>
        <v>64.38</v>
      </c>
      <c r="Q1915" s="3">
        <f t="shared" si="208"/>
        <v>0.13</v>
      </c>
      <c r="R1915" s="4" t="str">
        <f>IF(Sales_Fact!$O1915&gt;1000,"High","Low")</f>
        <v>Low</v>
      </c>
      <c r="S1915" s="4" t="str">
        <f>VLOOKUP(C1915,Customer_Dim!$A:$N,9,FALSE())</f>
        <v>David Arnold</v>
      </c>
      <c r="T1915" s="4" t="str">
        <f>VLOOKUP(D1915,Product_Dim!$A:$M,3,FALSE())</f>
        <v>Home</v>
      </c>
      <c r="U1915" s="11" t="str">
        <f>VLOOKUP(D1915,Product_Dim!$A:$M,2,FALSE())</f>
        <v>Decorative Lamp Shade</v>
      </c>
      <c r="V1915" s="11" t="str">
        <f>VLOOKUP(E1915,Store_Dim!$A:$E,3,FALSE())</f>
        <v>South</v>
      </c>
      <c r="W1915" s="11" t="str">
        <f>VLOOKUP(C1915,Customer_Dim!$A:$N,13,FALSE())</f>
        <v>Silver</v>
      </c>
      <c r="X1915" s="11" t="str">
        <f t="shared" si="209"/>
        <v>Low</v>
      </c>
    </row>
    <row r="1916" spans="1:24" ht="15.75" customHeight="1">
      <c r="A1916" s="4" t="s">
        <v>3912</v>
      </c>
      <c r="B1916" s="9">
        <v>45460</v>
      </c>
      <c r="C1916" s="4" t="s">
        <v>494</v>
      </c>
      <c r="D1916" s="4" t="s">
        <v>1700</v>
      </c>
      <c r="E1916" s="4" t="s">
        <v>1971</v>
      </c>
      <c r="F1916" s="4">
        <v>2</v>
      </c>
      <c r="G1916" s="4">
        <v>892.06</v>
      </c>
      <c r="H1916" s="4">
        <v>0.08</v>
      </c>
      <c r="I1916" s="4" t="s">
        <v>1996</v>
      </c>
      <c r="J1916" s="10">
        <v>1641.3904</v>
      </c>
      <c r="K1916" s="4" t="str">
        <f t="shared" si="203"/>
        <v>17-06-2024</v>
      </c>
      <c r="L1916" s="4" t="str">
        <f>TEXT(Sales_Fact!$B1916,"mmm")</f>
        <v>Jun</v>
      </c>
      <c r="M1916" s="4">
        <f t="shared" si="204"/>
        <v>2</v>
      </c>
      <c r="N1916" s="10">
        <f t="shared" si="205"/>
        <v>892.06</v>
      </c>
      <c r="O1916" s="10">
        <f t="shared" si="206"/>
        <v>1641.3904</v>
      </c>
      <c r="P1916" s="10">
        <f t="shared" si="207"/>
        <v>1784.12</v>
      </c>
      <c r="Q1916" s="3">
        <f t="shared" si="208"/>
        <v>7.9999999999999946E-2</v>
      </c>
      <c r="R1916" s="4" t="str">
        <f>IF(Sales_Fact!$O1916&gt;1000,"High","Low")</f>
        <v>High</v>
      </c>
      <c r="S1916" s="4" t="str">
        <f>VLOOKUP(C1916,Customer_Dim!$A:$N,9,FALSE())</f>
        <v>Sean Roth</v>
      </c>
      <c r="T1916" s="4" t="str">
        <f>VLOOKUP(D1916,Product_Dim!$A:$M,3,FALSE())</f>
        <v>Home</v>
      </c>
      <c r="U1916" s="11" t="str">
        <f>VLOOKUP(D1916,Product_Dim!$A:$M,2,FALSE())</f>
        <v>Modern Wall Clock</v>
      </c>
      <c r="V1916" s="11" t="str">
        <f>VLOOKUP(E1916,Store_Dim!$A:$E,3,FALSE())</f>
        <v>East</v>
      </c>
      <c r="W1916" s="11" t="str">
        <f>VLOOKUP(C1916,Customer_Dim!$A:$N,13,FALSE())</f>
        <v>Gold</v>
      </c>
      <c r="X1916" s="11" t="str">
        <f t="shared" si="209"/>
        <v>Low</v>
      </c>
    </row>
    <row r="1917" spans="1:24" ht="15.75" customHeight="1">
      <c r="A1917" s="4" t="s">
        <v>3913</v>
      </c>
      <c r="B1917" s="9">
        <v>45628</v>
      </c>
      <c r="C1917" s="4" t="s">
        <v>1484</v>
      </c>
      <c r="D1917" s="4" t="s">
        <v>1779</v>
      </c>
      <c r="E1917" s="4" t="s">
        <v>1934</v>
      </c>
      <c r="F1917" s="4">
        <v>1</v>
      </c>
      <c r="G1917" s="4">
        <v>127.47</v>
      </c>
      <c r="H1917" s="4">
        <v>0.16</v>
      </c>
      <c r="I1917" s="4" t="s">
        <v>2004</v>
      </c>
      <c r="J1917" s="10">
        <v>107.0748</v>
      </c>
      <c r="K1917" s="4" t="str">
        <f t="shared" si="203"/>
        <v>02-12-2024</v>
      </c>
      <c r="L1917" s="4" t="str">
        <f>TEXT(Sales_Fact!$B1917,"mmm")</f>
        <v>Dec</v>
      </c>
      <c r="M1917" s="4">
        <f t="shared" si="204"/>
        <v>1</v>
      </c>
      <c r="N1917" s="10">
        <f t="shared" si="205"/>
        <v>127.47</v>
      </c>
      <c r="O1917" s="10">
        <f t="shared" si="206"/>
        <v>107.0748</v>
      </c>
      <c r="P1917" s="10">
        <f t="shared" si="207"/>
        <v>127.47</v>
      </c>
      <c r="Q1917" s="3">
        <f t="shared" si="208"/>
        <v>0.16000000000000003</v>
      </c>
      <c r="R1917" s="4" t="str">
        <f>IF(Sales_Fact!$O1917&gt;1000,"High","Low")</f>
        <v>Low</v>
      </c>
      <c r="S1917" s="4" t="str">
        <f>VLOOKUP(C1917,Customer_Dim!$A:$N,9,FALSE())</f>
        <v>Philip Mendoza</v>
      </c>
      <c r="T1917" s="4" t="str">
        <f>VLOOKUP(D1917,Product_Dim!$A:$M,3,FALSE())</f>
        <v>Clothing</v>
      </c>
      <c r="U1917" s="11" t="str">
        <f>VLOOKUP(D1917,Product_Dim!$A:$M,2,FALSE())</f>
        <v>Womens Cotton Scarf</v>
      </c>
      <c r="V1917" s="11" t="str">
        <f>VLOOKUP(E1917,Store_Dim!$A:$E,3,FALSE())</f>
        <v>East</v>
      </c>
      <c r="W1917" s="11" t="str">
        <f>VLOOKUP(C1917,Customer_Dim!$A:$N,13,FALSE())</f>
        <v>Silver</v>
      </c>
      <c r="X1917" s="11" t="str">
        <f t="shared" si="209"/>
        <v>Low</v>
      </c>
    </row>
    <row r="1918" spans="1:24" ht="15.75" customHeight="1">
      <c r="A1918" s="4" t="s">
        <v>3914</v>
      </c>
      <c r="B1918" s="9">
        <v>45778</v>
      </c>
      <c r="C1918" s="4" t="s">
        <v>1240</v>
      </c>
      <c r="D1918" s="4" t="s">
        <v>1837</v>
      </c>
      <c r="E1918" s="4" t="s">
        <v>1957</v>
      </c>
      <c r="F1918" s="4">
        <v>3</v>
      </c>
      <c r="G1918" s="4">
        <v>212.87</v>
      </c>
      <c r="H1918" s="4">
        <v>0.18</v>
      </c>
      <c r="I1918" s="4" t="s">
        <v>1996</v>
      </c>
      <c r="J1918" s="10">
        <v>523.66020000000003</v>
      </c>
      <c r="K1918" s="4" t="str">
        <f t="shared" si="203"/>
        <v>01-05-2025</v>
      </c>
      <c r="L1918" s="4" t="str">
        <f>TEXT(Sales_Fact!$B1918,"mmm")</f>
        <v>May</v>
      </c>
      <c r="M1918" s="4">
        <f t="shared" si="204"/>
        <v>3</v>
      </c>
      <c r="N1918" s="10">
        <f t="shared" si="205"/>
        <v>212.87</v>
      </c>
      <c r="O1918" s="10">
        <f t="shared" si="206"/>
        <v>523.66020000000003</v>
      </c>
      <c r="P1918" s="10">
        <f t="shared" si="207"/>
        <v>638.61</v>
      </c>
      <c r="Q1918" s="3">
        <f t="shared" si="208"/>
        <v>0.17999999999999997</v>
      </c>
      <c r="R1918" s="4" t="str">
        <f>IF(Sales_Fact!$O1918&gt;1000,"High","Low")</f>
        <v>Low</v>
      </c>
      <c r="S1918" s="4" t="str">
        <f>VLOOKUP(C1918,Customer_Dim!$A:$N,9,FALSE())</f>
        <v>Timothy Valenzuela</v>
      </c>
      <c r="T1918" s="4" t="str">
        <f>VLOOKUP(D1918,Product_Dim!$A:$M,3,FALSE())</f>
        <v>Electronics</v>
      </c>
      <c r="U1918" s="11" t="str">
        <f>VLOOKUP(D1918,Product_Dim!$A:$M,2,FALSE())</f>
        <v>WiFi Mesh Router</v>
      </c>
      <c r="V1918" s="11" t="str">
        <f>VLOOKUP(E1918,Store_Dim!$A:$E,3,FALSE())</f>
        <v>South</v>
      </c>
      <c r="W1918" s="11" t="str">
        <f>VLOOKUP(C1918,Customer_Dim!$A:$N,13,FALSE())</f>
        <v>Platinum</v>
      </c>
      <c r="X1918" s="11" t="str">
        <f t="shared" si="209"/>
        <v>Low</v>
      </c>
    </row>
    <row r="1919" spans="1:24" ht="15.75" customHeight="1">
      <c r="A1919" s="4" t="s">
        <v>3915</v>
      </c>
      <c r="B1919" s="9">
        <v>45471</v>
      </c>
      <c r="C1919" s="4" t="s">
        <v>623</v>
      </c>
      <c r="D1919" s="4" t="s">
        <v>1849</v>
      </c>
      <c r="E1919" s="4" t="s">
        <v>1937</v>
      </c>
      <c r="F1919" s="4">
        <v>1</v>
      </c>
      <c r="G1919" s="4">
        <v>26.37</v>
      </c>
      <c r="H1919" s="4">
        <v>0.3</v>
      </c>
      <c r="I1919" s="4" t="s">
        <v>2004</v>
      </c>
      <c r="J1919" s="10">
        <v>18.459</v>
      </c>
      <c r="K1919" s="4" t="str">
        <f t="shared" si="203"/>
        <v>28-06-2024</v>
      </c>
      <c r="L1919" s="4" t="str">
        <f>TEXT(Sales_Fact!$B1919,"mmm")</f>
        <v>Jun</v>
      </c>
      <c r="M1919" s="4">
        <f t="shared" si="204"/>
        <v>1</v>
      </c>
      <c r="N1919" s="10">
        <f t="shared" si="205"/>
        <v>26.37</v>
      </c>
      <c r="O1919" s="10">
        <f t="shared" si="206"/>
        <v>18.459</v>
      </c>
      <c r="P1919" s="10">
        <f t="shared" si="207"/>
        <v>26.37</v>
      </c>
      <c r="Q1919" s="3">
        <f t="shared" si="208"/>
        <v>0.30000000000000004</v>
      </c>
      <c r="R1919" s="4" t="str">
        <f>IF(Sales_Fact!$O1919&gt;1000,"High","Low")</f>
        <v>Low</v>
      </c>
      <c r="S1919" s="4" t="str">
        <f>VLOOKUP(C1919,Customer_Dim!$A:$N,9,FALSE())</f>
        <v>Erin Ward</v>
      </c>
      <c r="T1919" s="4" t="str">
        <f>VLOOKUP(D1919,Product_Dim!$A:$M,3,FALSE())</f>
        <v>Sports</v>
      </c>
      <c r="U1919" s="11" t="str">
        <f>VLOOKUP(D1919,Product_Dim!$A:$M,2,FALSE())</f>
        <v>Badminton Racket Set</v>
      </c>
      <c r="V1919" s="11" t="str">
        <f>VLOOKUP(E1919,Store_Dim!$A:$E,3,FALSE())</f>
        <v>South</v>
      </c>
      <c r="W1919" s="11" t="str">
        <f>VLOOKUP(C1919,Customer_Dim!$A:$N,13,FALSE())</f>
        <v>Bronze</v>
      </c>
      <c r="X1919" s="11" t="str">
        <f t="shared" si="209"/>
        <v>Low</v>
      </c>
    </row>
    <row r="1920" spans="1:24" ht="15.75" customHeight="1">
      <c r="A1920" s="4" t="s">
        <v>3916</v>
      </c>
      <c r="B1920" s="9">
        <v>45770</v>
      </c>
      <c r="C1920" s="4" t="s">
        <v>1466</v>
      </c>
      <c r="D1920" s="4" t="s">
        <v>1703</v>
      </c>
      <c r="E1920" s="4" t="s">
        <v>1968</v>
      </c>
      <c r="F1920" s="4">
        <v>4</v>
      </c>
      <c r="G1920" s="4">
        <v>953.98</v>
      </c>
      <c r="H1920" s="4">
        <v>0.16</v>
      </c>
      <c r="I1920" s="4" t="s">
        <v>1996</v>
      </c>
      <c r="J1920" s="10">
        <v>3205.3728000000001</v>
      </c>
      <c r="K1920" s="4" t="str">
        <f t="shared" si="203"/>
        <v>23-04-2025</v>
      </c>
      <c r="L1920" s="4" t="str">
        <f>TEXT(Sales_Fact!$B1920,"mmm")</f>
        <v>Apr</v>
      </c>
      <c r="M1920" s="4">
        <f t="shared" si="204"/>
        <v>4</v>
      </c>
      <c r="N1920" s="10">
        <f t="shared" si="205"/>
        <v>953.98</v>
      </c>
      <c r="O1920" s="10">
        <f t="shared" si="206"/>
        <v>3205.3728000000001</v>
      </c>
      <c r="P1920" s="10">
        <f t="shared" si="207"/>
        <v>3815.92</v>
      </c>
      <c r="Q1920" s="3">
        <f t="shared" si="208"/>
        <v>0.16</v>
      </c>
      <c r="R1920" s="4" t="str">
        <f>IF(Sales_Fact!$O1920&gt;1000,"High","Low")</f>
        <v>High</v>
      </c>
      <c r="S1920" s="4" t="str">
        <f>VLOOKUP(C1920,Customer_Dim!$A:$N,9,FALSE())</f>
        <v>Cynthia Parrish</v>
      </c>
      <c r="T1920" s="4" t="str">
        <f>VLOOKUP(D1920,Product_Dim!$A:$M,3,FALSE())</f>
        <v>Electronics</v>
      </c>
      <c r="U1920" s="11" t="str">
        <f>VLOOKUP(D1920,Product_Dim!$A:$M,2,FALSE())</f>
        <v>Gaming Mechanical Keyboard</v>
      </c>
      <c r="V1920" s="11" t="str">
        <f>VLOOKUP(E1920,Store_Dim!$A:$E,3,FALSE())</f>
        <v>East</v>
      </c>
      <c r="W1920" s="11" t="str">
        <f>VLOOKUP(C1920,Customer_Dim!$A:$N,13,FALSE())</f>
        <v>Silver</v>
      </c>
      <c r="X1920" s="11" t="str">
        <f t="shared" si="209"/>
        <v>High</v>
      </c>
    </row>
    <row r="1921" spans="1:24" ht="15.75" customHeight="1">
      <c r="A1921" s="4" t="s">
        <v>3917</v>
      </c>
      <c r="B1921" s="9">
        <v>45369</v>
      </c>
      <c r="C1921" s="4" t="s">
        <v>724</v>
      </c>
      <c r="D1921" s="4" t="s">
        <v>1806</v>
      </c>
      <c r="E1921" s="4" t="s">
        <v>1971</v>
      </c>
      <c r="F1921" s="4">
        <v>3</v>
      </c>
      <c r="G1921" s="4">
        <v>968.88</v>
      </c>
      <c r="H1921" s="4">
        <v>0.15</v>
      </c>
      <c r="I1921" s="4" t="s">
        <v>1996</v>
      </c>
      <c r="J1921" s="10">
        <v>2470.6439999999998</v>
      </c>
      <c r="K1921" s="4" t="str">
        <f t="shared" si="203"/>
        <v>18-03-2024</v>
      </c>
      <c r="L1921" s="4" t="str">
        <f>TEXT(Sales_Fact!$B1921,"mmm")</f>
        <v>Mar</v>
      </c>
      <c r="M1921" s="4">
        <f t="shared" si="204"/>
        <v>3</v>
      </c>
      <c r="N1921" s="10">
        <f t="shared" si="205"/>
        <v>968.88</v>
      </c>
      <c r="O1921" s="10">
        <f t="shared" si="206"/>
        <v>2470.6439999999998</v>
      </c>
      <c r="P1921" s="10">
        <f t="shared" si="207"/>
        <v>2906.64</v>
      </c>
      <c r="Q1921" s="3">
        <f t="shared" si="208"/>
        <v>0.15000000000000005</v>
      </c>
      <c r="R1921" s="4" t="str">
        <f>IF(Sales_Fact!$O1921&gt;1000,"High","Low")</f>
        <v>High</v>
      </c>
      <c r="S1921" s="4" t="str">
        <f>VLOOKUP(C1921,Customer_Dim!$A:$N,9,FALSE())</f>
        <v>Steve Medina</v>
      </c>
      <c r="T1921" s="4" t="str">
        <f>VLOOKUP(D1921,Product_Dim!$A:$M,3,FALSE())</f>
        <v>Electronics</v>
      </c>
      <c r="U1921" s="11" t="str">
        <f>VLOOKUP(D1921,Product_Dim!$A:$M,2,FALSE())</f>
        <v>Smart LED Light Strip</v>
      </c>
      <c r="V1921" s="11" t="str">
        <f>VLOOKUP(E1921,Store_Dim!$A:$E,3,FALSE())</f>
        <v>East</v>
      </c>
      <c r="W1921" s="11" t="str">
        <f>VLOOKUP(C1921,Customer_Dim!$A:$N,13,FALSE())</f>
        <v>Gold</v>
      </c>
      <c r="X1921" s="11" t="str">
        <f t="shared" si="209"/>
        <v>Low</v>
      </c>
    </row>
    <row r="1922" spans="1:24" ht="15.75" customHeight="1">
      <c r="A1922" s="4" t="s">
        <v>3918</v>
      </c>
      <c r="B1922" s="9">
        <v>45910</v>
      </c>
      <c r="C1922" s="4" t="s">
        <v>641</v>
      </c>
      <c r="D1922" s="4" t="s">
        <v>1834</v>
      </c>
      <c r="E1922" s="4" t="s">
        <v>1968</v>
      </c>
      <c r="F1922" s="4">
        <v>1</v>
      </c>
      <c r="G1922" s="4">
        <v>533.04999999999995</v>
      </c>
      <c r="H1922" s="4">
        <v>0.11</v>
      </c>
      <c r="I1922" s="4" t="s">
        <v>1998</v>
      </c>
      <c r="J1922" s="10">
        <v>474.41449999999998</v>
      </c>
      <c r="K1922" s="4" t="str">
        <f t="shared" ref="K1922:K1985" si="210">TEXT(B1922,"dd-mm-yyyy")</f>
        <v>10-09-2025</v>
      </c>
      <c r="L1922" s="4" t="str">
        <f>TEXT(Sales_Fact!$B1922,"mmm")</f>
        <v>Sep</v>
      </c>
      <c r="M1922" s="4">
        <f t="shared" ref="M1922:M1985" si="211">IF(ISBLANK(F1922),1,F1922)</f>
        <v>1</v>
      </c>
      <c r="N1922" s="10">
        <f t="shared" ref="N1922:N1985" si="212">ROUNDUP(IF(ISBLANK(G1922),AVERAGE(C:C,G1922,G:G),G1922),2)</f>
        <v>533.04999999999995</v>
      </c>
      <c r="O1922" s="10">
        <f t="shared" ref="O1922:O1985" si="213">M1922*N1922*(1-H1922)</f>
        <v>474.41449999999998</v>
      </c>
      <c r="P1922" s="10">
        <f t="shared" ref="P1922:P1985" si="214">M1922*N1922</f>
        <v>533.04999999999995</v>
      </c>
      <c r="Q1922" s="3">
        <f t="shared" ref="Q1922:Q1985" si="215">(P1922-O1922)/P1922</f>
        <v>0.10999999999999997</v>
      </c>
      <c r="R1922" s="4" t="str">
        <f>IF(Sales_Fact!$O1922&gt;1000,"High","Low")</f>
        <v>Low</v>
      </c>
      <c r="S1922" s="4" t="str">
        <f>VLOOKUP(C1922,Customer_Dim!$A:$N,9,FALSE())</f>
        <v>Dr. Suzanne Bullock</v>
      </c>
      <c r="T1922" s="4" t="str">
        <f>VLOOKUP(D1922,Product_Dim!$A:$M,3,FALSE())</f>
        <v>Electronics</v>
      </c>
      <c r="U1922" s="11" t="str">
        <f>VLOOKUP(D1922,Product_Dim!$A:$M,2,FALSE())</f>
        <v>Wireless Mouse</v>
      </c>
      <c r="V1922" s="11" t="str">
        <f>VLOOKUP(E1922,Store_Dim!$A:$E,3,FALSE())</f>
        <v>East</v>
      </c>
      <c r="W1922" s="11" t="str">
        <f>VLOOKUP(C1922,Customer_Dim!$A:$N,13,FALSE())</f>
        <v>Platinum</v>
      </c>
      <c r="X1922" s="11" t="str">
        <f t="shared" ref="X1922:X1985" si="216">IF(F1922&gt;3,"High","Low")</f>
        <v>Low</v>
      </c>
    </row>
    <row r="1923" spans="1:24" ht="15.75" customHeight="1">
      <c r="A1923" s="4" t="s">
        <v>3919</v>
      </c>
      <c r="B1923" s="9">
        <v>45637</v>
      </c>
      <c r="C1923" s="4" t="s">
        <v>1219</v>
      </c>
      <c r="D1923" s="4" t="s">
        <v>1849</v>
      </c>
      <c r="E1923" s="4" t="s">
        <v>1915</v>
      </c>
      <c r="F1923" s="4">
        <v>3</v>
      </c>
      <c r="G1923" s="4">
        <v>138.86000000000001</v>
      </c>
      <c r="H1923" s="4">
        <v>0.11</v>
      </c>
      <c r="I1923" s="4" t="s">
        <v>1998</v>
      </c>
      <c r="J1923" s="10">
        <v>370.75619999999998</v>
      </c>
      <c r="K1923" s="4" t="str">
        <f t="shared" si="210"/>
        <v>11-12-2024</v>
      </c>
      <c r="L1923" s="4" t="str">
        <f>TEXT(Sales_Fact!$B1923,"mmm")</f>
        <v>Dec</v>
      </c>
      <c r="M1923" s="4">
        <f t="shared" si="211"/>
        <v>3</v>
      </c>
      <c r="N1923" s="10">
        <f t="shared" si="212"/>
        <v>138.86000000000001</v>
      </c>
      <c r="O1923" s="10">
        <f t="shared" si="213"/>
        <v>370.75620000000004</v>
      </c>
      <c r="P1923" s="10">
        <f t="shared" si="214"/>
        <v>416.58000000000004</v>
      </c>
      <c r="Q1923" s="3">
        <f t="shared" si="215"/>
        <v>0.11</v>
      </c>
      <c r="R1923" s="4" t="str">
        <f>IF(Sales_Fact!$O1923&gt;1000,"High","Low")</f>
        <v>Low</v>
      </c>
      <c r="S1923" s="4" t="str">
        <f>VLOOKUP(C1923,Customer_Dim!$A:$N,9,FALSE())</f>
        <v>Erika Padilla</v>
      </c>
      <c r="T1923" s="4" t="str">
        <f>VLOOKUP(D1923,Product_Dim!$A:$M,3,FALSE())</f>
        <v>Sports</v>
      </c>
      <c r="U1923" s="11" t="str">
        <f>VLOOKUP(D1923,Product_Dim!$A:$M,2,FALSE())</f>
        <v>Badminton Racket Set</v>
      </c>
      <c r="V1923" s="11" t="str">
        <f>VLOOKUP(E1923,Store_Dim!$A:$E,3,FALSE())</f>
        <v>North</v>
      </c>
      <c r="W1923" s="11" t="str">
        <f>VLOOKUP(C1923,Customer_Dim!$A:$N,13,FALSE())</f>
        <v>Silver</v>
      </c>
      <c r="X1923" s="11" t="str">
        <f t="shared" si="216"/>
        <v>Low</v>
      </c>
    </row>
    <row r="1924" spans="1:24" ht="15.75" customHeight="1">
      <c r="A1924" s="4" t="s">
        <v>3920</v>
      </c>
      <c r="B1924" s="9">
        <v>45706</v>
      </c>
      <c r="C1924" s="4" t="s">
        <v>556</v>
      </c>
      <c r="D1924" s="4" t="s">
        <v>1665</v>
      </c>
      <c r="E1924" s="4" t="s">
        <v>1910</v>
      </c>
      <c r="F1924" s="4">
        <v>1</v>
      </c>
      <c r="G1924" s="4">
        <v>588.92999999999995</v>
      </c>
      <c r="H1924" s="4">
        <v>0.03</v>
      </c>
      <c r="I1924" s="4" t="s">
        <v>2004</v>
      </c>
      <c r="J1924" s="10">
        <v>571.26210000000003</v>
      </c>
      <c r="K1924" s="4" t="str">
        <f t="shared" si="210"/>
        <v>18-02-2025</v>
      </c>
      <c r="L1924" s="4" t="str">
        <f>TEXT(Sales_Fact!$B1924,"mmm")</f>
        <v>Feb</v>
      </c>
      <c r="M1924" s="4">
        <f t="shared" si="211"/>
        <v>1</v>
      </c>
      <c r="N1924" s="10">
        <f t="shared" si="212"/>
        <v>588.92999999999995</v>
      </c>
      <c r="O1924" s="10">
        <f t="shared" si="213"/>
        <v>571.26209999999992</v>
      </c>
      <c r="P1924" s="10">
        <f t="shared" si="214"/>
        <v>588.92999999999995</v>
      </c>
      <c r="Q1924" s="3">
        <f t="shared" si="215"/>
        <v>3.0000000000000054E-2</v>
      </c>
      <c r="R1924" s="4" t="str">
        <f>IF(Sales_Fact!$O1924&gt;1000,"High","Low")</f>
        <v>Low</v>
      </c>
      <c r="S1924" s="4" t="str">
        <f>VLOOKUP(C1924,Customer_Dim!$A:$N,9,FALSE())</f>
        <v>Brian Choi</v>
      </c>
      <c r="T1924" s="4" t="str">
        <f>VLOOKUP(D1924,Product_Dim!$A:$M,3,FALSE())</f>
        <v>Sports</v>
      </c>
      <c r="U1924" s="11" t="str">
        <f>VLOOKUP(D1924,Product_Dim!$A:$M,2,FALSE())</f>
        <v>Carbon Fiber Tennis Racket</v>
      </c>
      <c r="V1924" s="11" t="str">
        <f>VLOOKUP(E1924,Store_Dim!$A:$E,3,FALSE())</f>
        <v>East</v>
      </c>
      <c r="W1924" s="11" t="str">
        <f>VLOOKUP(C1924,Customer_Dim!$A:$N,13,FALSE())</f>
        <v>Gold</v>
      </c>
      <c r="X1924" s="11" t="str">
        <f t="shared" si="216"/>
        <v>Low</v>
      </c>
    </row>
    <row r="1925" spans="1:24" ht="15.75" customHeight="1">
      <c r="A1925" s="4" t="s">
        <v>3921</v>
      </c>
      <c r="B1925" s="9">
        <v>45657</v>
      </c>
      <c r="C1925" s="4" t="s">
        <v>262</v>
      </c>
      <c r="D1925" s="4" t="s">
        <v>1654</v>
      </c>
      <c r="E1925" s="4" t="s">
        <v>1927</v>
      </c>
      <c r="F1925" s="4">
        <v>2</v>
      </c>
      <c r="G1925" s="4">
        <v>327.52</v>
      </c>
      <c r="H1925" s="4">
        <v>0.15</v>
      </c>
      <c r="I1925" s="4" t="s">
        <v>1998</v>
      </c>
      <c r="J1925" s="10">
        <v>556.78399999999999</v>
      </c>
      <c r="K1925" s="4" t="str">
        <f t="shared" si="210"/>
        <v>31-12-2024</v>
      </c>
      <c r="L1925" s="4" t="str">
        <f>TEXT(Sales_Fact!$B1925,"mmm")</f>
        <v>Dec</v>
      </c>
      <c r="M1925" s="4">
        <f t="shared" si="211"/>
        <v>2</v>
      </c>
      <c r="N1925" s="10">
        <f t="shared" si="212"/>
        <v>327.52</v>
      </c>
      <c r="O1925" s="10">
        <f t="shared" si="213"/>
        <v>556.78399999999999</v>
      </c>
      <c r="P1925" s="10">
        <f t="shared" si="214"/>
        <v>655.04</v>
      </c>
      <c r="Q1925" s="3">
        <f t="shared" si="215"/>
        <v>0.14999999999999997</v>
      </c>
      <c r="R1925" s="4" t="str">
        <f>IF(Sales_Fact!$O1925&gt;1000,"High","Low")</f>
        <v>Low</v>
      </c>
      <c r="S1925" s="4" t="str">
        <f>VLOOKUP(C1925,Customer_Dim!$A:$N,9,FALSE())</f>
        <v>Michael Thomas</v>
      </c>
      <c r="T1925" s="4" t="str">
        <f>VLOOKUP(D1925,Product_Dim!$A:$M,3,FALSE())</f>
        <v>Sports</v>
      </c>
      <c r="U1925" s="11" t="str">
        <f>VLOOKUP(D1925,Product_Dim!$A:$M,2,FALSE())</f>
        <v>Knee Support Brace</v>
      </c>
      <c r="V1925" s="11" t="str">
        <f>VLOOKUP(E1925,Store_Dim!$A:$E,3,FALSE())</f>
        <v>South</v>
      </c>
      <c r="W1925" s="11" t="str">
        <f>VLOOKUP(C1925,Customer_Dim!$A:$N,13,FALSE())</f>
        <v>Silver</v>
      </c>
      <c r="X1925" s="11" t="str">
        <f t="shared" si="216"/>
        <v>Low</v>
      </c>
    </row>
    <row r="1926" spans="1:24" ht="15.75" customHeight="1">
      <c r="A1926" s="4" t="s">
        <v>3922</v>
      </c>
      <c r="B1926" s="9">
        <v>45557</v>
      </c>
      <c r="C1926" s="4" t="s">
        <v>1283</v>
      </c>
      <c r="D1926" s="4" t="s">
        <v>1761</v>
      </c>
      <c r="E1926" s="4" t="s">
        <v>1931</v>
      </c>
      <c r="F1926" s="4">
        <v>2</v>
      </c>
      <c r="G1926" s="4">
        <v>576.83000000000004</v>
      </c>
      <c r="H1926" s="4">
        <v>0.19</v>
      </c>
      <c r="I1926" s="4" t="s">
        <v>1998</v>
      </c>
      <c r="J1926" s="10">
        <v>934.46460000000002</v>
      </c>
      <c r="K1926" s="4" t="str">
        <f t="shared" si="210"/>
        <v>22-09-2024</v>
      </c>
      <c r="L1926" s="4" t="str">
        <f>TEXT(Sales_Fact!$B1926,"mmm")</f>
        <v>Sep</v>
      </c>
      <c r="M1926" s="4">
        <f t="shared" si="211"/>
        <v>2</v>
      </c>
      <c r="N1926" s="10">
        <f t="shared" si="212"/>
        <v>576.83000000000004</v>
      </c>
      <c r="O1926" s="10">
        <f t="shared" si="213"/>
        <v>934.46460000000013</v>
      </c>
      <c r="P1926" s="10">
        <f t="shared" si="214"/>
        <v>1153.6600000000001</v>
      </c>
      <c r="Q1926" s="3">
        <f t="shared" si="215"/>
        <v>0.18999999999999995</v>
      </c>
      <c r="R1926" s="4" t="str">
        <f>IF(Sales_Fact!$O1926&gt;1000,"High","Low")</f>
        <v>Low</v>
      </c>
      <c r="S1926" s="4" t="str">
        <f>VLOOKUP(C1926,Customer_Dim!$A:$N,9,FALSE())</f>
        <v>Justin Ingram</v>
      </c>
      <c r="T1926" s="4" t="str">
        <f>VLOOKUP(D1926,Product_Dim!$A:$M,3,FALSE())</f>
        <v>Sports</v>
      </c>
      <c r="U1926" s="11" t="str">
        <f>VLOOKUP(D1926,Product_Dim!$A:$M,2,FALSE())</f>
        <v>Rugby Ball</v>
      </c>
      <c r="V1926" s="11" t="str">
        <f>VLOOKUP(E1926,Store_Dim!$A:$E,3,FALSE())</f>
        <v>North</v>
      </c>
      <c r="W1926" s="11" t="str">
        <f>VLOOKUP(C1926,Customer_Dim!$A:$N,13,FALSE())</f>
        <v>Bronze</v>
      </c>
      <c r="X1926" s="11" t="str">
        <f t="shared" si="216"/>
        <v>Low</v>
      </c>
    </row>
    <row r="1927" spans="1:24" ht="15.75" customHeight="1">
      <c r="A1927" s="4" t="s">
        <v>3923</v>
      </c>
      <c r="B1927" s="9">
        <v>45338</v>
      </c>
      <c r="C1927" s="4" t="s">
        <v>1045</v>
      </c>
      <c r="D1927" s="4" t="s">
        <v>1800</v>
      </c>
      <c r="E1927" s="4" t="s">
        <v>1952</v>
      </c>
      <c r="F1927" s="4">
        <v>1</v>
      </c>
      <c r="G1927" s="4">
        <v>681.3</v>
      </c>
      <c r="H1927" s="4">
        <v>0.05</v>
      </c>
      <c r="I1927" s="4" t="s">
        <v>1996</v>
      </c>
      <c r="J1927" s="10">
        <v>647.23500000000001</v>
      </c>
      <c r="K1927" s="4" t="str">
        <f t="shared" si="210"/>
        <v>16-02-2024</v>
      </c>
      <c r="L1927" s="4" t="str">
        <f>TEXT(Sales_Fact!$B1927,"mmm")</f>
        <v>Feb</v>
      </c>
      <c r="M1927" s="4">
        <f t="shared" si="211"/>
        <v>1</v>
      </c>
      <c r="N1927" s="10">
        <f t="shared" si="212"/>
        <v>681.3</v>
      </c>
      <c r="O1927" s="10">
        <f t="shared" si="213"/>
        <v>647.2349999999999</v>
      </c>
      <c r="P1927" s="10">
        <f t="shared" si="214"/>
        <v>681.3</v>
      </c>
      <c r="Q1927" s="3">
        <f t="shared" si="215"/>
        <v>5.0000000000000086E-2</v>
      </c>
      <c r="R1927" s="4" t="str">
        <f>IF(Sales_Fact!$O1927&gt;1000,"High","Low")</f>
        <v>Low</v>
      </c>
      <c r="S1927" s="4" t="str">
        <f>VLOOKUP(C1927,Customer_Dim!$A:$N,9,FALSE())</f>
        <v>Kristy Dunlap</v>
      </c>
      <c r="T1927" s="4" t="str">
        <f>VLOOKUP(D1927,Product_Dim!$A:$M,3,FALSE())</f>
        <v>Sports</v>
      </c>
      <c r="U1927" s="11" t="str">
        <f>VLOOKUP(D1927,Product_Dim!$A:$M,2,FALSE())</f>
        <v>Adjustable Dumbbells 20kg</v>
      </c>
      <c r="V1927" s="11" t="str">
        <f>VLOOKUP(E1927,Store_Dim!$A:$E,3,FALSE())</f>
        <v>North</v>
      </c>
      <c r="W1927" s="11" t="str">
        <f>VLOOKUP(C1927,Customer_Dim!$A:$N,13,FALSE())</f>
        <v>Platinum</v>
      </c>
      <c r="X1927" s="11" t="str">
        <f t="shared" si="216"/>
        <v>Low</v>
      </c>
    </row>
    <row r="1928" spans="1:24" ht="15.75" customHeight="1">
      <c r="A1928" s="4" t="s">
        <v>3924</v>
      </c>
      <c r="B1928" s="9">
        <v>45441</v>
      </c>
      <c r="C1928" s="4" t="s">
        <v>1440</v>
      </c>
      <c r="D1928" s="4" t="s">
        <v>1675</v>
      </c>
      <c r="E1928" s="4" t="s">
        <v>1959</v>
      </c>
      <c r="F1928" s="4">
        <v>3</v>
      </c>
      <c r="G1928" s="4">
        <v>504.97</v>
      </c>
      <c r="H1928" s="4">
        <v>0.3</v>
      </c>
      <c r="I1928" s="4" t="s">
        <v>1996</v>
      </c>
      <c r="J1928" s="10">
        <v>1060.4369999999999</v>
      </c>
      <c r="K1928" s="4" t="str">
        <f t="shared" si="210"/>
        <v>29-05-2024</v>
      </c>
      <c r="L1928" s="4" t="str">
        <f>TEXT(Sales_Fact!$B1928,"mmm")</f>
        <v>May</v>
      </c>
      <c r="M1928" s="4">
        <f t="shared" si="211"/>
        <v>3</v>
      </c>
      <c r="N1928" s="10">
        <f t="shared" si="212"/>
        <v>504.97</v>
      </c>
      <c r="O1928" s="10">
        <f t="shared" si="213"/>
        <v>1060.4369999999999</v>
      </c>
      <c r="P1928" s="10">
        <f t="shared" si="214"/>
        <v>1514.91</v>
      </c>
      <c r="Q1928" s="3">
        <f t="shared" si="215"/>
        <v>0.3000000000000001</v>
      </c>
      <c r="R1928" s="4" t="str">
        <f>IF(Sales_Fact!$O1928&gt;1000,"High","Low")</f>
        <v>High</v>
      </c>
      <c r="S1928" s="4" t="str">
        <f>VLOOKUP(C1928,Customer_Dim!$A:$N,9,FALSE())</f>
        <v>Christina Robertson</v>
      </c>
      <c r="T1928" s="4" t="str">
        <f>VLOOKUP(D1928,Product_Dim!$A:$M,3,FALSE())</f>
        <v>Clothing</v>
      </c>
      <c r="U1928" s="11" t="str">
        <f>VLOOKUP(D1928,Product_Dim!$A:$M,2,FALSE())</f>
        <v>Women's Scarf Set</v>
      </c>
      <c r="V1928" s="11" t="str">
        <f>VLOOKUP(E1928,Store_Dim!$A:$E,3,FALSE())</f>
        <v>North</v>
      </c>
      <c r="W1928" s="11" t="str">
        <f>VLOOKUP(C1928,Customer_Dim!$A:$N,13,FALSE())</f>
        <v>Platinum</v>
      </c>
      <c r="X1928" s="11" t="str">
        <f t="shared" si="216"/>
        <v>Low</v>
      </c>
    </row>
    <row r="1929" spans="1:24" ht="15.75" customHeight="1">
      <c r="A1929" s="4" t="s">
        <v>3925</v>
      </c>
      <c r="B1929" s="9">
        <v>45396</v>
      </c>
      <c r="C1929" s="4" t="s">
        <v>245</v>
      </c>
      <c r="D1929" s="4" t="s">
        <v>1716</v>
      </c>
      <c r="E1929" s="4" t="s">
        <v>1950</v>
      </c>
      <c r="F1929" s="4">
        <v>3</v>
      </c>
      <c r="G1929" s="4">
        <v>649.78</v>
      </c>
      <c r="H1929" s="4">
        <v>0.1</v>
      </c>
      <c r="I1929" s="4" t="s">
        <v>1998</v>
      </c>
      <c r="J1929" s="10">
        <v>1754.4059999999999</v>
      </c>
      <c r="K1929" s="4" t="str">
        <f t="shared" si="210"/>
        <v>14-04-2024</v>
      </c>
      <c r="L1929" s="4" t="str">
        <f>TEXT(Sales_Fact!$B1929,"mmm")</f>
        <v>Apr</v>
      </c>
      <c r="M1929" s="4">
        <f t="shared" si="211"/>
        <v>3</v>
      </c>
      <c r="N1929" s="10">
        <f t="shared" si="212"/>
        <v>649.78</v>
      </c>
      <c r="O1929" s="10">
        <f t="shared" si="213"/>
        <v>1754.4059999999999</v>
      </c>
      <c r="P1929" s="10">
        <f t="shared" si="214"/>
        <v>1949.34</v>
      </c>
      <c r="Q1929" s="3">
        <f t="shared" si="215"/>
        <v>9.9999999999999992E-2</v>
      </c>
      <c r="R1929" s="4" t="str">
        <f>IF(Sales_Fact!$O1929&gt;1000,"High","Low")</f>
        <v>High</v>
      </c>
      <c r="S1929" s="4" t="str">
        <f>VLOOKUP(C1929,Customer_Dim!$A:$N,9,FALSE())</f>
        <v>Dr. David Smith</v>
      </c>
      <c r="T1929" s="4" t="str">
        <f>VLOOKUP(D1929,Product_Dim!$A:$M,3,FALSE())</f>
        <v>Sports</v>
      </c>
      <c r="U1929" s="11" t="str">
        <f>VLOOKUP(D1929,Product_Dim!$A:$M,2,FALSE())</f>
        <v>Sports Water Hydration Pack</v>
      </c>
      <c r="V1929" s="11" t="str">
        <f>VLOOKUP(E1929,Store_Dim!$A:$E,3,FALSE())</f>
        <v>South</v>
      </c>
      <c r="W1929" s="11" t="str">
        <f>VLOOKUP(C1929,Customer_Dim!$A:$N,13,FALSE())</f>
        <v>Silver</v>
      </c>
      <c r="X1929" s="11" t="str">
        <f t="shared" si="216"/>
        <v>Low</v>
      </c>
    </row>
    <row r="1930" spans="1:24" ht="15.75" customHeight="1">
      <c r="A1930" s="4" t="s">
        <v>3926</v>
      </c>
      <c r="B1930" s="9">
        <v>45317</v>
      </c>
      <c r="C1930" s="4" t="s">
        <v>813</v>
      </c>
      <c r="D1930" s="4" t="s">
        <v>1719</v>
      </c>
      <c r="E1930" s="4" t="s">
        <v>1944</v>
      </c>
      <c r="F1930" s="4">
        <v>2</v>
      </c>
      <c r="G1930" s="4">
        <v>986.73</v>
      </c>
      <c r="H1930" s="4">
        <v>0.05</v>
      </c>
      <c r="I1930" s="4" t="s">
        <v>1998</v>
      </c>
      <c r="J1930" s="10">
        <v>1874.787</v>
      </c>
      <c r="K1930" s="4" t="str">
        <f t="shared" si="210"/>
        <v>26-01-2024</v>
      </c>
      <c r="L1930" s="4" t="str">
        <f>TEXT(Sales_Fact!$B1930,"mmm")</f>
        <v>Jan</v>
      </c>
      <c r="M1930" s="4">
        <f t="shared" si="211"/>
        <v>2</v>
      </c>
      <c r="N1930" s="10">
        <f t="shared" si="212"/>
        <v>986.73</v>
      </c>
      <c r="O1930" s="10">
        <f t="shared" si="213"/>
        <v>1874.787</v>
      </c>
      <c r="P1930" s="10">
        <f t="shared" si="214"/>
        <v>1973.46</v>
      </c>
      <c r="Q1930" s="3">
        <f t="shared" si="215"/>
        <v>0.05</v>
      </c>
      <c r="R1930" s="4" t="str">
        <f>IF(Sales_Fact!$O1930&gt;1000,"High","Low")</f>
        <v>High</v>
      </c>
      <c r="S1930" s="4" t="str">
        <f>VLOOKUP(C1930,Customer_Dim!$A:$N,9,FALSE())</f>
        <v>Laura Soto</v>
      </c>
      <c r="T1930" s="4" t="str">
        <f>VLOOKUP(D1930,Product_Dim!$A:$M,3,FALSE())</f>
        <v>Electronics</v>
      </c>
      <c r="U1930" s="11" t="str">
        <f>VLOOKUP(D1930,Product_Dim!$A:$M,2,FALSE())</f>
        <v>Portable Power Bank</v>
      </c>
      <c r="V1930" s="11" t="str">
        <f>VLOOKUP(E1930,Store_Dim!$A:$E,3,FALSE())</f>
        <v>South</v>
      </c>
      <c r="W1930" s="11" t="str">
        <f>VLOOKUP(C1930,Customer_Dim!$A:$N,13,FALSE())</f>
        <v>Platinum</v>
      </c>
      <c r="X1930" s="11" t="str">
        <f t="shared" si="216"/>
        <v>Low</v>
      </c>
    </row>
    <row r="1931" spans="1:24" ht="15.75" customHeight="1">
      <c r="A1931" s="4" t="s">
        <v>3927</v>
      </c>
      <c r="B1931" s="9">
        <v>45235</v>
      </c>
      <c r="C1931" s="4" t="s">
        <v>435</v>
      </c>
      <c r="D1931" s="4" t="s">
        <v>1633</v>
      </c>
      <c r="E1931" s="4" t="s">
        <v>1959</v>
      </c>
      <c r="F1931" s="4">
        <v>2</v>
      </c>
      <c r="G1931" s="4">
        <v>65.44</v>
      </c>
      <c r="H1931" s="4">
        <v>0.05</v>
      </c>
      <c r="I1931" s="4" t="s">
        <v>1998</v>
      </c>
      <c r="J1931" s="10">
        <v>124.336</v>
      </c>
      <c r="K1931" s="4" t="str">
        <f t="shared" si="210"/>
        <v>05-11-2023</v>
      </c>
      <c r="L1931" s="4" t="str">
        <f>TEXT(Sales_Fact!$B1931,"mmm")</f>
        <v>Nov</v>
      </c>
      <c r="M1931" s="4">
        <f t="shared" si="211"/>
        <v>2</v>
      </c>
      <c r="N1931" s="10">
        <f t="shared" si="212"/>
        <v>65.44</v>
      </c>
      <c r="O1931" s="10">
        <f t="shared" si="213"/>
        <v>124.33599999999998</v>
      </c>
      <c r="P1931" s="10">
        <f t="shared" si="214"/>
        <v>130.88</v>
      </c>
      <c r="Q1931" s="3">
        <f t="shared" si="215"/>
        <v>5.0000000000000086E-2</v>
      </c>
      <c r="R1931" s="4" t="str">
        <f>IF(Sales_Fact!$O1931&gt;1000,"High","Low")</f>
        <v>Low</v>
      </c>
      <c r="S1931" s="4" t="str">
        <f>VLOOKUP(C1931,Customer_Dim!$A:$N,9,FALSE())</f>
        <v>Michael Jones</v>
      </c>
      <c r="T1931" s="4" t="str">
        <f>VLOOKUP(D1931,Product_Dim!$A:$M,3,FALSE())</f>
        <v>Electronics</v>
      </c>
      <c r="U1931" s="11" t="str">
        <f>VLOOKUP(D1931,Product_Dim!$A:$M,2,FALSE())</f>
        <v>USB-C Fast Charger</v>
      </c>
      <c r="V1931" s="11" t="str">
        <f>VLOOKUP(E1931,Store_Dim!$A:$E,3,FALSE())</f>
        <v>North</v>
      </c>
      <c r="W1931" s="11" t="str">
        <f>VLOOKUP(C1931,Customer_Dim!$A:$N,13,FALSE())</f>
        <v>Bronze</v>
      </c>
      <c r="X1931" s="11" t="str">
        <f t="shared" si="216"/>
        <v>Low</v>
      </c>
    </row>
    <row r="1932" spans="1:24" ht="15.75" customHeight="1">
      <c r="A1932" s="4" t="s">
        <v>3928</v>
      </c>
      <c r="B1932" s="9">
        <v>45824</v>
      </c>
      <c r="C1932" s="4" t="s">
        <v>1225</v>
      </c>
      <c r="D1932" s="4" t="s">
        <v>1794</v>
      </c>
      <c r="E1932" s="4" t="s">
        <v>1955</v>
      </c>
      <c r="F1932" s="4">
        <v>3</v>
      </c>
      <c r="G1932" s="4">
        <v>953.74</v>
      </c>
      <c r="H1932" s="4">
        <v>0.04</v>
      </c>
      <c r="I1932" s="4" t="s">
        <v>1996</v>
      </c>
      <c r="J1932" s="10">
        <v>2746.7712000000001</v>
      </c>
      <c r="K1932" s="4" t="str">
        <f t="shared" si="210"/>
        <v>16-06-2025</v>
      </c>
      <c r="L1932" s="4" t="str">
        <f>TEXT(Sales_Fact!$B1932,"mmm")</f>
        <v>Jun</v>
      </c>
      <c r="M1932" s="4">
        <f t="shared" si="211"/>
        <v>3</v>
      </c>
      <c r="N1932" s="10">
        <f t="shared" si="212"/>
        <v>953.74</v>
      </c>
      <c r="O1932" s="10">
        <f t="shared" si="213"/>
        <v>2746.7712000000001</v>
      </c>
      <c r="P1932" s="10">
        <f t="shared" si="214"/>
        <v>2861.2200000000003</v>
      </c>
      <c r="Q1932" s="3">
        <f t="shared" si="215"/>
        <v>4.0000000000000036E-2</v>
      </c>
      <c r="R1932" s="4" t="str">
        <f>IF(Sales_Fact!$O1932&gt;1000,"High","Low")</f>
        <v>High</v>
      </c>
      <c r="S1932" s="4" t="str">
        <f>VLOOKUP(C1932,Customer_Dim!$A:$N,9,FALSE())</f>
        <v>Kristine Higgins</v>
      </c>
      <c r="T1932" s="4" t="str">
        <f>VLOOKUP(D1932,Product_Dim!$A:$M,3,FALSE())</f>
        <v>Beauty</v>
      </c>
      <c r="U1932" s="11" t="str">
        <f>VLOOKUP(D1932,Product_Dim!$A:$M,2,FALSE())</f>
        <v>Organic Sunscreen Lotion</v>
      </c>
      <c r="V1932" s="11" t="str">
        <f>VLOOKUP(E1932,Store_Dim!$A:$E,3,FALSE())</f>
        <v>East</v>
      </c>
      <c r="W1932" s="11" t="str">
        <f>VLOOKUP(C1932,Customer_Dim!$A:$N,13,FALSE())</f>
        <v>Silver</v>
      </c>
      <c r="X1932" s="11" t="str">
        <f t="shared" si="216"/>
        <v>Low</v>
      </c>
    </row>
    <row r="1933" spans="1:24" ht="15.75" customHeight="1">
      <c r="A1933" s="4" t="s">
        <v>3929</v>
      </c>
      <c r="B1933" s="9">
        <v>45543</v>
      </c>
      <c r="C1933" s="4" t="s">
        <v>268</v>
      </c>
      <c r="D1933" s="4" t="s">
        <v>1834</v>
      </c>
      <c r="E1933" s="4" t="s">
        <v>1947</v>
      </c>
      <c r="F1933" s="4">
        <v>3</v>
      </c>
      <c r="G1933" s="4">
        <v>904.48</v>
      </c>
      <c r="H1933" s="4">
        <v>0.21</v>
      </c>
      <c r="I1933" s="4" t="s">
        <v>1998</v>
      </c>
      <c r="J1933" s="10">
        <v>2143.6176</v>
      </c>
      <c r="K1933" s="4" t="str">
        <f t="shared" si="210"/>
        <v>08-09-2024</v>
      </c>
      <c r="L1933" s="4" t="str">
        <f>TEXT(Sales_Fact!$B1933,"mmm")</f>
        <v>Sep</v>
      </c>
      <c r="M1933" s="4">
        <f t="shared" si="211"/>
        <v>3</v>
      </c>
      <c r="N1933" s="10">
        <f t="shared" si="212"/>
        <v>904.48</v>
      </c>
      <c r="O1933" s="10">
        <f t="shared" si="213"/>
        <v>2143.6176</v>
      </c>
      <c r="P1933" s="10">
        <f t="shared" si="214"/>
        <v>2713.44</v>
      </c>
      <c r="Q1933" s="3">
        <f t="shared" si="215"/>
        <v>0.21</v>
      </c>
      <c r="R1933" s="4" t="str">
        <f>IF(Sales_Fact!$O1933&gt;1000,"High","Low")</f>
        <v>High</v>
      </c>
      <c r="S1933" s="4" t="str">
        <f>VLOOKUP(C1933,Customer_Dim!$A:$N,9,FALSE())</f>
        <v>Amber Mcclain</v>
      </c>
      <c r="T1933" s="4" t="str">
        <f>VLOOKUP(D1933,Product_Dim!$A:$M,3,FALSE())</f>
        <v>Electronics</v>
      </c>
      <c r="U1933" s="11" t="str">
        <f>VLOOKUP(D1933,Product_Dim!$A:$M,2,FALSE())</f>
        <v>Wireless Mouse</v>
      </c>
      <c r="V1933" s="11" t="str">
        <f>VLOOKUP(E1933,Store_Dim!$A:$E,3,FALSE())</f>
        <v>East</v>
      </c>
      <c r="W1933" s="11" t="str">
        <f>VLOOKUP(C1933,Customer_Dim!$A:$N,13,FALSE())</f>
        <v>Silver</v>
      </c>
      <c r="X1933" s="11" t="str">
        <f t="shared" si="216"/>
        <v>Low</v>
      </c>
    </row>
    <row r="1934" spans="1:24" ht="15.75" customHeight="1">
      <c r="A1934" s="4" t="s">
        <v>3930</v>
      </c>
      <c r="B1934" s="9">
        <v>45595</v>
      </c>
      <c r="C1934" s="4" t="s">
        <v>1542</v>
      </c>
      <c r="D1934" s="4" t="s">
        <v>1791</v>
      </c>
      <c r="E1934" s="4" t="s">
        <v>1959</v>
      </c>
      <c r="F1934" s="4">
        <v>3</v>
      </c>
      <c r="G1934" s="4">
        <v>920.82</v>
      </c>
      <c r="H1934" s="4">
        <v>0.1</v>
      </c>
      <c r="I1934" s="4" t="s">
        <v>1998</v>
      </c>
      <c r="J1934" s="10">
        <v>2486.2139999999999</v>
      </c>
      <c r="K1934" s="4" t="str">
        <f t="shared" si="210"/>
        <v>30-10-2024</v>
      </c>
      <c r="L1934" s="4" t="str">
        <f>TEXT(Sales_Fact!$B1934,"mmm")</f>
        <v>Oct</v>
      </c>
      <c r="M1934" s="4">
        <f t="shared" si="211"/>
        <v>3</v>
      </c>
      <c r="N1934" s="10">
        <f t="shared" si="212"/>
        <v>920.82</v>
      </c>
      <c r="O1934" s="10">
        <f t="shared" si="213"/>
        <v>2486.2139999999999</v>
      </c>
      <c r="P1934" s="10">
        <f t="shared" si="214"/>
        <v>2762.46</v>
      </c>
      <c r="Q1934" s="3">
        <f t="shared" si="215"/>
        <v>0.10000000000000003</v>
      </c>
      <c r="R1934" s="4" t="str">
        <f>IF(Sales_Fact!$O1934&gt;1000,"High","Low")</f>
        <v>High</v>
      </c>
      <c r="S1934" s="4" t="str">
        <f>VLOOKUP(C1934,Customer_Dim!$A:$N,9,FALSE())</f>
        <v>Darrell Miller</v>
      </c>
      <c r="T1934" s="4" t="str">
        <f>VLOOKUP(D1934,Product_Dim!$A:$M,3,FALSE())</f>
        <v>Electronics</v>
      </c>
      <c r="U1934" s="11" t="str">
        <f>VLOOKUP(D1934,Product_Dim!$A:$M,2,FALSE())</f>
        <v>Laptop Cooling Pad</v>
      </c>
      <c r="V1934" s="11" t="str">
        <f>VLOOKUP(E1934,Store_Dim!$A:$E,3,FALSE())</f>
        <v>North</v>
      </c>
      <c r="W1934" s="11" t="str">
        <f>VLOOKUP(C1934,Customer_Dim!$A:$N,13,FALSE())</f>
        <v>Platinum</v>
      </c>
      <c r="X1934" s="11" t="str">
        <f t="shared" si="216"/>
        <v>Low</v>
      </c>
    </row>
    <row r="1935" spans="1:24" ht="15.75" customHeight="1">
      <c r="A1935" s="4" t="s">
        <v>3931</v>
      </c>
      <c r="B1935" s="9">
        <v>45803</v>
      </c>
      <c r="C1935" s="4" t="s">
        <v>991</v>
      </c>
      <c r="D1935" s="4" t="s">
        <v>1684</v>
      </c>
      <c r="E1935" s="4" t="s">
        <v>1915</v>
      </c>
      <c r="F1935" s="4">
        <v>1</v>
      </c>
      <c r="G1935" s="4">
        <v>182.28</v>
      </c>
      <c r="H1935" s="4">
        <v>0.15</v>
      </c>
      <c r="I1935" s="4" t="s">
        <v>2004</v>
      </c>
      <c r="J1935" s="10">
        <v>154.93799999999999</v>
      </c>
      <c r="K1935" s="4" t="str">
        <f t="shared" si="210"/>
        <v>26-05-2025</v>
      </c>
      <c r="L1935" s="4" t="str">
        <f>TEXT(Sales_Fact!$B1935,"mmm")</f>
        <v>May</v>
      </c>
      <c r="M1935" s="4">
        <f t="shared" si="211"/>
        <v>1</v>
      </c>
      <c r="N1935" s="10">
        <f t="shared" si="212"/>
        <v>182.28</v>
      </c>
      <c r="O1935" s="10">
        <f t="shared" si="213"/>
        <v>154.93799999999999</v>
      </c>
      <c r="P1935" s="10">
        <f t="shared" si="214"/>
        <v>182.28</v>
      </c>
      <c r="Q1935" s="3">
        <f t="shared" si="215"/>
        <v>0.15000000000000008</v>
      </c>
      <c r="R1935" s="4" t="str">
        <f>IF(Sales_Fact!$O1935&gt;1000,"High","Low")</f>
        <v>Low</v>
      </c>
      <c r="S1935" s="4" t="str">
        <f>VLOOKUP(C1935,Customer_Dim!$A:$N,9,FALSE())</f>
        <v>Roberta Green</v>
      </c>
      <c r="T1935" s="4" t="str">
        <f>VLOOKUP(D1935,Product_Dim!$A:$M,3,FALSE())</f>
        <v>Sports</v>
      </c>
      <c r="U1935" s="11" t="str">
        <f>VLOOKUP(D1935,Product_Dim!$A:$M,2,FALSE())</f>
        <v>Sports Stopwatch Timer</v>
      </c>
      <c r="V1935" s="11" t="str">
        <f>VLOOKUP(E1935,Store_Dim!$A:$E,3,FALSE())</f>
        <v>North</v>
      </c>
      <c r="W1935" s="11" t="str">
        <f>VLOOKUP(C1935,Customer_Dim!$A:$N,13,FALSE())</f>
        <v>Platinum</v>
      </c>
      <c r="X1935" s="11" t="str">
        <f t="shared" si="216"/>
        <v>Low</v>
      </c>
    </row>
    <row r="1936" spans="1:24" ht="15.75" customHeight="1">
      <c r="A1936" s="4" t="s">
        <v>3932</v>
      </c>
      <c r="B1936" s="9">
        <v>45530</v>
      </c>
      <c r="C1936" s="4" t="s">
        <v>970</v>
      </c>
      <c r="D1936" s="4" t="s">
        <v>1897</v>
      </c>
      <c r="E1936" s="4" t="s">
        <v>1971</v>
      </c>
      <c r="F1936" s="4">
        <v>2</v>
      </c>
      <c r="G1936" s="4">
        <v>569.36</v>
      </c>
      <c r="H1936" s="4">
        <v>0.01</v>
      </c>
      <c r="I1936" s="4" t="s">
        <v>1998</v>
      </c>
      <c r="J1936" s="10"/>
      <c r="K1936" s="4" t="str">
        <f t="shared" si="210"/>
        <v>26-08-2024</v>
      </c>
      <c r="L1936" s="4" t="str">
        <f>TEXT(Sales_Fact!$B1936,"mmm")</f>
        <v>Aug</v>
      </c>
      <c r="M1936" s="4">
        <f t="shared" si="211"/>
        <v>2</v>
      </c>
      <c r="N1936" s="10">
        <f t="shared" si="212"/>
        <v>569.36</v>
      </c>
      <c r="O1936" s="10">
        <f t="shared" si="213"/>
        <v>1127.3327999999999</v>
      </c>
      <c r="P1936" s="10">
        <f t="shared" si="214"/>
        <v>1138.72</v>
      </c>
      <c r="Q1936" s="3">
        <f t="shared" si="215"/>
        <v>1.0000000000000106E-2</v>
      </c>
      <c r="R1936" s="4" t="str">
        <f>IF(Sales_Fact!$O1936&gt;1000,"High","Low")</f>
        <v>High</v>
      </c>
      <c r="S1936" s="4" t="str">
        <f>VLOOKUP(C1936,Customer_Dim!$A:$N,9,FALSE())</f>
        <v>Tracy Stephens</v>
      </c>
      <c r="T1936" s="4" t="str">
        <f>VLOOKUP(D1936,Product_Dim!$A:$M,3,FALSE())</f>
        <v>Sports</v>
      </c>
      <c r="U1936" s="11" t="str">
        <f>VLOOKUP(D1936,Product_Dim!$A:$M,2,FALSE())</f>
        <v>Cricket Bat</v>
      </c>
      <c r="V1936" s="11" t="str">
        <f>VLOOKUP(E1936,Store_Dim!$A:$E,3,FALSE())</f>
        <v>East</v>
      </c>
      <c r="W1936" s="11" t="str">
        <f>VLOOKUP(C1936,Customer_Dim!$A:$N,13,FALSE())</f>
        <v>Platinum</v>
      </c>
      <c r="X1936" s="11" t="str">
        <f t="shared" si="216"/>
        <v>Low</v>
      </c>
    </row>
    <row r="1937" spans="1:24" ht="15.75" customHeight="1">
      <c r="A1937" s="4" t="s">
        <v>3933</v>
      </c>
      <c r="B1937" s="9">
        <v>45880</v>
      </c>
      <c r="C1937" s="4" t="s">
        <v>1406</v>
      </c>
      <c r="D1937" s="4" t="s">
        <v>1693</v>
      </c>
      <c r="E1937" s="4" t="s">
        <v>1962</v>
      </c>
      <c r="F1937" s="4">
        <v>3</v>
      </c>
      <c r="G1937" s="4">
        <v>938.68</v>
      </c>
      <c r="H1937" s="4">
        <v>0.14000000000000001</v>
      </c>
      <c r="I1937" s="4" t="s">
        <v>1996</v>
      </c>
      <c r="J1937" s="10">
        <v>2421.7944000000002</v>
      </c>
      <c r="K1937" s="4" t="str">
        <f t="shared" si="210"/>
        <v>11-08-2025</v>
      </c>
      <c r="L1937" s="4" t="str">
        <f>TEXT(Sales_Fact!$B1937,"mmm")</f>
        <v>Aug</v>
      </c>
      <c r="M1937" s="4">
        <f t="shared" si="211"/>
        <v>3</v>
      </c>
      <c r="N1937" s="10">
        <f t="shared" si="212"/>
        <v>938.68</v>
      </c>
      <c r="O1937" s="10">
        <f t="shared" si="213"/>
        <v>2421.7943999999998</v>
      </c>
      <c r="P1937" s="10">
        <f t="shared" si="214"/>
        <v>2816.04</v>
      </c>
      <c r="Q1937" s="3">
        <f t="shared" si="215"/>
        <v>0.14000000000000007</v>
      </c>
      <c r="R1937" s="4" t="str">
        <f>IF(Sales_Fact!$O1937&gt;1000,"High","Low")</f>
        <v>High</v>
      </c>
      <c r="S1937" s="4" t="str">
        <f>VLOOKUP(C1937,Customer_Dim!$A:$N,9,FALSE())</f>
        <v>Gene Lee</v>
      </c>
      <c r="T1937" s="4" t="str">
        <f>VLOOKUP(D1937,Product_Dim!$A:$M,3,FALSE())</f>
        <v>Sports</v>
      </c>
      <c r="U1937" s="11" t="str">
        <f>VLOOKUP(D1937,Product_Dim!$A:$M,2,FALSE())</f>
        <v>Basketball</v>
      </c>
      <c r="V1937" s="11" t="str">
        <f>VLOOKUP(E1937,Store_Dim!$A:$E,3,FALSE())</f>
        <v>West</v>
      </c>
      <c r="W1937" s="11" t="str">
        <f>VLOOKUP(C1937,Customer_Dim!$A:$N,13,FALSE())</f>
        <v>Platinum</v>
      </c>
      <c r="X1937" s="11" t="str">
        <f t="shared" si="216"/>
        <v>Low</v>
      </c>
    </row>
    <row r="1938" spans="1:24" ht="15.75" customHeight="1">
      <c r="A1938" s="4" t="s">
        <v>3934</v>
      </c>
      <c r="B1938" s="9">
        <v>45690</v>
      </c>
      <c r="C1938" s="4" t="s">
        <v>316</v>
      </c>
      <c r="D1938" s="4" t="s">
        <v>1879</v>
      </c>
      <c r="E1938" s="4" t="s">
        <v>1931</v>
      </c>
      <c r="F1938" s="4">
        <v>3</v>
      </c>
      <c r="G1938" s="4">
        <v>219.96</v>
      </c>
      <c r="H1938" s="4">
        <v>0.18</v>
      </c>
      <c r="I1938" s="4" t="s">
        <v>1998</v>
      </c>
      <c r="J1938" s="10">
        <v>541.10159999999996</v>
      </c>
      <c r="K1938" s="4" t="str">
        <f t="shared" si="210"/>
        <v>02-02-2025</v>
      </c>
      <c r="L1938" s="4" t="str">
        <f>TEXT(Sales_Fact!$B1938,"mmm")</f>
        <v>Feb</v>
      </c>
      <c r="M1938" s="4">
        <f t="shared" si="211"/>
        <v>3</v>
      </c>
      <c r="N1938" s="10">
        <f t="shared" si="212"/>
        <v>219.96</v>
      </c>
      <c r="O1938" s="10">
        <f t="shared" si="213"/>
        <v>541.10160000000008</v>
      </c>
      <c r="P1938" s="10">
        <f t="shared" si="214"/>
        <v>659.88</v>
      </c>
      <c r="Q1938" s="3">
        <f t="shared" si="215"/>
        <v>0.17999999999999988</v>
      </c>
      <c r="R1938" s="4" t="str">
        <f>IF(Sales_Fact!$O1938&gt;1000,"High","Low")</f>
        <v>Low</v>
      </c>
      <c r="S1938" s="4" t="str">
        <f>VLOOKUP(C1938,Customer_Dim!$A:$N,9,FALSE())</f>
        <v>Krystal Ford</v>
      </c>
      <c r="T1938" s="4" t="str">
        <f>VLOOKUP(D1938,Product_Dim!$A:$M,3,FALSE())</f>
        <v>Clothing</v>
      </c>
      <c r="U1938" s="11" t="str">
        <f>VLOOKUP(D1938,Product_Dim!$A:$M,2,FALSE())</f>
        <v>Women's High Heels</v>
      </c>
      <c r="V1938" s="11" t="str">
        <f>VLOOKUP(E1938,Store_Dim!$A:$E,3,FALSE())</f>
        <v>North</v>
      </c>
      <c r="W1938" s="11" t="str">
        <f>VLOOKUP(C1938,Customer_Dim!$A:$N,13,FALSE())</f>
        <v>Platinum</v>
      </c>
      <c r="X1938" s="11" t="str">
        <f t="shared" si="216"/>
        <v>Low</v>
      </c>
    </row>
    <row r="1939" spans="1:24" ht="15.75" customHeight="1">
      <c r="A1939" s="4" t="s">
        <v>3935</v>
      </c>
      <c r="B1939" s="9">
        <v>45841</v>
      </c>
      <c r="C1939" s="4" t="s">
        <v>1487</v>
      </c>
      <c r="D1939" s="4" t="s">
        <v>1819</v>
      </c>
      <c r="E1939" s="4" t="s">
        <v>1968</v>
      </c>
      <c r="F1939" s="4">
        <v>3</v>
      </c>
      <c r="G1939" s="4">
        <v>385.74</v>
      </c>
      <c r="H1939" s="4">
        <v>0.27</v>
      </c>
      <c r="I1939" s="4" t="s">
        <v>1996</v>
      </c>
      <c r="J1939" s="10">
        <v>844.77059999999994</v>
      </c>
      <c r="K1939" s="4" t="str">
        <f t="shared" si="210"/>
        <v>03-07-2025</v>
      </c>
      <c r="L1939" s="4" t="str">
        <f>TEXT(Sales_Fact!$B1939,"mmm")</f>
        <v>Jul</v>
      </c>
      <c r="M1939" s="4">
        <f t="shared" si="211"/>
        <v>3</v>
      </c>
      <c r="N1939" s="10">
        <f t="shared" si="212"/>
        <v>385.74</v>
      </c>
      <c r="O1939" s="10">
        <f t="shared" si="213"/>
        <v>844.77059999999994</v>
      </c>
      <c r="P1939" s="10">
        <f t="shared" si="214"/>
        <v>1157.22</v>
      </c>
      <c r="Q1939" s="3">
        <f t="shared" si="215"/>
        <v>0.27000000000000007</v>
      </c>
      <c r="R1939" s="4" t="str">
        <f>IF(Sales_Fact!$O1939&gt;1000,"High","Low")</f>
        <v>Low</v>
      </c>
      <c r="S1939" s="4" t="str">
        <f>VLOOKUP(C1939,Customer_Dim!$A:$N,9,FALSE())</f>
        <v>Laura Mathews</v>
      </c>
      <c r="T1939" s="4" t="str">
        <f>VLOOKUP(D1939,Product_Dim!$A:$M,3,FALSE())</f>
        <v>Beauty</v>
      </c>
      <c r="U1939" s="11" t="str">
        <f>VLOOKUP(D1939,Product_Dim!$A:$M,2,FALSE())</f>
        <v>Hair Repair Oil Treatment</v>
      </c>
      <c r="V1939" s="11" t="str">
        <f>VLOOKUP(E1939,Store_Dim!$A:$E,3,FALSE())</f>
        <v>East</v>
      </c>
      <c r="W1939" s="11" t="str">
        <f>VLOOKUP(C1939,Customer_Dim!$A:$N,13,FALSE())</f>
        <v>Bronze</v>
      </c>
      <c r="X1939" s="11" t="str">
        <f t="shared" si="216"/>
        <v>Low</v>
      </c>
    </row>
    <row r="1940" spans="1:24" ht="15.75" customHeight="1">
      <c r="A1940" s="4" t="s">
        <v>3936</v>
      </c>
      <c r="B1940" s="9">
        <v>45380</v>
      </c>
      <c r="C1940" s="4" t="s">
        <v>1429</v>
      </c>
      <c r="D1940" s="4" t="s">
        <v>1849</v>
      </c>
      <c r="E1940" s="4" t="s">
        <v>1968</v>
      </c>
      <c r="F1940" s="4">
        <v>2</v>
      </c>
      <c r="G1940" s="4">
        <v>830.94</v>
      </c>
      <c r="H1940" s="4">
        <v>0.28000000000000003</v>
      </c>
      <c r="I1940" s="4" t="s">
        <v>1998</v>
      </c>
      <c r="J1940" s="10">
        <v>1196.5536</v>
      </c>
      <c r="K1940" s="4" t="str">
        <f t="shared" si="210"/>
        <v>29-03-2024</v>
      </c>
      <c r="L1940" s="4" t="str">
        <f>TEXT(Sales_Fact!$B1940,"mmm")</f>
        <v>Mar</v>
      </c>
      <c r="M1940" s="4">
        <f t="shared" si="211"/>
        <v>2</v>
      </c>
      <c r="N1940" s="10">
        <f t="shared" si="212"/>
        <v>830.94</v>
      </c>
      <c r="O1940" s="10">
        <f t="shared" si="213"/>
        <v>1196.5536</v>
      </c>
      <c r="P1940" s="10">
        <f t="shared" si="214"/>
        <v>1661.88</v>
      </c>
      <c r="Q1940" s="3">
        <f t="shared" si="215"/>
        <v>0.28000000000000008</v>
      </c>
      <c r="R1940" s="4" t="str">
        <f>IF(Sales_Fact!$O1940&gt;1000,"High","Low")</f>
        <v>High</v>
      </c>
      <c r="S1940" s="4" t="str">
        <f>VLOOKUP(C1940,Customer_Dim!$A:$N,9,FALSE())</f>
        <v>April Phillips</v>
      </c>
      <c r="T1940" s="4" t="str">
        <f>VLOOKUP(D1940,Product_Dim!$A:$M,3,FALSE())</f>
        <v>Sports</v>
      </c>
      <c r="U1940" s="11" t="str">
        <f>VLOOKUP(D1940,Product_Dim!$A:$M,2,FALSE())</f>
        <v>Badminton Racket Set</v>
      </c>
      <c r="V1940" s="11" t="str">
        <f>VLOOKUP(E1940,Store_Dim!$A:$E,3,FALSE())</f>
        <v>East</v>
      </c>
      <c r="W1940" s="11" t="str">
        <f>VLOOKUP(C1940,Customer_Dim!$A:$N,13,FALSE())</f>
        <v>Platinum</v>
      </c>
      <c r="X1940" s="11" t="str">
        <f t="shared" si="216"/>
        <v>Low</v>
      </c>
    </row>
    <row r="1941" spans="1:24" ht="15.75" customHeight="1">
      <c r="A1941" s="4" t="s">
        <v>3937</v>
      </c>
      <c r="B1941" s="9">
        <v>45503</v>
      </c>
      <c r="C1941" s="4" t="s">
        <v>1225</v>
      </c>
      <c r="D1941" s="4" t="s">
        <v>1592</v>
      </c>
      <c r="E1941" s="4" t="s">
        <v>1944</v>
      </c>
      <c r="F1941" s="4">
        <v>3</v>
      </c>
      <c r="G1941" s="4">
        <v>462.75</v>
      </c>
      <c r="H1941" s="4">
        <v>0.22</v>
      </c>
      <c r="I1941" s="4" t="s">
        <v>1998</v>
      </c>
      <c r="J1941" s="10">
        <v>1082.835</v>
      </c>
      <c r="K1941" s="4" t="str">
        <f t="shared" si="210"/>
        <v>30-07-2024</v>
      </c>
      <c r="L1941" s="4" t="str">
        <f>TEXT(Sales_Fact!$B1941,"mmm")</f>
        <v>Jul</v>
      </c>
      <c r="M1941" s="4">
        <f t="shared" si="211"/>
        <v>3</v>
      </c>
      <c r="N1941" s="10">
        <f t="shared" si="212"/>
        <v>462.75</v>
      </c>
      <c r="O1941" s="10">
        <f t="shared" si="213"/>
        <v>1082.835</v>
      </c>
      <c r="P1941" s="10">
        <f t="shared" si="214"/>
        <v>1388.25</v>
      </c>
      <c r="Q1941" s="3">
        <f t="shared" si="215"/>
        <v>0.21999999999999997</v>
      </c>
      <c r="R1941" s="4" t="str">
        <f>IF(Sales_Fact!$O1941&gt;1000,"High","Low")</f>
        <v>High</v>
      </c>
      <c r="S1941" s="4" t="str">
        <f>VLOOKUP(C1941,Customer_Dim!$A:$N,9,FALSE())</f>
        <v>Kristine Higgins</v>
      </c>
      <c r="T1941" s="4" t="str">
        <f>VLOOKUP(D1941,Product_Dim!$A:$M,3,FALSE())</f>
        <v>Clothing</v>
      </c>
      <c r="U1941" s="11" t="str">
        <f>VLOOKUP(D1941,Product_Dim!$A:$M,2,FALSE())</f>
        <v>Men's Running Jacket</v>
      </c>
      <c r="V1941" s="11" t="str">
        <f>VLOOKUP(E1941,Store_Dim!$A:$E,3,FALSE())</f>
        <v>South</v>
      </c>
      <c r="W1941" s="11" t="str">
        <f>VLOOKUP(C1941,Customer_Dim!$A:$N,13,FALSE())</f>
        <v>Silver</v>
      </c>
      <c r="X1941" s="11" t="str">
        <f t="shared" si="216"/>
        <v>Low</v>
      </c>
    </row>
    <row r="1942" spans="1:24" ht="15.75" customHeight="1">
      <c r="A1942" s="4" t="s">
        <v>3938</v>
      </c>
      <c r="B1942" s="9">
        <v>45567</v>
      </c>
      <c r="C1942" s="4" t="s">
        <v>268</v>
      </c>
      <c r="D1942" s="4" t="s">
        <v>1636</v>
      </c>
      <c r="E1942" s="4" t="s">
        <v>1959</v>
      </c>
      <c r="F1942" s="4">
        <v>4</v>
      </c>
      <c r="G1942" s="4">
        <v>973.9</v>
      </c>
      <c r="H1942" s="4">
        <v>0.02</v>
      </c>
      <c r="I1942" s="4" t="s">
        <v>2004</v>
      </c>
      <c r="J1942" s="10">
        <v>3817.6880000000001</v>
      </c>
      <c r="K1942" s="4" t="str">
        <f t="shared" si="210"/>
        <v>02-10-2024</v>
      </c>
      <c r="L1942" s="4" t="str">
        <f>TEXT(Sales_Fact!$B1942,"mmm")</f>
        <v>Oct</v>
      </c>
      <c r="M1942" s="4">
        <f t="shared" si="211"/>
        <v>4</v>
      </c>
      <c r="N1942" s="10">
        <f t="shared" si="212"/>
        <v>973.9</v>
      </c>
      <c r="O1942" s="10">
        <f t="shared" si="213"/>
        <v>3817.6879999999996</v>
      </c>
      <c r="P1942" s="10">
        <f t="shared" si="214"/>
        <v>3895.6</v>
      </c>
      <c r="Q1942" s="3">
        <f t="shared" si="215"/>
        <v>2.0000000000000066E-2</v>
      </c>
      <c r="R1942" s="4" t="str">
        <f>IF(Sales_Fact!$O1942&gt;1000,"High","Low")</f>
        <v>High</v>
      </c>
      <c r="S1942" s="4" t="str">
        <f>VLOOKUP(C1942,Customer_Dim!$A:$N,9,FALSE())</f>
        <v>Amber Mcclain</v>
      </c>
      <c r="T1942" s="4" t="str">
        <f>VLOOKUP(D1942,Product_Dim!$A:$M,3,FALSE())</f>
        <v>Home</v>
      </c>
      <c r="U1942" s="11" t="str">
        <f>VLOOKUP(D1942,Product_Dim!$A:$M,2,FALSE())</f>
        <v>Decorative Wall Mirror</v>
      </c>
      <c r="V1942" s="11" t="str">
        <f>VLOOKUP(E1942,Store_Dim!$A:$E,3,FALSE())</f>
        <v>North</v>
      </c>
      <c r="W1942" s="11" t="str">
        <f>VLOOKUP(C1942,Customer_Dim!$A:$N,13,FALSE())</f>
        <v>Silver</v>
      </c>
      <c r="X1942" s="11" t="str">
        <f t="shared" si="216"/>
        <v>High</v>
      </c>
    </row>
    <row r="1943" spans="1:24" ht="15.75" customHeight="1">
      <c r="A1943" s="4" t="s">
        <v>3939</v>
      </c>
      <c r="B1943" s="9">
        <v>45600</v>
      </c>
      <c r="C1943" s="4" t="s">
        <v>499</v>
      </c>
      <c r="D1943" s="4" t="s">
        <v>1706</v>
      </c>
      <c r="E1943" s="4" t="s">
        <v>1915</v>
      </c>
      <c r="F1943" s="4">
        <v>2</v>
      </c>
      <c r="G1943" s="4">
        <v>157.18</v>
      </c>
      <c r="H1943" s="4">
        <v>0.15</v>
      </c>
      <c r="I1943" s="4" t="s">
        <v>1996</v>
      </c>
      <c r="J1943" s="10">
        <v>267.20600000000002</v>
      </c>
      <c r="K1943" s="4" t="str">
        <f t="shared" si="210"/>
        <v>04-11-2024</v>
      </c>
      <c r="L1943" s="4" t="str">
        <f>TEXT(Sales_Fact!$B1943,"mmm")</f>
        <v>Nov</v>
      </c>
      <c r="M1943" s="4">
        <f t="shared" si="211"/>
        <v>2</v>
      </c>
      <c r="N1943" s="10">
        <f t="shared" si="212"/>
        <v>157.18</v>
      </c>
      <c r="O1943" s="10">
        <f t="shared" si="213"/>
        <v>267.20600000000002</v>
      </c>
      <c r="P1943" s="10">
        <f t="shared" si="214"/>
        <v>314.36</v>
      </c>
      <c r="Q1943" s="3">
        <f t="shared" si="215"/>
        <v>0.15</v>
      </c>
      <c r="R1943" s="4" t="str">
        <f>IF(Sales_Fact!$O1943&gt;1000,"High","Low")</f>
        <v>Low</v>
      </c>
      <c r="S1943" s="4" t="str">
        <f>VLOOKUP(C1943,Customer_Dim!$A:$N,9,FALSE())</f>
        <v>Patty Francis</v>
      </c>
      <c r="T1943" s="4" t="str">
        <f>VLOOKUP(D1943,Product_Dim!$A:$M,3,FALSE())</f>
        <v>Home</v>
      </c>
      <c r="U1943" s="11" t="str">
        <f>VLOOKUP(D1943,Product_Dim!$A:$M,2,FALSE())</f>
        <v>Bedroom Table Lamp</v>
      </c>
      <c r="V1943" s="11" t="str">
        <f>VLOOKUP(E1943,Store_Dim!$A:$E,3,FALSE())</f>
        <v>North</v>
      </c>
      <c r="W1943" s="11" t="str">
        <f>VLOOKUP(C1943,Customer_Dim!$A:$N,13,FALSE())</f>
        <v>Gold</v>
      </c>
      <c r="X1943" s="11" t="str">
        <f t="shared" si="216"/>
        <v>Low</v>
      </c>
    </row>
    <row r="1944" spans="1:24" ht="15.75" customHeight="1">
      <c r="A1944" s="4" t="s">
        <v>3940</v>
      </c>
      <c r="B1944" s="9">
        <v>45415</v>
      </c>
      <c r="C1944" s="4" t="s">
        <v>83</v>
      </c>
      <c r="D1944" s="4" t="s">
        <v>1825</v>
      </c>
      <c r="E1944" s="4" t="s">
        <v>1955</v>
      </c>
      <c r="F1944" s="4">
        <v>3</v>
      </c>
      <c r="G1944" s="4">
        <v>239.57</v>
      </c>
      <c r="H1944" s="4">
        <v>0.16</v>
      </c>
      <c r="I1944" s="4" t="s">
        <v>1996</v>
      </c>
      <c r="J1944" s="10">
        <v>603.71640000000002</v>
      </c>
      <c r="K1944" s="4" t="str">
        <f t="shared" si="210"/>
        <v>03-05-2024</v>
      </c>
      <c r="L1944" s="4" t="str">
        <f>TEXT(Sales_Fact!$B1944,"mmm")</f>
        <v>May</v>
      </c>
      <c r="M1944" s="4">
        <f t="shared" si="211"/>
        <v>3</v>
      </c>
      <c r="N1944" s="10">
        <f t="shared" si="212"/>
        <v>239.57</v>
      </c>
      <c r="O1944" s="10">
        <f t="shared" si="213"/>
        <v>603.71640000000002</v>
      </c>
      <c r="P1944" s="10">
        <f t="shared" si="214"/>
        <v>718.71</v>
      </c>
      <c r="Q1944" s="3">
        <f t="shared" si="215"/>
        <v>0.16</v>
      </c>
      <c r="R1944" s="4" t="str">
        <f>IF(Sales_Fact!$O1944&gt;1000,"High","Low")</f>
        <v>Low</v>
      </c>
      <c r="S1944" s="4" t="str">
        <f>VLOOKUP(C1944,Customer_Dim!$A:$N,9,FALSE())</f>
        <v>Nathan Hernandez</v>
      </c>
      <c r="T1944" s="4" t="str">
        <f>VLOOKUP(D1944,Product_Dim!$A:$M,3,FALSE())</f>
        <v>Sports</v>
      </c>
      <c r="U1944" s="11" t="str">
        <f>VLOOKUP(D1944,Product_Dim!$A:$M,2,FALSE())</f>
        <v>Shin Guards – Adult</v>
      </c>
      <c r="V1944" s="11" t="str">
        <f>VLOOKUP(E1944,Store_Dim!$A:$E,3,FALSE())</f>
        <v>East</v>
      </c>
      <c r="W1944" s="11" t="str">
        <f>VLOOKUP(C1944,Customer_Dim!$A:$N,13,FALSE())</f>
        <v>Silver</v>
      </c>
      <c r="X1944" s="11" t="str">
        <f t="shared" si="216"/>
        <v>Low</v>
      </c>
    </row>
    <row r="1945" spans="1:24" ht="15.75" customHeight="1">
      <c r="A1945" s="4" t="s">
        <v>3941</v>
      </c>
      <c r="B1945" s="9">
        <v>45343</v>
      </c>
      <c r="C1945" s="4" t="s">
        <v>1057</v>
      </c>
      <c r="D1945" s="4" t="s">
        <v>1617</v>
      </c>
      <c r="E1945" s="4" t="s">
        <v>1962</v>
      </c>
      <c r="F1945" s="4">
        <v>4</v>
      </c>
      <c r="G1945" s="4">
        <v>583.21</v>
      </c>
      <c r="H1945" s="4">
        <v>0.2</v>
      </c>
      <c r="I1945" s="4" t="s">
        <v>1996</v>
      </c>
      <c r="J1945" s="10">
        <v>1866.2719999999999</v>
      </c>
      <c r="K1945" s="4" t="str">
        <f t="shared" si="210"/>
        <v>21-02-2024</v>
      </c>
      <c r="L1945" s="4" t="str">
        <f>TEXT(Sales_Fact!$B1945,"mmm")</f>
        <v>Feb</v>
      </c>
      <c r="M1945" s="4">
        <f t="shared" si="211"/>
        <v>4</v>
      </c>
      <c r="N1945" s="10">
        <f t="shared" si="212"/>
        <v>583.21</v>
      </c>
      <c r="O1945" s="10">
        <f t="shared" si="213"/>
        <v>1866.2720000000002</v>
      </c>
      <c r="P1945" s="10">
        <f t="shared" si="214"/>
        <v>2332.84</v>
      </c>
      <c r="Q1945" s="3">
        <f t="shared" si="215"/>
        <v>0.19999999999999998</v>
      </c>
      <c r="R1945" s="4" t="str">
        <f>IF(Sales_Fact!$O1945&gt;1000,"High","Low")</f>
        <v>High</v>
      </c>
      <c r="S1945" s="4" t="str">
        <f>VLOOKUP(C1945,Customer_Dim!$A:$N,9,FALSE())</f>
        <v>Reginald Willis</v>
      </c>
      <c r="T1945" s="4" t="str">
        <f>VLOOKUP(D1945,Product_Dim!$A:$M,3,FALSE())</f>
        <v>Sports</v>
      </c>
      <c r="U1945" s="11" t="str">
        <f>VLOOKUP(D1945,Product_Dim!$A:$M,2,FALSE())</f>
        <v>Adjustable Dumbbell Set</v>
      </c>
      <c r="V1945" s="11" t="str">
        <f>VLOOKUP(E1945,Store_Dim!$A:$E,3,FALSE())</f>
        <v>West</v>
      </c>
      <c r="W1945" s="11" t="str">
        <f>VLOOKUP(C1945,Customer_Dim!$A:$N,13,FALSE())</f>
        <v>Bronze</v>
      </c>
      <c r="X1945" s="11" t="str">
        <f t="shared" si="216"/>
        <v>High</v>
      </c>
    </row>
    <row r="1946" spans="1:24" ht="15.75" customHeight="1">
      <c r="A1946" s="4" t="s">
        <v>3942</v>
      </c>
      <c r="B1946" s="9">
        <v>45399</v>
      </c>
      <c r="C1946" s="4" t="s">
        <v>1312</v>
      </c>
      <c r="D1946" s="4" t="s">
        <v>1849</v>
      </c>
      <c r="E1946" s="4" t="s">
        <v>1940</v>
      </c>
      <c r="F1946" s="4">
        <v>3</v>
      </c>
      <c r="G1946" s="4">
        <v>758.75</v>
      </c>
      <c r="H1946" s="4">
        <v>0.27</v>
      </c>
      <c r="I1946" s="4" t="s">
        <v>1998</v>
      </c>
      <c r="J1946" s="10">
        <v>1661.6624999999999</v>
      </c>
      <c r="K1946" s="4" t="str">
        <f t="shared" si="210"/>
        <v>17-04-2024</v>
      </c>
      <c r="L1946" s="4" t="str">
        <f>TEXT(Sales_Fact!$B1946,"mmm")</f>
        <v>Apr</v>
      </c>
      <c r="M1946" s="4">
        <f t="shared" si="211"/>
        <v>3</v>
      </c>
      <c r="N1946" s="10">
        <f t="shared" si="212"/>
        <v>758.75</v>
      </c>
      <c r="O1946" s="10">
        <f t="shared" si="213"/>
        <v>1661.6624999999999</v>
      </c>
      <c r="P1946" s="10">
        <f t="shared" si="214"/>
        <v>2276.25</v>
      </c>
      <c r="Q1946" s="3">
        <f t="shared" si="215"/>
        <v>0.27</v>
      </c>
      <c r="R1946" s="4" t="str">
        <f>IF(Sales_Fact!$O1946&gt;1000,"High","Low")</f>
        <v>High</v>
      </c>
      <c r="S1946" s="4" t="str">
        <f>VLOOKUP(C1946,Customer_Dim!$A:$N,9,FALSE())</f>
        <v>Megan Ryan</v>
      </c>
      <c r="T1946" s="4" t="str">
        <f>VLOOKUP(D1946,Product_Dim!$A:$M,3,FALSE())</f>
        <v>Sports</v>
      </c>
      <c r="U1946" s="11" t="str">
        <f>VLOOKUP(D1946,Product_Dim!$A:$M,2,FALSE())</f>
        <v>Badminton Racket Set</v>
      </c>
      <c r="V1946" s="11" t="str">
        <f>VLOOKUP(E1946,Store_Dim!$A:$E,3,FALSE())</f>
        <v>West</v>
      </c>
      <c r="W1946" s="11" t="str">
        <f>VLOOKUP(C1946,Customer_Dim!$A:$N,13,FALSE())</f>
        <v>Bronze</v>
      </c>
      <c r="X1946" s="11" t="str">
        <f t="shared" si="216"/>
        <v>Low</v>
      </c>
    </row>
    <row r="1947" spans="1:24" ht="15.75" customHeight="1">
      <c r="A1947" s="4" t="s">
        <v>3943</v>
      </c>
      <c r="B1947" s="9">
        <v>45556</v>
      </c>
      <c r="C1947" s="4" t="s">
        <v>1039</v>
      </c>
      <c r="D1947" s="4" t="s">
        <v>1903</v>
      </c>
      <c r="E1947" s="4" t="s">
        <v>1934</v>
      </c>
      <c r="F1947" s="4">
        <v>2</v>
      </c>
      <c r="G1947" s="4">
        <v>68.290000000000006</v>
      </c>
      <c r="H1947" s="4">
        <v>0.14000000000000001</v>
      </c>
      <c r="I1947" s="4" t="s">
        <v>2004</v>
      </c>
      <c r="J1947" s="10">
        <v>117.4588</v>
      </c>
      <c r="K1947" s="4" t="str">
        <f t="shared" si="210"/>
        <v>21-09-2024</v>
      </c>
      <c r="L1947" s="4" t="str">
        <f>TEXT(Sales_Fact!$B1947,"mmm")</f>
        <v>Sep</v>
      </c>
      <c r="M1947" s="4">
        <f t="shared" si="211"/>
        <v>2</v>
      </c>
      <c r="N1947" s="10">
        <f t="shared" si="212"/>
        <v>68.290000000000006</v>
      </c>
      <c r="O1947" s="10">
        <f t="shared" si="213"/>
        <v>117.45880000000001</v>
      </c>
      <c r="P1947" s="10">
        <f t="shared" si="214"/>
        <v>136.58000000000001</v>
      </c>
      <c r="Q1947" s="3">
        <f t="shared" si="215"/>
        <v>0.14000000000000001</v>
      </c>
      <c r="R1947" s="4" t="str">
        <f>IF(Sales_Fact!$O1947&gt;1000,"High","Low")</f>
        <v>Low</v>
      </c>
      <c r="S1947" s="4" t="str">
        <f>VLOOKUP(C1947,Customer_Dim!$A:$N,9,FALSE())</f>
        <v>Darren Burton</v>
      </c>
      <c r="T1947" s="4" t="str">
        <f>VLOOKUP(D1947,Product_Dim!$A:$M,3,FALSE())</f>
        <v>Home</v>
      </c>
      <c r="U1947" s="11" t="str">
        <f>VLOOKUP(D1947,Product_Dim!$A:$M,2,FALSE())</f>
        <v>Stainless Steel Cookware Set</v>
      </c>
      <c r="V1947" s="11" t="str">
        <f>VLOOKUP(E1947,Store_Dim!$A:$E,3,FALSE())</f>
        <v>East</v>
      </c>
      <c r="W1947" s="11" t="str">
        <f>VLOOKUP(C1947,Customer_Dim!$A:$N,13,FALSE())</f>
        <v>Bronze</v>
      </c>
      <c r="X1947" s="11" t="str">
        <f t="shared" si="216"/>
        <v>Low</v>
      </c>
    </row>
    <row r="1948" spans="1:24" ht="15.75" customHeight="1">
      <c r="A1948" s="4" t="s">
        <v>3944</v>
      </c>
      <c r="B1948" s="9">
        <v>45689</v>
      </c>
      <c r="C1948" s="4" t="s">
        <v>1003</v>
      </c>
      <c r="D1948" s="4" t="s">
        <v>1788</v>
      </c>
      <c r="E1948" s="4" t="s">
        <v>1931</v>
      </c>
      <c r="F1948" s="4">
        <v>4</v>
      </c>
      <c r="G1948" s="4">
        <v>372.42</v>
      </c>
      <c r="H1948" s="4">
        <v>0.19</v>
      </c>
      <c r="I1948" s="4" t="s">
        <v>1996</v>
      </c>
      <c r="J1948" s="10">
        <v>1206.6407999999999</v>
      </c>
      <c r="K1948" s="4" t="str">
        <f t="shared" si="210"/>
        <v>01-02-2025</v>
      </c>
      <c r="L1948" s="4" t="str">
        <f>TEXT(Sales_Fact!$B1948,"mmm")</f>
        <v>Feb</v>
      </c>
      <c r="M1948" s="4">
        <f t="shared" si="211"/>
        <v>4</v>
      </c>
      <c r="N1948" s="10">
        <f t="shared" si="212"/>
        <v>372.42</v>
      </c>
      <c r="O1948" s="10">
        <f t="shared" si="213"/>
        <v>1206.6408000000001</v>
      </c>
      <c r="P1948" s="10">
        <f t="shared" si="214"/>
        <v>1489.68</v>
      </c>
      <c r="Q1948" s="3">
        <f t="shared" si="215"/>
        <v>0.18999999999999995</v>
      </c>
      <c r="R1948" s="4" t="str">
        <f>IF(Sales_Fact!$O1948&gt;1000,"High","Low")</f>
        <v>High</v>
      </c>
      <c r="S1948" s="4" t="str">
        <f>VLOOKUP(C1948,Customer_Dim!$A:$N,9,FALSE())</f>
        <v>Stacy Collins</v>
      </c>
      <c r="T1948" s="4" t="str">
        <f>VLOOKUP(D1948,Product_Dim!$A:$M,3,FALSE())</f>
        <v>Sports</v>
      </c>
      <c r="U1948" s="11" t="str">
        <f>VLOOKUP(D1948,Product_Dim!$A:$M,2,FALSE())</f>
        <v>Tennis Ball 3-Pack</v>
      </c>
      <c r="V1948" s="11" t="str">
        <f>VLOOKUP(E1948,Store_Dim!$A:$E,3,FALSE())</f>
        <v>North</v>
      </c>
      <c r="W1948" s="11" t="str">
        <f>VLOOKUP(C1948,Customer_Dim!$A:$N,13,FALSE())</f>
        <v>Bronze</v>
      </c>
      <c r="X1948" s="11" t="str">
        <f t="shared" si="216"/>
        <v>High</v>
      </c>
    </row>
    <row r="1949" spans="1:24" ht="15.75" customHeight="1">
      <c r="A1949" s="4" t="s">
        <v>3945</v>
      </c>
      <c r="B1949" s="9">
        <v>45699</v>
      </c>
      <c r="C1949" s="4" t="s">
        <v>541</v>
      </c>
      <c r="D1949" s="4" t="s">
        <v>1794</v>
      </c>
      <c r="E1949" s="4" t="s">
        <v>1971</v>
      </c>
      <c r="F1949" s="4">
        <v>4</v>
      </c>
      <c r="G1949" s="4">
        <v>286.27999999999997</v>
      </c>
      <c r="H1949" s="4">
        <v>0.28000000000000003</v>
      </c>
      <c r="I1949" s="4" t="s">
        <v>1998</v>
      </c>
      <c r="J1949" s="10">
        <v>824.4864</v>
      </c>
      <c r="K1949" s="4" t="str">
        <f t="shared" si="210"/>
        <v>11-02-2025</v>
      </c>
      <c r="L1949" s="4" t="str">
        <f>TEXT(Sales_Fact!$B1949,"mmm")</f>
        <v>Feb</v>
      </c>
      <c r="M1949" s="4">
        <f t="shared" si="211"/>
        <v>4</v>
      </c>
      <c r="N1949" s="10">
        <f t="shared" si="212"/>
        <v>286.27999999999997</v>
      </c>
      <c r="O1949" s="10">
        <f t="shared" si="213"/>
        <v>824.48639999999989</v>
      </c>
      <c r="P1949" s="10">
        <f t="shared" si="214"/>
        <v>1145.1199999999999</v>
      </c>
      <c r="Q1949" s="3">
        <f t="shared" si="215"/>
        <v>0.28000000000000003</v>
      </c>
      <c r="R1949" s="4" t="str">
        <f>IF(Sales_Fact!$O1949&gt;1000,"High","Low")</f>
        <v>Low</v>
      </c>
      <c r="S1949" s="4" t="str">
        <f>VLOOKUP(C1949,Customer_Dim!$A:$N,9,FALSE())</f>
        <v>Julie Hale</v>
      </c>
      <c r="T1949" s="4" t="str">
        <f>VLOOKUP(D1949,Product_Dim!$A:$M,3,FALSE())</f>
        <v>Beauty</v>
      </c>
      <c r="U1949" s="11" t="str">
        <f>VLOOKUP(D1949,Product_Dim!$A:$M,2,FALSE())</f>
        <v>Organic Sunscreen Lotion</v>
      </c>
      <c r="V1949" s="11" t="str">
        <f>VLOOKUP(E1949,Store_Dim!$A:$E,3,FALSE())</f>
        <v>East</v>
      </c>
      <c r="W1949" s="11" t="str">
        <f>VLOOKUP(C1949,Customer_Dim!$A:$N,13,FALSE())</f>
        <v>Gold</v>
      </c>
      <c r="X1949" s="11" t="str">
        <f t="shared" si="216"/>
        <v>High</v>
      </c>
    </row>
    <row r="1950" spans="1:24" ht="15.75" customHeight="1">
      <c r="A1950" s="4" t="s">
        <v>3946</v>
      </c>
      <c r="B1950" s="9">
        <v>45663</v>
      </c>
      <c r="C1950" s="4" t="s">
        <v>915</v>
      </c>
      <c r="D1950" s="4" t="s">
        <v>1825</v>
      </c>
      <c r="E1950" s="4" t="s">
        <v>1950</v>
      </c>
      <c r="F1950" s="4">
        <v>3</v>
      </c>
      <c r="G1950" s="4">
        <v>488.37</v>
      </c>
      <c r="H1950" s="4">
        <v>0.27</v>
      </c>
      <c r="I1950" s="4" t="s">
        <v>2004</v>
      </c>
      <c r="J1950" s="10">
        <v>1069.5302999999999</v>
      </c>
      <c r="K1950" s="4" t="str">
        <f t="shared" si="210"/>
        <v>06-01-2025</v>
      </c>
      <c r="L1950" s="4" t="str">
        <f>TEXT(Sales_Fact!$B1950,"mmm")</f>
        <v>Jan</v>
      </c>
      <c r="M1950" s="4">
        <f t="shared" si="211"/>
        <v>3</v>
      </c>
      <c r="N1950" s="10">
        <f t="shared" si="212"/>
        <v>488.37</v>
      </c>
      <c r="O1950" s="10">
        <f t="shared" si="213"/>
        <v>1069.5303000000001</v>
      </c>
      <c r="P1950" s="10">
        <f t="shared" si="214"/>
        <v>1465.1100000000001</v>
      </c>
      <c r="Q1950" s="3">
        <f t="shared" si="215"/>
        <v>0.26999999999999996</v>
      </c>
      <c r="R1950" s="4" t="str">
        <f>IF(Sales_Fact!$O1950&gt;1000,"High","Low")</f>
        <v>High</v>
      </c>
      <c r="S1950" s="4" t="str">
        <f>VLOOKUP(C1950,Customer_Dim!$A:$N,9,FALSE())</f>
        <v>Aaron Luna</v>
      </c>
      <c r="T1950" s="4" t="str">
        <f>VLOOKUP(D1950,Product_Dim!$A:$M,3,FALSE())</f>
        <v>Sports</v>
      </c>
      <c r="U1950" s="11" t="str">
        <f>VLOOKUP(D1950,Product_Dim!$A:$M,2,FALSE())</f>
        <v>Shin Guards – Adult</v>
      </c>
      <c r="V1950" s="11" t="str">
        <f>VLOOKUP(E1950,Store_Dim!$A:$E,3,FALSE())</f>
        <v>South</v>
      </c>
      <c r="W1950" s="11" t="str">
        <f>VLOOKUP(C1950,Customer_Dim!$A:$N,13,FALSE())</f>
        <v>Bronze</v>
      </c>
      <c r="X1950" s="11" t="str">
        <f t="shared" si="216"/>
        <v>Low</v>
      </c>
    </row>
    <row r="1951" spans="1:24" ht="15.75" customHeight="1">
      <c r="A1951" s="4" t="s">
        <v>3947</v>
      </c>
      <c r="B1951" s="9">
        <v>45377</v>
      </c>
      <c r="C1951" s="4" t="s">
        <v>1475</v>
      </c>
      <c r="D1951" s="4" t="s">
        <v>1867</v>
      </c>
      <c r="E1951" s="4" t="s">
        <v>1940</v>
      </c>
      <c r="F1951" s="4">
        <v>3</v>
      </c>
      <c r="G1951" s="4">
        <v>662.82</v>
      </c>
      <c r="H1951" s="4">
        <v>0.01</v>
      </c>
      <c r="I1951" s="4" t="s">
        <v>2004</v>
      </c>
      <c r="J1951" s="10">
        <v>1968.5753999999999</v>
      </c>
      <c r="K1951" s="4" t="str">
        <f t="shared" si="210"/>
        <v>26-03-2024</v>
      </c>
      <c r="L1951" s="4" t="str">
        <f>TEXT(Sales_Fact!$B1951,"mmm")</f>
        <v>Mar</v>
      </c>
      <c r="M1951" s="4">
        <f t="shared" si="211"/>
        <v>3</v>
      </c>
      <c r="N1951" s="10">
        <f t="shared" si="212"/>
        <v>662.82</v>
      </c>
      <c r="O1951" s="10">
        <f t="shared" si="213"/>
        <v>1968.5753999999999</v>
      </c>
      <c r="P1951" s="10">
        <f t="shared" si="214"/>
        <v>1988.46</v>
      </c>
      <c r="Q1951" s="3">
        <f t="shared" si="215"/>
        <v>1.0000000000000045E-2</v>
      </c>
      <c r="R1951" s="4" t="str">
        <f>IF(Sales_Fact!$O1951&gt;1000,"High","Low")</f>
        <v>High</v>
      </c>
      <c r="S1951" s="4" t="str">
        <f>VLOOKUP(C1951,Customer_Dim!$A:$N,9,FALSE())</f>
        <v>James Foster</v>
      </c>
      <c r="T1951" s="4" t="str">
        <f>VLOOKUP(D1951,Product_Dim!$A:$M,3,FALSE())</f>
        <v>Home</v>
      </c>
      <c r="U1951" s="11" t="str">
        <f>VLOOKUP(D1951,Product_Dim!$A:$M,2,FALSE())</f>
        <v>LED Bedside Lamp</v>
      </c>
      <c r="V1951" s="11" t="str">
        <f>VLOOKUP(E1951,Store_Dim!$A:$E,3,FALSE())</f>
        <v>West</v>
      </c>
      <c r="W1951" s="11" t="str">
        <f>VLOOKUP(C1951,Customer_Dim!$A:$N,13,FALSE())</f>
        <v>Gold</v>
      </c>
      <c r="X1951" s="11" t="str">
        <f t="shared" si="216"/>
        <v>Low</v>
      </c>
    </row>
    <row r="1952" spans="1:24" ht="15.75" customHeight="1">
      <c r="A1952" s="4" t="s">
        <v>3948</v>
      </c>
      <c r="B1952" s="9">
        <v>45412</v>
      </c>
      <c r="C1952" s="4" t="s">
        <v>1556</v>
      </c>
      <c r="D1952" s="4" t="s">
        <v>1603</v>
      </c>
      <c r="E1952" s="4" t="s">
        <v>1962</v>
      </c>
      <c r="F1952" s="4">
        <v>2</v>
      </c>
      <c r="G1952" s="4">
        <v>824.34</v>
      </c>
      <c r="H1952" s="4">
        <v>0.1</v>
      </c>
      <c r="I1952" s="4" t="s">
        <v>2004</v>
      </c>
      <c r="J1952" s="10">
        <v>1483.8119999999999</v>
      </c>
      <c r="K1952" s="4" t="str">
        <f t="shared" si="210"/>
        <v>30-04-2024</v>
      </c>
      <c r="L1952" s="4" t="str">
        <f>TEXT(Sales_Fact!$B1952,"mmm")</f>
        <v>Apr</v>
      </c>
      <c r="M1952" s="4">
        <f t="shared" si="211"/>
        <v>2</v>
      </c>
      <c r="N1952" s="10">
        <f t="shared" si="212"/>
        <v>824.34</v>
      </c>
      <c r="O1952" s="10">
        <f t="shared" si="213"/>
        <v>1483.8120000000001</v>
      </c>
      <c r="P1952" s="10">
        <f t="shared" si="214"/>
        <v>1648.68</v>
      </c>
      <c r="Q1952" s="3">
        <f t="shared" si="215"/>
        <v>9.9999999999999964E-2</v>
      </c>
      <c r="R1952" s="4" t="str">
        <f>IF(Sales_Fact!$O1952&gt;1000,"High","Low")</f>
        <v>High</v>
      </c>
      <c r="S1952" s="4" t="str">
        <f>VLOOKUP(C1952,Customer_Dim!$A:$N,9,FALSE())</f>
        <v>Sarah Marsh</v>
      </c>
      <c r="T1952" s="4" t="str">
        <f>VLOOKUP(D1952,Product_Dim!$A:$M,3,FALSE())</f>
        <v>Beauty</v>
      </c>
      <c r="U1952" s="11" t="str">
        <f>VLOOKUP(D1952,Product_Dim!$A:$M,2,FALSE())</f>
        <v>Herbal Face Moisturizer</v>
      </c>
      <c r="V1952" s="11" t="str">
        <f>VLOOKUP(E1952,Store_Dim!$A:$E,3,FALSE())</f>
        <v>West</v>
      </c>
      <c r="W1952" s="11" t="str">
        <f>VLOOKUP(C1952,Customer_Dim!$A:$N,13,FALSE())</f>
        <v>Gold</v>
      </c>
      <c r="X1952" s="11" t="str">
        <f t="shared" si="216"/>
        <v>Low</v>
      </c>
    </row>
    <row r="1953" spans="1:24" ht="15.75" customHeight="1">
      <c r="A1953" s="4" t="s">
        <v>3949</v>
      </c>
      <c r="B1953" s="9">
        <v>45349</v>
      </c>
      <c r="C1953" s="4" t="s">
        <v>417</v>
      </c>
      <c r="D1953" s="4" t="s">
        <v>1782</v>
      </c>
      <c r="E1953" s="4" t="s">
        <v>1940</v>
      </c>
      <c r="F1953" s="4">
        <v>1</v>
      </c>
      <c r="G1953" s="4">
        <v>437.12</v>
      </c>
      <c r="H1953" s="4">
        <v>0.21</v>
      </c>
      <c r="I1953" s="4" t="s">
        <v>1996</v>
      </c>
      <c r="J1953" s="10">
        <v>345.32479999999998</v>
      </c>
      <c r="K1953" s="4" t="str">
        <f t="shared" si="210"/>
        <v>27-02-2024</v>
      </c>
      <c r="L1953" s="4" t="str">
        <f>TEXT(Sales_Fact!$B1953,"mmm")</f>
        <v>Feb</v>
      </c>
      <c r="M1953" s="4">
        <f t="shared" si="211"/>
        <v>1</v>
      </c>
      <c r="N1953" s="10">
        <f t="shared" si="212"/>
        <v>437.12</v>
      </c>
      <c r="O1953" s="10">
        <f t="shared" si="213"/>
        <v>345.32480000000004</v>
      </c>
      <c r="P1953" s="10">
        <f t="shared" si="214"/>
        <v>437.12</v>
      </c>
      <c r="Q1953" s="3">
        <f t="shared" si="215"/>
        <v>0.20999999999999991</v>
      </c>
      <c r="R1953" s="4" t="str">
        <f>IF(Sales_Fact!$O1953&gt;1000,"High","Low")</f>
        <v>Low</v>
      </c>
      <c r="S1953" s="4" t="str">
        <f>VLOOKUP(C1953,Customer_Dim!$A:$N,9,FALSE())</f>
        <v>Edward Hall</v>
      </c>
      <c r="T1953" s="4" t="str">
        <f>VLOOKUP(D1953,Product_Dim!$A:$M,3,FALSE())</f>
        <v>Beauty</v>
      </c>
      <c r="U1953" s="11" t="str">
        <f>VLOOKUP(D1953,Product_Dim!$A:$M,2,FALSE())</f>
        <v>Men's Hair Styling Gel</v>
      </c>
      <c r="V1953" s="11" t="str">
        <f>VLOOKUP(E1953,Store_Dim!$A:$E,3,FALSE())</f>
        <v>West</v>
      </c>
      <c r="W1953" s="11" t="str">
        <f>VLOOKUP(C1953,Customer_Dim!$A:$N,13,FALSE())</f>
        <v>Gold</v>
      </c>
      <c r="X1953" s="11" t="str">
        <f t="shared" si="216"/>
        <v>Low</v>
      </c>
    </row>
    <row r="1954" spans="1:24" ht="15.75" customHeight="1">
      <c r="A1954" s="4" t="s">
        <v>3950</v>
      </c>
      <c r="B1954" s="9">
        <v>45486</v>
      </c>
      <c r="C1954" s="4" t="s">
        <v>1147</v>
      </c>
      <c r="D1954" s="4" t="s">
        <v>1870</v>
      </c>
      <c r="E1954" s="4" t="s">
        <v>1934</v>
      </c>
      <c r="F1954" s="4">
        <v>3</v>
      </c>
      <c r="G1954" s="4">
        <v>23.37</v>
      </c>
      <c r="H1954" s="4">
        <v>0.15</v>
      </c>
      <c r="I1954" s="4" t="s">
        <v>1998</v>
      </c>
      <c r="J1954" s="10">
        <v>59.593499999999999</v>
      </c>
      <c r="K1954" s="4" t="str">
        <f t="shared" si="210"/>
        <v>13-07-2024</v>
      </c>
      <c r="L1954" s="4" t="str">
        <f>TEXT(Sales_Fact!$B1954,"mmm")</f>
        <v>Jul</v>
      </c>
      <c r="M1954" s="4">
        <f t="shared" si="211"/>
        <v>3</v>
      </c>
      <c r="N1954" s="10">
        <f t="shared" si="212"/>
        <v>23.37</v>
      </c>
      <c r="O1954" s="10">
        <f t="shared" si="213"/>
        <v>59.593499999999999</v>
      </c>
      <c r="P1954" s="10">
        <f t="shared" si="214"/>
        <v>70.11</v>
      </c>
      <c r="Q1954" s="3">
        <f t="shared" si="215"/>
        <v>0.15000000000000002</v>
      </c>
      <c r="R1954" s="4" t="str">
        <f>IF(Sales_Fact!$O1954&gt;1000,"High","Low")</f>
        <v>Low</v>
      </c>
      <c r="S1954" s="4" t="str">
        <f>VLOOKUP(C1954,Customer_Dim!$A:$N,9,FALSE())</f>
        <v>Manuel Castillo</v>
      </c>
      <c r="T1954" s="4" t="str">
        <f>VLOOKUP(D1954,Product_Dim!$A:$M,3,FALSE())</f>
        <v>Sports</v>
      </c>
      <c r="U1954" s="11" t="str">
        <f>VLOOKUP(D1954,Product_Dim!$A:$M,2,FALSE())</f>
        <v>Sports Wrist Sweatbands</v>
      </c>
      <c r="V1954" s="11" t="str">
        <f>VLOOKUP(E1954,Store_Dim!$A:$E,3,FALSE())</f>
        <v>East</v>
      </c>
      <c r="W1954" s="11" t="str">
        <f>VLOOKUP(C1954,Customer_Dim!$A:$N,13,FALSE())</f>
        <v>Gold</v>
      </c>
      <c r="X1954" s="11" t="str">
        <f t="shared" si="216"/>
        <v>Low</v>
      </c>
    </row>
    <row r="1955" spans="1:24" ht="15.75" customHeight="1">
      <c r="A1955" s="4" t="s">
        <v>3951</v>
      </c>
      <c r="B1955" s="9">
        <v>45761</v>
      </c>
      <c r="C1955" s="4" t="s">
        <v>641</v>
      </c>
      <c r="D1955" s="4" t="s">
        <v>1709</v>
      </c>
      <c r="E1955" s="4" t="s">
        <v>1940</v>
      </c>
      <c r="F1955" s="4">
        <v>1</v>
      </c>
      <c r="G1955" s="4">
        <v>579.69000000000005</v>
      </c>
      <c r="H1955" s="4">
        <v>0.02</v>
      </c>
      <c r="I1955" s="4" t="s">
        <v>1996</v>
      </c>
      <c r="J1955" s="10">
        <v>568.09619999999995</v>
      </c>
      <c r="K1955" s="4" t="str">
        <f t="shared" si="210"/>
        <v>14-04-2025</v>
      </c>
      <c r="L1955" s="4" t="str">
        <f>TEXT(Sales_Fact!$B1955,"mmm")</f>
        <v>Apr</v>
      </c>
      <c r="M1955" s="4">
        <f t="shared" si="211"/>
        <v>1</v>
      </c>
      <c r="N1955" s="10">
        <f t="shared" si="212"/>
        <v>579.69000000000005</v>
      </c>
      <c r="O1955" s="10">
        <f t="shared" si="213"/>
        <v>568.09620000000007</v>
      </c>
      <c r="P1955" s="10">
        <f t="shared" si="214"/>
        <v>579.69000000000005</v>
      </c>
      <c r="Q1955" s="3">
        <f t="shared" si="215"/>
        <v>1.9999999999999976E-2</v>
      </c>
      <c r="R1955" s="4" t="str">
        <f>IF(Sales_Fact!$O1955&gt;1000,"High","Low")</f>
        <v>Low</v>
      </c>
      <c r="S1955" s="4" t="str">
        <f>VLOOKUP(C1955,Customer_Dim!$A:$N,9,FALSE())</f>
        <v>Dr. Suzanne Bullock</v>
      </c>
      <c r="T1955" s="4" t="str">
        <f>VLOOKUP(D1955,Product_Dim!$A:$M,3,FALSE())</f>
        <v>Clothing</v>
      </c>
      <c r="U1955" s="11" t="str">
        <f>VLOOKUP(D1955,Product_Dim!$A:$M,2,FALSE())</f>
        <v>Women's Summer Dress</v>
      </c>
      <c r="V1955" s="11" t="str">
        <f>VLOOKUP(E1955,Store_Dim!$A:$E,3,FALSE())</f>
        <v>West</v>
      </c>
      <c r="W1955" s="11" t="str">
        <f>VLOOKUP(C1955,Customer_Dim!$A:$N,13,FALSE())</f>
        <v>Platinum</v>
      </c>
      <c r="X1955" s="11" t="str">
        <f t="shared" si="216"/>
        <v>Low</v>
      </c>
    </row>
    <row r="1956" spans="1:24" ht="15.75" customHeight="1">
      <c r="A1956" s="4" t="s">
        <v>3952</v>
      </c>
      <c r="B1956" s="9">
        <v>45639</v>
      </c>
      <c r="C1956" s="4" t="s">
        <v>1363</v>
      </c>
      <c r="D1956" s="4" t="s">
        <v>1840</v>
      </c>
      <c r="E1956" s="4" t="s">
        <v>1957</v>
      </c>
      <c r="F1956" s="4">
        <v>3</v>
      </c>
      <c r="G1956" s="4">
        <v>240.51</v>
      </c>
      <c r="H1956" s="4">
        <v>7.0000000000000007E-2</v>
      </c>
      <c r="I1956" s="4" t="s">
        <v>1996</v>
      </c>
      <c r="J1956" s="10">
        <v>671.02290000000005</v>
      </c>
      <c r="K1956" s="4" t="str">
        <f t="shared" si="210"/>
        <v>13-12-2024</v>
      </c>
      <c r="L1956" s="4" t="str">
        <f>TEXT(Sales_Fact!$B1956,"mmm")</f>
        <v>Dec</v>
      </c>
      <c r="M1956" s="4">
        <f t="shared" si="211"/>
        <v>3</v>
      </c>
      <c r="N1956" s="10">
        <f t="shared" si="212"/>
        <v>240.51</v>
      </c>
      <c r="O1956" s="10">
        <f t="shared" si="213"/>
        <v>671.02289999999994</v>
      </c>
      <c r="P1956" s="10">
        <f t="shared" si="214"/>
        <v>721.53</v>
      </c>
      <c r="Q1956" s="3">
        <f t="shared" si="215"/>
        <v>7.0000000000000048E-2</v>
      </c>
      <c r="R1956" s="4" t="str">
        <f>IF(Sales_Fact!$O1956&gt;1000,"High","Low")</f>
        <v>Low</v>
      </c>
      <c r="S1956" s="4" t="str">
        <f>VLOOKUP(C1956,Customer_Dim!$A:$N,9,FALSE())</f>
        <v>Kimberly Roberts</v>
      </c>
      <c r="T1956" s="4" t="str">
        <f>VLOOKUP(D1956,Product_Dim!$A:$M,3,FALSE())</f>
        <v>Home</v>
      </c>
      <c r="U1956" s="11" t="str">
        <f>VLOOKUP(D1956,Product_Dim!$A:$M,2,FALSE())</f>
        <v>Essential Oil Diffuser</v>
      </c>
      <c r="V1956" s="11" t="str">
        <f>VLOOKUP(E1956,Store_Dim!$A:$E,3,FALSE())</f>
        <v>South</v>
      </c>
      <c r="W1956" s="11" t="str">
        <f>VLOOKUP(C1956,Customer_Dim!$A:$N,13,FALSE())</f>
        <v>Gold</v>
      </c>
      <c r="X1956" s="11" t="str">
        <f t="shared" si="216"/>
        <v>Low</v>
      </c>
    </row>
    <row r="1957" spans="1:24" ht="15.75" customHeight="1">
      <c r="A1957" s="4" t="s">
        <v>3953</v>
      </c>
      <c r="B1957" s="9">
        <v>45893</v>
      </c>
      <c r="C1957" s="4" t="s">
        <v>1222</v>
      </c>
      <c r="D1957" s="4" t="s">
        <v>1675</v>
      </c>
      <c r="E1957" s="4" t="s">
        <v>1957</v>
      </c>
      <c r="F1957" s="4">
        <v>2</v>
      </c>
      <c r="G1957" s="4">
        <v>855.4</v>
      </c>
      <c r="H1957" s="4">
        <v>0.08</v>
      </c>
      <c r="I1957" s="4" t="s">
        <v>2004</v>
      </c>
      <c r="J1957" s="10">
        <v>1573.9359999999999</v>
      </c>
      <c r="K1957" s="4" t="str">
        <f t="shared" si="210"/>
        <v>24-08-2025</v>
      </c>
      <c r="L1957" s="4" t="str">
        <f>TEXT(Sales_Fact!$B1957,"mmm")</f>
        <v>Aug</v>
      </c>
      <c r="M1957" s="4">
        <f t="shared" si="211"/>
        <v>2</v>
      </c>
      <c r="N1957" s="10">
        <f t="shared" si="212"/>
        <v>855.4</v>
      </c>
      <c r="O1957" s="10">
        <f t="shared" si="213"/>
        <v>1573.9359999999999</v>
      </c>
      <c r="P1957" s="10">
        <f t="shared" si="214"/>
        <v>1710.8</v>
      </c>
      <c r="Q1957" s="3">
        <f t="shared" si="215"/>
        <v>8.0000000000000016E-2</v>
      </c>
      <c r="R1957" s="4" t="str">
        <f>IF(Sales_Fact!$O1957&gt;1000,"High","Low")</f>
        <v>High</v>
      </c>
      <c r="S1957" s="4" t="str">
        <f>VLOOKUP(C1957,Customer_Dim!$A:$N,9,FALSE())</f>
        <v>Martha Brown</v>
      </c>
      <c r="T1957" s="4" t="str">
        <f>VLOOKUP(D1957,Product_Dim!$A:$M,3,FALSE())</f>
        <v>Clothing</v>
      </c>
      <c r="U1957" s="11" t="str">
        <f>VLOOKUP(D1957,Product_Dim!$A:$M,2,FALSE())</f>
        <v>Women's Scarf Set</v>
      </c>
      <c r="V1957" s="11" t="str">
        <f>VLOOKUP(E1957,Store_Dim!$A:$E,3,FALSE())</f>
        <v>South</v>
      </c>
      <c r="W1957" s="11" t="str">
        <f>VLOOKUP(C1957,Customer_Dim!$A:$N,13,FALSE())</f>
        <v>Gold</v>
      </c>
      <c r="X1957" s="11" t="str">
        <f t="shared" si="216"/>
        <v>Low</v>
      </c>
    </row>
    <row r="1958" spans="1:24" ht="15.75" customHeight="1">
      <c r="A1958" s="4" t="s">
        <v>3954</v>
      </c>
      <c r="B1958" s="9">
        <v>45523</v>
      </c>
      <c r="C1958" s="4" t="s">
        <v>810</v>
      </c>
      <c r="D1958" s="4" t="s">
        <v>1755</v>
      </c>
      <c r="E1958" s="4" t="s">
        <v>1947</v>
      </c>
      <c r="F1958" s="4">
        <v>1</v>
      </c>
      <c r="G1958" s="4">
        <v>842.9</v>
      </c>
      <c r="H1958" s="4">
        <v>0.06</v>
      </c>
      <c r="I1958" s="4" t="s">
        <v>2004</v>
      </c>
      <c r="J1958" s="10">
        <v>792.32600000000002</v>
      </c>
      <c r="K1958" s="4" t="str">
        <f t="shared" si="210"/>
        <v>19-08-2024</v>
      </c>
      <c r="L1958" s="4" t="str">
        <f>TEXT(Sales_Fact!$B1958,"mmm")</f>
        <v>Aug</v>
      </c>
      <c r="M1958" s="4">
        <f t="shared" si="211"/>
        <v>1</v>
      </c>
      <c r="N1958" s="10">
        <f t="shared" si="212"/>
        <v>842.9</v>
      </c>
      <c r="O1958" s="10">
        <f t="shared" si="213"/>
        <v>792.32599999999991</v>
      </c>
      <c r="P1958" s="10">
        <f t="shared" si="214"/>
        <v>842.9</v>
      </c>
      <c r="Q1958" s="3">
        <f t="shared" si="215"/>
        <v>6.0000000000000081E-2</v>
      </c>
      <c r="R1958" s="4" t="str">
        <f>IF(Sales_Fact!$O1958&gt;1000,"High","Low")</f>
        <v>Low</v>
      </c>
      <c r="S1958" s="4" t="str">
        <f>VLOOKUP(C1958,Customer_Dim!$A:$N,9,FALSE())</f>
        <v>Nancy Page</v>
      </c>
      <c r="T1958" s="4" t="str">
        <f>VLOOKUP(D1958,Product_Dim!$A:$M,3,FALSE())</f>
        <v>Sports</v>
      </c>
      <c r="U1958" s="11" t="str">
        <f>VLOOKUP(D1958,Product_Dim!$A:$M,2,FALSE())</f>
        <v>Boxing Hand Wraps</v>
      </c>
      <c r="V1958" s="11" t="str">
        <f>VLOOKUP(E1958,Store_Dim!$A:$E,3,FALSE())</f>
        <v>East</v>
      </c>
      <c r="W1958" s="11" t="str">
        <f>VLOOKUP(C1958,Customer_Dim!$A:$N,13,FALSE())</f>
        <v>Bronze</v>
      </c>
      <c r="X1958" s="11" t="str">
        <f t="shared" si="216"/>
        <v>Low</v>
      </c>
    </row>
    <row r="1959" spans="1:24" ht="15.75" customHeight="1">
      <c r="A1959" s="4" t="s">
        <v>3955</v>
      </c>
      <c r="B1959" s="9">
        <v>45227</v>
      </c>
      <c r="C1959" s="4" t="s">
        <v>59</v>
      </c>
      <c r="D1959" s="4" t="s">
        <v>1876</v>
      </c>
      <c r="E1959" s="4" t="s">
        <v>1937</v>
      </c>
      <c r="F1959" s="4">
        <v>1</v>
      </c>
      <c r="G1959" s="4">
        <v>537.26</v>
      </c>
      <c r="H1959" s="4">
        <v>0.09</v>
      </c>
      <c r="I1959" s="4" t="s">
        <v>1996</v>
      </c>
      <c r="J1959" s="10">
        <v>488.90660000000003</v>
      </c>
      <c r="K1959" s="4" t="str">
        <f t="shared" si="210"/>
        <v>28-10-2023</v>
      </c>
      <c r="L1959" s="4" t="str">
        <f>TEXT(Sales_Fact!$B1959,"mmm")</f>
        <v>Oct</v>
      </c>
      <c r="M1959" s="4">
        <f t="shared" si="211"/>
        <v>1</v>
      </c>
      <c r="N1959" s="10">
        <f t="shared" si="212"/>
        <v>537.26</v>
      </c>
      <c r="O1959" s="10">
        <f t="shared" si="213"/>
        <v>488.90660000000003</v>
      </c>
      <c r="P1959" s="10">
        <f t="shared" si="214"/>
        <v>537.26</v>
      </c>
      <c r="Q1959" s="3">
        <f t="shared" si="215"/>
        <v>8.9999999999999941E-2</v>
      </c>
      <c r="R1959" s="4" t="str">
        <f>IF(Sales_Fact!$O1959&gt;1000,"High","Low")</f>
        <v>Low</v>
      </c>
      <c r="S1959" s="4" t="str">
        <f>VLOOKUP(C1959,Customer_Dim!$A:$N,9,FALSE())</f>
        <v>Daniel Boyd</v>
      </c>
      <c r="T1959" s="4" t="str">
        <f>VLOOKUP(D1959,Product_Dim!$A:$M,3,FALSE())</f>
        <v>Electronics</v>
      </c>
      <c r="U1959" s="11" t="str">
        <f>VLOOKUP(D1959,Product_Dim!$A:$M,2,FALSE())</f>
        <v>Gaming Mouse Pad XL</v>
      </c>
      <c r="V1959" s="11" t="str">
        <f>VLOOKUP(E1959,Store_Dim!$A:$E,3,FALSE())</f>
        <v>South</v>
      </c>
      <c r="W1959" s="11" t="str">
        <f>VLOOKUP(C1959,Customer_Dim!$A:$N,13,FALSE())</f>
        <v>Bronze</v>
      </c>
      <c r="X1959" s="11" t="str">
        <f t="shared" si="216"/>
        <v>Low</v>
      </c>
    </row>
    <row r="1960" spans="1:24" ht="15.75" customHeight="1">
      <c r="A1960" s="4" t="s">
        <v>3956</v>
      </c>
      <c r="B1960" s="9">
        <v>45637</v>
      </c>
      <c r="C1960" s="4" t="s">
        <v>1228</v>
      </c>
      <c r="D1960" s="4" t="s">
        <v>1758</v>
      </c>
      <c r="E1960" s="4" t="s">
        <v>1947</v>
      </c>
      <c r="F1960" s="4">
        <v>3</v>
      </c>
      <c r="G1960" s="4">
        <v>918.26</v>
      </c>
      <c r="H1960" s="4">
        <v>0.17</v>
      </c>
      <c r="I1960" s="4" t="s">
        <v>2004</v>
      </c>
      <c r="J1960" s="10">
        <v>2286.4674</v>
      </c>
      <c r="K1960" s="4" t="str">
        <f t="shared" si="210"/>
        <v>11-12-2024</v>
      </c>
      <c r="L1960" s="4" t="str">
        <f>TEXT(Sales_Fact!$B1960,"mmm")</f>
        <v>Dec</v>
      </c>
      <c r="M1960" s="4">
        <f t="shared" si="211"/>
        <v>3</v>
      </c>
      <c r="N1960" s="10">
        <f t="shared" si="212"/>
        <v>918.26</v>
      </c>
      <c r="O1960" s="10">
        <f t="shared" si="213"/>
        <v>2286.4673999999995</v>
      </c>
      <c r="P1960" s="10">
        <f t="shared" si="214"/>
        <v>2754.7799999999997</v>
      </c>
      <c r="Q1960" s="3">
        <f t="shared" si="215"/>
        <v>0.1700000000000001</v>
      </c>
      <c r="R1960" s="4" t="str">
        <f>IF(Sales_Fact!$O1960&gt;1000,"High","Low")</f>
        <v>High</v>
      </c>
      <c r="S1960" s="4" t="str">
        <f>VLOOKUP(C1960,Customer_Dim!$A:$N,9,FALSE())</f>
        <v>Andrew Mason</v>
      </c>
      <c r="T1960" s="4" t="str">
        <f>VLOOKUP(D1960,Product_Dim!$A:$M,3,FALSE())</f>
        <v>Electronics</v>
      </c>
      <c r="U1960" s="11" t="str">
        <f>VLOOKUP(D1960,Product_Dim!$A:$M,2,FALSE())</f>
        <v>HDMI Cable – 2m</v>
      </c>
      <c r="V1960" s="11" t="str">
        <f>VLOOKUP(E1960,Store_Dim!$A:$E,3,FALSE())</f>
        <v>East</v>
      </c>
      <c r="W1960" s="11" t="str">
        <f>VLOOKUP(C1960,Customer_Dim!$A:$N,13,FALSE())</f>
        <v>Bronze</v>
      </c>
      <c r="X1960" s="11" t="str">
        <f t="shared" si="216"/>
        <v>Low</v>
      </c>
    </row>
    <row r="1961" spans="1:24" ht="15.75" customHeight="1">
      <c r="A1961" s="4" t="s">
        <v>3957</v>
      </c>
      <c r="B1961" s="9">
        <v>45472</v>
      </c>
      <c r="C1961" s="4" t="s">
        <v>362</v>
      </c>
      <c r="D1961" s="4" t="s">
        <v>1603</v>
      </c>
      <c r="E1961" s="4" t="s">
        <v>1944</v>
      </c>
      <c r="F1961" s="4">
        <v>4</v>
      </c>
      <c r="G1961" s="4">
        <v>579.70000000000005</v>
      </c>
      <c r="H1961" s="4">
        <v>0.18</v>
      </c>
      <c r="I1961" s="4" t="s">
        <v>1998</v>
      </c>
      <c r="J1961" s="10">
        <v>1901.4159999999999</v>
      </c>
      <c r="K1961" s="4" t="str">
        <f t="shared" si="210"/>
        <v>29-06-2024</v>
      </c>
      <c r="L1961" s="4" t="str">
        <f>TEXT(Sales_Fact!$B1961,"mmm")</f>
        <v>Jun</v>
      </c>
      <c r="M1961" s="4">
        <f t="shared" si="211"/>
        <v>4</v>
      </c>
      <c r="N1961" s="10">
        <f t="shared" si="212"/>
        <v>579.70000000000005</v>
      </c>
      <c r="O1961" s="10">
        <f t="shared" si="213"/>
        <v>1901.4160000000004</v>
      </c>
      <c r="P1961" s="10">
        <f t="shared" si="214"/>
        <v>2318.8000000000002</v>
      </c>
      <c r="Q1961" s="3">
        <f t="shared" si="215"/>
        <v>0.17999999999999988</v>
      </c>
      <c r="R1961" s="4" t="str">
        <f>IF(Sales_Fact!$O1961&gt;1000,"High","Low")</f>
        <v>High</v>
      </c>
      <c r="S1961" s="4" t="str">
        <f>VLOOKUP(C1961,Customer_Dim!$A:$N,9,FALSE())</f>
        <v>Amy Fowler</v>
      </c>
      <c r="T1961" s="4" t="str">
        <f>VLOOKUP(D1961,Product_Dim!$A:$M,3,FALSE())</f>
        <v>Beauty</v>
      </c>
      <c r="U1961" s="11" t="str">
        <f>VLOOKUP(D1961,Product_Dim!$A:$M,2,FALSE())</f>
        <v>Herbal Face Moisturizer</v>
      </c>
      <c r="V1961" s="11" t="str">
        <f>VLOOKUP(E1961,Store_Dim!$A:$E,3,FALSE())</f>
        <v>South</v>
      </c>
      <c r="W1961" s="11" t="str">
        <f>VLOOKUP(C1961,Customer_Dim!$A:$N,13,FALSE())</f>
        <v>Platinum</v>
      </c>
      <c r="X1961" s="11" t="str">
        <f t="shared" si="216"/>
        <v>High</v>
      </c>
    </row>
    <row r="1962" spans="1:24" ht="15.75" customHeight="1">
      <c r="A1962" s="4" t="s">
        <v>3958</v>
      </c>
      <c r="B1962" s="9">
        <v>45710</v>
      </c>
      <c r="C1962" s="4" t="s">
        <v>514</v>
      </c>
      <c r="D1962" s="4" t="s">
        <v>1732</v>
      </c>
      <c r="E1962" s="4" t="s">
        <v>1934</v>
      </c>
      <c r="F1962" s="4">
        <v>1</v>
      </c>
      <c r="G1962" s="4">
        <v>824.32</v>
      </c>
      <c r="H1962" s="4">
        <v>0.18</v>
      </c>
      <c r="I1962" s="4" t="s">
        <v>1996</v>
      </c>
      <c r="J1962" s="10">
        <v>675.94240000000002</v>
      </c>
      <c r="K1962" s="4" t="str">
        <f t="shared" si="210"/>
        <v>22-02-2025</v>
      </c>
      <c r="L1962" s="4" t="str">
        <f>TEXT(Sales_Fact!$B1962,"mmm")</f>
        <v>Feb</v>
      </c>
      <c r="M1962" s="4">
        <f t="shared" si="211"/>
        <v>1</v>
      </c>
      <c r="N1962" s="10">
        <f t="shared" si="212"/>
        <v>824.32</v>
      </c>
      <c r="O1962" s="10">
        <f t="shared" si="213"/>
        <v>675.94240000000013</v>
      </c>
      <c r="P1962" s="10">
        <f t="shared" si="214"/>
        <v>824.32</v>
      </c>
      <c r="Q1962" s="3">
        <f t="shared" si="215"/>
        <v>0.17999999999999988</v>
      </c>
      <c r="R1962" s="4" t="str">
        <f>IF(Sales_Fact!$O1962&gt;1000,"High","Low")</f>
        <v>Low</v>
      </c>
      <c r="S1962" s="4" t="str">
        <f>VLOOKUP(C1962,Customer_Dim!$A:$N,9,FALSE())</f>
        <v>Cameron Simpson</v>
      </c>
      <c r="T1962" s="4" t="str">
        <f>VLOOKUP(D1962,Product_Dim!$A:$M,3,FALSE())</f>
        <v>Electronics</v>
      </c>
      <c r="U1962" s="11" t="str">
        <f>VLOOKUP(D1962,Product_Dim!$A:$M,2,FALSE())</f>
        <v>USB External Hard Drive</v>
      </c>
      <c r="V1962" s="11" t="str">
        <f>VLOOKUP(E1962,Store_Dim!$A:$E,3,FALSE())</f>
        <v>East</v>
      </c>
      <c r="W1962" s="11" t="str">
        <f>VLOOKUP(C1962,Customer_Dim!$A:$N,13,FALSE())</f>
        <v>Platinum</v>
      </c>
      <c r="X1962" s="11" t="str">
        <f t="shared" si="216"/>
        <v>Low</v>
      </c>
    </row>
    <row r="1963" spans="1:24" ht="15.75" customHeight="1">
      <c r="A1963" s="4" t="s">
        <v>3959</v>
      </c>
      <c r="B1963" s="9">
        <v>45682</v>
      </c>
      <c r="C1963" s="4" t="s">
        <v>405</v>
      </c>
      <c r="D1963" s="4" t="s">
        <v>1741</v>
      </c>
      <c r="E1963" s="4" t="s">
        <v>1959</v>
      </c>
      <c r="F1963" s="4">
        <v>4</v>
      </c>
      <c r="G1963" s="4">
        <v>614.99</v>
      </c>
      <c r="H1963" s="4">
        <v>0.16</v>
      </c>
      <c r="I1963" s="4" t="s">
        <v>1998</v>
      </c>
      <c r="J1963" s="10">
        <v>2066.3663999999999</v>
      </c>
      <c r="K1963" s="4" t="str">
        <f t="shared" si="210"/>
        <v>25-01-2025</v>
      </c>
      <c r="L1963" s="4" t="str">
        <f>TEXT(Sales_Fact!$B1963,"mmm")</f>
        <v>Jan</v>
      </c>
      <c r="M1963" s="4">
        <f t="shared" si="211"/>
        <v>4</v>
      </c>
      <c r="N1963" s="10">
        <f t="shared" si="212"/>
        <v>614.99</v>
      </c>
      <c r="O1963" s="10">
        <f t="shared" si="213"/>
        <v>2066.3663999999999</v>
      </c>
      <c r="P1963" s="10">
        <f t="shared" si="214"/>
        <v>2459.96</v>
      </c>
      <c r="Q1963" s="3">
        <f t="shared" si="215"/>
        <v>0.16000000000000006</v>
      </c>
      <c r="R1963" s="4" t="str">
        <f>IF(Sales_Fact!$O1963&gt;1000,"High","Low")</f>
        <v>High</v>
      </c>
      <c r="S1963" s="4" t="str">
        <f>VLOOKUP(C1963,Customer_Dim!$A:$N,9,FALSE())</f>
        <v>Amy Walker</v>
      </c>
      <c r="T1963" s="4" t="str">
        <f>VLOOKUP(D1963,Product_Dim!$A:$M,3,FALSE())</f>
        <v>Clothing</v>
      </c>
      <c r="U1963" s="11" t="str">
        <f>VLOOKUP(D1963,Product_Dim!$A:$M,2,FALSE())</f>
        <v>Men's Winter Jacket</v>
      </c>
      <c r="V1963" s="11" t="str">
        <f>VLOOKUP(E1963,Store_Dim!$A:$E,3,FALSE())</f>
        <v>North</v>
      </c>
      <c r="W1963" s="11" t="str">
        <f>VLOOKUP(C1963,Customer_Dim!$A:$N,13,FALSE())</f>
        <v>Silver</v>
      </c>
      <c r="X1963" s="11" t="str">
        <f t="shared" si="216"/>
        <v>High</v>
      </c>
    </row>
    <row r="1964" spans="1:24" ht="15.75" customHeight="1">
      <c r="A1964" s="4" t="s">
        <v>3960</v>
      </c>
      <c r="B1964" s="9">
        <v>45730</v>
      </c>
      <c r="C1964" s="4" t="s">
        <v>463</v>
      </c>
      <c r="D1964" s="4" t="s">
        <v>1791</v>
      </c>
      <c r="E1964" s="4" t="s">
        <v>1910</v>
      </c>
      <c r="F1964" s="4">
        <v>4</v>
      </c>
      <c r="G1964" s="4">
        <v>189.21</v>
      </c>
      <c r="H1964" s="4">
        <v>0.06</v>
      </c>
      <c r="I1964" s="4" t="s">
        <v>2004</v>
      </c>
      <c r="J1964" s="10">
        <v>711.42960000000005</v>
      </c>
      <c r="K1964" s="4" t="str">
        <f t="shared" si="210"/>
        <v>14-03-2025</v>
      </c>
      <c r="L1964" s="4" t="str">
        <f>TEXT(Sales_Fact!$B1964,"mmm")</f>
        <v>Mar</v>
      </c>
      <c r="M1964" s="4">
        <f t="shared" si="211"/>
        <v>4</v>
      </c>
      <c r="N1964" s="10">
        <f t="shared" si="212"/>
        <v>189.21</v>
      </c>
      <c r="O1964" s="10">
        <f t="shared" si="213"/>
        <v>711.42959999999994</v>
      </c>
      <c r="P1964" s="10">
        <f t="shared" si="214"/>
        <v>756.84</v>
      </c>
      <c r="Q1964" s="3">
        <f t="shared" si="215"/>
        <v>6.0000000000000123E-2</v>
      </c>
      <c r="R1964" s="4" t="str">
        <f>IF(Sales_Fact!$O1964&gt;1000,"High","Low")</f>
        <v>Low</v>
      </c>
      <c r="S1964" s="4" t="str">
        <f>VLOOKUP(C1964,Customer_Dim!$A:$N,9,FALSE())</f>
        <v>Susan Mcdonald</v>
      </c>
      <c r="T1964" s="4" t="str">
        <f>VLOOKUP(D1964,Product_Dim!$A:$M,3,FALSE())</f>
        <v>Electronics</v>
      </c>
      <c r="U1964" s="11" t="str">
        <f>VLOOKUP(D1964,Product_Dim!$A:$M,2,FALSE())</f>
        <v>Laptop Cooling Pad</v>
      </c>
      <c r="V1964" s="11" t="str">
        <f>VLOOKUP(E1964,Store_Dim!$A:$E,3,FALSE())</f>
        <v>East</v>
      </c>
      <c r="W1964" s="11" t="str">
        <f>VLOOKUP(C1964,Customer_Dim!$A:$N,13,FALSE())</f>
        <v>Silver</v>
      </c>
      <c r="X1964" s="11" t="str">
        <f t="shared" si="216"/>
        <v>High</v>
      </c>
    </row>
    <row r="1965" spans="1:24" ht="15.75" customHeight="1">
      <c r="A1965" s="4" t="s">
        <v>3961</v>
      </c>
      <c r="B1965" s="9">
        <v>45629</v>
      </c>
      <c r="C1965" s="4" t="s">
        <v>541</v>
      </c>
      <c r="D1965" s="4" t="s">
        <v>1791</v>
      </c>
      <c r="E1965" s="4" t="s">
        <v>1957</v>
      </c>
      <c r="F1965" s="4">
        <v>2</v>
      </c>
      <c r="G1965" s="4">
        <v>233.33</v>
      </c>
      <c r="H1965" s="4">
        <v>0.05</v>
      </c>
      <c r="I1965" s="4" t="s">
        <v>1996</v>
      </c>
      <c r="J1965" s="10">
        <v>443.327</v>
      </c>
      <c r="K1965" s="4" t="str">
        <f t="shared" si="210"/>
        <v>03-12-2024</v>
      </c>
      <c r="L1965" s="4" t="str">
        <f>TEXT(Sales_Fact!$B1965,"mmm")</f>
        <v>Dec</v>
      </c>
      <c r="M1965" s="4">
        <f t="shared" si="211"/>
        <v>2</v>
      </c>
      <c r="N1965" s="10">
        <f t="shared" si="212"/>
        <v>233.33</v>
      </c>
      <c r="O1965" s="10">
        <f t="shared" si="213"/>
        <v>443.327</v>
      </c>
      <c r="P1965" s="10">
        <f t="shared" si="214"/>
        <v>466.66</v>
      </c>
      <c r="Q1965" s="3">
        <f t="shared" si="215"/>
        <v>5.0000000000000051E-2</v>
      </c>
      <c r="R1965" s="4" t="str">
        <f>IF(Sales_Fact!$O1965&gt;1000,"High","Low")</f>
        <v>Low</v>
      </c>
      <c r="S1965" s="4" t="str">
        <f>VLOOKUP(C1965,Customer_Dim!$A:$N,9,FALSE())</f>
        <v>Julie Hale</v>
      </c>
      <c r="T1965" s="4" t="str">
        <f>VLOOKUP(D1965,Product_Dim!$A:$M,3,FALSE())</f>
        <v>Electronics</v>
      </c>
      <c r="U1965" s="11" t="str">
        <f>VLOOKUP(D1965,Product_Dim!$A:$M,2,FALSE())</f>
        <v>Laptop Cooling Pad</v>
      </c>
      <c r="V1965" s="11" t="str">
        <f>VLOOKUP(E1965,Store_Dim!$A:$E,3,FALSE())</f>
        <v>South</v>
      </c>
      <c r="W1965" s="11" t="str">
        <f>VLOOKUP(C1965,Customer_Dim!$A:$N,13,FALSE())</f>
        <v>Gold</v>
      </c>
      <c r="X1965" s="11" t="str">
        <f t="shared" si="216"/>
        <v>Low</v>
      </c>
    </row>
    <row r="1966" spans="1:24" ht="15.75" customHeight="1">
      <c r="A1966" s="4" t="s">
        <v>3962</v>
      </c>
      <c r="B1966" s="9">
        <v>45783</v>
      </c>
      <c r="C1966" s="4" t="s">
        <v>822</v>
      </c>
      <c r="D1966" s="4" t="s">
        <v>1719</v>
      </c>
      <c r="E1966" s="4" t="s">
        <v>1968</v>
      </c>
      <c r="F1966" s="4">
        <v>3</v>
      </c>
      <c r="G1966" s="4">
        <v>529.89</v>
      </c>
      <c r="H1966" s="4">
        <v>0.21</v>
      </c>
      <c r="I1966" s="4" t="s">
        <v>1996</v>
      </c>
      <c r="J1966" s="10">
        <v>1255.8393000000001</v>
      </c>
      <c r="K1966" s="4" t="str">
        <f t="shared" si="210"/>
        <v>06-05-2025</v>
      </c>
      <c r="L1966" s="4" t="str">
        <f>TEXT(Sales_Fact!$B1966,"mmm")</f>
        <v>May</v>
      </c>
      <c r="M1966" s="4">
        <f t="shared" si="211"/>
        <v>3</v>
      </c>
      <c r="N1966" s="10">
        <f t="shared" si="212"/>
        <v>529.89</v>
      </c>
      <c r="O1966" s="10">
        <f t="shared" si="213"/>
        <v>1255.8393000000001</v>
      </c>
      <c r="P1966" s="10">
        <f t="shared" si="214"/>
        <v>1589.67</v>
      </c>
      <c r="Q1966" s="3">
        <f t="shared" si="215"/>
        <v>0.20999999999999996</v>
      </c>
      <c r="R1966" s="4" t="str">
        <f>IF(Sales_Fact!$O1966&gt;1000,"High","Low")</f>
        <v>High</v>
      </c>
      <c r="S1966" s="4" t="str">
        <f>VLOOKUP(C1966,Customer_Dim!$A:$N,9,FALSE())</f>
        <v>Nicholas Webb</v>
      </c>
      <c r="T1966" s="4" t="str">
        <f>VLOOKUP(D1966,Product_Dim!$A:$M,3,FALSE())</f>
        <v>Electronics</v>
      </c>
      <c r="U1966" s="11" t="str">
        <f>VLOOKUP(D1966,Product_Dim!$A:$M,2,FALSE())</f>
        <v>Portable Power Bank</v>
      </c>
      <c r="V1966" s="11" t="str">
        <f>VLOOKUP(E1966,Store_Dim!$A:$E,3,FALSE())</f>
        <v>East</v>
      </c>
      <c r="W1966" s="11" t="str">
        <f>VLOOKUP(C1966,Customer_Dim!$A:$N,13,FALSE())</f>
        <v>Gold</v>
      </c>
      <c r="X1966" s="11" t="str">
        <f t="shared" si="216"/>
        <v>Low</v>
      </c>
    </row>
    <row r="1967" spans="1:24" ht="15.75" customHeight="1">
      <c r="A1967" s="4" t="s">
        <v>3963</v>
      </c>
      <c r="B1967" s="9">
        <v>45518</v>
      </c>
      <c r="C1967" s="4" t="s">
        <v>1533</v>
      </c>
      <c r="D1967" s="4" t="s">
        <v>1882</v>
      </c>
      <c r="E1967" s="4" t="s">
        <v>1915</v>
      </c>
      <c r="F1967" s="4">
        <v>2</v>
      </c>
      <c r="G1967" s="4">
        <v>954.1</v>
      </c>
      <c r="H1967" s="4">
        <v>0.17</v>
      </c>
      <c r="I1967" s="4" t="s">
        <v>1998</v>
      </c>
      <c r="J1967" s="10">
        <v>1583.806</v>
      </c>
      <c r="K1967" s="4" t="str">
        <f t="shared" si="210"/>
        <v>14-08-2024</v>
      </c>
      <c r="L1967" s="4" t="str">
        <f>TEXT(Sales_Fact!$B1967,"mmm")</f>
        <v>Aug</v>
      </c>
      <c r="M1967" s="4">
        <f t="shared" si="211"/>
        <v>2</v>
      </c>
      <c r="N1967" s="10">
        <f t="shared" si="212"/>
        <v>954.1</v>
      </c>
      <c r="O1967" s="10">
        <f t="shared" si="213"/>
        <v>1583.806</v>
      </c>
      <c r="P1967" s="10">
        <f t="shared" si="214"/>
        <v>1908.2</v>
      </c>
      <c r="Q1967" s="3">
        <f t="shared" si="215"/>
        <v>0.17</v>
      </c>
      <c r="R1967" s="4" t="str">
        <f>IF(Sales_Fact!$O1967&gt;1000,"High","Low")</f>
        <v>High</v>
      </c>
      <c r="S1967" s="4" t="str">
        <f>VLOOKUP(C1967,Customer_Dim!$A:$N,9,FALSE())</f>
        <v>Melinda Thomas</v>
      </c>
      <c r="T1967" s="4" t="str">
        <f>VLOOKUP(D1967,Product_Dim!$A:$M,3,FALSE())</f>
        <v>Home</v>
      </c>
      <c r="U1967" s="11" t="str">
        <f>VLOOKUP(D1967,Product_Dim!$A:$M,2,FALSE())</f>
        <v>Microwave Oven</v>
      </c>
      <c r="V1967" s="11" t="str">
        <f>VLOOKUP(E1967,Store_Dim!$A:$E,3,FALSE())</f>
        <v>North</v>
      </c>
      <c r="W1967" s="11" t="str">
        <f>VLOOKUP(C1967,Customer_Dim!$A:$N,13,FALSE())</f>
        <v>Silver</v>
      </c>
      <c r="X1967" s="11" t="str">
        <f t="shared" si="216"/>
        <v>Low</v>
      </c>
    </row>
    <row r="1968" spans="1:24" ht="15.75" customHeight="1">
      <c r="A1968" s="4" t="s">
        <v>3964</v>
      </c>
      <c r="B1968" s="9">
        <v>45274</v>
      </c>
      <c r="C1968" s="4" t="s">
        <v>1045</v>
      </c>
      <c r="D1968" s="4" t="s">
        <v>1800</v>
      </c>
      <c r="E1968" s="4" t="s">
        <v>1937</v>
      </c>
      <c r="F1968" s="4">
        <v>1</v>
      </c>
      <c r="G1968" s="4">
        <v>370.04</v>
      </c>
      <c r="H1968" s="4">
        <v>0.04</v>
      </c>
      <c r="I1968" s="4" t="s">
        <v>2004</v>
      </c>
      <c r="J1968" s="10">
        <v>355.23840000000001</v>
      </c>
      <c r="K1968" s="4" t="str">
        <f t="shared" si="210"/>
        <v>14-12-2023</v>
      </c>
      <c r="L1968" s="4" t="str">
        <f>TEXT(Sales_Fact!$B1968,"mmm")</f>
        <v>Dec</v>
      </c>
      <c r="M1968" s="4">
        <f t="shared" si="211"/>
        <v>1</v>
      </c>
      <c r="N1968" s="10">
        <f t="shared" si="212"/>
        <v>370.04</v>
      </c>
      <c r="O1968" s="10">
        <f t="shared" si="213"/>
        <v>355.23840000000001</v>
      </c>
      <c r="P1968" s="10">
        <f t="shared" si="214"/>
        <v>370.04</v>
      </c>
      <c r="Q1968" s="3">
        <f t="shared" si="215"/>
        <v>4.0000000000000022E-2</v>
      </c>
      <c r="R1968" s="4" t="str">
        <f>IF(Sales_Fact!$O1968&gt;1000,"High","Low")</f>
        <v>Low</v>
      </c>
      <c r="S1968" s="4" t="str">
        <f>VLOOKUP(C1968,Customer_Dim!$A:$N,9,FALSE())</f>
        <v>Kristy Dunlap</v>
      </c>
      <c r="T1968" s="4" t="str">
        <f>VLOOKUP(D1968,Product_Dim!$A:$M,3,FALSE())</f>
        <v>Sports</v>
      </c>
      <c r="U1968" s="11" t="str">
        <f>VLOOKUP(D1968,Product_Dim!$A:$M,2,FALSE())</f>
        <v>Adjustable Dumbbells 20kg</v>
      </c>
      <c r="V1968" s="11" t="str">
        <f>VLOOKUP(E1968,Store_Dim!$A:$E,3,FALSE())</f>
        <v>South</v>
      </c>
      <c r="W1968" s="11" t="str">
        <f>VLOOKUP(C1968,Customer_Dim!$A:$N,13,FALSE())</f>
        <v>Platinum</v>
      </c>
      <c r="X1968" s="11" t="str">
        <f t="shared" si="216"/>
        <v>Low</v>
      </c>
    </row>
    <row r="1969" spans="1:24" ht="15.75" customHeight="1">
      <c r="A1969" s="4" t="s">
        <v>3965</v>
      </c>
      <c r="B1969" s="9">
        <v>45587</v>
      </c>
      <c r="C1969" s="4" t="s">
        <v>939</v>
      </c>
      <c r="D1969" s="4" t="s">
        <v>1592</v>
      </c>
      <c r="E1969" s="4" t="s">
        <v>1924</v>
      </c>
      <c r="F1969" s="4">
        <v>3</v>
      </c>
      <c r="G1969" s="4">
        <v>751.94</v>
      </c>
      <c r="H1969" s="4">
        <v>0.26</v>
      </c>
      <c r="I1969" s="4" t="s">
        <v>1998</v>
      </c>
      <c r="J1969" s="10">
        <v>1669.3068000000001</v>
      </c>
      <c r="K1969" s="4" t="str">
        <f t="shared" si="210"/>
        <v>22-10-2024</v>
      </c>
      <c r="L1969" s="4" t="str">
        <f>TEXT(Sales_Fact!$B1969,"mmm")</f>
        <v>Oct</v>
      </c>
      <c r="M1969" s="4">
        <f t="shared" si="211"/>
        <v>3</v>
      </c>
      <c r="N1969" s="10">
        <f t="shared" si="212"/>
        <v>751.94</v>
      </c>
      <c r="O1969" s="10">
        <f t="shared" si="213"/>
        <v>1669.3068000000001</v>
      </c>
      <c r="P1969" s="10">
        <f t="shared" si="214"/>
        <v>2255.8200000000002</v>
      </c>
      <c r="Q1969" s="3">
        <f t="shared" si="215"/>
        <v>0.26</v>
      </c>
      <c r="R1969" s="4" t="str">
        <f>IF(Sales_Fact!$O1969&gt;1000,"High","Low")</f>
        <v>High</v>
      </c>
      <c r="S1969" s="4" t="str">
        <f>VLOOKUP(C1969,Customer_Dim!$A:$N,9,FALSE())</f>
        <v>Cynthia Roberts</v>
      </c>
      <c r="T1969" s="4" t="str">
        <f>VLOOKUP(D1969,Product_Dim!$A:$M,3,FALSE())</f>
        <v>Clothing</v>
      </c>
      <c r="U1969" s="11" t="str">
        <f>VLOOKUP(D1969,Product_Dim!$A:$M,2,FALSE())</f>
        <v>Men's Running Jacket</v>
      </c>
      <c r="V1969" s="11" t="str">
        <f>VLOOKUP(E1969,Store_Dim!$A:$E,3,FALSE())</f>
        <v>North</v>
      </c>
      <c r="W1969" s="11" t="str">
        <f>VLOOKUP(C1969,Customer_Dim!$A:$N,13,FALSE())</f>
        <v>Gold</v>
      </c>
      <c r="X1969" s="11" t="str">
        <f t="shared" si="216"/>
        <v>Low</v>
      </c>
    </row>
    <row r="1970" spans="1:24" ht="15.75" customHeight="1">
      <c r="A1970" s="4" t="s">
        <v>3966</v>
      </c>
      <c r="B1970" s="9">
        <v>45297</v>
      </c>
      <c r="C1970" s="4" t="s">
        <v>248</v>
      </c>
      <c r="D1970" s="4" t="s">
        <v>1894</v>
      </c>
      <c r="E1970" s="4" t="s">
        <v>1971</v>
      </c>
      <c r="F1970" s="4">
        <v>4</v>
      </c>
      <c r="G1970" s="4">
        <v>492.71</v>
      </c>
      <c r="H1970" s="4">
        <v>0.08</v>
      </c>
      <c r="I1970" s="4" t="s">
        <v>1996</v>
      </c>
      <c r="J1970" s="10">
        <v>1813.1728000000001</v>
      </c>
      <c r="K1970" s="4" t="str">
        <f t="shared" si="210"/>
        <v>06-01-2024</v>
      </c>
      <c r="L1970" s="4" t="str">
        <f>TEXT(Sales_Fact!$B1970,"mmm")</f>
        <v>Jan</v>
      </c>
      <c r="M1970" s="4">
        <f t="shared" si="211"/>
        <v>4</v>
      </c>
      <c r="N1970" s="10">
        <f t="shared" si="212"/>
        <v>492.71</v>
      </c>
      <c r="O1970" s="10">
        <f t="shared" si="213"/>
        <v>1813.1728000000001</v>
      </c>
      <c r="P1970" s="10">
        <f t="shared" si="214"/>
        <v>1970.84</v>
      </c>
      <c r="Q1970" s="3">
        <f t="shared" si="215"/>
        <v>7.9999999999999932E-2</v>
      </c>
      <c r="R1970" s="4" t="str">
        <f>IF(Sales_Fact!$O1970&gt;1000,"High","Low")</f>
        <v>High</v>
      </c>
      <c r="S1970" s="4" t="str">
        <f>VLOOKUP(C1970,Customer_Dim!$A:$N,9,FALSE())</f>
        <v>Kristin Stein</v>
      </c>
      <c r="T1970" s="4" t="str">
        <f>VLOOKUP(D1970,Product_Dim!$A:$M,3,FALSE())</f>
        <v>Clothing</v>
      </c>
      <c r="U1970" s="11" t="str">
        <f>VLOOKUP(D1970,Product_Dim!$A:$M,2,FALSE())</f>
        <v>Women's Formal Blazer</v>
      </c>
      <c r="V1970" s="11" t="str">
        <f>VLOOKUP(E1970,Store_Dim!$A:$E,3,FALSE())</f>
        <v>East</v>
      </c>
      <c r="W1970" s="11" t="str">
        <f>VLOOKUP(C1970,Customer_Dim!$A:$N,13,FALSE())</f>
        <v>Silver</v>
      </c>
      <c r="X1970" s="11" t="str">
        <f t="shared" si="216"/>
        <v>High</v>
      </c>
    </row>
    <row r="1971" spans="1:24" ht="15.75" customHeight="1">
      <c r="A1971" s="4" t="s">
        <v>3967</v>
      </c>
      <c r="B1971" s="9">
        <v>45530</v>
      </c>
      <c r="C1971" s="4" t="s">
        <v>918</v>
      </c>
      <c r="D1971" s="4" t="s">
        <v>1879</v>
      </c>
      <c r="E1971" s="4" t="s">
        <v>1955</v>
      </c>
      <c r="F1971" s="4">
        <v>4</v>
      </c>
      <c r="G1971" s="4">
        <v>853.26</v>
      </c>
      <c r="H1971" s="4">
        <v>0.24</v>
      </c>
      <c r="I1971" s="4" t="s">
        <v>2004</v>
      </c>
      <c r="J1971" s="10">
        <v>2593.9104000000002</v>
      </c>
      <c r="K1971" s="4" t="str">
        <f t="shared" si="210"/>
        <v>26-08-2024</v>
      </c>
      <c r="L1971" s="4" t="str">
        <f>TEXT(Sales_Fact!$B1971,"mmm")</f>
        <v>Aug</v>
      </c>
      <c r="M1971" s="4">
        <f t="shared" si="211"/>
        <v>4</v>
      </c>
      <c r="N1971" s="10">
        <f t="shared" si="212"/>
        <v>853.26</v>
      </c>
      <c r="O1971" s="10">
        <f t="shared" si="213"/>
        <v>2593.9104000000002</v>
      </c>
      <c r="P1971" s="10">
        <f t="shared" si="214"/>
        <v>3413.04</v>
      </c>
      <c r="Q1971" s="3">
        <f t="shared" si="215"/>
        <v>0.23999999999999994</v>
      </c>
      <c r="R1971" s="4" t="str">
        <f>IF(Sales_Fact!$O1971&gt;1000,"High","Low")</f>
        <v>High</v>
      </c>
      <c r="S1971" s="4" t="str">
        <f>VLOOKUP(C1971,Customer_Dim!$A:$N,9,FALSE())</f>
        <v>Antonio Leon</v>
      </c>
      <c r="T1971" s="4" t="str">
        <f>VLOOKUP(D1971,Product_Dim!$A:$M,3,FALSE())</f>
        <v>Clothing</v>
      </c>
      <c r="U1971" s="11" t="str">
        <f>VLOOKUP(D1971,Product_Dim!$A:$M,2,FALSE())</f>
        <v>Women's High Heels</v>
      </c>
      <c r="V1971" s="11" t="str">
        <f>VLOOKUP(E1971,Store_Dim!$A:$E,3,FALSE())</f>
        <v>East</v>
      </c>
      <c r="W1971" s="11" t="str">
        <f>VLOOKUP(C1971,Customer_Dim!$A:$N,13,FALSE())</f>
        <v>Bronze</v>
      </c>
      <c r="X1971" s="11" t="str">
        <f t="shared" si="216"/>
        <v>High</v>
      </c>
    </row>
    <row r="1972" spans="1:24" ht="15.75" customHeight="1">
      <c r="A1972" s="4" t="s">
        <v>3968</v>
      </c>
      <c r="B1972" s="9">
        <v>45740</v>
      </c>
      <c r="C1972" s="4" t="s">
        <v>1292</v>
      </c>
      <c r="D1972" s="4" t="s">
        <v>1592</v>
      </c>
      <c r="E1972" s="4" t="s">
        <v>1962</v>
      </c>
      <c r="F1972" s="4">
        <v>1</v>
      </c>
      <c r="G1972" s="4">
        <v>402.47</v>
      </c>
      <c r="H1972" s="4">
        <v>0.19</v>
      </c>
      <c r="I1972" s="4" t="s">
        <v>1998</v>
      </c>
      <c r="J1972" s="10">
        <v>326.00069999999999</v>
      </c>
      <c r="K1972" s="4" t="str">
        <f t="shared" si="210"/>
        <v>24-03-2025</v>
      </c>
      <c r="L1972" s="4" t="str">
        <f>TEXT(Sales_Fact!$B1972,"mmm")</f>
        <v>Mar</v>
      </c>
      <c r="M1972" s="4">
        <f t="shared" si="211"/>
        <v>1</v>
      </c>
      <c r="N1972" s="10">
        <f t="shared" si="212"/>
        <v>402.47</v>
      </c>
      <c r="O1972" s="10">
        <f t="shared" si="213"/>
        <v>326.00070000000005</v>
      </c>
      <c r="P1972" s="10">
        <f t="shared" si="214"/>
        <v>402.47</v>
      </c>
      <c r="Q1972" s="3">
        <f t="shared" si="215"/>
        <v>0.18999999999999992</v>
      </c>
      <c r="R1972" s="4" t="str">
        <f>IF(Sales_Fact!$O1972&gt;1000,"High","Low")</f>
        <v>Low</v>
      </c>
      <c r="S1972" s="4" t="str">
        <f>VLOOKUP(C1972,Customer_Dim!$A:$N,9,FALSE())</f>
        <v>David Lozano</v>
      </c>
      <c r="T1972" s="4" t="str">
        <f>VLOOKUP(D1972,Product_Dim!$A:$M,3,FALSE())</f>
        <v>Clothing</v>
      </c>
      <c r="U1972" s="11" t="str">
        <f>VLOOKUP(D1972,Product_Dim!$A:$M,2,FALSE())</f>
        <v>Men's Running Jacket</v>
      </c>
      <c r="V1972" s="11" t="str">
        <f>VLOOKUP(E1972,Store_Dim!$A:$E,3,FALSE())</f>
        <v>West</v>
      </c>
      <c r="W1972" s="11" t="str">
        <f>VLOOKUP(C1972,Customer_Dim!$A:$N,13,FALSE())</f>
        <v>Gold</v>
      </c>
      <c r="X1972" s="11" t="str">
        <f t="shared" si="216"/>
        <v>Low</v>
      </c>
    </row>
    <row r="1973" spans="1:24" ht="15.75" customHeight="1">
      <c r="A1973" s="4" t="s">
        <v>3969</v>
      </c>
      <c r="B1973" s="9">
        <v>45311</v>
      </c>
      <c r="C1973" s="4" t="s">
        <v>1281</v>
      </c>
      <c r="D1973" s="4" t="s">
        <v>1767</v>
      </c>
      <c r="E1973" s="4" t="s">
        <v>1968</v>
      </c>
      <c r="F1973" s="4">
        <v>2</v>
      </c>
      <c r="G1973" s="4">
        <v>528.29999999999995</v>
      </c>
      <c r="H1973" s="4">
        <v>0.24</v>
      </c>
      <c r="I1973" s="4" t="s">
        <v>1996</v>
      </c>
      <c r="J1973" s="10">
        <v>803.01599999999996</v>
      </c>
      <c r="K1973" s="4" t="str">
        <f t="shared" si="210"/>
        <v>20-01-2024</v>
      </c>
      <c r="L1973" s="4" t="str">
        <f>TEXT(Sales_Fact!$B1973,"mmm")</f>
        <v>Jan</v>
      </c>
      <c r="M1973" s="4">
        <f t="shared" si="211"/>
        <v>2</v>
      </c>
      <c r="N1973" s="10">
        <f t="shared" si="212"/>
        <v>528.29999999999995</v>
      </c>
      <c r="O1973" s="10">
        <f t="shared" si="213"/>
        <v>803.01599999999996</v>
      </c>
      <c r="P1973" s="10">
        <f t="shared" si="214"/>
        <v>1056.5999999999999</v>
      </c>
      <c r="Q1973" s="3">
        <f t="shared" si="215"/>
        <v>0.23999999999999996</v>
      </c>
      <c r="R1973" s="4" t="str">
        <f>IF(Sales_Fact!$O1973&gt;1000,"High","Low")</f>
        <v>Low</v>
      </c>
      <c r="S1973" s="4" t="str">
        <f>VLOOKUP(C1973,Customer_Dim!$A:$N,9,FALSE())</f>
        <v>Cassandra Perez</v>
      </c>
      <c r="T1973" s="4" t="str">
        <f>VLOOKUP(D1973,Product_Dim!$A:$M,3,FALSE())</f>
        <v>Sports</v>
      </c>
      <c r="U1973" s="11" t="str">
        <f>VLOOKUP(D1973,Product_Dim!$A:$M,2,FALSE())</f>
        <v>Sports Stopwatch Pro</v>
      </c>
      <c r="V1973" s="11" t="str">
        <f>VLOOKUP(E1973,Store_Dim!$A:$E,3,FALSE())</f>
        <v>East</v>
      </c>
      <c r="W1973" s="11" t="str">
        <f>VLOOKUP(C1973,Customer_Dim!$A:$N,13,FALSE())</f>
        <v>Bronze</v>
      </c>
      <c r="X1973" s="11" t="str">
        <f t="shared" si="216"/>
        <v>Low</v>
      </c>
    </row>
    <row r="1974" spans="1:24" ht="15.75" customHeight="1">
      <c r="A1974" s="4" t="s">
        <v>3970</v>
      </c>
      <c r="B1974" s="9">
        <v>45667</v>
      </c>
      <c r="C1974" s="4" t="s">
        <v>1403</v>
      </c>
      <c r="D1974" s="4" t="s">
        <v>1622</v>
      </c>
      <c r="E1974" s="4" t="s">
        <v>1934</v>
      </c>
      <c r="F1974" s="4">
        <v>4</v>
      </c>
      <c r="G1974" s="4">
        <v>599.85</v>
      </c>
      <c r="H1974" s="4">
        <v>0.25</v>
      </c>
      <c r="I1974" s="4" t="s">
        <v>1996</v>
      </c>
      <c r="J1974" s="10">
        <v>1799.55</v>
      </c>
      <c r="K1974" s="4" t="str">
        <f t="shared" si="210"/>
        <v>10-01-2025</v>
      </c>
      <c r="L1974" s="4" t="str">
        <f>TEXT(Sales_Fact!$B1974,"mmm")</f>
        <v>Jan</v>
      </c>
      <c r="M1974" s="4">
        <f t="shared" si="211"/>
        <v>4</v>
      </c>
      <c r="N1974" s="10">
        <f t="shared" si="212"/>
        <v>599.85</v>
      </c>
      <c r="O1974" s="10">
        <f t="shared" si="213"/>
        <v>1799.5500000000002</v>
      </c>
      <c r="P1974" s="10">
        <f t="shared" si="214"/>
        <v>2399.4</v>
      </c>
      <c r="Q1974" s="3">
        <f t="shared" si="215"/>
        <v>0.24999999999999994</v>
      </c>
      <c r="R1974" s="4" t="str">
        <f>IF(Sales_Fact!$O1974&gt;1000,"High","Low")</f>
        <v>High</v>
      </c>
      <c r="S1974" s="4" t="str">
        <f>VLOOKUP(C1974,Customer_Dim!$A:$N,9,FALSE())</f>
        <v>Cheryl Carr</v>
      </c>
      <c r="T1974" s="4" t="str">
        <f>VLOOKUP(D1974,Product_Dim!$A:$M,3,FALSE())</f>
        <v>Home</v>
      </c>
      <c r="U1974" s="11" t="str">
        <f>VLOOKUP(D1974,Product_Dim!$A:$M,2,FALSE())</f>
        <v>Ceramic Kitchen Bowl Set</v>
      </c>
      <c r="V1974" s="11" t="str">
        <f>VLOOKUP(E1974,Store_Dim!$A:$E,3,FALSE())</f>
        <v>East</v>
      </c>
      <c r="W1974" s="11" t="str">
        <f>VLOOKUP(C1974,Customer_Dim!$A:$N,13,FALSE())</f>
        <v>Gold</v>
      </c>
      <c r="X1974" s="11" t="str">
        <f t="shared" si="216"/>
        <v>High</v>
      </c>
    </row>
    <row r="1975" spans="1:24" ht="15.75" customHeight="1">
      <c r="A1975" s="4" t="s">
        <v>3971</v>
      </c>
      <c r="B1975" s="9">
        <v>45281</v>
      </c>
      <c r="C1975" s="4" t="s">
        <v>985</v>
      </c>
      <c r="D1975" s="4" t="s">
        <v>1644</v>
      </c>
      <c r="E1975" s="4" t="s">
        <v>1944</v>
      </c>
      <c r="F1975" s="4">
        <v>2</v>
      </c>
      <c r="G1975" s="4">
        <v>61.42</v>
      </c>
      <c r="H1975" s="4">
        <v>0.08</v>
      </c>
      <c r="I1975" s="4" t="s">
        <v>1998</v>
      </c>
      <c r="J1975" s="10">
        <v>113.0128</v>
      </c>
      <c r="K1975" s="4" t="str">
        <f t="shared" si="210"/>
        <v>21-12-2023</v>
      </c>
      <c r="L1975" s="4" t="str">
        <f>TEXT(Sales_Fact!$B1975,"mmm")</f>
        <v>Dec</v>
      </c>
      <c r="M1975" s="4">
        <f t="shared" si="211"/>
        <v>2</v>
      </c>
      <c r="N1975" s="10">
        <f t="shared" si="212"/>
        <v>61.42</v>
      </c>
      <c r="O1975" s="10">
        <f t="shared" si="213"/>
        <v>113.01280000000001</v>
      </c>
      <c r="P1975" s="10">
        <f t="shared" si="214"/>
        <v>122.84</v>
      </c>
      <c r="Q1975" s="3">
        <f t="shared" si="215"/>
        <v>7.9999999999999918E-2</v>
      </c>
      <c r="R1975" s="4" t="str">
        <f>IF(Sales_Fact!$O1975&gt;1000,"High","Low")</f>
        <v>Low</v>
      </c>
      <c r="S1975" s="4" t="str">
        <f>VLOOKUP(C1975,Customer_Dim!$A:$N,9,FALSE())</f>
        <v>John Sloan</v>
      </c>
      <c r="T1975" s="4" t="str">
        <f>VLOOKUP(D1975,Product_Dim!$A:$M,3,FALSE())</f>
        <v>Beauty</v>
      </c>
      <c r="U1975" s="11" t="str">
        <f>VLOOKUP(D1975,Product_Dim!$A:$M,2,FALSE())</f>
        <v>Beard Grooming Kit</v>
      </c>
      <c r="V1975" s="11" t="str">
        <f>VLOOKUP(E1975,Store_Dim!$A:$E,3,FALSE())</f>
        <v>South</v>
      </c>
      <c r="W1975" s="11" t="str">
        <f>VLOOKUP(C1975,Customer_Dim!$A:$N,13,FALSE())</f>
        <v>Platinum</v>
      </c>
      <c r="X1975" s="11" t="str">
        <f t="shared" si="216"/>
        <v>Low</v>
      </c>
    </row>
    <row r="1976" spans="1:24" ht="15.75" customHeight="1">
      <c r="A1976" s="4" t="s">
        <v>3972</v>
      </c>
      <c r="B1976" s="9">
        <v>45693</v>
      </c>
      <c r="C1976" s="4" t="s">
        <v>825</v>
      </c>
      <c r="D1976" s="4" t="s">
        <v>1654</v>
      </c>
      <c r="E1976" s="4" t="s">
        <v>1947</v>
      </c>
      <c r="F1976" s="4">
        <v>2</v>
      </c>
      <c r="G1976" s="4">
        <v>466.42</v>
      </c>
      <c r="H1976" s="4">
        <v>0.12</v>
      </c>
      <c r="I1976" s="4" t="s">
        <v>1998</v>
      </c>
      <c r="J1976" s="10">
        <v>820.89919999999995</v>
      </c>
      <c r="K1976" s="4" t="str">
        <f t="shared" si="210"/>
        <v>05-02-2025</v>
      </c>
      <c r="L1976" s="4" t="str">
        <f>TEXT(Sales_Fact!$B1976,"mmm")</f>
        <v>Feb</v>
      </c>
      <c r="M1976" s="4">
        <f t="shared" si="211"/>
        <v>2</v>
      </c>
      <c r="N1976" s="10">
        <f t="shared" si="212"/>
        <v>466.42</v>
      </c>
      <c r="O1976" s="10">
        <f t="shared" si="213"/>
        <v>820.89920000000006</v>
      </c>
      <c r="P1976" s="10">
        <f t="shared" si="214"/>
        <v>932.84</v>
      </c>
      <c r="Q1976" s="3">
        <f t="shared" si="215"/>
        <v>0.11999999999999997</v>
      </c>
      <c r="R1976" s="4" t="str">
        <f>IF(Sales_Fact!$O1976&gt;1000,"High","Low")</f>
        <v>Low</v>
      </c>
      <c r="S1976" s="4" t="str">
        <f>VLOOKUP(C1976,Customer_Dim!$A:$N,9,FALSE())</f>
        <v>Lauren George</v>
      </c>
      <c r="T1976" s="4" t="str">
        <f>VLOOKUP(D1976,Product_Dim!$A:$M,3,FALSE())</f>
        <v>Sports</v>
      </c>
      <c r="U1976" s="11" t="str">
        <f>VLOOKUP(D1976,Product_Dim!$A:$M,2,FALSE())</f>
        <v>Knee Support Brace</v>
      </c>
      <c r="V1976" s="11" t="str">
        <f>VLOOKUP(E1976,Store_Dim!$A:$E,3,FALSE())</f>
        <v>East</v>
      </c>
      <c r="W1976" s="11" t="str">
        <f>VLOOKUP(C1976,Customer_Dim!$A:$N,13,FALSE())</f>
        <v>Gold</v>
      </c>
      <c r="X1976" s="11" t="str">
        <f t="shared" si="216"/>
        <v>Low</v>
      </c>
    </row>
    <row r="1977" spans="1:24" ht="15.75" customHeight="1">
      <c r="A1977" s="4" t="s">
        <v>3973</v>
      </c>
      <c r="B1977" s="9">
        <v>45857</v>
      </c>
      <c r="C1977" s="4" t="s">
        <v>374</v>
      </c>
      <c r="D1977" s="4" t="s">
        <v>1693</v>
      </c>
      <c r="E1977" s="4" t="s">
        <v>1931</v>
      </c>
      <c r="F1977" s="4">
        <v>4</v>
      </c>
      <c r="G1977" s="4">
        <v>540.69000000000005</v>
      </c>
      <c r="H1977" s="4">
        <v>0.09</v>
      </c>
      <c r="I1977" s="4" t="s">
        <v>2004</v>
      </c>
      <c r="J1977" s="10">
        <v>1968.1116</v>
      </c>
      <c r="K1977" s="4" t="str">
        <f t="shared" si="210"/>
        <v>19-07-2025</v>
      </c>
      <c r="L1977" s="4" t="str">
        <f>TEXT(Sales_Fact!$B1977,"mmm")</f>
        <v>Jul</v>
      </c>
      <c r="M1977" s="4">
        <f t="shared" si="211"/>
        <v>4</v>
      </c>
      <c r="N1977" s="10">
        <f t="shared" si="212"/>
        <v>540.69000000000005</v>
      </c>
      <c r="O1977" s="10">
        <f t="shared" si="213"/>
        <v>1968.1116000000002</v>
      </c>
      <c r="P1977" s="10">
        <f t="shared" si="214"/>
        <v>2162.7600000000002</v>
      </c>
      <c r="Q1977" s="3">
        <f t="shared" si="215"/>
        <v>9.0000000000000011E-2</v>
      </c>
      <c r="R1977" s="4" t="str">
        <f>IF(Sales_Fact!$O1977&gt;1000,"High","Low")</f>
        <v>High</v>
      </c>
      <c r="S1977" s="4" t="str">
        <f>VLOOKUP(C1977,Customer_Dim!$A:$N,9,FALSE())</f>
        <v>Sheila Wilson</v>
      </c>
      <c r="T1977" s="4" t="str">
        <f>VLOOKUP(D1977,Product_Dim!$A:$M,3,FALSE())</f>
        <v>Sports</v>
      </c>
      <c r="U1977" s="11" t="str">
        <f>VLOOKUP(D1977,Product_Dim!$A:$M,2,FALSE())</f>
        <v>Basketball</v>
      </c>
      <c r="V1977" s="11" t="str">
        <f>VLOOKUP(E1977,Store_Dim!$A:$E,3,FALSE())</f>
        <v>North</v>
      </c>
      <c r="W1977" s="11" t="str">
        <f>VLOOKUP(C1977,Customer_Dim!$A:$N,13,FALSE())</f>
        <v>Silver</v>
      </c>
      <c r="X1977" s="11" t="str">
        <f t="shared" si="216"/>
        <v>High</v>
      </c>
    </row>
    <row r="1978" spans="1:24" ht="15.75" customHeight="1">
      <c r="A1978" s="4" t="s">
        <v>3974</v>
      </c>
      <c r="B1978" s="9">
        <v>45737</v>
      </c>
      <c r="C1978" s="4" t="s">
        <v>970</v>
      </c>
      <c r="D1978" s="4" t="s">
        <v>1654</v>
      </c>
      <c r="E1978" s="4" t="s">
        <v>1955</v>
      </c>
      <c r="F1978" s="4">
        <v>3</v>
      </c>
      <c r="G1978" s="4">
        <v>677.46</v>
      </c>
      <c r="H1978" s="4">
        <v>0.05</v>
      </c>
      <c r="I1978" s="4" t="s">
        <v>1996</v>
      </c>
      <c r="J1978" s="10">
        <v>1930.761</v>
      </c>
      <c r="K1978" s="4" t="str">
        <f t="shared" si="210"/>
        <v>21-03-2025</v>
      </c>
      <c r="L1978" s="4" t="str">
        <f>TEXT(Sales_Fact!$B1978,"mmm")</f>
        <v>Mar</v>
      </c>
      <c r="M1978" s="4">
        <f t="shared" si="211"/>
        <v>3</v>
      </c>
      <c r="N1978" s="10">
        <f t="shared" si="212"/>
        <v>677.46</v>
      </c>
      <c r="O1978" s="10">
        <f t="shared" si="213"/>
        <v>1930.761</v>
      </c>
      <c r="P1978" s="10">
        <f t="shared" si="214"/>
        <v>2032.38</v>
      </c>
      <c r="Q1978" s="3">
        <f t="shared" si="215"/>
        <v>5.0000000000000065E-2</v>
      </c>
      <c r="R1978" s="4" t="str">
        <f>IF(Sales_Fact!$O1978&gt;1000,"High","Low")</f>
        <v>High</v>
      </c>
      <c r="S1978" s="4" t="str">
        <f>VLOOKUP(C1978,Customer_Dim!$A:$N,9,FALSE())</f>
        <v>Tracy Stephens</v>
      </c>
      <c r="T1978" s="4" t="str">
        <f>VLOOKUP(D1978,Product_Dim!$A:$M,3,FALSE())</f>
        <v>Sports</v>
      </c>
      <c r="U1978" s="11" t="str">
        <f>VLOOKUP(D1978,Product_Dim!$A:$M,2,FALSE())</f>
        <v>Knee Support Brace</v>
      </c>
      <c r="V1978" s="11" t="str">
        <f>VLOOKUP(E1978,Store_Dim!$A:$E,3,FALSE())</f>
        <v>East</v>
      </c>
      <c r="W1978" s="11" t="str">
        <f>VLOOKUP(C1978,Customer_Dim!$A:$N,13,FALSE())</f>
        <v>Platinum</v>
      </c>
      <c r="X1978" s="11" t="str">
        <f t="shared" si="216"/>
        <v>Low</v>
      </c>
    </row>
    <row r="1979" spans="1:24" ht="15.75" customHeight="1">
      <c r="A1979" s="4" t="s">
        <v>3975</v>
      </c>
      <c r="B1979" s="9">
        <v>45771</v>
      </c>
      <c r="C1979" s="4" t="s">
        <v>1060</v>
      </c>
      <c r="D1979" s="4" t="s">
        <v>1661</v>
      </c>
      <c r="E1979" s="4" t="s">
        <v>1915</v>
      </c>
      <c r="F1979" s="4">
        <v>3</v>
      </c>
      <c r="G1979" s="4">
        <v>614.63</v>
      </c>
      <c r="H1979" s="4">
        <v>0.06</v>
      </c>
      <c r="I1979" s="4" t="s">
        <v>1998</v>
      </c>
      <c r="J1979" s="10">
        <v>1733.2565999999999</v>
      </c>
      <c r="K1979" s="4" t="str">
        <f t="shared" si="210"/>
        <v>24-04-2025</v>
      </c>
      <c r="L1979" s="4" t="str">
        <f>TEXT(Sales_Fact!$B1979,"mmm")</f>
        <v>Apr</v>
      </c>
      <c r="M1979" s="4">
        <f t="shared" si="211"/>
        <v>3</v>
      </c>
      <c r="N1979" s="10">
        <f t="shared" si="212"/>
        <v>614.63</v>
      </c>
      <c r="O1979" s="10">
        <f t="shared" si="213"/>
        <v>1733.2565999999997</v>
      </c>
      <c r="P1979" s="10">
        <f t="shared" si="214"/>
        <v>1843.8899999999999</v>
      </c>
      <c r="Q1979" s="3">
        <f t="shared" si="215"/>
        <v>6.0000000000000095E-2</v>
      </c>
      <c r="R1979" s="4" t="str">
        <f>IF(Sales_Fact!$O1979&gt;1000,"High","Low")</f>
        <v>High</v>
      </c>
      <c r="S1979" s="4" t="str">
        <f>VLOOKUP(C1979,Customer_Dim!$A:$N,9,FALSE())</f>
        <v>Mario Harvey Jr.</v>
      </c>
      <c r="T1979" s="4" t="str">
        <f>VLOOKUP(D1979,Product_Dim!$A:$M,3,FALSE())</f>
        <v>Home</v>
      </c>
      <c r="U1979" s="11" t="str">
        <f>VLOOKUP(D1979,Product_Dim!$A:$M,2,FALSE())</f>
        <v>Multi-Purpose Storage Box</v>
      </c>
      <c r="V1979" s="11" t="str">
        <f>VLOOKUP(E1979,Store_Dim!$A:$E,3,FALSE())</f>
        <v>North</v>
      </c>
      <c r="W1979" s="11" t="str">
        <f>VLOOKUP(C1979,Customer_Dim!$A:$N,13,FALSE())</f>
        <v>Platinum</v>
      </c>
      <c r="X1979" s="11" t="str">
        <f t="shared" si="216"/>
        <v>Low</v>
      </c>
    </row>
    <row r="1980" spans="1:24" ht="15.75" customHeight="1">
      <c r="A1980" s="4" t="s">
        <v>3976</v>
      </c>
      <c r="B1980" s="9">
        <v>45580</v>
      </c>
      <c r="C1980" s="4" t="s">
        <v>473</v>
      </c>
      <c r="D1980" s="4" t="s">
        <v>1773</v>
      </c>
      <c r="E1980" s="4" t="s">
        <v>1937</v>
      </c>
      <c r="F1980" s="4">
        <v>4</v>
      </c>
      <c r="G1980" s="4">
        <v>476.28</v>
      </c>
      <c r="H1980" s="4">
        <v>0.17</v>
      </c>
      <c r="I1980" s="4" t="s">
        <v>1996</v>
      </c>
      <c r="J1980" s="10">
        <v>1581.2496000000001</v>
      </c>
      <c r="K1980" s="4" t="str">
        <f t="shared" si="210"/>
        <v>15-10-2024</v>
      </c>
      <c r="L1980" s="4" t="str">
        <f>TEXT(Sales_Fact!$B1980,"mmm")</f>
        <v>Oct</v>
      </c>
      <c r="M1980" s="4">
        <f t="shared" si="211"/>
        <v>4</v>
      </c>
      <c r="N1980" s="10">
        <f t="shared" si="212"/>
        <v>476.28</v>
      </c>
      <c r="O1980" s="10">
        <f t="shared" si="213"/>
        <v>1581.2495999999999</v>
      </c>
      <c r="P1980" s="10">
        <f t="shared" si="214"/>
        <v>1905.12</v>
      </c>
      <c r="Q1980" s="3">
        <f t="shared" si="215"/>
        <v>0.17</v>
      </c>
      <c r="R1980" s="4" t="str">
        <f>IF(Sales_Fact!$O1980&gt;1000,"High","Low")</f>
        <v>High</v>
      </c>
      <c r="S1980" s="4" t="str">
        <f>VLOOKUP(C1980,Customer_Dim!$A:$N,9,FALSE())</f>
        <v>Joseph Richards</v>
      </c>
      <c r="T1980" s="4" t="str">
        <f>VLOOKUP(D1980,Product_Dim!$A:$M,3,FALSE())</f>
        <v>Home</v>
      </c>
      <c r="U1980" s="11" t="str">
        <f>VLOOKUP(D1980,Product_Dim!$A:$M,2,FALSE())</f>
        <v>Premium Blanket Throw</v>
      </c>
      <c r="V1980" s="11" t="str">
        <f>VLOOKUP(E1980,Store_Dim!$A:$E,3,FALSE())</f>
        <v>South</v>
      </c>
      <c r="W1980" s="11" t="str">
        <f>VLOOKUP(C1980,Customer_Dim!$A:$N,13,FALSE())</f>
        <v>Bronze</v>
      </c>
      <c r="X1980" s="11" t="str">
        <f t="shared" si="216"/>
        <v>High</v>
      </c>
    </row>
    <row r="1981" spans="1:24" ht="15.75" customHeight="1">
      <c r="A1981" s="4" t="s">
        <v>3977</v>
      </c>
      <c r="B1981" s="9">
        <v>45272</v>
      </c>
      <c r="C1981" s="4" t="s">
        <v>774</v>
      </c>
      <c r="D1981" s="4" t="s">
        <v>1803</v>
      </c>
      <c r="E1981" s="4" t="s">
        <v>1940</v>
      </c>
      <c r="F1981" s="4">
        <v>4</v>
      </c>
      <c r="G1981" s="4">
        <v>649.52</v>
      </c>
      <c r="H1981" s="4">
        <v>0.11</v>
      </c>
      <c r="I1981" s="4" t="s">
        <v>1996</v>
      </c>
      <c r="J1981" s="10">
        <v>2312.2912000000001</v>
      </c>
      <c r="K1981" s="4" t="str">
        <f t="shared" si="210"/>
        <v>12-12-2023</v>
      </c>
      <c r="L1981" s="4" t="str">
        <f>TEXT(Sales_Fact!$B1981,"mmm")</f>
        <v>Dec</v>
      </c>
      <c r="M1981" s="4">
        <f t="shared" si="211"/>
        <v>4</v>
      </c>
      <c r="N1981" s="10">
        <f t="shared" si="212"/>
        <v>649.52</v>
      </c>
      <c r="O1981" s="10">
        <f t="shared" si="213"/>
        <v>2312.2912000000001</v>
      </c>
      <c r="P1981" s="10">
        <f t="shared" si="214"/>
        <v>2598.08</v>
      </c>
      <c r="Q1981" s="3">
        <f t="shared" si="215"/>
        <v>0.10999999999999993</v>
      </c>
      <c r="R1981" s="4" t="str">
        <f>IF(Sales_Fact!$O1981&gt;1000,"High","Low")</f>
        <v>High</v>
      </c>
      <c r="S1981" s="4" t="str">
        <f>VLOOKUP(C1981,Customer_Dim!$A:$N,9,FALSE())</f>
        <v>Christy Hill</v>
      </c>
      <c r="T1981" s="4" t="str">
        <f>VLOOKUP(D1981,Product_Dim!$A:$M,3,FALSE())</f>
        <v>Beauty</v>
      </c>
      <c r="U1981" s="11" t="str">
        <f>VLOOKUP(D1981,Product_Dim!$A:$M,2,FALSE())</f>
        <v>Women's Hair Dryer Brush</v>
      </c>
      <c r="V1981" s="11" t="str">
        <f>VLOOKUP(E1981,Store_Dim!$A:$E,3,FALSE())</f>
        <v>West</v>
      </c>
      <c r="W1981" s="11" t="str">
        <f>VLOOKUP(C1981,Customer_Dim!$A:$N,13,FALSE())</f>
        <v>Platinum</v>
      </c>
      <c r="X1981" s="11" t="str">
        <f t="shared" si="216"/>
        <v>High</v>
      </c>
    </row>
    <row r="1982" spans="1:24" ht="15.75" customHeight="1">
      <c r="A1982" s="4" t="s">
        <v>3978</v>
      </c>
      <c r="B1982" s="9">
        <v>45481</v>
      </c>
      <c r="C1982" s="4" t="s">
        <v>1406</v>
      </c>
      <c r="D1982" s="4" t="s">
        <v>1861</v>
      </c>
      <c r="E1982" s="4" t="s">
        <v>1940</v>
      </c>
      <c r="F1982" s="4">
        <v>2</v>
      </c>
      <c r="G1982" s="4">
        <v>943.93</v>
      </c>
      <c r="H1982" s="4">
        <v>0.22</v>
      </c>
      <c r="I1982" s="4" t="s">
        <v>1998</v>
      </c>
      <c r="J1982" s="10">
        <v>1472.5308</v>
      </c>
      <c r="K1982" s="4" t="str">
        <f t="shared" si="210"/>
        <v>08-07-2024</v>
      </c>
      <c r="L1982" s="4" t="str">
        <f>TEXT(Sales_Fact!$B1982,"mmm")</f>
        <v>Jul</v>
      </c>
      <c r="M1982" s="4">
        <f t="shared" si="211"/>
        <v>2</v>
      </c>
      <c r="N1982" s="10">
        <f t="shared" si="212"/>
        <v>943.93</v>
      </c>
      <c r="O1982" s="10">
        <f t="shared" si="213"/>
        <v>1472.5308</v>
      </c>
      <c r="P1982" s="10">
        <f t="shared" si="214"/>
        <v>1887.86</v>
      </c>
      <c r="Q1982" s="3">
        <f t="shared" si="215"/>
        <v>0.21999999999999995</v>
      </c>
      <c r="R1982" s="4" t="str">
        <f>IF(Sales_Fact!$O1982&gt;1000,"High","Low")</f>
        <v>High</v>
      </c>
      <c r="S1982" s="4" t="str">
        <f>VLOOKUP(C1982,Customer_Dim!$A:$N,9,FALSE())</f>
        <v>Gene Lee</v>
      </c>
      <c r="T1982" s="4" t="str">
        <f>VLOOKUP(D1982,Product_Dim!$A:$M,3,FALSE())</f>
        <v>Clothing</v>
      </c>
      <c r="U1982" s="11" t="str">
        <f>VLOOKUP(D1982,Product_Dim!$A:$M,2,FALSE())</f>
        <v>Women's Beanie Hat</v>
      </c>
      <c r="V1982" s="11" t="str">
        <f>VLOOKUP(E1982,Store_Dim!$A:$E,3,FALSE())</f>
        <v>West</v>
      </c>
      <c r="W1982" s="11" t="str">
        <f>VLOOKUP(C1982,Customer_Dim!$A:$N,13,FALSE())</f>
        <v>Platinum</v>
      </c>
      <c r="X1982" s="11" t="str">
        <f t="shared" si="216"/>
        <v>Low</v>
      </c>
    </row>
    <row r="1983" spans="1:24" ht="15.75" customHeight="1">
      <c r="A1983" s="4" t="s">
        <v>3979</v>
      </c>
      <c r="B1983" s="9">
        <v>45228</v>
      </c>
      <c r="C1983" s="4" t="s">
        <v>574</v>
      </c>
      <c r="D1983" s="4" t="s">
        <v>1693</v>
      </c>
      <c r="E1983" s="4" t="s">
        <v>1940</v>
      </c>
      <c r="F1983" s="4">
        <v>4</v>
      </c>
      <c r="G1983" s="4">
        <v>538.73</v>
      </c>
      <c r="H1983" s="4">
        <v>0.03</v>
      </c>
      <c r="I1983" s="4" t="s">
        <v>1996</v>
      </c>
      <c r="J1983" s="10">
        <v>2090.2723999999998</v>
      </c>
      <c r="K1983" s="4" t="str">
        <f t="shared" si="210"/>
        <v>29-10-2023</v>
      </c>
      <c r="L1983" s="4" t="str">
        <f>TEXT(Sales_Fact!$B1983,"mmm")</f>
        <v>Oct</v>
      </c>
      <c r="M1983" s="4">
        <f t="shared" si="211"/>
        <v>4</v>
      </c>
      <c r="N1983" s="10">
        <f t="shared" si="212"/>
        <v>538.73</v>
      </c>
      <c r="O1983" s="10">
        <f t="shared" si="213"/>
        <v>2090.2723999999998</v>
      </c>
      <c r="P1983" s="10">
        <f t="shared" si="214"/>
        <v>2154.92</v>
      </c>
      <c r="Q1983" s="3">
        <f t="shared" si="215"/>
        <v>3.000000000000011E-2</v>
      </c>
      <c r="R1983" s="4" t="str">
        <f>IF(Sales_Fact!$O1983&gt;1000,"High","Low")</f>
        <v>High</v>
      </c>
      <c r="S1983" s="4" t="str">
        <f>VLOOKUP(C1983,Customer_Dim!$A:$N,9,FALSE())</f>
        <v>Jason Wheeler</v>
      </c>
      <c r="T1983" s="4" t="str">
        <f>VLOOKUP(D1983,Product_Dim!$A:$M,3,FALSE())</f>
        <v>Sports</v>
      </c>
      <c r="U1983" s="11" t="str">
        <f>VLOOKUP(D1983,Product_Dim!$A:$M,2,FALSE())</f>
        <v>Basketball</v>
      </c>
      <c r="V1983" s="11" t="str">
        <f>VLOOKUP(E1983,Store_Dim!$A:$E,3,FALSE())</f>
        <v>West</v>
      </c>
      <c r="W1983" s="11" t="str">
        <f>VLOOKUP(C1983,Customer_Dim!$A:$N,13,FALSE())</f>
        <v>Platinum</v>
      </c>
      <c r="X1983" s="11" t="str">
        <f t="shared" si="216"/>
        <v>High</v>
      </c>
    </row>
    <row r="1984" spans="1:24" ht="15.75" customHeight="1">
      <c r="A1984" s="4" t="s">
        <v>3980</v>
      </c>
      <c r="B1984" s="9">
        <v>45432</v>
      </c>
      <c r="C1984" s="4" t="s">
        <v>339</v>
      </c>
      <c r="D1984" s="4" t="s">
        <v>1803</v>
      </c>
      <c r="E1984" s="4" t="s">
        <v>1940</v>
      </c>
      <c r="F1984" s="4">
        <v>2</v>
      </c>
      <c r="G1984" s="4">
        <v>853.93</v>
      </c>
      <c r="H1984" s="4">
        <v>0.01</v>
      </c>
      <c r="I1984" s="4" t="s">
        <v>1998</v>
      </c>
      <c r="J1984" s="10">
        <v>1690.7814000000001</v>
      </c>
      <c r="K1984" s="4" t="str">
        <f t="shared" si="210"/>
        <v>20-05-2024</v>
      </c>
      <c r="L1984" s="4" t="str">
        <f>TEXT(Sales_Fact!$B1984,"mmm")</f>
        <v>May</v>
      </c>
      <c r="M1984" s="4">
        <f t="shared" si="211"/>
        <v>2</v>
      </c>
      <c r="N1984" s="10">
        <f t="shared" si="212"/>
        <v>853.93</v>
      </c>
      <c r="O1984" s="10">
        <f t="shared" si="213"/>
        <v>1690.7813999999998</v>
      </c>
      <c r="P1984" s="10">
        <f t="shared" si="214"/>
        <v>1707.86</v>
      </c>
      <c r="Q1984" s="3">
        <f t="shared" si="215"/>
        <v>1.0000000000000031E-2</v>
      </c>
      <c r="R1984" s="4" t="str">
        <f>IF(Sales_Fact!$O1984&gt;1000,"High","Low")</f>
        <v>High</v>
      </c>
      <c r="S1984" s="4" t="str">
        <f>VLOOKUP(C1984,Customer_Dim!$A:$N,9,FALSE())</f>
        <v>Timothy Wright</v>
      </c>
      <c r="T1984" s="4" t="str">
        <f>VLOOKUP(D1984,Product_Dim!$A:$M,3,FALSE())</f>
        <v>Beauty</v>
      </c>
      <c r="U1984" s="11" t="str">
        <f>VLOOKUP(D1984,Product_Dim!$A:$M,2,FALSE())</f>
        <v>Women's Hair Dryer Brush</v>
      </c>
      <c r="V1984" s="11" t="str">
        <f>VLOOKUP(E1984,Store_Dim!$A:$E,3,FALSE())</f>
        <v>West</v>
      </c>
      <c r="W1984" s="11" t="str">
        <f>VLOOKUP(C1984,Customer_Dim!$A:$N,13,FALSE())</f>
        <v>Silver</v>
      </c>
      <c r="X1984" s="11" t="str">
        <f t="shared" si="216"/>
        <v>Low</v>
      </c>
    </row>
    <row r="1985" spans="1:24" ht="15.75" customHeight="1">
      <c r="A1985" s="4" t="s">
        <v>3981</v>
      </c>
      <c r="B1985" s="9">
        <v>45914</v>
      </c>
      <c r="C1985" s="4" t="s">
        <v>1539</v>
      </c>
      <c r="D1985" s="4" t="s">
        <v>1687</v>
      </c>
      <c r="E1985" s="4" t="s">
        <v>1927</v>
      </c>
      <c r="F1985" s="4">
        <v>4</v>
      </c>
      <c r="G1985" s="4">
        <v>465.42</v>
      </c>
      <c r="H1985" s="4">
        <v>0.26</v>
      </c>
      <c r="I1985" s="4" t="s">
        <v>2004</v>
      </c>
      <c r="J1985" s="10">
        <v>1377.6432</v>
      </c>
      <c r="K1985" s="4" t="str">
        <f t="shared" si="210"/>
        <v>14-09-2025</v>
      </c>
      <c r="L1985" s="4" t="str">
        <f>TEXT(Sales_Fact!$B1985,"mmm")</f>
        <v>Sep</v>
      </c>
      <c r="M1985" s="4">
        <f t="shared" si="211"/>
        <v>4</v>
      </c>
      <c r="N1985" s="10">
        <f t="shared" si="212"/>
        <v>465.42</v>
      </c>
      <c r="O1985" s="10">
        <f t="shared" si="213"/>
        <v>1377.6432</v>
      </c>
      <c r="P1985" s="10">
        <f t="shared" si="214"/>
        <v>1861.68</v>
      </c>
      <c r="Q1985" s="3">
        <f t="shared" si="215"/>
        <v>0.26</v>
      </c>
      <c r="R1985" s="4" t="str">
        <f>IF(Sales_Fact!$O1985&gt;1000,"High","Low")</f>
        <v>High</v>
      </c>
      <c r="S1985" s="4" t="str">
        <f>VLOOKUP(C1985,Customer_Dim!$A:$N,9,FALSE())</f>
        <v>Kaitlin Brown</v>
      </c>
      <c r="T1985" s="4" t="str">
        <f>VLOOKUP(D1985,Product_Dim!$A:$M,3,FALSE())</f>
        <v>Home</v>
      </c>
      <c r="U1985" s="11" t="str">
        <f>VLOOKUP(D1985,Product_Dim!$A:$M,2,FALSE())</f>
        <v>Fabric Sofa Throw Blanket</v>
      </c>
      <c r="V1985" s="11" t="str">
        <f>VLOOKUP(E1985,Store_Dim!$A:$E,3,FALSE())</f>
        <v>South</v>
      </c>
      <c r="W1985" s="11" t="str">
        <f>VLOOKUP(C1985,Customer_Dim!$A:$N,13,FALSE())</f>
        <v>Gold</v>
      </c>
      <c r="X1985" s="11" t="str">
        <f t="shared" si="216"/>
        <v>High</v>
      </c>
    </row>
    <row r="1986" spans="1:24" ht="15.75" customHeight="1">
      <c r="A1986" s="4" t="s">
        <v>3982</v>
      </c>
      <c r="B1986" s="9">
        <v>45758</v>
      </c>
      <c r="C1986" s="4" t="s">
        <v>229</v>
      </c>
      <c r="D1986" s="4" t="s">
        <v>1583</v>
      </c>
      <c r="E1986" s="4" t="s">
        <v>1950</v>
      </c>
      <c r="F1986" s="4">
        <v>4</v>
      </c>
      <c r="G1986" s="4">
        <v>880.26</v>
      </c>
      <c r="H1986" s="4">
        <v>0.11</v>
      </c>
      <c r="I1986" s="4" t="s">
        <v>2004</v>
      </c>
      <c r="J1986" s="10">
        <v>3133.7256000000002</v>
      </c>
      <c r="K1986" s="4" t="str">
        <f t="shared" ref="K1986:K2001" si="217">TEXT(B1986,"dd-mm-yyyy")</f>
        <v>11-04-2025</v>
      </c>
      <c r="L1986" s="4" t="str">
        <f>TEXT(Sales_Fact!$B1986,"mmm")</f>
        <v>Apr</v>
      </c>
      <c r="M1986" s="4">
        <f t="shared" ref="M1986:M2001" si="218">IF(ISBLANK(F1986),1,F1986)</f>
        <v>4</v>
      </c>
      <c r="N1986" s="10">
        <f t="shared" ref="N1986:N2001" si="219">ROUNDUP(IF(ISBLANK(G1986),AVERAGE(C:C,G1986,G:G),G1986),2)</f>
        <v>880.26</v>
      </c>
      <c r="O1986" s="10">
        <f t="shared" ref="O1986:O2049" si="220">M1986*N1986*(1-H1986)</f>
        <v>3133.7256000000002</v>
      </c>
      <c r="P1986" s="10">
        <f t="shared" ref="P1986:P2001" si="221">M1986*N1986</f>
        <v>3521.04</v>
      </c>
      <c r="Q1986" s="3">
        <f t="shared" ref="Q1986:Q2049" si="222">(P1986-O1986)/P1986</f>
        <v>0.10999999999999993</v>
      </c>
      <c r="R1986" s="4" t="str">
        <f>IF(Sales_Fact!$O1986&gt;1000,"High","Low")</f>
        <v>High</v>
      </c>
      <c r="S1986" s="4" t="str">
        <f>VLOOKUP(C1986,Customer_Dim!$A:$N,9,FALSE())</f>
        <v>Wayne Mcpherson</v>
      </c>
      <c r="T1986" s="4" t="str">
        <f>VLOOKUP(D1986,Product_Dim!$A:$M,3,FALSE())</f>
        <v>Clothing</v>
      </c>
      <c r="U1986" s="11" t="str">
        <f>VLOOKUP(D1986,Product_Dim!$A:$M,2,FALSE())</f>
        <v>Men's Graphic T-Shirt</v>
      </c>
      <c r="V1986" s="11" t="str">
        <f>VLOOKUP(E1986,Store_Dim!$A:$E,3,FALSE())</f>
        <v>South</v>
      </c>
      <c r="W1986" s="11" t="str">
        <f>VLOOKUP(C1986,Customer_Dim!$A:$N,13,FALSE())</f>
        <v>Bronze</v>
      </c>
      <c r="X1986" s="11" t="str">
        <f t="shared" ref="X1986:X2001" si="223">IF(F1986&gt;3,"High","Low")</f>
        <v>High</v>
      </c>
    </row>
    <row r="1987" spans="1:24" ht="15.75" customHeight="1">
      <c r="A1987" s="4" t="s">
        <v>3983</v>
      </c>
      <c r="B1987" s="9">
        <v>45429</v>
      </c>
      <c r="C1987" s="4" t="s">
        <v>1516</v>
      </c>
      <c r="D1987" s="4" t="s">
        <v>1758</v>
      </c>
      <c r="E1987" s="4" t="s">
        <v>1950</v>
      </c>
      <c r="F1987" s="4">
        <v>3</v>
      </c>
      <c r="G1987" s="4">
        <v>461.02</v>
      </c>
      <c r="H1987" s="4">
        <v>0.28999999999999998</v>
      </c>
      <c r="I1987" s="4" t="s">
        <v>1998</v>
      </c>
      <c r="J1987" s="10">
        <v>981.97260000000006</v>
      </c>
      <c r="K1987" s="4" t="str">
        <f t="shared" si="217"/>
        <v>17-05-2024</v>
      </c>
      <c r="L1987" s="4" t="str">
        <f>TEXT(Sales_Fact!$B1987,"mmm")</f>
        <v>May</v>
      </c>
      <c r="M1987" s="4">
        <f t="shared" si="218"/>
        <v>3</v>
      </c>
      <c r="N1987" s="10">
        <f t="shared" si="219"/>
        <v>461.02</v>
      </c>
      <c r="O1987" s="10">
        <f t="shared" si="220"/>
        <v>981.97259999999994</v>
      </c>
      <c r="P1987" s="10">
        <f t="shared" si="221"/>
        <v>1383.06</v>
      </c>
      <c r="Q1987" s="3">
        <f t="shared" si="222"/>
        <v>0.29000000000000004</v>
      </c>
      <c r="R1987" s="4" t="str">
        <f>IF(Sales_Fact!$O1987&gt;1000,"High","Low")</f>
        <v>Low</v>
      </c>
      <c r="S1987" s="4" t="str">
        <f>VLOOKUP(C1987,Customer_Dim!$A:$N,9,FALSE())</f>
        <v>Sarah Smith</v>
      </c>
      <c r="T1987" s="4" t="str">
        <f>VLOOKUP(D1987,Product_Dim!$A:$M,3,FALSE())</f>
        <v>Electronics</v>
      </c>
      <c r="U1987" s="11" t="str">
        <f>VLOOKUP(D1987,Product_Dim!$A:$M,2,FALSE())</f>
        <v>HDMI Cable – 2m</v>
      </c>
      <c r="V1987" s="11" t="str">
        <f>VLOOKUP(E1987,Store_Dim!$A:$E,3,FALSE())</f>
        <v>South</v>
      </c>
      <c r="W1987" s="11" t="str">
        <f>VLOOKUP(C1987,Customer_Dim!$A:$N,13,FALSE())</f>
        <v>Gold</v>
      </c>
      <c r="X1987" s="11" t="str">
        <f t="shared" si="223"/>
        <v>Low</v>
      </c>
    </row>
    <row r="1988" spans="1:24" ht="15.75" customHeight="1">
      <c r="A1988" s="4" t="s">
        <v>3984</v>
      </c>
      <c r="B1988" s="9">
        <v>45578</v>
      </c>
      <c r="C1988" s="4" t="s">
        <v>131</v>
      </c>
      <c r="D1988" s="4" t="s">
        <v>1675</v>
      </c>
      <c r="E1988" s="4" t="s">
        <v>1955</v>
      </c>
      <c r="F1988" s="4">
        <v>1</v>
      </c>
      <c r="G1988" s="4">
        <v>531.99</v>
      </c>
      <c r="H1988" s="4">
        <v>0.17</v>
      </c>
      <c r="I1988" s="4" t="s">
        <v>1998</v>
      </c>
      <c r="J1988" s="10">
        <v>441.55169999999998</v>
      </c>
      <c r="K1988" s="4" t="str">
        <f t="shared" si="217"/>
        <v>13-10-2024</v>
      </c>
      <c r="L1988" s="4" t="str">
        <f>TEXT(Sales_Fact!$B1988,"mmm")</f>
        <v>Oct</v>
      </c>
      <c r="M1988" s="4">
        <f t="shared" si="218"/>
        <v>1</v>
      </c>
      <c r="N1988" s="10">
        <f t="shared" si="219"/>
        <v>531.99</v>
      </c>
      <c r="O1988" s="10">
        <f t="shared" si="220"/>
        <v>441.55169999999998</v>
      </c>
      <c r="P1988" s="10">
        <f t="shared" si="221"/>
        <v>531.99</v>
      </c>
      <c r="Q1988" s="3">
        <f t="shared" si="222"/>
        <v>0.17000000000000004</v>
      </c>
      <c r="R1988" s="4" t="str">
        <f>IF(Sales_Fact!$O1988&gt;1000,"High","Low")</f>
        <v>Low</v>
      </c>
      <c r="S1988" s="4" t="str">
        <f>VLOOKUP(C1988,Customer_Dim!$A:$N,9,FALSE())</f>
        <v>Amber Carlson</v>
      </c>
      <c r="T1988" s="4" t="str">
        <f>VLOOKUP(D1988,Product_Dim!$A:$M,3,FALSE())</f>
        <v>Clothing</v>
      </c>
      <c r="U1988" s="11" t="str">
        <f>VLOOKUP(D1988,Product_Dim!$A:$M,2,FALSE())</f>
        <v>Women's Scarf Set</v>
      </c>
      <c r="V1988" s="11" t="str">
        <f>VLOOKUP(E1988,Store_Dim!$A:$E,3,FALSE())</f>
        <v>East</v>
      </c>
      <c r="W1988" s="11" t="str">
        <f>VLOOKUP(C1988,Customer_Dim!$A:$N,13,FALSE())</f>
        <v>Gold</v>
      </c>
      <c r="X1988" s="11" t="str">
        <f t="shared" si="223"/>
        <v>Low</v>
      </c>
    </row>
    <row r="1989" spans="1:24" ht="15.75" customHeight="1">
      <c r="A1989" s="4" t="s">
        <v>3985</v>
      </c>
      <c r="B1989" s="9">
        <v>45486</v>
      </c>
      <c r="C1989" s="4" t="s">
        <v>46</v>
      </c>
      <c r="D1989" s="4" t="s">
        <v>1744</v>
      </c>
      <c r="E1989" s="4" t="s">
        <v>1965</v>
      </c>
      <c r="F1989" s="4">
        <v>2</v>
      </c>
      <c r="G1989" s="4">
        <v>274.08999999999997</v>
      </c>
      <c r="H1989" s="4">
        <v>0.13</v>
      </c>
      <c r="I1989" s="4" t="s">
        <v>1998</v>
      </c>
      <c r="J1989" s="10">
        <v>476.91660000000002</v>
      </c>
      <c r="K1989" s="4" t="str">
        <f t="shared" si="217"/>
        <v>13-07-2024</v>
      </c>
      <c r="L1989" s="4" t="str">
        <f>TEXT(Sales_Fact!$B1989,"mmm")</f>
        <v>Jul</v>
      </c>
      <c r="M1989" s="4">
        <f t="shared" si="218"/>
        <v>2</v>
      </c>
      <c r="N1989" s="10">
        <f t="shared" si="219"/>
        <v>274.08999999999997</v>
      </c>
      <c r="O1989" s="10">
        <f t="shared" si="220"/>
        <v>476.91659999999996</v>
      </c>
      <c r="P1989" s="10">
        <f t="shared" si="221"/>
        <v>548.17999999999995</v>
      </c>
      <c r="Q1989" s="3">
        <f t="shared" si="222"/>
        <v>0.13</v>
      </c>
      <c r="R1989" s="4" t="str">
        <f>IF(Sales_Fact!$O1989&gt;1000,"High","Low")</f>
        <v>Low</v>
      </c>
      <c r="S1989" s="4" t="str">
        <f>VLOOKUP(C1989,Customer_Dim!$A:$N,9,FALSE())</f>
        <v>Caroline Collins</v>
      </c>
      <c r="T1989" s="4" t="str">
        <f>VLOOKUP(D1989,Product_Dim!$A:$M,3,FALSE())</f>
        <v>Beauty</v>
      </c>
      <c r="U1989" s="11" t="str">
        <f>VLOOKUP(D1989,Product_Dim!$A:$M,2,FALSE())</f>
        <v>Makeup Brush Set</v>
      </c>
      <c r="V1989" s="11" t="str">
        <f>VLOOKUP(E1989,Store_Dim!$A:$E,3,FALSE())</f>
        <v>North</v>
      </c>
      <c r="W1989" s="11" t="str">
        <f>VLOOKUP(C1989,Customer_Dim!$A:$N,13,FALSE())</f>
        <v>Silver</v>
      </c>
      <c r="X1989" s="11" t="str">
        <f t="shared" si="223"/>
        <v>Low</v>
      </c>
    </row>
    <row r="1990" spans="1:24" ht="15.75" customHeight="1">
      <c r="A1990" s="4" t="s">
        <v>3986</v>
      </c>
      <c r="B1990" s="9">
        <v>45694</v>
      </c>
      <c r="C1990" s="4" t="s">
        <v>1400</v>
      </c>
      <c r="D1990" s="4" t="s">
        <v>1870</v>
      </c>
      <c r="E1990" s="4" t="s">
        <v>1947</v>
      </c>
      <c r="F1990" s="4">
        <v>1</v>
      </c>
      <c r="G1990" s="4">
        <v>66.14</v>
      </c>
      <c r="H1990" s="4">
        <v>0.14000000000000001</v>
      </c>
      <c r="I1990" s="4" t="s">
        <v>2004</v>
      </c>
      <c r="J1990" s="10">
        <v>56.880400000000002</v>
      </c>
      <c r="K1990" s="4" t="str">
        <f t="shared" si="217"/>
        <v>06-02-2025</v>
      </c>
      <c r="L1990" s="4" t="str">
        <f>TEXT(Sales_Fact!$B1990,"mmm")</f>
        <v>Feb</v>
      </c>
      <c r="M1990" s="4">
        <f t="shared" si="218"/>
        <v>1</v>
      </c>
      <c r="N1990" s="10">
        <f t="shared" si="219"/>
        <v>66.14</v>
      </c>
      <c r="O1990" s="10">
        <f t="shared" si="220"/>
        <v>56.880400000000002</v>
      </c>
      <c r="P1990" s="10">
        <f t="shared" si="221"/>
        <v>66.14</v>
      </c>
      <c r="Q1990" s="3">
        <f t="shared" si="222"/>
        <v>0.13999999999999999</v>
      </c>
      <c r="R1990" s="4" t="str">
        <f>IF(Sales_Fact!$O1990&gt;1000,"High","Low")</f>
        <v>Low</v>
      </c>
      <c r="S1990" s="4" t="str">
        <f>VLOOKUP(C1990,Customer_Dim!$A:$N,9,FALSE())</f>
        <v>Adam Castro</v>
      </c>
      <c r="T1990" s="4" t="str">
        <f>VLOOKUP(D1990,Product_Dim!$A:$M,3,FALSE())</f>
        <v>Sports</v>
      </c>
      <c r="U1990" s="11" t="str">
        <f>VLOOKUP(D1990,Product_Dim!$A:$M,2,FALSE())</f>
        <v>Sports Wrist Sweatbands</v>
      </c>
      <c r="V1990" s="11" t="str">
        <f>VLOOKUP(E1990,Store_Dim!$A:$E,3,FALSE())</f>
        <v>East</v>
      </c>
      <c r="W1990" s="11" t="str">
        <f>VLOOKUP(C1990,Customer_Dim!$A:$N,13,FALSE())</f>
        <v>Silver</v>
      </c>
      <c r="X1990" s="11" t="str">
        <f t="shared" si="223"/>
        <v>Low</v>
      </c>
    </row>
    <row r="1991" spans="1:24" ht="15.75" customHeight="1">
      <c r="A1991" s="4" t="s">
        <v>3987</v>
      </c>
      <c r="B1991" s="9">
        <v>45479</v>
      </c>
      <c r="C1991" s="4" t="s">
        <v>1051</v>
      </c>
      <c r="D1991" s="4" t="s">
        <v>1767</v>
      </c>
      <c r="E1991" s="4" t="s">
        <v>1924</v>
      </c>
      <c r="F1991" s="4">
        <v>3</v>
      </c>
      <c r="G1991" s="4">
        <v>541.99</v>
      </c>
      <c r="H1991" s="4">
        <v>0.24</v>
      </c>
      <c r="I1991" s="4" t="s">
        <v>2004</v>
      </c>
      <c r="J1991" s="10">
        <v>1235.7372</v>
      </c>
      <c r="K1991" s="4" t="str">
        <f t="shared" si="217"/>
        <v>06-07-2024</v>
      </c>
      <c r="L1991" s="4" t="str">
        <f>TEXT(Sales_Fact!$B1991,"mmm")</f>
        <v>Jul</v>
      </c>
      <c r="M1991" s="4">
        <f t="shared" si="218"/>
        <v>3</v>
      </c>
      <c r="N1991" s="10">
        <f t="shared" si="219"/>
        <v>541.99</v>
      </c>
      <c r="O1991" s="10">
        <f t="shared" si="220"/>
        <v>1235.7372</v>
      </c>
      <c r="P1991" s="10">
        <f t="shared" si="221"/>
        <v>1625.97</v>
      </c>
      <c r="Q1991" s="3">
        <f t="shared" si="222"/>
        <v>0.24</v>
      </c>
      <c r="R1991" s="4" t="str">
        <f>IF(Sales_Fact!$O1991&gt;1000,"High","Low")</f>
        <v>High</v>
      </c>
      <c r="S1991" s="4" t="str">
        <f>VLOOKUP(C1991,Customer_Dim!$A:$N,9,FALSE())</f>
        <v>Andrew Smith</v>
      </c>
      <c r="T1991" s="4" t="str">
        <f>VLOOKUP(D1991,Product_Dim!$A:$M,3,FALSE())</f>
        <v>Sports</v>
      </c>
      <c r="U1991" s="11" t="str">
        <f>VLOOKUP(D1991,Product_Dim!$A:$M,2,FALSE())</f>
        <v>Sports Stopwatch Pro</v>
      </c>
      <c r="V1991" s="11" t="str">
        <f>VLOOKUP(E1991,Store_Dim!$A:$E,3,FALSE())</f>
        <v>North</v>
      </c>
      <c r="W1991" s="11" t="str">
        <f>VLOOKUP(C1991,Customer_Dim!$A:$N,13,FALSE())</f>
        <v>Bronze</v>
      </c>
      <c r="X1991" s="11" t="str">
        <f t="shared" si="223"/>
        <v>Low</v>
      </c>
    </row>
    <row r="1992" spans="1:24" ht="15.75" customHeight="1">
      <c r="A1992" s="4" t="s">
        <v>3988</v>
      </c>
      <c r="B1992" s="9">
        <v>45875</v>
      </c>
      <c r="C1992" s="4" t="s">
        <v>302</v>
      </c>
      <c r="D1992" s="4" t="s">
        <v>1658</v>
      </c>
      <c r="E1992" s="4" t="s">
        <v>1944</v>
      </c>
      <c r="F1992" s="4">
        <v>3</v>
      </c>
      <c r="G1992" s="4">
        <v>955.82</v>
      </c>
      <c r="H1992" s="4">
        <v>0.16</v>
      </c>
      <c r="I1992" s="4" t="s">
        <v>2004</v>
      </c>
      <c r="J1992" s="10">
        <v>2408.6664000000001</v>
      </c>
      <c r="K1992" s="4" t="str">
        <f t="shared" si="217"/>
        <v>06-08-2025</v>
      </c>
      <c r="L1992" s="4" t="str">
        <f>TEXT(Sales_Fact!$B1992,"mmm")</f>
        <v>Aug</v>
      </c>
      <c r="M1992" s="4">
        <f t="shared" si="218"/>
        <v>3</v>
      </c>
      <c r="N1992" s="10">
        <f t="shared" si="219"/>
        <v>955.82</v>
      </c>
      <c r="O1992" s="10">
        <f t="shared" si="220"/>
        <v>2408.6664000000001</v>
      </c>
      <c r="P1992" s="10">
        <f t="shared" si="221"/>
        <v>2867.46</v>
      </c>
      <c r="Q1992" s="3">
        <f t="shared" si="222"/>
        <v>0.15999999999999998</v>
      </c>
      <c r="R1992" s="4" t="str">
        <f>IF(Sales_Fact!$O1992&gt;1000,"High","Low")</f>
        <v>High</v>
      </c>
      <c r="S1992" s="4" t="str">
        <f>VLOOKUP(C1992,Customer_Dim!$A:$N,9,FALSE())</f>
        <v>Katherine Young</v>
      </c>
      <c r="T1992" s="4" t="str">
        <f>VLOOKUP(D1992,Product_Dim!$A:$M,3,FALSE())</f>
        <v>Sports</v>
      </c>
      <c r="U1992" s="11" t="str">
        <f>VLOOKUP(D1992,Product_Dim!$A:$M,2,FALSE())</f>
        <v>Outdoor Sports Water Bottle</v>
      </c>
      <c r="V1992" s="11" t="str">
        <f>VLOOKUP(E1992,Store_Dim!$A:$E,3,FALSE())</f>
        <v>South</v>
      </c>
      <c r="W1992" s="11" t="str">
        <f>VLOOKUP(C1992,Customer_Dim!$A:$N,13,FALSE())</f>
        <v>Gold</v>
      </c>
      <c r="X1992" s="11" t="str">
        <f t="shared" si="223"/>
        <v>Low</v>
      </c>
    </row>
    <row r="1993" spans="1:24" ht="15.75" customHeight="1">
      <c r="A1993" s="4" t="s">
        <v>3989</v>
      </c>
      <c r="B1993" s="9">
        <v>45432</v>
      </c>
      <c r="C1993" s="4" t="s">
        <v>1033</v>
      </c>
      <c r="D1993" s="4" t="s">
        <v>1665</v>
      </c>
      <c r="E1993" s="4" t="s">
        <v>1952</v>
      </c>
      <c r="F1993" s="4">
        <v>1</v>
      </c>
      <c r="G1993" s="4">
        <v>904.92</v>
      </c>
      <c r="H1993" s="4">
        <v>0.13</v>
      </c>
      <c r="I1993" s="4" t="s">
        <v>1996</v>
      </c>
      <c r="J1993" s="10">
        <v>787.28039999999999</v>
      </c>
      <c r="K1993" s="4" t="str">
        <f t="shared" si="217"/>
        <v>20-05-2024</v>
      </c>
      <c r="L1993" s="4" t="str">
        <f>TEXT(Sales_Fact!$B1993,"mmm")</f>
        <v>May</v>
      </c>
      <c r="M1993" s="4">
        <f t="shared" si="218"/>
        <v>1</v>
      </c>
      <c r="N1993" s="10">
        <f t="shared" si="219"/>
        <v>904.92</v>
      </c>
      <c r="O1993" s="10">
        <f t="shared" si="220"/>
        <v>787.28039999999999</v>
      </c>
      <c r="P1993" s="10">
        <f t="shared" si="221"/>
        <v>904.92</v>
      </c>
      <c r="Q1993" s="3">
        <f t="shared" si="222"/>
        <v>0.12999999999999998</v>
      </c>
      <c r="R1993" s="4" t="str">
        <f>IF(Sales_Fact!$O1993&gt;1000,"High","Low")</f>
        <v>Low</v>
      </c>
      <c r="S1993" s="4" t="str">
        <f>VLOOKUP(C1993,Customer_Dim!$A:$N,9,FALSE())</f>
        <v>Casey Simpson</v>
      </c>
      <c r="T1993" s="4" t="str">
        <f>VLOOKUP(D1993,Product_Dim!$A:$M,3,FALSE())</f>
        <v>Sports</v>
      </c>
      <c r="U1993" s="11" t="str">
        <f>VLOOKUP(D1993,Product_Dim!$A:$M,2,FALSE())</f>
        <v>Carbon Fiber Tennis Racket</v>
      </c>
      <c r="V1993" s="11" t="str">
        <f>VLOOKUP(E1993,Store_Dim!$A:$E,3,FALSE())</f>
        <v>North</v>
      </c>
      <c r="W1993" s="11" t="str">
        <f>VLOOKUP(C1993,Customer_Dim!$A:$N,13,FALSE())</f>
        <v>Platinum</v>
      </c>
      <c r="X1993" s="11" t="str">
        <f t="shared" si="223"/>
        <v>Low</v>
      </c>
    </row>
    <row r="1994" spans="1:24" ht="15.75" customHeight="1">
      <c r="A1994" s="4" t="s">
        <v>3990</v>
      </c>
      <c r="B1994" s="9">
        <v>45575</v>
      </c>
      <c r="C1994" s="4" t="s">
        <v>23</v>
      </c>
      <c r="D1994" s="4" t="s">
        <v>1723</v>
      </c>
      <c r="E1994" s="4" t="s">
        <v>1937</v>
      </c>
      <c r="F1994" s="4">
        <v>3</v>
      </c>
      <c r="G1994" s="4">
        <v>490.02</v>
      </c>
      <c r="H1994" s="4">
        <v>0.26</v>
      </c>
      <c r="I1994" s="4" t="s">
        <v>1996</v>
      </c>
      <c r="J1994" s="10">
        <v>1087.8444</v>
      </c>
      <c r="K1994" s="4" t="str">
        <f t="shared" si="217"/>
        <v>10-10-2024</v>
      </c>
      <c r="L1994" s="4" t="str">
        <f>TEXT(Sales_Fact!$B1994,"mmm")</f>
        <v>Oct</v>
      </c>
      <c r="M1994" s="4">
        <f t="shared" si="218"/>
        <v>3</v>
      </c>
      <c r="N1994" s="10">
        <f t="shared" si="219"/>
        <v>490.02</v>
      </c>
      <c r="O1994" s="10">
        <f t="shared" si="220"/>
        <v>1087.8444</v>
      </c>
      <c r="P1994" s="10">
        <f t="shared" si="221"/>
        <v>1470.06</v>
      </c>
      <c r="Q1994" s="3">
        <f t="shared" si="222"/>
        <v>0.26</v>
      </c>
      <c r="R1994" s="4" t="str">
        <f>IF(Sales_Fact!$O1994&gt;1000,"High","Low")</f>
        <v>High</v>
      </c>
      <c r="S1994" s="4" t="str">
        <f>VLOOKUP(C1994,Customer_Dim!$A:$N,9,FALSE())</f>
        <v>Sheena Bonilla</v>
      </c>
      <c r="T1994" s="4" t="str">
        <f>VLOOKUP(D1994,Product_Dim!$A:$M,3,FALSE())</f>
        <v>Electronics</v>
      </c>
      <c r="U1994" s="11" t="str">
        <f>VLOOKUP(D1994,Product_Dim!$A:$M,2,FALSE())</f>
        <v>Noise-Canceling Headphones</v>
      </c>
      <c r="V1994" s="11" t="str">
        <f>VLOOKUP(E1994,Store_Dim!$A:$E,3,FALSE())</f>
        <v>South</v>
      </c>
      <c r="W1994" s="11" t="str">
        <f>VLOOKUP(C1994,Customer_Dim!$A:$N,13,FALSE())</f>
        <v>Standard</v>
      </c>
      <c r="X1994" s="11" t="str">
        <f t="shared" si="223"/>
        <v>Low</v>
      </c>
    </row>
    <row r="1995" spans="1:24" ht="15.75" customHeight="1">
      <c r="A1995" s="4" t="s">
        <v>3991</v>
      </c>
      <c r="B1995" s="9">
        <v>45340</v>
      </c>
      <c r="C1995" s="4" t="s">
        <v>1165</v>
      </c>
      <c r="D1995" s="4" t="s">
        <v>1654</v>
      </c>
      <c r="E1995" s="4" t="s">
        <v>1934</v>
      </c>
      <c r="F1995" s="4">
        <v>2</v>
      </c>
      <c r="G1995" s="4">
        <v>957.54</v>
      </c>
      <c r="H1995" s="4">
        <v>0.1</v>
      </c>
      <c r="I1995" s="4" t="s">
        <v>2004</v>
      </c>
      <c r="J1995" s="10">
        <v>1723.5719999999999</v>
      </c>
      <c r="K1995" s="4" t="str">
        <f t="shared" si="217"/>
        <v>18-02-2024</v>
      </c>
      <c r="L1995" s="4" t="str">
        <f>TEXT(Sales_Fact!$B1995,"mmm")</f>
        <v>Feb</v>
      </c>
      <c r="M1995" s="4">
        <f t="shared" si="218"/>
        <v>2</v>
      </c>
      <c r="N1995" s="10">
        <f t="shared" si="219"/>
        <v>957.54</v>
      </c>
      <c r="O1995" s="10">
        <f t="shared" si="220"/>
        <v>1723.5719999999999</v>
      </c>
      <c r="P1995" s="10">
        <f t="shared" si="221"/>
        <v>1915.08</v>
      </c>
      <c r="Q1995" s="3">
        <f t="shared" si="222"/>
        <v>0.10000000000000002</v>
      </c>
      <c r="R1995" s="4" t="str">
        <f>IF(Sales_Fact!$O1995&gt;1000,"High","Low")</f>
        <v>High</v>
      </c>
      <c r="S1995" s="4" t="str">
        <f>VLOOKUP(C1995,Customer_Dim!$A:$N,9,FALSE())</f>
        <v>Elizabeth Smith</v>
      </c>
      <c r="T1995" s="4" t="str">
        <f>VLOOKUP(D1995,Product_Dim!$A:$M,3,FALSE())</f>
        <v>Sports</v>
      </c>
      <c r="U1995" s="11" t="str">
        <f>VLOOKUP(D1995,Product_Dim!$A:$M,2,FALSE())</f>
        <v>Knee Support Brace</v>
      </c>
      <c r="V1995" s="11" t="str">
        <f>VLOOKUP(E1995,Store_Dim!$A:$E,3,FALSE())</f>
        <v>East</v>
      </c>
      <c r="W1995" s="11" t="str">
        <f>VLOOKUP(C1995,Customer_Dim!$A:$N,13,FALSE())</f>
        <v>Bronze</v>
      </c>
      <c r="X1995" s="11" t="str">
        <f t="shared" si="223"/>
        <v>Low</v>
      </c>
    </row>
    <row r="1996" spans="1:24" ht="15.75" customHeight="1">
      <c r="A1996" s="4" t="s">
        <v>3992</v>
      </c>
      <c r="B1996" s="9">
        <v>45926</v>
      </c>
      <c r="C1996" s="4" t="s">
        <v>1063</v>
      </c>
      <c r="D1996" s="4" t="s">
        <v>1903</v>
      </c>
      <c r="E1996" s="4" t="s">
        <v>1955</v>
      </c>
      <c r="F1996" s="4">
        <v>2</v>
      </c>
      <c r="G1996" s="4">
        <v>314.39999999999998</v>
      </c>
      <c r="H1996" s="4">
        <v>7.0000000000000007E-2</v>
      </c>
      <c r="I1996" s="4" t="s">
        <v>1998</v>
      </c>
      <c r="J1996" s="10">
        <v>584.78399999999999</v>
      </c>
      <c r="K1996" s="4" t="str">
        <f t="shared" si="217"/>
        <v>26-09-2025</v>
      </c>
      <c r="L1996" s="4" t="str">
        <f>TEXT(Sales_Fact!$B1996,"mmm")</f>
        <v>Sep</v>
      </c>
      <c r="M1996" s="4">
        <f t="shared" si="218"/>
        <v>2</v>
      </c>
      <c r="N1996" s="10">
        <f t="shared" si="219"/>
        <v>314.39999999999998</v>
      </c>
      <c r="O1996" s="10">
        <f t="shared" si="220"/>
        <v>584.78399999999988</v>
      </c>
      <c r="P1996" s="10">
        <f t="shared" si="221"/>
        <v>628.79999999999995</v>
      </c>
      <c r="Q1996" s="3">
        <f t="shared" si="222"/>
        <v>7.0000000000000132E-2</v>
      </c>
      <c r="R1996" s="4" t="str">
        <f>IF(Sales_Fact!$O1996&gt;1000,"High","Low")</f>
        <v>Low</v>
      </c>
      <c r="S1996" s="4" t="str">
        <f>VLOOKUP(C1996,Customer_Dim!$A:$N,9,FALSE())</f>
        <v>Victor Mcintosh</v>
      </c>
      <c r="T1996" s="4" t="str">
        <f>VLOOKUP(D1996,Product_Dim!$A:$M,3,FALSE())</f>
        <v>Home</v>
      </c>
      <c r="U1996" s="11" t="str">
        <f>VLOOKUP(D1996,Product_Dim!$A:$M,2,FALSE())</f>
        <v>Stainless Steel Cookware Set</v>
      </c>
      <c r="V1996" s="11" t="str">
        <f>VLOOKUP(E1996,Store_Dim!$A:$E,3,FALSE())</f>
        <v>East</v>
      </c>
      <c r="W1996" s="11" t="str">
        <f>VLOOKUP(C1996,Customer_Dim!$A:$N,13,FALSE())</f>
        <v>Bronze</v>
      </c>
      <c r="X1996" s="11" t="str">
        <f t="shared" si="223"/>
        <v>Low</v>
      </c>
    </row>
    <row r="1997" spans="1:24" ht="15.75" customHeight="1">
      <c r="A1997" s="4" t="s">
        <v>3993</v>
      </c>
      <c r="B1997" s="9">
        <v>45373</v>
      </c>
      <c r="C1997" s="4" t="s">
        <v>1258</v>
      </c>
      <c r="D1997" s="4" t="s">
        <v>1671</v>
      </c>
      <c r="E1997" s="4" t="s">
        <v>1934</v>
      </c>
      <c r="F1997" s="4">
        <v>3</v>
      </c>
      <c r="G1997" s="4">
        <v>480.11</v>
      </c>
      <c r="H1997" s="4">
        <v>0.11</v>
      </c>
      <c r="I1997" s="4" t="s">
        <v>1998</v>
      </c>
      <c r="J1997" s="10">
        <v>1281.8937000000001</v>
      </c>
      <c r="K1997" s="4" t="str">
        <f t="shared" si="217"/>
        <v>22-03-2024</v>
      </c>
      <c r="L1997" s="4" t="str">
        <f>TEXT(Sales_Fact!$B1997,"mmm")</f>
        <v>Mar</v>
      </c>
      <c r="M1997" s="4">
        <f t="shared" si="218"/>
        <v>3</v>
      </c>
      <c r="N1997" s="10">
        <f t="shared" si="219"/>
        <v>480.11</v>
      </c>
      <c r="O1997" s="10">
        <f t="shared" si="220"/>
        <v>1281.8936999999999</v>
      </c>
      <c r="P1997" s="10">
        <f t="shared" si="221"/>
        <v>1440.33</v>
      </c>
      <c r="Q1997" s="3">
        <f t="shared" si="222"/>
        <v>0.11000000000000006</v>
      </c>
      <c r="R1997" s="4" t="str">
        <f>IF(Sales_Fact!$O1997&gt;1000,"High","Low")</f>
        <v>High</v>
      </c>
      <c r="S1997" s="4" t="str">
        <f>VLOOKUP(C1997,Customer_Dim!$A:$N,9,FALSE())</f>
        <v>Alejandro Evans</v>
      </c>
      <c r="T1997" s="4" t="str">
        <f>VLOOKUP(D1997,Product_Dim!$A:$M,3,FALSE())</f>
        <v>Sports</v>
      </c>
      <c r="U1997" s="11" t="str">
        <f>VLOOKUP(D1997,Product_Dim!$A:$M,2,FALSE())</f>
        <v>Foldable Camping Chair</v>
      </c>
      <c r="V1997" s="11" t="str">
        <f>VLOOKUP(E1997,Store_Dim!$A:$E,3,FALSE())</f>
        <v>East</v>
      </c>
      <c r="W1997" s="11" t="str">
        <f>VLOOKUP(C1997,Customer_Dim!$A:$N,13,FALSE())</f>
        <v>Bronze</v>
      </c>
      <c r="X1997" s="11" t="str">
        <f t="shared" si="223"/>
        <v>Low</v>
      </c>
    </row>
    <row r="1998" spans="1:24" ht="15.75" customHeight="1">
      <c r="A1998" s="4" t="s">
        <v>3994</v>
      </c>
      <c r="B1998" s="9">
        <v>45579</v>
      </c>
      <c r="C1998" s="4" t="s">
        <v>1240</v>
      </c>
      <c r="D1998" s="4" t="s">
        <v>1748</v>
      </c>
      <c r="E1998" s="4" t="s">
        <v>1934</v>
      </c>
      <c r="F1998" s="4">
        <v>4</v>
      </c>
      <c r="G1998" s="4">
        <v>826.55</v>
      </c>
      <c r="H1998" s="4">
        <v>0.28000000000000003</v>
      </c>
      <c r="I1998" s="4" t="s">
        <v>1996</v>
      </c>
      <c r="J1998" s="10">
        <v>2380.4639999999999</v>
      </c>
      <c r="K1998" s="4" t="str">
        <f t="shared" si="217"/>
        <v>14-10-2024</v>
      </c>
      <c r="L1998" s="4" t="str">
        <f>TEXT(Sales_Fact!$B1998,"mmm")</f>
        <v>Oct</v>
      </c>
      <c r="M1998" s="4">
        <f t="shared" si="218"/>
        <v>4</v>
      </c>
      <c r="N1998" s="10">
        <f t="shared" si="219"/>
        <v>826.55</v>
      </c>
      <c r="O1998" s="10">
        <f t="shared" si="220"/>
        <v>2380.4639999999999</v>
      </c>
      <c r="P1998" s="10">
        <f t="shared" si="221"/>
        <v>3306.2</v>
      </c>
      <c r="Q1998" s="3">
        <f t="shared" si="222"/>
        <v>0.27999999999999997</v>
      </c>
      <c r="R1998" s="4" t="str">
        <f>IF(Sales_Fact!$O1998&gt;1000,"High","Low")</f>
        <v>High</v>
      </c>
      <c r="S1998" s="4" t="str">
        <f>VLOOKUP(C1998,Customer_Dim!$A:$N,9,FALSE())</f>
        <v>Timothy Valenzuela</v>
      </c>
      <c r="T1998" s="4" t="str">
        <f>VLOOKUP(D1998,Product_Dim!$A:$M,3,FALSE())</f>
        <v>Electronics</v>
      </c>
      <c r="U1998" s="11" t="str">
        <f>VLOOKUP(D1998,Product_Dim!$A:$M,2,FALSE())</f>
        <v>Car Dashboard Phone Holder</v>
      </c>
      <c r="V1998" s="11" t="str">
        <f>VLOOKUP(E1998,Store_Dim!$A:$E,3,FALSE())</f>
        <v>East</v>
      </c>
      <c r="W1998" s="11" t="str">
        <f>VLOOKUP(C1998,Customer_Dim!$A:$N,13,FALSE())</f>
        <v>Platinum</v>
      </c>
      <c r="X1998" s="11" t="str">
        <f t="shared" si="223"/>
        <v>High</v>
      </c>
    </row>
    <row r="1999" spans="1:24" ht="15.75" customHeight="1">
      <c r="A1999" s="4" t="s">
        <v>3995</v>
      </c>
      <c r="B1999" s="9">
        <v>45805</v>
      </c>
      <c r="C1999" s="4" t="s">
        <v>650</v>
      </c>
      <c r="D1999" s="4" t="s">
        <v>1681</v>
      </c>
      <c r="E1999" s="4" t="s">
        <v>1924</v>
      </c>
      <c r="F1999" s="4">
        <v>3</v>
      </c>
      <c r="G1999" s="4">
        <v>530.16999999999996</v>
      </c>
      <c r="H1999" s="4">
        <v>0.18</v>
      </c>
      <c r="I1999" s="4" t="s">
        <v>1998</v>
      </c>
      <c r="J1999" s="10">
        <v>1304.2182</v>
      </c>
      <c r="K1999" s="4" t="str">
        <f t="shared" si="217"/>
        <v>28-05-2025</v>
      </c>
      <c r="L1999" s="4" t="str">
        <f>TEXT(Sales_Fact!$B1999,"mmm")</f>
        <v>May</v>
      </c>
      <c r="M1999" s="4">
        <f t="shared" si="218"/>
        <v>3</v>
      </c>
      <c r="N1999" s="10">
        <f t="shared" si="219"/>
        <v>530.16999999999996</v>
      </c>
      <c r="O1999" s="10">
        <f t="shared" si="220"/>
        <v>1304.2181999999998</v>
      </c>
      <c r="P1999" s="10">
        <f t="shared" si="221"/>
        <v>1590.5099999999998</v>
      </c>
      <c r="Q1999" s="3">
        <f t="shared" si="222"/>
        <v>0.18</v>
      </c>
      <c r="R1999" s="4" t="str">
        <f>IF(Sales_Fact!$O1999&gt;1000,"High","Low")</f>
        <v>High</v>
      </c>
      <c r="S1999" s="4" t="str">
        <f>VLOOKUP(C1999,Customer_Dim!$A:$N,9,FALSE())</f>
        <v>Christopher Stewart</v>
      </c>
      <c r="T1999" s="4" t="str">
        <f>VLOOKUP(D1999,Product_Dim!$A:$M,3,FALSE())</f>
        <v>Home</v>
      </c>
      <c r="U1999" s="11" t="str">
        <f>VLOOKUP(D1999,Product_Dim!$A:$M,2,FALSE())</f>
        <v>Decorative Floor Vase</v>
      </c>
      <c r="V1999" s="11" t="str">
        <f>VLOOKUP(E1999,Store_Dim!$A:$E,3,FALSE())</f>
        <v>North</v>
      </c>
      <c r="W1999" s="11" t="str">
        <f>VLOOKUP(C1999,Customer_Dim!$A:$N,13,FALSE())</f>
        <v>Bronze</v>
      </c>
      <c r="X1999" s="11" t="str">
        <f t="shared" si="223"/>
        <v>Low</v>
      </c>
    </row>
    <row r="2000" spans="1:24" ht="15.75" customHeight="1">
      <c r="A2000" s="4" t="s">
        <v>3996</v>
      </c>
      <c r="B2000" s="9">
        <v>45522</v>
      </c>
      <c r="C2000" s="4" t="s">
        <v>1295</v>
      </c>
      <c r="D2000" s="4" t="s">
        <v>1703</v>
      </c>
      <c r="E2000" s="4" t="s">
        <v>1965</v>
      </c>
      <c r="F2000" s="4">
        <v>3</v>
      </c>
      <c r="G2000" s="4">
        <v>336.17</v>
      </c>
      <c r="H2000" s="4">
        <v>0.04</v>
      </c>
      <c r="I2000" s="4" t="s">
        <v>2004</v>
      </c>
      <c r="J2000" s="10">
        <v>968.16959999999995</v>
      </c>
      <c r="K2000" s="4" t="str">
        <f t="shared" si="217"/>
        <v>18-08-2024</v>
      </c>
      <c r="L2000" s="4" t="str">
        <f>TEXT(Sales_Fact!$B2000,"mmm")</f>
        <v>Aug</v>
      </c>
      <c r="M2000" s="4">
        <f t="shared" si="218"/>
        <v>3</v>
      </c>
      <c r="N2000" s="10">
        <f t="shared" si="219"/>
        <v>336.17</v>
      </c>
      <c r="O2000" s="10">
        <f t="shared" si="220"/>
        <v>968.16959999999995</v>
      </c>
      <c r="P2000" s="10">
        <f t="shared" si="221"/>
        <v>1008.51</v>
      </c>
      <c r="Q2000" s="3">
        <f t="shared" si="222"/>
        <v>4.0000000000000042E-2</v>
      </c>
      <c r="R2000" s="4" t="str">
        <f>IF(Sales_Fact!$O2000&gt;1000,"High","Low")</f>
        <v>Low</v>
      </c>
      <c r="S2000" s="4" t="str">
        <f>VLOOKUP(C2000,Customer_Dim!$A:$N,9,FALSE())</f>
        <v>Joseph Mendoza</v>
      </c>
      <c r="T2000" s="4" t="str">
        <f>VLOOKUP(D2000,Product_Dim!$A:$M,3,FALSE())</f>
        <v>Electronics</v>
      </c>
      <c r="U2000" s="11" t="str">
        <f>VLOOKUP(D2000,Product_Dim!$A:$M,2,FALSE())</f>
        <v>Gaming Mechanical Keyboard</v>
      </c>
      <c r="V2000" s="11" t="str">
        <f>VLOOKUP(E2000,Store_Dim!$A:$E,3,FALSE())</f>
        <v>North</v>
      </c>
      <c r="W2000" s="11" t="str">
        <f>VLOOKUP(C2000,Customer_Dim!$A:$N,13,FALSE())</f>
        <v>Gold</v>
      </c>
      <c r="X2000" s="11" t="str">
        <f t="shared" si="223"/>
        <v>Low</v>
      </c>
    </row>
    <row r="2001" spans="1:24" ht="15.75" customHeight="1">
      <c r="A2001" s="4" t="s">
        <v>3997</v>
      </c>
      <c r="B2001" s="9">
        <v>45304</v>
      </c>
      <c r="C2001" s="4" t="s">
        <v>1336</v>
      </c>
      <c r="D2001" s="4" t="s">
        <v>1849</v>
      </c>
      <c r="E2001" s="4" t="s">
        <v>1940</v>
      </c>
      <c r="F2001" s="4">
        <v>4</v>
      </c>
      <c r="G2001" s="4">
        <v>22.51</v>
      </c>
      <c r="H2001" s="4">
        <v>0.27</v>
      </c>
      <c r="I2001" s="4" t="s">
        <v>1998</v>
      </c>
      <c r="J2001" s="10">
        <v>65.729200000000006</v>
      </c>
      <c r="K2001" s="4" t="str">
        <f t="shared" si="217"/>
        <v>13-01-2024</v>
      </c>
      <c r="L2001" s="4" t="str">
        <f>TEXT(Sales_Fact!$B2001,"mmm")</f>
        <v>Jan</v>
      </c>
      <c r="M2001" s="4">
        <f t="shared" si="218"/>
        <v>4</v>
      </c>
      <c r="N2001" s="10">
        <f t="shared" si="219"/>
        <v>22.51</v>
      </c>
      <c r="O2001" s="10">
        <f t="shared" si="220"/>
        <v>65.729200000000006</v>
      </c>
      <c r="P2001" s="10">
        <f t="shared" si="221"/>
        <v>90.04</v>
      </c>
      <c r="Q2001" s="3">
        <f t="shared" si="222"/>
        <v>0.26999999999999996</v>
      </c>
      <c r="R2001" s="4" t="str">
        <f>IF(Sales_Fact!$O2001&gt;1000,"High","Low")</f>
        <v>Low</v>
      </c>
      <c r="S2001" s="4" t="str">
        <f>VLOOKUP(C2001,Customer_Dim!$A:$N,9,FALSE())</f>
        <v>Holly Robinson</v>
      </c>
      <c r="T2001" s="4" t="str">
        <f>VLOOKUP(D2001,Product_Dim!$A:$M,3,FALSE())</f>
        <v>Sports</v>
      </c>
      <c r="U2001" s="11" t="str">
        <f>VLOOKUP(D2001,Product_Dim!$A:$M,2,FALSE())</f>
        <v>Badminton Racket Set</v>
      </c>
      <c r="V2001" s="11" t="str">
        <f>VLOOKUP(E2001,Store_Dim!$A:$E,3,FALSE())</f>
        <v>West</v>
      </c>
      <c r="W2001" s="11" t="str">
        <f>VLOOKUP(C2001,Customer_Dim!$A:$N,13,FALSE())</f>
        <v>Platinum</v>
      </c>
      <c r="X2001" s="11" t="str">
        <f t="shared" si="223"/>
        <v>High</v>
      </c>
    </row>
  </sheetData>
  <conditionalFormatting sqref="R1:R2001">
    <cfRule type="containsText" dxfId="1" priority="2" operator="containsText" text="Low">
      <formula>NOT(ISERROR(SEARCH("Low",R1)))</formula>
    </cfRule>
  </conditionalFormatting>
  <conditionalFormatting sqref="X1:X2001">
    <cfRule type="containsText" dxfId="0" priority="3" operator="containsText" text="Low">
      <formula>NOT(ISERROR(SEARCH("Low",X1)))</formula>
    </cfRule>
  </conditionalFormatting>
  <pageMargins left="0.75" right="0.75" top="1" bottom="1" header="0.511811023622047" footer="0.511811023622047"/>
  <pageSetup orientation="landscape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3:D1000"/>
  <sheetViews>
    <sheetView zoomScaleNormal="100" workbookViewId="0"/>
  </sheetViews>
  <sheetFormatPr defaultColWidth="12.625" defaultRowHeight="13.9"/>
  <cols>
    <col min="1" max="2" width="8.75" customWidth="1"/>
    <col min="3" max="3" width="36.125" customWidth="1"/>
    <col min="4" max="4" width="12.25" customWidth="1"/>
    <col min="5" max="6" width="8.75" customWidth="1"/>
    <col min="7" max="26" width="14.375" customWidth="1"/>
  </cols>
  <sheetData>
    <row r="3" spans="3:4" ht="15" customHeight="1">
      <c r="C3" s="12" t="s">
        <v>3998</v>
      </c>
      <c r="D3" s="12"/>
    </row>
    <row r="4" spans="3:4" ht="15" customHeight="1">
      <c r="C4" s="13"/>
      <c r="D4" s="13"/>
    </row>
    <row r="5" spans="3:4" ht="15" customHeight="1">
      <c r="C5" s="13" t="s">
        <v>3999</v>
      </c>
      <c r="D5" s="10">
        <v>1085.48</v>
      </c>
    </row>
    <row r="6" spans="3:4" ht="15" customHeight="1">
      <c r="C6" s="13" t="s">
        <v>4000</v>
      </c>
      <c r="D6" s="13">
        <v>18.314900000000002</v>
      </c>
    </row>
    <row r="7" spans="3:4" ht="15" customHeight="1">
      <c r="C7" s="13" t="s">
        <v>4001</v>
      </c>
      <c r="D7" s="13">
        <v>866.7</v>
      </c>
    </row>
    <row r="8" spans="3:4" ht="15" customHeight="1">
      <c r="C8" s="13" t="s">
        <v>4002</v>
      </c>
      <c r="D8" s="13" t="e">
        <f>#N/A</f>
        <v>#N/A</v>
      </c>
    </row>
    <row r="9" spans="3:4" ht="15" customHeight="1">
      <c r="C9" s="13" t="s">
        <v>4003</v>
      </c>
      <c r="D9" s="13">
        <v>819.06740000000002</v>
      </c>
    </row>
    <row r="10" spans="3:4" ht="15" customHeight="1">
      <c r="C10" s="13" t="s">
        <v>4004</v>
      </c>
      <c r="D10" s="13">
        <v>670871.90899999999</v>
      </c>
    </row>
    <row r="11" spans="3:4" ht="15" customHeight="1">
      <c r="C11" s="13" t="s">
        <v>4005</v>
      </c>
      <c r="D11" s="13">
        <v>6.3219999999999998E-2</v>
      </c>
    </row>
    <row r="12" spans="3:4" ht="15" customHeight="1">
      <c r="C12" s="13" t="s">
        <v>4006</v>
      </c>
      <c r="D12" s="13">
        <v>0.88615999999999995</v>
      </c>
    </row>
    <row r="13" spans="3:4" ht="15" customHeight="1">
      <c r="C13" s="13" t="s">
        <v>4007</v>
      </c>
      <c r="D13" s="13">
        <v>3889.7838000000002</v>
      </c>
    </row>
    <row r="14" spans="3:4" ht="15" customHeight="1">
      <c r="C14" s="13" t="s">
        <v>4008</v>
      </c>
      <c r="D14" s="14">
        <v>18.46</v>
      </c>
    </row>
    <row r="15" spans="3:4" ht="15" customHeight="1">
      <c r="C15" s="13" t="s">
        <v>4009</v>
      </c>
      <c r="D15" s="14">
        <v>3908.2428</v>
      </c>
    </row>
    <row r="16" spans="3:4" ht="15" customHeight="1">
      <c r="C16" s="13" t="s">
        <v>4010</v>
      </c>
      <c r="D16" s="13">
        <v>2170969.81</v>
      </c>
    </row>
    <row r="17" spans="3:4" ht="15" customHeight="1">
      <c r="C17" s="15" t="s">
        <v>39</v>
      </c>
      <c r="D17" s="15">
        <v>2000</v>
      </c>
    </row>
    <row r="21" spans="3:4" ht="15.75" customHeight="1"/>
    <row r="22" spans="3:4" ht="15.75" customHeight="1"/>
    <row r="23" spans="3:4" ht="15.75" customHeight="1"/>
    <row r="24" spans="3:4" ht="15.75" customHeight="1"/>
    <row r="25" spans="3:4" ht="15.75" customHeight="1"/>
    <row r="26" spans="3:4" ht="15.75" customHeight="1"/>
    <row r="27" spans="3:4" ht="15.75" customHeight="1"/>
    <row r="28" spans="3:4" ht="15.75" customHeight="1"/>
    <row r="29" spans="3:4" ht="15.75" customHeight="1"/>
    <row r="30" spans="3:4" ht="15.75" customHeight="1"/>
    <row r="31" spans="3:4" ht="15.75" customHeight="1"/>
    <row r="32" spans="3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G1000"/>
  <sheetViews>
    <sheetView zoomScaleNormal="100" workbookViewId="0">
      <selection activeCell="C50" sqref="C50"/>
    </sheetView>
  </sheetViews>
  <sheetFormatPr defaultColWidth="12.625" defaultRowHeight="13.9"/>
  <cols>
    <col min="1" max="1" width="19.375" customWidth="1"/>
    <col min="2" max="2" width="20.375" customWidth="1"/>
    <col min="3" max="3" width="11.375" customWidth="1"/>
    <col min="4" max="7" width="6.875" customWidth="1"/>
    <col min="8" max="29" width="14.375" customWidth="1"/>
  </cols>
  <sheetData>
    <row r="3" spans="1:3" ht="15" customHeight="1">
      <c r="A3" s="11" t="s">
        <v>1992</v>
      </c>
      <c r="B3" s="4" t="s">
        <v>4011</v>
      </c>
      <c r="C3" s="4" t="s">
        <v>4012</v>
      </c>
    </row>
    <row r="4" spans="1:3" ht="15" customHeight="1">
      <c r="A4" s="4" t="s">
        <v>1912</v>
      </c>
      <c r="B4" s="11">
        <v>619851.20530000096</v>
      </c>
      <c r="C4" s="11">
        <v>590</v>
      </c>
    </row>
    <row r="5" spans="1:3" ht="15" customHeight="1">
      <c r="A5" s="4" t="s">
        <v>1917</v>
      </c>
      <c r="B5" s="11">
        <v>645166.75039999897</v>
      </c>
      <c r="C5" s="11">
        <v>596</v>
      </c>
    </row>
    <row r="6" spans="1:3" ht="15" customHeight="1">
      <c r="A6" s="4" t="s">
        <v>1921</v>
      </c>
      <c r="B6" s="11">
        <v>635213.09569999995</v>
      </c>
      <c r="C6" s="11">
        <v>581</v>
      </c>
    </row>
    <row r="7" spans="1:3" ht="15" customHeight="1">
      <c r="A7" s="4" t="s">
        <v>1942</v>
      </c>
      <c r="B7" s="11">
        <v>270676.40600000002</v>
      </c>
      <c r="C7" s="11">
        <v>233</v>
      </c>
    </row>
    <row r="8" spans="1:3" ht="15" customHeight="1">
      <c r="A8" s="4" t="s">
        <v>4013</v>
      </c>
      <c r="B8" s="11">
        <v>2170907.4574000002</v>
      </c>
      <c r="C8" s="11">
        <v>2000</v>
      </c>
    </row>
    <row r="11" spans="1:3" ht="15" customHeight="1">
      <c r="A11" s="11" t="s">
        <v>1990</v>
      </c>
      <c r="B11" s="4" t="s">
        <v>4011</v>
      </c>
    </row>
    <row r="12" spans="1:3" ht="15" customHeight="1">
      <c r="A12" s="4" t="s">
        <v>1605</v>
      </c>
      <c r="B12" s="11">
        <v>321362.08990000002</v>
      </c>
    </row>
    <row r="13" spans="1:3" ht="15" customHeight="1">
      <c r="A13" s="4" t="s">
        <v>1585</v>
      </c>
      <c r="B13" s="11">
        <v>377055.37410000002</v>
      </c>
    </row>
    <row r="14" spans="1:3" ht="15" customHeight="1">
      <c r="A14" s="4" t="s">
        <v>1580</v>
      </c>
      <c r="B14" s="11">
        <v>504311.348</v>
      </c>
    </row>
    <row r="15" spans="1:3" ht="15" customHeight="1">
      <c r="A15" s="4" t="s">
        <v>1610</v>
      </c>
      <c r="B15" s="11">
        <v>427295.80359999998</v>
      </c>
    </row>
    <row r="16" spans="1:3" ht="15" customHeight="1">
      <c r="A16" s="4" t="s">
        <v>1619</v>
      </c>
      <c r="B16" s="11">
        <v>540882.84180000005</v>
      </c>
    </row>
    <row r="17" spans="1:7" ht="15" customHeight="1">
      <c r="A17" s="4" t="s">
        <v>4013</v>
      </c>
      <c r="B17" s="11">
        <v>2170907.4574000002</v>
      </c>
    </row>
    <row r="20" spans="1:7" ht="15" customHeight="1">
      <c r="A20" s="11" t="s">
        <v>4014</v>
      </c>
      <c r="B20" s="11" t="s">
        <v>1990</v>
      </c>
    </row>
    <row r="21" spans="1:7" ht="15.75" customHeight="1">
      <c r="A21" s="11" t="s">
        <v>1982</v>
      </c>
      <c r="B21" s="4" t="s">
        <v>1605</v>
      </c>
      <c r="C21" s="4" t="s">
        <v>1585</v>
      </c>
      <c r="D21" s="4" t="s">
        <v>1580</v>
      </c>
      <c r="E21" s="4" t="s">
        <v>1610</v>
      </c>
      <c r="F21" s="4" t="s">
        <v>1619</v>
      </c>
      <c r="G21" s="4" t="s">
        <v>4013</v>
      </c>
    </row>
    <row r="22" spans="1:7" ht="15.75" customHeight="1">
      <c r="A22" s="4" t="s">
        <v>4015</v>
      </c>
      <c r="B22" s="11">
        <v>28</v>
      </c>
      <c r="C22" s="11">
        <v>25</v>
      </c>
      <c r="D22" s="11">
        <v>43</v>
      </c>
      <c r="E22" s="11">
        <v>30</v>
      </c>
      <c r="F22" s="11">
        <v>38</v>
      </c>
      <c r="G22" s="11">
        <v>164</v>
      </c>
    </row>
    <row r="23" spans="1:7" ht="15.75" customHeight="1">
      <c r="A23" s="4" t="s">
        <v>4016</v>
      </c>
      <c r="B23" s="11">
        <v>20</v>
      </c>
      <c r="C23" s="11">
        <v>28</v>
      </c>
      <c r="D23" s="11">
        <v>31</v>
      </c>
      <c r="E23" s="11">
        <v>36</v>
      </c>
      <c r="F23" s="11">
        <v>44</v>
      </c>
      <c r="G23" s="11">
        <v>159</v>
      </c>
    </row>
    <row r="24" spans="1:7" ht="15.75" customHeight="1">
      <c r="A24" s="4" t="s">
        <v>4017</v>
      </c>
      <c r="B24" s="11">
        <v>27</v>
      </c>
      <c r="C24" s="11">
        <v>23</v>
      </c>
      <c r="D24" s="11">
        <v>42</v>
      </c>
      <c r="E24" s="11">
        <v>34</v>
      </c>
      <c r="F24" s="11">
        <v>57</v>
      </c>
      <c r="G24" s="11">
        <v>183</v>
      </c>
    </row>
    <row r="25" spans="1:7" ht="15.75" customHeight="1">
      <c r="A25" s="4" t="s">
        <v>4018</v>
      </c>
      <c r="B25" s="11">
        <v>28</v>
      </c>
      <c r="C25" s="11">
        <v>34</v>
      </c>
      <c r="D25" s="11">
        <v>27</v>
      </c>
      <c r="E25" s="11">
        <v>38</v>
      </c>
      <c r="F25" s="11">
        <v>34</v>
      </c>
      <c r="G25" s="11">
        <v>161</v>
      </c>
    </row>
    <row r="26" spans="1:7" ht="15.75" customHeight="1">
      <c r="A26" s="4" t="s">
        <v>4019</v>
      </c>
      <c r="B26" s="11">
        <v>25</v>
      </c>
      <c r="C26" s="11">
        <v>22</v>
      </c>
      <c r="D26" s="11">
        <v>43</v>
      </c>
      <c r="E26" s="11">
        <v>30</v>
      </c>
      <c r="F26" s="11">
        <v>38</v>
      </c>
      <c r="G26" s="11">
        <v>158</v>
      </c>
    </row>
    <row r="27" spans="1:7" ht="15.75" customHeight="1">
      <c r="A27" s="4" t="s">
        <v>4020</v>
      </c>
      <c r="B27" s="11">
        <v>29</v>
      </c>
      <c r="C27" s="11">
        <v>19</v>
      </c>
      <c r="D27" s="11">
        <v>42</v>
      </c>
      <c r="E27" s="11">
        <v>33</v>
      </c>
      <c r="F27" s="11">
        <v>32</v>
      </c>
      <c r="G27" s="11">
        <v>155</v>
      </c>
    </row>
    <row r="28" spans="1:7" ht="15.75" customHeight="1">
      <c r="A28" s="4" t="s">
        <v>4021</v>
      </c>
      <c r="B28" s="11">
        <v>37</v>
      </c>
      <c r="C28" s="11">
        <v>27</v>
      </c>
      <c r="D28" s="11">
        <v>39</v>
      </c>
      <c r="E28" s="11">
        <v>36</v>
      </c>
      <c r="F28" s="11">
        <v>45</v>
      </c>
      <c r="G28" s="11">
        <v>184</v>
      </c>
    </row>
    <row r="29" spans="1:7" ht="15.75" customHeight="1">
      <c r="A29" s="4" t="s">
        <v>4022</v>
      </c>
      <c r="B29" s="11">
        <v>21</v>
      </c>
      <c r="C29" s="11">
        <v>32</v>
      </c>
      <c r="D29" s="11">
        <v>40</v>
      </c>
      <c r="E29" s="11">
        <v>34</v>
      </c>
      <c r="F29" s="11">
        <v>44</v>
      </c>
      <c r="G29" s="11">
        <v>171</v>
      </c>
    </row>
    <row r="30" spans="1:7" ht="15.75" customHeight="1">
      <c r="A30" s="4" t="s">
        <v>4023</v>
      </c>
      <c r="B30" s="11">
        <v>13</v>
      </c>
      <c r="C30" s="11">
        <v>36</v>
      </c>
      <c r="D30" s="11">
        <v>42</v>
      </c>
      <c r="E30" s="11">
        <v>33</v>
      </c>
      <c r="F30" s="11">
        <v>41</v>
      </c>
      <c r="G30" s="11">
        <v>165</v>
      </c>
    </row>
    <row r="31" spans="1:7" ht="15.75" customHeight="1">
      <c r="A31" s="4" t="s">
        <v>4024</v>
      </c>
      <c r="B31" s="11">
        <v>24</v>
      </c>
      <c r="C31" s="11">
        <v>23</v>
      </c>
      <c r="D31" s="11">
        <v>41</v>
      </c>
      <c r="E31" s="11">
        <v>34</v>
      </c>
      <c r="F31" s="11">
        <v>45</v>
      </c>
      <c r="G31" s="11">
        <v>167</v>
      </c>
    </row>
    <row r="32" spans="1:7" ht="15.75" customHeight="1">
      <c r="A32" s="4" t="s">
        <v>4025</v>
      </c>
      <c r="B32" s="11">
        <v>29</v>
      </c>
      <c r="C32" s="11">
        <v>28</v>
      </c>
      <c r="D32" s="11">
        <v>33</v>
      </c>
      <c r="E32" s="11">
        <v>40</v>
      </c>
      <c r="F32" s="11">
        <v>36</v>
      </c>
      <c r="G32" s="11">
        <v>166</v>
      </c>
    </row>
    <row r="33" spans="1:7" ht="15.75" customHeight="1">
      <c r="A33" s="4" t="s">
        <v>4026</v>
      </c>
      <c r="B33" s="11">
        <v>23</v>
      </c>
      <c r="C33" s="11">
        <v>37</v>
      </c>
      <c r="D33" s="11">
        <v>31</v>
      </c>
      <c r="E33" s="11">
        <v>32</v>
      </c>
      <c r="F33" s="11">
        <v>44</v>
      </c>
      <c r="G33" s="11">
        <v>167</v>
      </c>
    </row>
    <row r="34" spans="1:7" ht="15.75" customHeight="1">
      <c r="A34" s="4" t="s">
        <v>4013</v>
      </c>
      <c r="B34" s="11">
        <v>304</v>
      </c>
      <c r="C34" s="11">
        <v>334</v>
      </c>
      <c r="D34" s="11">
        <v>454</v>
      </c>
      <c r="E34" s="11">
        <v>410</v>
      </c>
      <c r="F34" s="11">
        <v>498</v>
      </c>
      <c r="G34" s="11">
        <v>2000</v>
      </c>
    </row>
    <row r="35" spans="1:7" ht="15.75" customHeight="1"/>
    <row r="36" spans="1:7" ht="15.75" customHeight="1"/>
    <row r="37" spans="1:7" ht="15.75" customHeight="1">
      <c r="A37" s="11" t="s">
        <v>1993</v>
      </c>
      <c r="B37" s="4" t="s">
        <v>4027</v>
      </c>
    </row>
    <row r="38" spans="1:7" ht="15.75" customHeight="1">
      <c r="A38" s="4" t="s">
        <v>44</v>
      </c>
      <c r="B38" s="11">
        <v>487</v>
      </c>
    </row>
    <row r="39" spans="1:7" ht="15.75" customHeight="1">
      <c r="A39" s="4" t="s">
        <v>67</v>
      </c>
      <c r="B39" s="11">
        <v>469</v>
      </c>
    </row>
    <row r="40" spans="1:7" ht="15.75" customHeight="1">
      <c r="A40" s="4" t="s">
        <v>34</v>
      </c>
      <c r="B40" s="11">
        <v>606</v>
      </c>
    </row>
    <row r="41" spans="1:7" ht="15.75" customHeight="1">
      <c r="A41" s="4" t="s">
        <v>50</v>
      </c>
      <c r="B41" s="11">
        <v>422</v>
      </c>
    </row>
    <row r="42" spans="1:7" ht="15.75" customHeight="1">
      <c r="A42" s="4" t="s">
        <v>4028</v>
      </c>
      <c r="B42" s="11">
        <v>16</v>
      </c>
    </row>
    <row r="43" spans="1:7" ht="15.75" customHeight="1">
      <c r="A43" s="4" t="s">
        <v>4013</v>
      </c>
      <c r="B43" s="11">
        <v>2000</v>
      </c>
    </row>
    <row r="44" spans="1:7" ht="15.75" customHeight="1"/>
    <row r="45" spans="1:7" ht="15.75" customHeight="1">
      <c r="A45" s="33" t="s">
        <v>4029</v>
      </c>
      <c r="B45" s="34"/>
    </row>
    <row r="46" spans="1:7" ht="15.75" customHeight="1">
      <c r="A46" s="35" t="s">
        <v>1982</v>
      </c>
      <c r="B46" s="36" t="s">
        <v>2</v>
      </c>
      <c r="C46" s="17"/>
    </row>
    <row r="47" spans="1:7" ht="15.75" customHeight="1">
      <c r="A47" s="37">
        <v>45200</v>
      </c>
      <c r="B47" s="38">
        <f>SUMIFS(Sales_Fact!$O$2:$O$2001,Sales_Fact!$B$2:$B$2001,"&gt;="&amp;A47,Sales_Fact!$B$2:$B$2001,"&lt;"&amp;EDATE(A47,1))</f>
        <v>43700.662899999996</v>
      </c>
      <c r="C47" s="18"/>
    </row>
    <row r="48" spans="1:7" ht="15.75" customHeight="1">
      <c r="A48" s="37">
        <v>45231</v>
      </c>
      <c r="B48" s="38">
        <f>SUMIFS(Sales_Fact!$O$2:$O$2001,Sales_Fact!$B$2:$B$2001,"&gt;="&amp;A48,Sales_Fact!$B$2:$B$2001,"&lt;"&amp;EDATE(A48,1))</f>
        <v>84402.868700000006</v>
      </c>
      <c r="C48" s="18"/>
    </row>
    <row r="49" spans="1:3" ht="15.75" customHeight="1">
      <c r="A49" s="37">
        <v>45261</v>
      </c>
      <c r="B49" s="38">
        <f>SUMIFS(Sales_Fact!$O$2:$O$2001,Sales_Fact!$B$2:$B$2001,"&gt;="&amp;A49,Sales_Fact!$B$2:$B$2001,"&lt;"&amp;EDATE(A49,1))</f>
        <v>94277.112100000013</v>
      </c>
      <c r="C49" s="18"/>
    </row>
    <row r="50" spans="1:3" ht="15.75" customHeight="1">
      <c r="A50" s="37">
        <v>45292</v>
      </c>
      <c r="B50" s="38">
        <f>SUMIFS(Sales_Fact!$O$2:$O$2001,Sales_Fact!$B$2:$B$2001,"&gt;="&amp;A50,Sales_Fact!$B$2:$B$2001,"&lt;"&amp;EDATE(A50,1))</f>
        <v>81336.269000000015</v>
      </c>
      <c r="C50" s="18"/>
    </row>
    <row r="51" spans="1:3" ht="15.75" customHeight="1">
      <c r="A51" s="37">
        <v>45323</v>
      </c>
      <c r="B51" s="38">
        <f>SUMIFS(Sales_Fact!$O$2:$O$2001,Sales_Fact!$B$2:$B$2001,"&gt;="&amp;A51,Sales_Fact!$B$2:$B$2001,"&lt;"&amp;EDATE(A51,1))</f>
        <v>83018.279399999985</v>
      </c>
      <c r="C51" s="18"/>
    </row>
    <row r="52" spans="1:3" ht="15.75" customHeight="1">
      <c r="A52" s="37">
        <v>45352</v>
      </c>
      <c r="B52" s="38">
        <f>SUMIFS(Sales_Fact!$O$2:$O$2001,Sales_Fact!$B$2:$B$2001,"&gt;="&amp;A52,Sales_Fact!$B$2:$B$2001,"&lt;"&amp;EDATE(A52,1))</f>
        <v>103306.92969999996</v>
      </c>
      <c r="C52" s="18"/>
    </row>
    <row r="53" spans="1:3" ht="15.75" customHeight="1">
      <c r="A53" s="37">
        <v>45383</v>
      </c>
      <c r="B53" s="38">
        <f>SUMIFS(Sales_Fact!$O$2:$O$2001,Sales_Fact!$B$2:$B$2001,"&gt;="&amp;A53,Sales_Fact!$B$2:$B$2001,"&lt;"&amp;EDATE(A53,1))</f>
        <v>90470.73089999998</v>
      </c>
      <c r="C53" s="18"/>
    </row>
    <row r="54" spans="1:3" ht="15.75" customHeight="1">
      <c r="A54" s="37">
        <v>45413</v>
      </c>
      <c r="B54" s="38">
        <f>SUMIFS(Sales_Fact!$O$2:$O$2001,Sales_Fact!$B$2:$B$2001,"&gt;="&amp;A54,Sales_Fact!$B$2:$B$2001,"&lt;"&amp;EDATE(A54,1))</f>
        <v>57825.221400000009</v>
      </c>
      <c r="C54" s="18"/>
    </row>
    <row r="55" spans="1:3" ht="15.75" customHeight="1">
      <c r="A55" s="37">
        <v>45444</v>
      </c>
      <c r="B55" s="38">
        <f>SUMIFS(Sales_Fact!$O$2:$O$2001,Sales_Fact!$B$2:$B$2001,"&gt;="&amp;A55,Sales_Fact!$B$2:$B$2001,"&lt;"&amp;EDATE(A55,1))</f>
        <v>97004.00469999999</v>
      </c>
      <c r="C55" s="18"/>
    </row>
    <row r="56" spans="1:3" ht="15.75" customHeight="1">
      <c r="A56" s="37">
        <v>45474</v>
      </c>
      <c r="B56" s="38">
        <f>SUMIFS(Sales_Fact!$O$2:$O$2001,Sales_Fact!$B$2:$B$2001,"&gt;="&amp;A56,Sales_Fact!$B$2:$B$2001,"&lt;"&amp;EDATE(A56,1))</f>
        <v>93582.268800000005</v>
      </c>
      <c r="C56" s="18"/>
    </row>
    <row r="57" spans="1:3" ht="15.75" customHeight="1">
      <c r="A57" s="37">
        <v>45505</v>
      </c>
      <c r="B57" s="38">
        <f>SUMIFS(Sales_Fact!$O$2:$O$2001,Sales_Fact!$B$2:$B$2001,"&gt;="&amp;A57,Sales_Fact!$B$2:$B$2001,"&lt;"&amp;EDATE(A57,1))</f>
        <v>92326.515899999999</v>
      </c>
      <c r="C57" s="18"/>
    </row>
    <row r="58" spans="1:3" ht="15.75" customHeight="1">
      <c r="A58" s="37">
        <v>45536</v>
      </c>
      <c r="B58" s="38">
        <f>SUMIFS(Sales_Fact!$O$2:$O$2001,Sales_Fact!$B$2:$B$2001,"&gt;="&amp;A58,Sales_Fact!$B$2:$B$2001,"&lt;"&amp;EDATE(A58,1))</f>
        <v>100811.46039999997</v>
      </c>
      <c r="C58" s="18"/>
    </row>
    <row r="59" spans="1:3" ht="15.75" customHeight="1">
      <c r="A59" s="37">
        <v>45566</v>
      </c>
      <c r="B59" s="38">
        <f>SUMIFS(Sales_Fact!$O$2:$O$2001,Sales_Fact!$B$2:$B$2001,"&gt;="&amp;A59,Sales_Fact!$B$2:$B$2001,"&lt;"&amp;EDATE(A59,1))</f>
        <v>102567.64670000001</v>
      </c>
      <c r="C59" s="18"/>
    </row>
    <row r="60" spans="1:3" ht="15.75" customHeight="1">
      <c r="A60" s="37">
        <v>45597</v>
      </c>
      <c r="B60" s="38">
        <f>SUMIFS(Sales_Fact!$O$2:$O$2001,Sales_Fact!$B$2:$B$2001,"&gt;="&amp;A60,Sales_Fact!$B$2:$B$2001,"&lt;"&amp;EDATE(A60,1))</f>
        <v>102983.29950000001</v>
      </c>
      <c r="C60" s="18"/>
    </row>
    <row r="61" spans="1:3" ht="15.75" customHeight="1">
      <c r="A61" s="37">
        <v>45627</v>
      </c>
      <c r="B61" s="38">
        <f>SUMIFS(Sales_Fact!$O$2:$O$2001,Sales_Fact!$B$2:$B$2001,"&gt;="&amp;A61,Sales_Fact!$B$2:$B$2001,"&lt;"&amp;EDATE(A61,1))</f>
        <v>87586.276100000032</v>
      </c>
      <c r="C61" s="18"/>
    </row>
    <row r="62" spans="1:3" ht="15.75" customHeight="1">
      <c r="A62" s="37">
        <v>45658</v>
      </c>
      <c r="B62" s="38">
        <f>SUMIFS(Sales_Fact!$O$2:$O$2001,Sales_Fact!$B$2:$B$2001,"&gt;="&amp;A62,Sales_Fact!$B$2:$B$2001,"&lt;"&amp;EDATE(A62,1))</f>
        <v>90743.219699999972</v>
      </c>
      <c r="C62" s="18"/>
    </row>
    <row r="63" spans="1:3" ht="15.75" customHeight="1">
      <c r="A63" s="39">
        <v>45689</v>
      </c>
      <c r="B63" s="40">
        <f>SUMIFS(Sales_Fact!$O$2:$O$2001,Sales_Fact!$B$2:$B$2001,"&gt;="&amp;A63,Sales_Fact!$B$2:$B$2001,"&lt;"&amp;EDATE(A63,1))</f>
        <v>72055.659699999975</v>
      </c>
      <c r="C63" s="19"/>
    </row>
    <row r="64" spans="1:3" ht="15.75" customHeight="1">
      <c r="A64" s="41">
        <v>45717</v>
      </c>
      <c r="B64" s="42">
        <f>SUMIFS(Sales_Fact!$O$2:$O$2001,Sales_Fact!$B$2:$B$2001,"&gt;="&amp;A64,Sales_Fact!$B$2:$B$2001,"&lt;"&amp;EDATE(A64,1))</f>
        <v>107588.86269999995</v>
      </c>
    </row>
    <row r="65" spans="1:2" ht="15.75" customHeight="1">
      <c r="A65" s="41">
        <v>45748</v>
      </c>
      <c r="B65" s="42">
        <f>SUMIFS(Sales_Fact!$O$2:$O$2001,Sales_Fact!$B$2:$B$2001,"&gt;="&amp;A65,Sales_Fact!$B$2:$B$2001,"&lt;"&amp;EDATE(A65,1))</f>
        <v>102514.10639999999</v>
      </c>
    </row>
    <row r="66" spans="1:2" ht="15.75" customHeight="1">
      <c r="A66" s="41">
        <v>45778</v>
      </c>
      <c r="B66" s="42">
        <f>SUMIFS(Sales_Fact!$O$2:$O$2001,Sales_Fact!$B$2:$B$2001,"&gt;="&amp;A66,Sales_Fact!$B$2:$B$2001,"&lt;"&amp;EDATE(A66,1))</f>
        <v>87852.996500000008</v>
      </c>
    </row>
    <row r="67" spans="1:2" ht="15.75" customHeight="1">
      <c r="A67" s="41">
        <v>45809</v>
      </c>
      <c r="B67" s="42">
        <f>SUMIFS(Sales_Fact!$O$2:$O$2001,Sales_Fact!$B$2:$B$2001,"&gt;="&amp;A67,Sales_Fact!$B$2:$B$2001,"&lt;"&amp;EDATE(A67,1))</f>
        <v>65636.011800000022</v>
      </c>
    </row>
    <row r="68" spans="1:2" ht="15.75" customHeight="1">
      <c r="A68" s="41">
        <v>45839</v>
      </c>
      <c r="B68" s="42">
        <f>SUMIFS(Sales_Fact!$O$2:$O$2001,Sales_Fact!$B$2:$B$2001,"&gt;="&amp;A68,Sales_Fact!$B$2:$B$2001,"&lt;"&amp;EDATE(A68,1))</f>
        <v>101129.54660000002</v>
      </c>
    </row>
    <row r="69" spans="1:2" ht="15.75" customHeight="1">
      <c r="A69" s="41">
        <v>45870</v>
      </c>
      <c r="B69" s="42">
        <f>SUMIFS(Sales_Fact!$O$2:$O$2001,Sales_Fact!$B$2:$B$2001,"&gt;="&amp;A69,Sales_Fact!$B$2:$B$2001,"&lt;"&amp;EDATE(A69,1))</f>
        <v>100889.1234</v>
      </c>
    </row>
    <row r="70" spans="1:2" ht="15.75" customHeight="1">
      <c r="A70" s="41">
        <v>45901</v>
      </c>
      <c r="B70" s="42">
        <f>SUMIFS(Sales_Fact!$O$2:$O$2001,Sales_Fact!$B$2:$B$2001,"&gt;="&amp;A70,Sales_Fact!$B$2:$B$2001,"&lt;"&amp;EDATE(A70,1))</f>
        <v>88892.920600000027</v>
      </c>
    </row>
    <row r="71" spans="1:2" ht="15.75" customHeight="1">
      <c r="A71" s="41">
        <v>45931</v>
      </c>
      <c r="B71" s="42">
        <f>SUMIFS(Sales_Fact!$O$2:$O$2001,Sales_Fact!$B$2:$B$2001,"&gt;="&amp;A71,Sales_Fact!$B$2:$B$2001,"&lt;"&amp;EDATE(A71,1))</f>
        <v>38467.816300000006</v>
      </c>
    </row>
    <row r="72" spans="1:2" ht="15.75" customHeight="1"/>
    <row r="73" spans="1:2" ht="15.75" customHeight="1"/>
    <row r="74" spans="1:2" ht="15.75" customHeight="1">
      <c r="A74" s="16" t="s">
        <v>4030</v>
      </c>
    </row>
    <row r="75" spans="1:2" ht="15.75" customHeight="1">
      <c r="A75" s="21" t="s">
        <v>4031</v>
      </c>
      <c r="B75" s="21" t="s">
        <v>4032</v>
      </c>
    </row>
    <row r="76" spans="1:2" ht="15.75" customHeight="1">
      <c r="A76" s="22" t="str">
        <f>INDEX(Helper_Data!$A$2:$A$101,MATCH(B76,Helper_Data!$B$2:$B$101,0))</f>
        <v>Portable Power Bank</v>
      </c>
      <c r="B76" s="20">
        <f>LARGE(Helper_Data!$B$2:$B$101,1)</f>
        <v>41852.503399999994</v>
      </c>
    </row>
    <row r="77" spans="1:2" ht="15.75" customHeight="1">
      <c r="A77" s="22" t="str">
        <f>INDEX(Helper_Data!$A$2:$A$101,MATCH(B77,Helper_Data!$B$2:$B$101,0))</f>
        <v>Shin Guards – Adult</v>
      </c>
      <c r="B77" s="20">
        <f>LARGE(Helper_Data!$B$2:$B$101,2)</f>
        <v>38281.015299999992</v>
      </c>
    </row>
    <row r="78" spans="1:2" ht="15.75" customHeight="1">
      <c r="A78" s="22" t="str">
        <f>INDEX(Helper_Data!$A$2:$A$101,MATCH(B78,Helper_Data!$B$2:$B$101,0))</f>
        <v>Men's Casual Sneakers</v>
      </c>
      <c r="B78" s="20">
        <f>LARGE(Helper_Data!$B$2:$B$101,3)</f>
        <v>35489.6198</v>
      </c>
    </row>
    <row r="79" spans="1:2" ht="15.75" customHeight="1">
      <c r="A79" s="22" t="str">
        <f>INDEX(Helper_Data!$A$2:$A$101,MATCH(B79,Helper_Data!$B$2:$B$101,0))</f>
        <v>Gaming Mechanical Keyboard</v>
      </c>
      <c r="B79" s="20">
        <f>LARGE(Helper_Data!$B$2:$B$101,4)</f>
        <v>34699.832699999999</v>
      </c>
    </row>
    <row r="80" spans="1:2" ht="15.75" customHeight="1">
      <c r="A80" s="22" t="str">
        <f>INDEX(Helper_Data!$A$2:$A$101,MATCH(B80,Helper_Data!$B$2:$B$101,0))</f>
        <v>Women's High Heels</v>
      </c>
      <c r="B80" s="20">
        <f>LARGE(Helper_Data!$B$2:$B$101,5)</f>
        <v>33993.659399999997</v>
      </c>
    </row>
    <row r="81" spans="1:2" ht="15.75" customHeight="1">
      <c r="A81" s="22" t="str">
        <f>INDEX(Helper_Data!$A$2:$A$101,MATCH(B81,Helper_Data!$B$2:$B$101,0))</f>
        <v>Wireless Mouse</v>
      </c>
      <c r="B81" s="20">
        <f>LARGE(Helper_Data!$B$2:$B$101,6)</f>
        <v>32792.731499999994</v>
      </c>
    </row>
    <row r="82" spans="1:2" ht="15.75" customHeight="1">
      <c r="A82" s="22" t="str">
        <f>INDEX(Helper_Data!$A$2:$A$101,MATCH(B82,Helper_Data!$B$2:$B$101,0))</f>
        <v>Basketball</v>
      </c>
      <c r="B82" s="20">
        <f>LARGE(Helper_Data!$B$2:$B$101,7)</f>
        <v>31070.455699999999</v>
      </c>
    </row>
    <row r="83" spans="1:2" ht="15.75" customHeight="1">
      <c r="A83" s="22" t="str">
        <f>INDEX(Helper_Data!$A$2:$A$101,MATCH(B83,Helper_Data!$B$2:$B$101,0))</f>
        <v>Men's Hair Styling Gel</v>
      </c>
      <c r="B83" s="20">
        <f>LARGE(Helper_Data!$B$2:$B$101,8)</f>
        <v>30236.698199999999</v>
      </c>
    </row>
    <row r="84" spans="1:2" ht="15.75" customHeight="1">
      <c r="A84" s="22" t="str">
        <f>INDEX(Helper_Data!$A$2:$A$101,MATCH(B84,Helper_Data!$B$2:$B$101,0))</f>
        <v>Face Foundation Kit</v>
      </c>
      <c r="B84" s="20">
        <f>LARGE(Helper_Data!$B$2:$B$101,9)</f>
        <v>29293.837500000001</v>
      </c>
    </row>
    <row r="85" spans="1:2" ht="15.75" customHeight="1">
      <c r="A85" s="22" t="str">
        <f>INDEX(Helper_Data!$A$2:$A$101,MATCH(B85,Helper_Data!$B$2:$B$101,0))</f>
        <v>4K Home Projector</v>
      </c>
      <c r="B85" s="20">
        <f>LARGE(Helper_Data!$B$2:$B$101,10)</f>
        <v>28666.992799999996</v>
      </c>
    </row>
    <row r="86" spans="1:2" ht="15.75" customHeight="1"/>
    <row r="87" spans="1:2" ht="15.75" customHeight="1"/>
    <row r="88" spans="1:2" ht="15.75" customHeight="1">
      <c r="A88" s="16" t="s">
        <v>4033</v>
      </c>
    </row>
    <row r="89" spans="1:2" ht="15.75" customHeight="1">
      <c r="A89" s="21" t="s">
        <v>4034</v>
      </c>
      <c r="B89" s="21" t="s">
        <v>4032</v>
      </c>
    </row>
    <row r="90" spans="1:2" ht="15.75" customHeight="1">
      <c r="A90" s="22" t="s">
        <v>1996</v>
      </c>
      <c r="B90" s="20">
        <f>SUMIF(Sales_Fact!$I$2:$I$2001,A90,Sales_Fact!$O$2:$O$2001)</f>
        <v>714811.96800000011</v>
      </c>
    </row>
    <row r="91" spans="1:2" ht="15.75" customHeight="1">
      <c r="A91" s="22" t="s">
        <v>1998</v>
      </c>
      <c r="B91" s="20">
        <f>SUMIF(Sales_Fact!$I$2:$I$2001,A91,Sales_Fact!$O$2:$O$2001)</f>
        <v>755180.12859999982</v>
      </c>
    </row>
    <row r="92" spans="1:2" ht="15.75" customHeight="1">
      <c r="A92" s="22" t="s">
        <v>2004</v>
      </c>
      <c r="B92" s="20">
        <f>SUMIF(Sales_Fact!$I$2:$I$2001,A92,Sales_Fact!$O$2:$O$2001)</f>
        <v>700977.71329999983</v>
      </c>
    </row>
    <row r="93" spans="1:2" ht="15.75" customHeight="1">
      <c r="A93" s="21" t="s">
        <v>4013</v>
      </c>
      <c r="B93" s="23">
        <f>SUM(B90:B92)</f>
        <v>2170969.8098999998</v>
      </c>
    </row>
    <row r="94" spans="1:2" ht="15.75" customHeight="1"/>
    <row r="95" spans="1:2" ht="15.75" customHeight="1"/>
    <row r="96" spans="1:2" ht="15.75" customHeight="1">
      <c r="A96" s="16" t="s">
        <v>4035</v>
      </c>
    </row>
    <row r="97" spans="1:3" ht="15.75" customHeight="1">
      <c r="A97" s="21" t="s">
        <v>1908</v>
      </c>
      <c r="B97" s="21" t="s">
        <v>4036</v>
      </c>
      <c r="C97" s="21" t="s">
        <v>4037</v>
      </c>
    </row>
    <row r="98" spans="1:3" ht="15.75" customHeight="1">
      <c r="A98" s="22" t="s">
        <v>1912</v>
      </c>
      <c r="B98" s="24">
        <f>COUNTIFS(Sales_Fact!$V$2:$V$2001,A98,Sales_Fact!$R$2:$R$2001,"High")</f>
        <v>263</v>
      </c>
      <c r="C98" s="24">
        <f>COUNTIFS(Sales_Fact!$V$2:$V$2001,A98,Sales_Fact!$R$2:$R$2001,"Low")</f>
        <v>327</v>
      </c>
    </row>
    <row r="99" spans="1:3" ht="15.75" customHeight="1">
      <c r="A99" s="22" t="s">
        <v>1917</v>
      </c>
      <c r="B99" s="24">
        <f>COUNTIFS(Sales_Fact!$V$2:$V$2001,A99,Sales_Fact!$R$2:$R$2001,"High")</f>
        <v>263</v>
      </c>
      <c r="C99" s="24">
        <f>COUNTIFS(Sales_Fact!$V$2:$V$2001,A99,Sales_Fact!$R$2:$R$2001,"Low")</f>
        <v>333</v>
      </c>
    </row>
    <row r="100" spans="1:3" ht="15.75" customHeight="1">
      <c r="A100" s="22" t="s">
        <v>1921</v>
      </c>
      <c r="B100" s="24">
        <f>COUNTIFS(Sales_Fact!$V$2:$V$2001,A100,Sales_Fact!$R$2:$R$2001,"High")</f>
        <v>254</v>
      </c>
      <c r="C100" s="24">
        <f>COUNTIFS(Sales_Fact!$V$2:$V$2001,A100,Sales_Fact!$R$2:$R$2001,"Low")</f>
        <v>327</v>
      </c>
    </row>
    <row r="101" spans="1:3" ht="15.75" customHeight="1">
      <c r="A101" s="22" t="s">
        <v>1942</v>
      </c>
      <c r="B101" s="24">
        <f>COUNTIFS(Sales_Fact!$V$2:$V$2001,A101,Sales_Fact!$R$2:$R$2001,"High")</f>
        <v>112</v>
      </c>
      <c r="C101" s="24">
        <f>COUNTIFS(Sales_Fact!$V$2:$V$2001,A101,Sales_Fact!$R$2:$R$2001,"Low")</f>
        <v>121</v>
      </c>
    </row>
    <row r="102" spans="1:3" ht="15.75" customHeight="1"/>
    <row r="103" spans="1:3" ht="15.75" customHeight="1"/>
    <row r="104" spans="1:3" ht="15.75" customHeight="1">
      <c r="A104" s="16" t="s">
        <v>4038</v>
      </c>
    </row>
    <row r="105" spans="1:3" ht="15.75" customHeight="1">
      <c r="A105" s="21" t="s">
        <v>4039</v>
      </c>
      <c r="B105" s="21" t="s">
        <v>4</v>
      </c>
    </row>
    <row r="106" spans="1:3" ht="15.75" customHeight="1">
      <c r="A106" s="22" t="s">
        <v>34</v>
      </c>
      <c r="B106" s="20">
        <f>AVERAGEIFS(Sales_Fact!$O$2:$O$2001,Sales_Fact!$W$2:$W$2001,A106)</f>
        <v>1079.6102283828379</v>
      </c>
    </row>
    <row r="107" spans="1:3" ht="15.75" customHeight="1">
      <c r="A107" s="22" t="s">
        <v>67</v>
      </c>
      <c r="B107" s="20">
        <f>AVERAGEIFS(Sales_Fact!$O$2:$O$2001,Sales_Fact!$W$2:$W$2001,A107)</f>
        <v>1103.2942059701493</v>
      </c>
    </row>
    <row r="108" spans="1:3" ht="15.75" customHeight="1">
      <c r="A108" s="22" t="s">
        <v>50</v>
      </c>
      <c r="B108" s="20">
        <f>AVERAGEIFS(Sales_Fact!$O$2:$O$2001,Sales_Fact!$W$2:$W$2001,A108)</f>
        <v>1085.519917061612</v>
      </c>
    </row>
    <row r="109" spans="1:3" ht="15.75" customHeight="1">
      <c r="A109" s="22" t="s">
        <v>44</v>
      </c>
      <c r="B109" s="20">
        <f>AVERAGEIFS(Sales_Fact!$O$2:$O$2001,Sales_Fact!$W$2:$W$2001,A109)</f>
        <v>1075.3168143737169</v>
      </c>
    </row>
    <row r="110" spans="1:3" ht="15.75" customHeight="1">
      <c r="A110" s="22" t="s">
        <v>4028</v>
      </c>
      <c r="B110" s="20">
        <f>AVERAGEIFS(Sales_Fact!$O$2:$O$2001,Sales_Fact!$W$2:$W$2001,A110)</f>
        <v>1094.5209562499999</v>
      </c>
    </row>
    <row r="111" spans="1:3" ht="15.75" customHeight="1"/>
    <row r="112" spans="1:3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000"/>
  <sheetViews>
    <sheetView zoomScaleNormal="100" workbookViewId="0"/>
  </sheetViews>
  <sheetFormatPr defaultColWidth="12.625" defaultRowHeight="13.9"/>
  <cols>
    <col min="1" max="1" width="1.75" customWidth="1"/>
    <col min="2" max="2" width="117.375" customWidth="1"/>
    <col min="3" max="17" width="1.75" customWidth="1"/>
    <col min="18" max="26" width="14.375" customWidth="1"/>
  </cols>
  <sheetData>
    <row r="1" spans="1:17" ht="17.25" customHeight="1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</row>
    <row r="2" spans="1:17" ht="15" customHeight="1">
      <c r="A2" s="25" t="s">
        <v>4040</v>
      </c>
      <c r="B2" s="26" t="s">
        <v>4041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5"/>
    </row>
    <row r="3" spans="1:17" ht="17.25" customHeight="1">
      <c r="A3" s="27" t="s">
        <v>4042</v>
      </c>
      <c r="B3" s="27" t="s">
        <v>4042</v>
      </c>
      <c r="C3" s="27" t="s">
        <v>4042</v>
      </c>
      <c r="D3" s="27" t="s">
        <v>4042</v>
      </c>
      <c r="E3" s="27" t="s">
        <v>4042</v>
      </c>
      <c r="F3" s="27" t="s">
        <v>4042</v>
      </c>
      <c r="G3" s="27" t="s">
        <v>4042</v>
      </c>
      <c r="H3" s="27" t="s">
        <v>4042</v>
      </c>
      <c r="I3" s="27" t="s">
        <v>4042</v>
      </c>
      <c r="J3" s="27" t="s">
        <v>4042</v>
      </c>
      <c r="K3" s="27" t="s">
        <v>4042</v>
      </c>
      <c r="L3" s="27" t="s">
        <v>4042</v>
      </c>
      <c r="M3" s="27" t="s">
        <v>4042</v>
      </c>
      <c r="N3" s="27" t="s">
        <v>4042</v>
      </c>
      <c r="O3" s="27" t="s">
        <v>4042</v>
      </c>
      <c r="P3" s="27" t="s">
        <v>4042</v>
      </c>
      <c r="Q3" s="27" t="s">
        <v>4042</v>
      </c>
    </row>
    <row r="4" spans="1:17" ht="17.25" customHeight="1">
      <c r="A4" s="27" t="s">
        <v>4042</v>
      </c>
      <c r="B4" s="27" t="s">
        <v>4042</v>
      </c>
      <c r="C4" s="27" t="s">
        <v>4042</v>
      </c>
      <c r="D4" s="27" t="s">
        <v>4042</v>
      </c>
      <c r="E4" s="27" t="s">
        <v>4042</v>
      </c>
      <c r="F4" s="27" t="s">
        <v>4042</v>
      </c>
      <c r="G4" s="27" t="s">
        <v>4042</v>
      </c>
      <c r="H4" s="27" t="s">
        <v>4042</v>
      </c>
      <c r="I4" s="27" t="s">
        <v>4042</v>
      </c>
      <c r="J4" s="27" t="s">
        <v>4042</v>
      </c>
      <c r="K4" s="27" t="s">
        <v>4042</v>
      </c>
      <c r="L4" s="27" t="s">
        <v>4042</v>
      </c>
      <c r="M4" s="27" t="s">
        <v>4042</v>
      </c>
      <c r="N4" s="27" t="s">
        <v>4042</v>
      </c>
      <c r="O4" s="27" t="s">
        <v>4042</v>
      </c>
      <c r="P4" s="27" t="s">
        <v>4042</v>
      </c>
      <c r="Q4" s="27" t="s">
        <v>4042</v>
      </c>
    </row>
    <row r="5" spans="1:17" ht="17.25" customHeight="1">
      <c r="A5" s="27" t="s">
        <v>4042</v>
      </c>
      <c r="B5" s="28" t="s">
        <v>4043</v>
      </c>
      <c r="C5" s="28"/>
      <c r="D5" s="28"/>
      <c r="E5" s="27" t="s">
        <v>4042</v>
      </c>
      <c r="F5" s="27" t="s">
        <v>4042</v>
      </c>
      <c r="G5" s="27" t="s">
        <v>4042</v>
      </c>
      <c r="H5" s="27" t="s">
        <v>4042</v>
      </c>
      <c r="I5" s="27" t="s">
        <v>4042</v>
      </c>
      <c r="J5" s="27" t="s">
        <v>4042</v>
      </c>
      <c r="K5" s="27" t="s">
        <v>4042</v>
      </c>
      <c r="L5" s="27" t="s">
        <v>4042</v>
      </c>
      <c r="M5" s="27" t="s">
        <v>4042</v>
      </c>
      <c r="N5" s="27" t="s">
        <v>4042</v>
      </c>
      <c r="O5" s="27" t="s">
        <v>4042</v>
      </c>
      <c r="P5" s="27" t="s">
        <v>4042</v>
      </c>
      <c r="Q5" s="27" t="s">
        <v>4042</v>
      </c>
    </row>
    <row r="6" spans="1:17" ht="17.25" customHeight="1">
      <c r="A6" s="27" t="s">
        <v>4042</v>
      </c>
      <c r="B6" s="27" t="s">
        <v>4042</v>
      </c>
      <c r="C6" s="27" t="s">
        <v>4042</v>
      </c>
      <c r="D6" s="27" t="s">
        <v>4042</v>
      </c>
      <c r="E6" s="27" t="s">
        <v>4042</v>
      </c>
      <c r="F6" s="27" t="s">
        <v>4042</v>
      </c>
      <c r="G6" s="27" t="s">
        <v>4042</v>
      </c>
      <c r="H6" s="27" t="s">
        <v>4042</v>
      </c>
      <c r="I6" s="27" t="s">
        <v>4042</v>
      </c>
      <c r="J6" s="27" t="s">
        <v>4042</v>
      </c>
      <c r="K6" s="27" t="s">
        <v>4042</v>
      </c>
      <c r="L6" s="27" t="s">
        <v>4042</v>
      </c>
      <c r="M6" s="27" t="s">
        <v>4042</v>
      </c>
      <c r="N6" s="27" t="s">
        <v>4042</v>
      </c>
      <c r="O6" s="27" t="s">
        <v>4042</v>
      </c>
      <c r="P6" s="27" t="s">
        <v>4042</v>
      </c>
      <c r="Q6" s="27" t="s">
        <v>4042</v>
      </c>
    </row>
    <row r="7" spans="1:17" ht="17.25" customHeight="1">
      <c r="A7" s="27" t="s">
        <v>4042</v>
      </c>
      <c r="B7" s="27" t="s">
        <v>4044</v>
      </c>
      <c r="C7" s="27"/>
      <c r="D7" s="27"/>
      <c r="E7" s="27"/>
      <c r="F7" s="27"/>
      <c r="G7" s="27" t="s">
        <v>4042</v>
      </c>
      <c r="H7" s="27" t="s">
        <v>4042</v>
      </c>
      <c r="I7" s="27" t="s">
        <v>4042</v>
      </c>
      <c r="J7" s="27" t="s">
        <v>4042</v>
      </c>
      <c r="K7" s="27" t="s">
        <v>4042</v>
      </c>
      <c r="L7" s="27" t="s">
        <v>4042</v>
      </c>
      <c r="M7" s="27" t="s">
        <v>4042</v>
      </c>
      <c r="N7" s="27" t="s">
        <v>4042</v>
      </c>
      <c r="O7" s="27" t="s">
        <v>4042</v>
      </c>
      <c r="P7" s="27" t="s">
        <v>4042</v>
      </c>
      <c r="Q7" s="27" t="s">
        <v>4042</v>
      </c>
    </row>
    <row r="8" spans="1:17" ht="17.25" customHeight="1">
      <c r="A8" s="27" t="s">
        <v>4042</v>
      </c>
      <c r="B8" s="27" t="s">
        <v>4042</v>
      </c>
      <c r="C8" s="27" t="s">
        <v>4042</v>
      </c>
      <c r="D8" s="27" t="s">
        <v>4042</v>
      </c>
      <c r="E8" s="27" t="s">
        <v>4042</v>
      </c>
      <c r="F8" s="27" t="s">
        <v>4042</v>
      </c>
      <c r="G8" s="27" t="s">
        <v>4042</v>
      </c>
      <c r="H8" s="27" t="s">
        <v>4042</v>
      </c>
      <c r="I8" s="27" t="s">
        <v>4042</v>
      </c>
      <c r="J8" s="27" t="s">
        <v>4042</v>
      </c>
      <c r="K8" s="27" t="s">
        <v>4042</v>
      </c>
      <c r="L8" s="27" t="s">
        <v>4042</v>
      </c>
      <c r="M8" s="27" t="s">
        <v>4042</v>
      </c>
      <c r="N8" s="27" t="s">
        <v>4042</v>
      </c>
      <c r="O8" s="27" t="s">
        <v>4042</v>
      </c>
      <c r="P8" s="27" t="s">
        <v>4042</v>
      </c>
      <c r="Q8" s="27" t="s">
        <v>4042</v>
      </c>
    </row>
    <row r="9" spans="1:17" ht="17.25" customHeight="1">
      <c r="A9" s="27" t="s">
        <v>4042</v>
      </c>
      <c r="B9" s="27" t="s">
        <v>4045</v>
      </c>
      <c r="C9" s="27"/>
      <c r="D9" s="27"/>
      <c r="E9" s="27"/>
      <c r="F9" s="27"/>
      <c r="G9" s="27"/>
      <c r="H9" s="27"/>
      <c r="I9" s="27"/>
      <c r="J9" s="27"/>
      <c r="K9" s="27" t="s">
        <v>4042</v>
      </c>
      <c r="L9" s="27" t="s">
        <v>4042</v>
      </c>
      <c r="M9" s="27" t="s">
        <v>4042</v>
      </c>
      <c r="N9" s="27" t="s">
        <v>4042</v>
      </c>
      <c r="O9" s="27" t="s">
        <v>4042</v>
      </c>
      <c r="P9" s="27" t="s">
        <v>4042</v>
      </c>
      <c r="Q9" s="27" t="s">
        <v>4042</v>
      </c>
    </row>
    <row r="10" spans="1:17" ht="17.25" customHeight="1">
      <c r="A10" s="27" t="s">
        <v>4042</v>
      </c>
      <c r="B10" s="27" t="s">
        <v>4042</v>
      </c>
      <c r="C10" s="27" t="s">
        <v>4042</v>
      </c>
      <c r="D10" s="27" t="s">
        <v>4042</v>
      </c>
      <c r="E10" s="27" t="s">
        <v>4042</v>
      </c>
      <c r="F10" s="27" t="s">
        <v>4042</v>
      </c>
      <c r="G10" s="27" t="s">
        <v>4042</v>
      </c>
      <c r="H10" s="27" t="s">
        <v>4042</v>
      </c>
      <c r="I10" s="27" t="s">
        <v>4042</v>
      </c>
      <c r="J10" s="27" t="s">
        <v>4042</v>
      </c>
      <c r="K10" s="27" t="s">
        <v>4042</v>
      </c>
      <c r="L10" s="27" t="s">
        <v>4042</v>
      </c>
      <c r="M10" s="27" t="s">
        <v>4042</v>
      </c>
      <c r="N10" s="27" t="s">
        <v>4042</v>
      </c>
      <c r="O10" s="27" t="s">
        <v>4042</v>
      </c>
      <c r="P10" s="27" t="s">
        <v>4042</v>
      </c>
      <c r="Q10" s="27" t="s">
        <v>4042</v>
      </c>
    </row>
    <row r="11" spans="1:17" ht="17.25" customHeight="1">
      <c r="A11" s="27" t="s">
        <v>4042</v>
      </c>
      <c r="B11" s="27" t="s">
        <v>4046</v>
      </c>
      <c r="C11" s="27"/>
      <c r="D11" s="27"/>
      <c r="E11" s="27"/>
      <c r="F11" s="27"/>
      <c r="G11" s="27"/>
      <c r="H11" s="27"/>
      <c r="I11" s="27" t="s">
        <v>4042</v>
      </c>
      <c r="J11" s="27" t="s">
        <v>4042</v>
      </c>
      <c r="K11" s="27" t="s">
        <v>4042</v>
      </c>
      <c r="L11" s="27" t="s">
        <v>4042</v>
      </c>
      <c r="M11" s="27" t="s">
        <v>4042</v>
      </c>
      <c r="N11" s="27" t="s">
        <v>4042</v>
      </c>
      <c r="O11" s="27" t="s">
        <v>4042</v>
      </c>
      <c r="P11" s="27" t="s">
        <v>4042</v>
      </c>
      <c r="Q11" s="27" t="s">
        <v>4042</v>
      </c>
    </row>
    <row r="12" spans="1:17" ht="17.25" customHeight="1">
      <c r="A12" s="27" t="s">
        <v>4042</v>
      </c>
      <c r="B12" s="27" t="s">
        <v>4047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 t="s">
        <v>4042</v>
      </c>
      <c r="P12" s="27" t="s">
        <v>4042</v>
      </c>
      <c r="Q12" s="27" t="s">
        <v>4042</v>
      </c>
    </row>
    <row r="13" spans="1:17" ht="17.25" customHeight="1">
      <c r="A13" s="27" t="s">
        <v>4042</v>
      </c>
      <c r="B13" s="27" t="s">
        <v>4042</v>
      </c>
      <c r="C13" s="27" t="s">
        <v>4042</v>
      </c>
      <c r="D13" s="27" t="s">
        <v>4042</v>
      </c>
      <c r="E13" s="27" t="s">
        <v>4042</v>
      </c>
      <c r="F13" s="27" t="s">
        <v>4042</v>
      </c>
      <c r="G13" s="27" t="s">
        <v>4042</v>
      </c>
      <c r="H13" s="27" t="s">
        <v>4042</v>
      </c>
      <c r="I13" s="27" t="s">
        <v>4042</v>
      </c>
      <c r="J13" s="27" t="s">
        <v>4042</v>
      </c>
      <c r="K13" s="27" t="s">
        <v>4042</v>
      </c>
      <c r="L13" s="27" t="s">
        <v>4042</v>
      </c>
      <c r="M13" s="27" t="s">
        <v>4042</v>
      </c>
      <c r="N13" s="27" t="s">
        <v>4042</v>
      </c>
      <c r="O13" s="27" t="s">
        <v>4042</v>
      </c>
      <c r="P13" s="27" t="s">
        <v>4042</v>
      </c>
      <c r="Q13" s="27" t="s">
        <v>4042</v>
      </c>
    </row>
    <row r="14" spans="1:17" ht="17.25" customHeight="1">
      <c r="A14" s="27" t="s">
        <v>4042</v>
      </c>
      <c r="B14" s="28" t="s">
        <v>4048</v>
      </c>
      <c r="C14" s="28"/>
      <c r="D14" s="28"/>
      <c r="E14" s="27" t="s">
        <v>4042</v>
      </c>
      <c r="F14" s="27" t="s">
        <v>4042</v>
      </c>
      <c r="G14" s="27" t="s">
        <v>4042</v>
      </c>
      <c r="H14" s="27" t="s">
        <v>4042</v>
      </c>
      <c r="I14" s="27" t="s">
        <v>4042</v>
      </c>
      <c r="J14" s="27" t="s">
        <v>4042</v>
      </c>
      <c r="K14" s="27" t="s">
        <v>4042</v>
      </c>
      <c r="L14" s="27" t="s">
        <v>4042</v>
      </c>
      <c r="M14" s="27" t="s">
        <v>4042</v>
      </c>
      <c r="N14" s="27" t="s">
        <v>4042</v>
      </c>
      <c r="O14" s="27" t="s">
        <v>4042</v>
      </c>
      <c r="P14" s="27" t="s">
        <v>4042</v>
      </c>
      <c r="Q14" s="27" t="s">
        <v>4042</v>
      </c>
    </row>
    <row r="15" spans="1:17" ht="17.25" customHeight="1">
      <c r="A15" s="27" t="s">
        <v>4042</v>
      </c>
      <c r="B15" s="27" t="s">
        <v>4042</v>
      </c>
      <c r="C15" s="27" t="s">
        <v>4042</v>
      </c>
      <c r="D15" s="27" t="s">
        <v>4042</v>
      </c>
      <c r="E15" s="27" t="s">
        <v>4042</v>
      </c>
      <c r="F15" s="27" t="s">
        <v>4042</v>
      </c>
      <c r="G15" s="27" t="s">
        <v>4042</v>
      </c>
      <c r="H15" s="27" t="s">
        <v>4042</v>
      </c>
      <c r="I15" s="27" t="s">
        <v>4042</v>
      </c>
      <c r="J15" s="27" t="s">
        <v>4042</v>
      </c>
      <c r="K15" s="27" t="s">
        <v>4042</v>
      </c>
      <c r="L15" s="27" t="s">
        <v>4042</v>
      </c>
      <c r="M15" s="27" t="s">
        <v>4042</v>
      </c>
      <c r="N15" s="27" t="s">
        <v>4042</v>
      </c>
      <c r="O15" s="27" t="s">
        <v>4042</v>
      </c>
      <c r="P15" s="27" t="s">
        <v>4042</v>
      </c>
      <c r="Q15" s="27" t="s">
        <v>4042</v>
      </c>
    </row>
    <row r="16" spans="1:17" ht="17.25" customHeight="1">
      <c r="A16" s="27" t="s">
        <v>4042</v>
      </c>
      <c r="B16" s="27" t="s">
        <v>4049</v>
      </c>
      <c r="C16" s="27"/>
      <c r="D16" s="27"/>
      <c r="E16" s="27"/>
      <c r="F16" s="27"/>
      <c r="G16" s="27" t="s">
        <v>4042</v>
      </c>
      <c r="H16" s="27" t="s">
        <v>4042</v>
      </c>
      <c r="I16" s="27" t="s">
        <v>4042</v>
      </c>
      <c r="J16" s="27" t="s">
        <v>4042</v>
      </c>
      <c r="K16" s="27" t="s">
        <v>4042</v>
      </c>
      <c r="L16" s="27" t="s">
        <v>4042</v>
      </c>
      <c r="M16" s="27" t="s">
        <v>4042</v>
      </c>
      <c r="N16" s="27" t="s">
        <v>4042</v>
      </c>
      <c r="O16" s="27" t="s">
        <v>4042</v>
      </c>
      <c r="P16" s="27" t="s">
        <v>4042</v>
      </c>
      <c r="Q16" s="27" t="s">
        <v>4042</v>
      </c>
    </row>
    <row r="17" spans="1:17" ht="17.25" customHeight="1">
      <c r="A17" s="27" t="s">
        <v>4042</v>
      </c>
      <c r="B17" s="27" t="s">
        <v>4042</v>
      </c>
      <c r="C17" s="27" t="s">
        <v>4042</v>
      </c>
      <c r="D17" s="27" t="s">
        <v>4042</v>
      </c>
      <c r="E17" s="27" t="s">
        <v>4042</v>
      </c>
      <c r="F17" s="27" t="s">
        <v>4042</v>
      </c>
      <c r="G17" s="27" t="s">
        <v>4042</v>
      </c>
      <c r="H17" s="27" t="s">
        <v>4042</v>
      </c>
      <c r="I17" s="27" t="s">
        <v>4042</v>
      </c>
      <c r="J17" s="27" t="s">
        <v>4042</v>
      </c>
      <c r="K17" s="27" t="s">
        <v>4042</v>
      </c>
      <c r="L17" s="27" t="s">
        <v>4042</v>
      </c>
      <c r="M17" s="27" t="s">
        <v>4042</v>
      </c>
      <c r="N17" s="27" t="s">
        <v>4042</v>
      </c>
      <c r="O17" s="27" t="s">
        <v>4042</v>
      </c>
      <c r="P17" s="27" t="s">
        <v>4042</v>
      </c>
      <c r="Q17" s="27" t="s">
        <v>4042</v>
      </c>
    </row>
    <row r="18" spans="1:17" ht="17.25" customHeight="1">
      <c r="A18" s="27" t="s">
        <v>4042</v>
      </c>
      <c r="B18" s="27" t="s">
        <v>4050</v>
      </c>
      <c r="C18" s="27"/>
      <c r="D18" s="27"/>
      <c r="E18" s="27"/>
      <c r="F18" s="27"/>
      <c r="G18" s="27"/>
      <c r="H18" s="27"/>
      <c r="I18" s="27"/>
      <c r="J18" s="27"/>
      <c r="K18" s="27" t="s">
        <v>4042</v>
      </c>
      <c r="L18" s="27" t="s">
        <v>4042</v>
      </c>
      <c r="M18" s="27" t="s">
        <v>4042</v>
      </c>
      <c r="N18" s="27" t="s">
        <v>4042</v>
      </c>
      <c r="O18" s="27" t="s">
        <v>4042</v>
      </c>
      <c r="P18" s="27" t="s">
        <v>4042</v>
      </c>
      <c r="Q18" s="27" t="s">
        <v>4042</v>
      </c>
    </row>
    <row r="19" spans="1:17" ht="17.25" customHeight="1">
      <c r="A19" s="27" t="s">
        <v>4042</v>
      </c>
      <c r="B19" s="27" t="s">
        <v>4042</v>
      </c>
      <c r="C19" s="27" t="s">
        <v>4042</v>
      </c>
      <c r="D19" s="27" t="s">
        <v>4042</v>
      </c>
      <c r="E19" s="27" t="s">
        <v>4042</v>
      </c>
      <c r="F19" s="27" t="s">
        <v>4042</v>
      </c>
      <c r="G19" s="27" t="s">
        <v>4042</v>
      </c>
      <c r="H19" s="27" t="s">
        <v>4042</v>
      </c>
      <c r="I19" s="27" t="s">
        <v>4042</v>
      </c>
      <c r="J19" s="27" t="s">
        <v>4042</v>
      </c>
      <c r="K19" s="27" t="s">
        <v>4042</v>
      </c>
      <c r="L19" s="27" t="s">
        <v>4042</v>
      </c>
      <c r="M19" s="27" t="s">
        <v>4042</v>
      </c>
      <c r="N19" s="27" t="s">
        <v>4042</v>
      </c>
      <c r="O19" s="27" t="s">
        <v>4042</v>
      </c>
      <c r="P19" s="27" t="s">
        <v>4042</v>
      </c>
      <c r="Q19" s="27" t="s">
        <v>4042</v>
      </c>
    </row>
    <row r="20" spans="1:17" ht="17.25" customHeight="1">
      <c r="A20" s="27" t="s">
        <v>4042</v>
      </c>
      <c r="B20" s="27" t="s">
        <v>4051</v>
      </c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 t="s">
        <v>4042</v>
      </c>
      <c r="P20" s="27" t="s">
        <v>4042</v>
      </c>
      <c r="Q20" s="27" t="s">
        <v>4042</v>
      </c>
    </row>
    <row r="21" spans="1:17" ht="15.75" customHeight="1">
      <c r="A21" s="27" t="s">
        <v>4042</v>
      </c>
      <c r="B21" s="27" t="s">
        <v>4042</v>
      </c>
      <c r="C21" s="27" t="s">
        <v>4042</v>
      </c>
      <c r="D21" s="27" t="s">
        <v>4042</v>
      </c>
      <c r="E21" s="27" t="s">
        <v>4042</v>
      </c>
      <c r="F21" s="27" t="s">
        <v>4042</v>
      </c>
      <c r="G21" s="27" t="s">
        <v>4042</v>
      </c>
      <c r="H21" s="27" t="s">
        <v>4042</v>
      </c>
      <c r="I21" s="27" t="s">
        <v>4042</v>
      </c>
      <c r="J21" s="27" t="s">
        <v>4042</v>
      </c>
      <c r="K21" s="27" t="s">
        <v>4042</v>
      </c>
      <c r="L21" s="27" t="s">
        <v>4042</v>
      </c>
      <c r="M21" s="27" t="s">
        <v>4042</v>
      </c>
      <c r="N21" s="27" t="s">
        <v>4042</v>
      </c>
      <c r="O21" s="27" t="s">
        <v>4042</v>
      </c>
      <c r="P21" s="27" t="s">
        <v>4042</v>
      </c>
      <c r="Q21" s="27" t="s">
        <v>4042</v>
      </c>
    </row>
    <row r="22" spans="1:17" ht="15.75" customHeight="1">
      <c r="A22" s="27" t="s">
        <v>4042</v>
      </c>
      <c r="B22" s="27" t="s">
        <v>4052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 t="s">
        <v>4042</v>
      </c>
      <c r="P22" s="27" t="s">
        <v>4042</v>
      </c>
      <c r="Q22" s="27" t="s">
        <v>4042</v>
      </c>
    </row>
    <row r="23" spans="1:17" ht="15.75" customHeight="1">
      <c r="A23" s="27" t="s">
        <v>4042</v>
      </c>
      <c r="B23" s="27" t="s">
        <v>4042</v>
      </c>
      <c r="C23" s="27" t="s">
        <v>4042</v>
      </c>
      <c r="D23" s="27" t="s">
        <v>4042</v>
      </c>
      <c r="E23" s="27" t="s">
        <v>4042</v>
      </c>
      <c r="F23" s="27" t="s">
        <v>4042</v>
      </c>
      <c r="G23" s="27" t="s">
        <v>4042</v>
      </c>
      <c r="H23" s="27" t="s">
        <v>4042</v>
      </c>
      <c r="I23" s="27" t="s">
        <v>4042</v>
      </c>
      <c r="J23" s="27" t="s">
        <v>4042</v>
      </c>
      <c r="K23" s="27" t="s">
        <v>4042</v>
      </c>
      <c r="L23" s="27" t="s">
        <v>4042</v>
      </c>
      <c r="M23" s="27" t="s">
        <v>4042</v>
      </c>
      <c r="N23" s="27" t="s">
        <v>4042</v>
      </c>
      <c r="O23" s="27" t="s">
        <v>4042</v>
      </c>
      <c r="P23" s="27" t="s">
        <v>4042</v>
      </c>
      <c r="Q23" s="27" t="s">
        <v>4042</v>
      </c>
    </row>
    <row r="24" spans="1:17" ht="15.75" customHeight="1">
      <c r="A24" s="27" t="s">
        <v>4042</v>
      </c>
      <c r="B24" s="28" t="s">
        <v>4053</v>
      </c>
      <c r="C24" s="28"/>
      <c r="D24" s="28"/>
      <c r="E24" s="28"/>
      <c r="F24" s="28"/>
      <c r="G24" s="28"/>
      <c r="H24" s="27" t="s">
        <v>4042</v>
      </c>
      <c r="I24" s="27" t="s">
        <v>4042</v>
      </c>
      <c r="J24" s="27" t="s">
        <v>4042</v>
      </c>
      <c r="K24" s="27" t="s">
        <v>4042</v>
      </c>
      <c r="L24" s="27" t="s">
        <v>4042</v>
      </c>
      <c r="M24" s="27" t="s">
        <v>4042</v>
      </c>
      <c r="N24" s="27" t="s">
        <v>4042</v>
      </c>
      <c r="O24" s="27" t="s">
        <v>4042</v>
      </c>
      <c r="P24" s="27" t="s">
        <v>4042</v>
      </c>
      <c r="Q24" s="27" t="s">
        <v>4042</v>
      </c>
    </row>
    <row r="25" spans="1:17" ht="15.75" customHeight="1">
      <c r="A25" s="27" t="s">
        <v>4042</v>
      </c>
      <c r="B25" s="27" t="s">
        <v>4042</v>
      </c>
      <c r="C25" s="27" t="s">
        <v>4042</v>
      </c>
      <c r="D25" s="27" t="s">
        <v>4042</v>
      </c>
      <c r="E25" s="27" t="s">
        <v>4042</v>
      </c>
      <c r="F25" s="27" t="s">
        <v>4042</v>
      </c>
      <c r="G25" s="27" t="s">
        <v>4042</v>
      </c>
      <c r="H25" s="27" t="s">
        <v>4042</v>
      </c>
      <c r="I25" s="27" t="s">
        <v>4042</v>
      </c>
      <c r="J25" s="27" t="s">
        <v>4042</v>
      </c>
      <c r="K25" s="27" t="s">
        <v>4042</v>
      </c>
      <c r="L25" s="27" t="s">
        <v>4042</v>
      </c>
      <c r="M25" s="27" t="s">
        <v>4042</v>
      </c>
      <c r="N25" s="27" t="s">
        <v>4042</v>
      </c>
      <c r="O25" s="27" t="s">
        <v>4042</v>
      </c>
      <c r="P25" s="27" t="s">
        <v>4042</v>
      </c>
      <c r="Q25" s="27" t="s">
        <v>4042</v>
      </c>
    </row>
    <row r="26" spans="1:17" ht="15.75" customHeight="1">
      <c r="A26" s="27" t="s">
        <v>4042</v>
      </c>
      <c r="B26" s="27" t="s">
        <v>4054</v>
      </c>
      <c r="C26" s="27"/>
      <c r="D26" s="27"/>
      <c r="E26" s="27"/>
      <c r="F26" s="27"/>
      <c r="G26" s="27"/>
      <c r="H26" s="27"/>
      <c r="I26" s="27"/>
      <c r="J26" s="27"/>
      <c r="K26" s="27" t="s">
        <v>4042</v>
      </c>
      <c r="L26" s="27" t="s">
        <v>4042</v>
      </c>
      <c r="M26" s="27" t="s">
        <v>4042</v>
      </c>
      <c r="N26" s="27" t="s">
        <v>4042</v>
      </c>
      <c r="O26" s="27" t="s">
        <v>4042</v>
      </c>
      <c r="P26" s="27" t="s">
        <v>4042</v>
      </c>
      <c r="Q26" s="27" t="s">
        <v>4042</v>
      </c>
    </row>
    <row r="27" spans="1:17" ht="15.75" customHeight="1">
      <c r="A27" s="27" t="s">
        <v>4042</v>
      </c>
      <c r="B27" s="27" t="s">
        <v>4042</v>
      </c>
      <c r="C27" s="27" t="s">
        <v>4042</v>
      </c>
      <c r="D27" s="27" t="s">
        <v>4042</v>
      </c>
      <c r="E27" s="27" t="s">
        <v>4042</v>
      </c>
      <c r="F27" s="27" t="s">
        <v>4042</v>
      </c>
      <c r="G27" s="27" t="s">
        <v>4042</v>
      </c>
      <c r="H27" s="27" t="s">
        <v>4042</v>
      </c>
      <c r="I27" s="27" t="s">
        <v>4042</v>
      </c>
      <c r="J27" s="27" t="s">
        <v>4042</v>
      </c>
      <c r="K27" s="27" t="s">
        <v>4042</v>
      </c>
      <c r="L27" s="27" t="s">
        <v>4042</v>
      </c>
      <c r="M27" s="27" t="s">
        <v>4042</v>
      </c>
      <c r="N27" s="27" t="s">
        <v>4042</v>
      </c>
      <c r="O27" s="27" t="s">
        <v>4042</v>
      </c>
      <c r="P27" s="27" t="s">
        <v>4042</v>
      </c>
      <c r="Q27" s="27" t="s">
        <v>4042</v>
      </c>
    </row>
    <row r="28" spans="1:17" ht="15.75" customHeight="1">
      <c r="A28" s="27" t="s">
        <v>4042</v>
      </c>
      <c r="B28" s="28" t="s">
        <v>4055</v>
      </c>
      <c r="C28" s="28"/>
      <c r="D28" s="28"/>
      <c r="E28" s="28"/>
      <c r="F28" s="28"/>
      <c r="G28" s="28"/>
      <c r="H28" s="28"/>
      <c r="I28" s="28"/>
      <c r="J28" s="27" t="s">
        <v>4042</v>
      </c>
      <c r="K28" s="27" t="s">
        <v>4042</v>
      </c>
      <c r="L28" s="27" t="s">
        <v>4042</v>
      </c>
      <c r="M28" s="27" t="s">
        <v>4042</v>
      </c>
      <c r="N28" s="27" t="s">
        <v>4042</v>
      </c>
      <c r="O28" s="27" t="s">
        <v>4042</v>
      </c>
      <c r="P28" s="27" t="s">
        <v>4042</v>
      </c>
      <c r="Q28" s="27" t="s">
        <v>4042</v>
      </c>
    </row>
    <row r="29" spans="1:17" ht="15.75" customHeight="1">
      <c r="A29" s="27" t="s">
        <v>4042</v>
      </c>
      <c r="B29" s="27" t="s">
        <v>4042</v>
      </c>
      <c r="C29" s="27" t="s">
        <v>4042</v>
      </c>
      <c r="D29" s="27" t="s">
        <v>4042</v>
      </c>
      <c r="E29" s="27" t="s">
        <v>4042</v>
      </c>
      <c r="F29" s="27" t="s">
        <v>4042</v>
      </c>
      <c r="G29" s="27" t="s">
        <v>4042</v>
      </c>
      <c r="H29" s="27" t="s">
        <v>4042</v>
      </c>
      <c r="I29" s="27" t="s">
        <v>4042</v>
      </c>
      <c r="J29" s="27" t="s">
        <v>4042</v>
      </c>
      <c r="K29" s="27" t="s">
        <v>4042</v>
      </c>
      <c r="L29" s="27" t="s">
        <v>4042</v>
      </c>
      <c r="M29" s="27" t="s">
        <v>4042</v>
      </c>
      <c r="N29" s="27" t="s">
        <v>4042</v>
      </c>
      <c r="O29" s="27" t="s">
        <v>4042</v>
      </c>
      <c r="P29" s="27" t="s">
        <v>4042</v>
      </c>
      <c r="Q29" s="27" t="s">
        <v>4042</v>
      </c>
    </row>
    <row r="30" spans="1:17" ht="15.75" customHeight="1">
      <c r="A30" s="27" t="s">
        <v>4042</v>
      </c>
      <c r="B30" s="27" t="s">
        <v>4056</v>
      </c>
      <c r="C30" s="27"/>
      <c r="D30" s="27"/>
      <c r="E30" s="27"/>
      <c r="F30" s="27"/>
      <c r="G30" s="27"/>
      <c r="H30" s="27"/>
      <c r="I30" s="27" t="s">
        <v>4042</v>
      </c>
      <c r="J30" s="27" t="s">
        <v>4042</v>
      </c>
      <c r="K30" s="27" t="s">
        <v>4042</v>
      </c>
      <c r="L30" s="27" t="s">
        <v>4042</v>
      </c>
      <c r="M30" s="27" t="s">
        <v>4042</v>
      </c>
      <c r="N30" s="27" t="s">
        <v>4042</v>
      </c>
      <c r="O30" s="27" t="s">
        <v>4042</v>
      </c>
      <c r="P30" s="27" t="s">
        <v>4042</v>
      </c>
      <c r="Q30" s="27" t="s">
        <v>4042</v>
      </c>
    </row>
    <row r="31" spans="1:17" ht="15.75" customHeight="1">
      <c r="A31" s="27" t="s">
        <v>4042</v>
      </c>
      <c r="B31" s="27" t="s">
        <v>4042</v>
      </c>
      <c r="C31" s="27" t="s">
        <v>4042</v>
      </c>
      <c r="D31" s="27" t="s">
        <v>4042</v>
      </c>
      <c r="E31" s="27" t="s">
        <v>4042</v>
      </c>
      <c r="F31" s="27" t="s">
        <v>4042</v>
      </c>
      <c r="G31" s="27" t="s">
        <v>4042</v>
      </c>
      <c r="H31" s="27" t="s">
        <v>4042</v>
      </c>
      <c r="I31" s="27" t="s">
        <v>4042</v>
      </c>
      <c r="J31" s="27" t="s">
        <v>4042</v>
      </c>
      <c r="K31" s="27" t="s">
        <v>4042</v>
      </c>
      <c r="L31" s="27" t="s">
        <v>4042</v>
      </c>
      <c r="M31" s="27" t="s">
        <v>4042</v>
      </c>
      <c r="N31" s="27" t="s">
        <v>4042</v>
      </c>
      <c r="O31" s="27" t="s">
        <v>4042</v>
      </c>
      <c r="P31" s="27" t="s">
        <v>4042</v>
      </c>
      <c r="Q31" s="27" t="s">
        <v>4042</v>
      </c>
    </row>
    <row r="32" spans="1:17" ht="15.75" customHeight="1">
      <c r="A32" s="27" t="s">
        <v>4042</v>
      </c>
      <c r="B32" s="27" t="s">
        <v>4057</v>
      </c>
      <c r="C32" s="27"/>
      <c r="D32" s="27"/>
      <c r="E32" s="27"/>
      <c r="F32" s="27"/>
      <c r="G32" s="27"/>
      <c r="H32" s="27"/>
      <c r="I32" s="27" t="s">
        <v>4042</v>
      </c>
      <c r="J32" s="27" t="s">
        <v>4042</v>
      </c>
      <c r="K32" s="27" t="s">
        <v>4042</v>
      </c>
      <c r="L32" s="27" t="s">
        <v>4042</v>
      </c>
      <c r="M32" s="27" t="s">
        <v>4042</v>
      </c>
      <c r="N32" s="27" t="s">
        <v>4042</v>
      </c>
      <c r="O32" s="27" t="s">
        <v>4042</v>
      </c>
      <c r="P32" s="27" t="s">
        <v>4042</v>
      </c>
      <c r="Q32" s="27" t="s">
        <v>4042</v>
      </c>
    </row>
    <row r="33" spans="1:17" ht="15.75" customHeight="1">
      <c r="A33" s="27" t="s">
        <v>4042</v>
      </c>
      <c r="B33" s="27" t="s">
        <v>4042</v>
      </c>
      <c r="C33" s="27" t="s">
        <v>4042</v>
      </c>
      <c r="D33" s="27" t="s">
        <v>4042</v>
      </c>
      <c r="E33" s="27" t="s">
        <v>4042</v>
      </c>
      <c r="F33" s="27" t="s">
        <v>4042</v>
      </c>
      <c r="G33" s="27" t="s">
        <v>4042</v>
      </c>
      <c r="H33" s="27" t="s">
        <v>4042</v>
      </c>
      <c r="I33" s="27" t="s">
        <v>4042</v>
      </c>
      <c r="J33" s="27" t="s">
        <v>4042</v>
      </c>
      <c r="K33" s="27" t="s">
        <v>4042</v>
      </c>
      <c r="L33" s="27" t="s">
        <v>4042</v>
      </c>
      <c r="M33" s="27" t="s">
        <v>4042</v>
      </c>
      <c r="N33" s="27" t="s">
        <v>4042</v>
      </c>
      <c r="O33" s="27" t="s">
        <v>4042</v>
      </c>
      <c r="P33" s="27" t="s">
        <v>4042</v>
      </c>
      <c r="Q33" s="27" t="s">
        <v>4042</v>
      </c>
    </row>
    <row r="34" spans="1:17" ht="15.75" customHeight="1">
      <c r="A34" s="27" t="s">
        <v>4042</v>
      </c>
      <c r="B34" s="27" t="s">
        <v>4058</v>
      </c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 t="s">
        <v>4042</v>
      </c>
      <c r="P34" s="27" t="s">
        <v>4042</v>
      </c>
      <c r="Q34" s="27" t="s">
        <v>4042</v>
      </c>
    </row>
    <row r="35" spans="1:17" ht="15.75" customHeight="1">
      <c r="A35" s="27" t="s">
        <v>4042</v>
      </c>
      <c r="B35" s="27" t="s">
        <v>4042</v>
      </c>
      <c r="C35" s="27" t="s">
        <v>4042</v>
      </c>
      <c r="D35" s="27" t="s">
        <v>4042</v>
      </c>
      <c r="E35" s="27" t="s">
        <v>4042</v>
      </c>
      <c r="F35" s="27" t="s">
        <v>4042</v>
      </c>
      <c r="G35" s="27" t="s">
        <v>4042</v>
      </c>
      <c r="H35" s="27" t="s">
        <v>4042</v>
      </c>
      <c r="I35" s="27" t="s">
        <v>4042</v>
      </c>
      <c r="J35" s="27" t="s">
        <v>4042</v>
      </c>
      <c r="K35" s="27" t="s">
        <v>4042</v>
      </c>
      <c r="L35" s="27" t="s">
        <v>4042</v>
      </c>
      <c r="M35" s="27" t="s">
        <v>4042</v>
      </c>
      <c r="N35" s="27" t="s">
        <v>4042</v>
      </c>
      <c r="O35" s="27" t="s">
        <v>4042</v>
      </c>
      <c r="P35" s="27" t="s">
        <v>4042</v>
      </c>
      <c r="Q35" s="27" t="s">
        <v>4042</v>
      </c>
    </row>
    <row r="36" spans="1:17" ht="15.75" customHeight="1">
      <c r="A36" s="27" t="s">
        <v>4042</v>
      </c>
      <c r="B36" s="28" t="s">
        <v>4059</v>
      </c>
      <c r="C36" s="28"/>
      <c r="D36" s="28"/>
      <c r="E36" s="28"/>
      <c r="F36" s="27" t="s">
        <v>4042</v>
      </c>
      <c r="G36" s="27" t="s">
        <v>4042</v>
      </c>
      <c r="H36" s="27" t="s">
        <v>4042</v>
      </c>
      <c r="I36" s="27" t="s">
        <v>4042</v>
      </c>
      <c r="J36" s="27" t="s">
        <v>4042</v>
      </c>
      <c r="K36" s="27" t="s">
        <v>4042</v>
      </c>
      <c r="L36" s="27" t="s">
        <v>4042</v>
      </c>
      <c r="M36" s="27" t="s">
        <v>4042</v>
      </c>
      <c r="N36" s="27" t="s">
        <v>4042</v>
      </c>
      <c r="O36" s="27" t="s">
        <v>4042</v>
      </c>
      <c r="P36" s="27" t="s">
        <v>4042</v>
      </c>
      <c r="Q36" s="27" t="s">
        <v>4042</v>
      </c>
    </row>
    <row r="37" spans="1:17" ht="15.75" customHeight="1">
      <c r="A37" s="27" t="s">
        <v>4042</v>
      </c>
      <c r="B37" s="27" t="s">
        <v>4042</v>
      </c>
      <c r="C37" s="27" t="s">
        <v>4042</v>
      </c>
      <c r="D37" s="27" t="s">
        <v>4042</v>
      </c>
      <c r="E37" s="27" t="s">
        <v>4042</v>
      </c>
      <c r="F37" s="27" t="s">
        <v>4042</v>
      </c>
      <c r="G37" s="27" t="s">
        <v>4042</v>
      </c>
      <c r="H37" s="27" t="s">
        <v>4042</v>
      </c>
      <c r="I37" s="27" t="s">
        <v>4042</v>
      </c>
      <c r="J37" s="27" t="s">
        <v>4042</v>
      </c>
      <c r="K37" s="27" t="s">
        <v>4042</v>
      </c>
      <c r="L37" s="27" t="s">
        <v>4042</v>
      </c>
      <c r="M37" s="27" t="s">
        <v>4042</v>
      </c>
      <c r="N37" s="27" t="s">
        <v>4042</v>
      </c>
      <c r="O37" s="27" t="s">
        <v>4042</v>
      </c>
      <c r="P37" s="27" t="s">
        <v>4042</v>
      </c>
      <c r="Q37" s="27" t="s">
        <v>4042</v>
      </c>
    </row>
    <row r="38" spans="1:17" ht="15.75" customHeight="1">
      <c r="A38" s="27" t="s">
        <v>4042</v>
      </c>
      <c r="B38" s="27" t="s">
        <v>4060</v>
      </c>
      <c r="C38" s="27"/>
      <c r="D38" s="27"/>
      <c r="E38" s="27"/>
      <c r="F38" s="27"/>
      <c r="G38" s="27"/>
      <c r="H38" s="27" t="s">
        <v>4042</v>
      </c>
      <c r="I38" s="27" t="s">
        <v>4042</v>
      </c>
      <c r="J38" s="27" t="s">
        <v>4042</v>
      </c>
      <c r="K38" s="27" t="s">
        <v>4042</v>
      </c>
      <c r="L38" s="27" t="s">
        <v>4042</v>
      </c>
      <c r="M38" s="27" t="s">
        <v>4042</v>
      </c>
      <c r="N38" s="27" t="s">
        <v>4042</v>
      </c>
      <c r="O38" s="27" t="s">
        <v>4042</v>
      </c>
      <c r="P38" s="27" t="s">
        <v>4042</v>
      </c>
      <c r="Q38" s="27" t="s">
        <v>4042</v>
      </c>
    </row>
    <row r="39" spans="1:17" ht="15.75" customHeight="1">
      <c r="A39" s="27" t="s">
        <v>4042</v>
      </c>
      <c r="B39" s="27" t="s">
        <v>4042</v>
      </c>
      <c r="C39" s="27" t="s">
        <v>4042</v>
      </c>
      <c r="D39" s="27" t="s">
        <v>4042</v>
      </c>
      <c r="E39" s="27" t="s">
        <v>4042</v>
      </c>
      <c r="F39" s="27" t="s">
        <v>4042</v>
      </c>
      <c r="G39" s="27" t="s">
        <v>4042</v>
      </c>
      <c r="H39" s="27" t="s">
        <v>4042</v>
      </c>
      <c r="I39" s="27" t="s">
        <v>4042</v>
      </c>
      <c r="J39" s="27" t="s">
        <v>4042</v>
      </c>
      <c r="K39" s="27" t="s">
        <v>4042</v>
      </c>
      <c r="L39" s="27" t="s">
        <v>4042</v>
      </c>
      <c r="M39" s="27" t="s">
        <v>4042</v>
      </c>
      <c r="N39" s="27" t="s">
        <v>4042</v>
      </c>
      <c r="O39" s="27" t="s">
        <v>4042</v>
      </c>
      <c r="P39" s="27" t="s">
        <v>4042</v>
      </c>
      <c r="Q39" s="27" t="s">
        <v>4042</v>
      </c>
    </row>
    <row r="40" spans="1:17" ht="15.75" customHeight="1">
      <c r="A40" s="27" t="s">
        <v>4042</v>
      </c>
      <c r="B40" s="28" t="s">
        <v>4061</v>
      </c>
      <c r="C40" s="28"/>
      <c r="D40" s="28"/>
      <c r="E40" s="28"/>
      <c r="F40" s="28"/>
      <c r="G40" s="28"/>
      <c r="H40" s="28"/>
      <c r="I40" s="28"/>
      <c r="J40" s="28"/>
      <c r="K40" s="28"/>
      <c r="L40" s="27" t="s">
        <v>4042</v>
      </c>
      <c r="M40" s="27" t="s">
        <v>4042</v>
      </c>
      <c r="N40" s="27" t="s">
        <v>4042</v>
      </c>
      <c r="O40" s="27" t="s">
        <v>4042</v>
      </c>
      <c r="P40" s="27" t="s">
        <v>4042</v>
      </c>
      <c r="Q40" s="27" t="s">
        <v>4042</v>
      </c>
    </row>
    <row r="41" spans="1:17" ht="15.75" customHeight="1">
      <c r="A41" s="27" t="s">
        <v>4042</v>
      </c>
      <c r="B41" s="27" t="s">
        <v>4042</v>
      </c>
      <c r="C41" s="27" t="s">
        <v>4042</v>
      </c>
      <c r="D41" s="27" t="s">
        <v>4042</v>
      </c>
      <c r="E41" s="27" t="s">
        <v>4042</v>
      </c>
      <c r="F41" s="27" t="s">
        <v>4042</v>
      </c>
      <c r="G41" s="27" t="s">
        <v>4042</v>
      </c>
      <c r="H41" s="27" t="s">
        <v>4042</v>
      </c>
      <c r="I41" s="27" t="s">
        <v>4042</v>
      </c>
      <c r="J41" s="27" t="s">
        <v>4042</v>
      </c>
      <c r="K41" s="27" t="s">
        <v>4042</v>
      </c>
      <c r="L41" s="27" t="s">
        <v>4042</v>
      </c>
      <c r="M41" s="27" t="s">
        <v>4042</v>
      </c>
      <c r="N41" s="27" t="s">
        <v>4042</v>
      </c>
      <c r="O41" s="27" t="s">
        <v>4042</v>
      </c>
      <c r="P41" s="27" t="s">
        <v>4042</v>
      </c>
      <c r="Q41" s="27" t="s">
        <v>4042</v>
      </c>
    </row>
    <row r="42" spans="1:17" ht="15.75" customHeight="1">
      <c r="A42" s="27" t="s">
        <v>4042</v>
      </c>
      <c r="B42" s="27" t="s">
        <v>4062</v>
      </c>
      <c r="C42" s="27"/>
      <c r="D42" s="27"/>
      <c r="E42" s="27"/>
      <c r="F42" s="27"/>
      <c r="G42" s="27"/>
      <c r="H42" s="27"/>
      <c r="I42" s="27" t="s">
        <v>4042</v>
      </c>
      <c r="J42" s="27" t="s">
        <v>4042</v>
      </c>
      <c r="K42" s="27" t="s">
        <v>4042</v>
      </c>
      <c r="L42" s="27" t="s">
        <v>4042</v>
      </c>
      <c r="M42" s="27" t="s">
        <v>4042</v>
      </c>
      <c r="N42" s="27" t="s">
        <v>4042</v>
      </c>
      <c r="O42" s="27" t="s">
        <v>4042</v>
      </c>
      <c r="P42" s="27" t="s">
        <v>4042</v>
      </c>
      <c r="Q42" s="27" t="s">
        <v>4042</v>
      </c>
    </row>
    <row r="43" spans="1:17" ht="15.75" customHeight="1">
      <c r="A43" s="27" t="s">
        <v>4042</v>
      </c>
      <c r="B43" s="27" t="s">
        <v>4042</v>
      </c>
      <c r="C43" s="27" t="s">
        <v>4042</v>
      </c>
      <c r="D43" s="27" t="s">
        <v>4042</v>
      </c>
      <c r="E43" s="27" t="s">
        <v>4042</v>
      </c>
      <c r="F43" s="27" t="s">
        <v>4042</v>
      </c>
      <c r="G43" s="27" t="s">
        <v>4042</v>
      </c>
      <c r="H43" s="27" t="s">
        <v>4042</v>
      </c>
      <c r="I43" s="27" t="s">
        <v>4042</v>
      </c>
      <c r="J43" s="27" t="s">
        <v>4042</v>
      </c>
      <c r="K43" s="27" t="s">
        <v>4042</v>
      </c>
      <c r="L43" s="27" t="s">
        <v>4042</v>
      </c>
      <c r="M43" s="27" t="s">
        <v>4042</v>
      </c>
      <c r="N43" s="27" t="s">
        <v>4042</v>
      </c>
      <c r="O43" s="27" t="s">
        <v>4042</v>
      </c>
      <c r="P43" s="27" t="s">
        <v>4042</v>
      </c>
      <c r="Q43" s="27" t="s">
        <v>4042</v>
      </c>
    </row>
    <row r="44" spans="1:17" ht="15.75" customHeight="1">
      <c r="A44" s="27" t="s">
        <v>4042</v>
      </c>
      <c r="B44" s="27" t="s">
        <v>4063</v>
      </c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 t="s">
        <v>4042</v>
      </c>
      <c r="Q44" s="27" t="s">
        <v>4042</v>
      </c>
    </row>
    <row r="45" spans="1:17" ht="15.75" customHeight="1">
      <c r="A45" s="27" t="s">
        <v>4042</v>
      </c>
      <c r="B45" s="27" t="s">
        <v>4042</v>
      </c>
      <c r="C45" s="27" t="s">
        <v>4042</v>
      </c>
      <c r="D45" s="27" t="s">
        <v>4042</v>
      </c>
      <c r="E45" s="27" t="s">
        <v>4042</v>
      </c>
      <c r="F45" s="27" t="s">
        <v>4042</v>
      </c>
      <c r="G45" s="27" t="s">
        <v>4042</v>
      </c>
      <c r="H45" s="27" t="s">
        <v>4042</v>
      </c>
      <c r="I45" s="27" t="s">
        <v>4042</v>
      </c>
      <c r="J45" s="27" t="s">
        <v>4042</v>
      </c>
      <c r="K45" s="27" t="s">
        <v>4042</v>
      </c>
      <c r="L45" s="27" t="s">
        <v>4042</v>
      </c>
      <c r="M45" s="27" t="s">
        <v>4042</v>
      </c>
      <c r="N45" s="27" t="s">
        <v>4042</v>
      </c>
      <c r="O45" s="27" t="s">
        <v>4042</v>
      </c>
      <c r="P45" s="27" t="s">
        <v>4042</v>
      </c>
      <c r="Q45" s="27" t="s">
        <v>4042</v>
      </c>
    </row>
    <row r="46" spans="1:17" ht="15.75" customHeight="1">
      <c r="A46" s="27" t="s">
        <v>4042</v>
      </c>
      <c r="B46" s="27" t="s">
        <v>4042</v>
      </c>
      <c r="C46" s="27" t="s">
        <v>4042</v>
      </c>
      <c r="D46" s="27" t="s">
        <v>4042</v>
      </c>
      <c r="E46" s="27" t="s">
        <v>4042</v>
      </c>
      <c r="F46" s="27" t="s">
        <v>4042</v>
      </c>
      <c r="G46" s="27" t="s">
        <v>4042</v>
      </c>
      <c r="H46" s="27" t="s">
        <v>4042</v>
      </c>
      <c r="I46" s="27" t="s">
        <v>4042</v>
      </c>
      <c r="J46" s="27" t="s">
        <v>4042</v>
      </c>
      <c r="K46" s="27" t="s">
        <v>4042</v>
      </c>
      <c r="L46" s="27" t="s">
        <v>4042</v>
      </c>
      <c r="M46" s="27" t="s">
        <v>4042</v>
      </c>
      <c r="N46" s="27" t="s">
        <v>4042</v>
      </c>
      <c r="O46" s="27" t="s">
        <v>4042</v>
      </c>
      <c r="P46" s="27" t="s">
        <v>4042</v>
      </c>
      <c r="Q46" s="27" t="s">
        <v>4042</v>
      </c>
    </row>
    <row r="47" spans="1:17" ht="15.75" customHeight="1">
      <c r="A47" s="27" t="s">
        <v>4042</v>
      </c>
      <c r="B47" s="28" t="s">
        <v>4064</v>
      </c>
      <c r="C47" s="28"/>
      <c r="D47" s="27" t="s">
        <v>4042</v>
      </c>
      <c r="E47" s="27" t="s">
        <v>4042</v>
      </c>
      <c r="F47" s="27" t="s">
        <v>4042</v>
      </c>
      <c r="G47" s="27" t="s">
        <v>4042</v>
      </c>
      <c r="H47" s="27" t="s">
        <v>4042</v>
      </c>
      <c r="I47" s="27" t="s">
        <v>4042</v>
      </c>
      <c r="J47" s="27" t="s">
        <v>4042</v>
      </c>
      <c r="K47" s="27" t="s">
        <v>4042</v>
      </c>
      <c r="L47" s="27" t="s">
        <v>4042</v>
      </c>
      <c r="M47" s="27" t="s">
        <v>4042</v>
      </c>
      <c r="N47" s="27" t="s">
        <v>4042</v>
      </c>
      <c r="O47" s="27" t="s">
        <v>4042</v>
      </c>
      <c r="P47" s="27" t="s">
        <v>4042</v>
      </c>
      <c r="Q47" s="27" t="s">
        <v>4042</v>
      </c>
    </row>
    <row r="48" spans="1:17" ht="15.75" customHeight="1">
      <c r="A48" s="27" t="s">
        <v>4042</v>
      </c>
      <c r="B48" s="27" t="s">
        <v>4042</v>
      </c>
      <c r="C48" s="27" t="s">
        <v>4042</v>
      </c>
      <c r="D48" s="27" t="s">
        <v>4042</v>
      </c>
      <c r="E48" s="27" t="s">
        <v>4042</v>
      </c>
      <c r="F48" s="27" t="s">
        <v>4042</v>
      </c>
      <c r="G48" s="27" t="s">
        <v>4042</v>
      </c>
      <c r="H48" s="27" t="s">
        <v>4042</v>
      </c>
      <c r="I48" s="27" t="s">
        <v>4042</v>
      </c>
      <c r="J48" s="27" t="s">
        <v>4042</v>
      </c>
      <c r="K48" s="27" t="s">
        <v>4042</v>
      </c>
      <c r="L48" s="27" t="s">
        <v>4042</v>
      </c>
      <c r="M48" s="27" t="s">
        <v>4042</v>
      </c>
      <c r="N48" s="27" t="s">
        <v>4042</v>
      </c>
      <c r="O48" s="27" t="s">
        <v>4042</v>
      </c>
      <c r="P48" s="27" t="s">
        <v>4042</v>
      </c>
      <c r="Q48" s="27" t="s">
        <v>4042</v>
      </c>
    </row>
    <row r="49" spans="1:17" ht="15.75" customHeight="1">
      <c r="A49" s="27" t="s">
        <v>4042</v>
      </c>
      <c r="B49" s="28" t="s">
        <v>4065</v>
      </c>
      <c r="C49" s="28"/>
      <c r="D49" s="27" t="s">
        <v>4042</v>
      </c>
      <c r="E49" s="27" t="s">
        <v>4042</v>
      </c>
      <c r="F49" s="27" t="s">
        <v>4042</v>
      </c>
      <c r="G49" s="27" t="s">
        <v>4042</v>
      </c>
      <c r="H49" s="27" t="s">
        <v>4042</v>
      </c>
      <c r="I49" s="27" t="s">
        <v>4042</v>
      </c>
      <c r="J49" s="27" t="s">
        <v>4042</v>
      </c>
      <c r="K49" s="27" t="s">
        <v>4042</v>
      </c>
      <c r="L49" s="27" t="s">
        <v>4042</v>
      </c>
      <c r="M49" s="27" t="s">
        <v>4042</v>
      </c>
      <c r="N49" s="27" t="s">
        <v>4042</v>
      </c>
      <c r="O49" s="27" t="s">
        <v>4042</v>
      </c>
      <c r="P49" s="27" t="s">
        <v>4042</v>
      </c>
      <c r="Q49" s="27" t="s">
        <v>4042</v>
      </c>
    </row>
    <row r="50" spans="1:17" ht="15.75" customHeight="1">
      <c r="A50" s="27" t="s">
        <v>4042</v>
      </c>
      <c r="B50" s="27" t="s">
        <v>4042</v>
      </c>
      <c r="C50" s="27" t="s">
        <v>4042</v>
      </c>
      <c r="D50" s="27" t="s">
        <v>4042</v>
      </c>
      <c r="E50" s="27" t="s">
        <v>4042</v>
      </c>
      <c r="F50" s="27" t="s">
        <v>4042</v>
      </c>
      <c r="G50" s="27" t="s">
        <v>4042</v>
      </c>
      <c r="H50" s="27" t="s">
        <v>4042</v>
      </c>
      <c r="I50" s="27" t="s">
        <v>4042</v>
      </c>
      <c r="J50" s="27" t="s">
        <v>4042</v>
      </c>
      <c r="K50" s="27" t="s">
        <v>4042</v>
      </c>
      <c r="L50" s="27" t="s">
        <v>4042</v>
      </c>
      <c r="M50" s="27" t="s">
        <v>4042</v>
      </c>
      <c r="N50" s="27" t="s">
        <v>4042</v>
      </c>
      <c r="O50" s="27" t="s">
        <v>4042</v>
      </c>
      <c r="P50" s="27" t="s">
        <v>4042</v>
      </c>
      <c r="Q50" s="27" t="s">
        <v>4042</v>
      </c>
    </row>
    <row r="51" spans="1:17" ht="15.75" customHeight="1">
      <c r="A51" s="27" t="s">
        <v>4042</v>
      </c>
      <c r="B51" s="27" t="s">
        <v>4066</v>
      </c>
      <c r="C51" s="27"/>
      <c r="D51" s="27"/>
      <c r="E51" s="27"/>
      <c r="F51" s="27"/>
      <c r="G51" s="27"/>
      <c r="H51" s="27"/>
      <c r="I51" s="27" t="s">
        <v>4042</v>
      </c>
      <c r="J51" s="27" t="s">
        <v>4042</v>
      </c>
      <c r="K51" s="27" t="s">
        <v>4042</v>
      </c>
      <c r="L51" s="27" t="s">
        <v>4042</v>
      </c>
      <c r="M51" s="27" t="s">
        <v>4042</v>
      </c>
      <c r="N51" s="27" t="s">
        <v>4042</v>
      </c>
      <c r="O51" s="27" t="s">
        <v>4042</v>
      </c>
      <c r="P51" s="27" t="s">
        <v>4042</v>
      </c>
      <c r="Q51" s="27" t="s">
        <v>4042</v>
      </c>
    </row>
    <row r="52" spans="1:17" ht="15.75" customHeight="1">
      <c r="A52" s="27" t="s">
        <v>4042</v>
      </c>
      <c r="B52" s="27" t="s">
        <v>4042</v>
      </c>
      <c r="C52" s="27" t="s">
        <v>4042</v>
      </c>
      <c r="D52" s="27" t="s">
        <v>4042</v>
      </c>
      <c r="E52" s="27" t="s">
        <v>4042</v>
      </c>
      <c r="F52" s="27" t="s">
        <v>4042</v>
      </c>
      <c r="G52" s="27" t="s">
        <v>4042</v>
      </c>
      <c r="H52" s="27" t="s">
        <v>4042</v>
      </c>
      <c r="I52" s="27" t="s">
        <v>4042</v>
      </c>
      <c r="J52" s="27" t="s">
        <v>4042</v>
      </c>
      <c r="K52" s="27" t="s">
        <v>4042</v>
      </c>
      <c r="L52" s="27" t="s">
        <v>4042</v>
      </c>
      <c r="M52" s="27" t="s">
        <v>4042</v>
      </c>
      <c r="N52" s="27" t="s">
        <v>4042</v>
      </c>
      <c r="O52" s="27" t="s">
        <v>4042</v>
      </c>
      <c r="P52" s="27" t="s">
        <v>4042</v>
      </c>
      <c r="Q52" s="27" t="s">
        <v>4042</v>
      </c>
    </row>
    <row r="53" spans="1:17" ht="15.75" customHeight="1">
      <c r="A53" s="27" t="s">
        <v>4042</v>
      </c>
      <c r="B53" s="27" t="s">
        <v>4067</v>
      </c>
      <c r="C53" s="27"/>
      <c r="D53" s="27"/>
      <c r="E53" s="27"/>
      <c r="F53" s="27"/>
      <c r="G53" s="27"/>
      <c r="H53" s="27"/>
      <c r="I53" s="27"/>
      <c r="J53" s="27"/>
      <c r="K53" s="27"/>
      <c r="L53" s="27" t="s">
        <v>4042</v>
      </c>
      <c r="M53" s="27" t="s">
        <v>4042</v>
      </c>
      <c r="N53" s="27" t="s">
        <v>4042</v>
      </c>
      <c r="O53" s="27" t="s">
        <v>4042</v>
      </c>
      <c r="P53" s="27" t="s">
        <v>4042</v>
      </c>
      <c r="Q53" s="27" t="s">
        <v>4042</v>
      </c>
    </row>
    <row r="54" spans="1:17" ht="15.75" customHeight="1">
      <c r="A54" s="27" t="s">
        <v>4042</v>
      </c>
      <c r="B54" s="27" t="s">
        <v>4042</v>
      </c>
      <c r="C54" s="27" t="s">
        <v>4042</v>
      </c>
      <c r="D54" s="27" t="s">
        <v>4042</v>
      </c>
      <c r="E54" s="27" t="s">
        <v>4042</v>
      </c>
      <c r="F54" s="27" t="s">
        <v>4042</v>
      </c>
      <c r="G54" s="27" t="s">
        <v>4042</v>
      </c>
      <c r="H54" s="27" t="s">
        <v>4042</v>
      </c>
      <c r="I54" s="27" t="s">
        <v>4042</v>
      </c>
      <c r="J54" s="27" t="s">
        <v>4042</v>
      </c>
      <c r="K54" s="27" t="s">
        <v>4042</v>
      </c>
      <c r="L54" s="27" t="s">
        <v>4042</v>
      </c>
      <c r="M54" s="27" t="s">
        <v>4042</v>
      </c>
      <c r="N54" s="27" t="s">
        <v>4042</v>
      </c>
      <c r="O54" s="27" t="s">
        <v>4042</v>
      </c>
      <c r="P54" s="27" t="s">
        <v>4042</v>
      </c>
      <c r="Q54" s="27" t="s">
        <v>4042</v>
      </c>
    </row>
    <row r="55" spans="1:17" ht="15.75" customHeight="1">
      <c r="A55" s="27" t="s">
        <v>4042</v>
      </c>
      <c r="B55" s="27" t="s">
        <v>4068</v>
      </c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 t="s">
        <v>4042</v>
      </c>
      <c r="O55" s="27" t="s">
        <v>4042</v>
      </c>
      <c r="P55" s="27" t="s">
        <v>4042</v>
      </c>
      <c r="Q55" s="27" t="s">
        <v>4042</v>
      </c>
    </row>
    <row r="56" spans="1:17" ht="15.75" customHeight="1">
      <c r="A56" s="27" t="s">
        <v>4042</v>
      </c>
      <c r="B56" s="27" t="s">
        <v>4042</v>
      </c>
      <c r="C56" s="27" t="s">
        <v>4042</v>
      </c>
      <c r="D56" s="27" t="s">
        <v>4042</v>
      </c>
      <c r="E56" s="27" t="s">
        <v>4042</v>
      </c>
      <c r="F56" s="27" t="s">
        <v>4042</v>
      </c>
      <c r="G56" s="27" t="s">
        <v>4042</v>
      </c>
      <c r="H56" s="27" t="s">
        <v>4042</v>
      </c>
      <c r="I56" s="27" t="s">
        <v>4042</v>
      </c>
      <c r="J56" s="27" t="s">
        <v>4042</v>
      </c>
      <c r="K56" s="27" t="s">
        <v>4042</v>
      </c>
      <c r="L56" s="27" t="s">
        <v>4042</v>
      </c>
      <c r="M56" s="27" t="s">
        <v>4042</v>
      </c>
      <c r="N56" s="27" t="s">
        <v>4042</v>
      </c>
      <c r="O56" s="27" t="s">
        <v>4042</v>
      </c>
      <c r="P56" s="27" t="s">
        <v>4042</v>
      </c>
      <c r="Q56" s="27" t="s">
        <v>4042</v>
      </c>
    </row>
    <row r="57" spans="1:17" ht="15.75" customHeight="1">
      <c r="A57" s="27" t="s">
        <v>4042</v>
      </c>
      <c r="B57" s="27" t="s">
        <v>4069</v>
      </c>
      <c r="C57" s="27"/>
      <c r="D57" s="27"/>
      <c r="E57" s="27"/>
      <c r="F57" s="27"/>
      <c r="G57" s="27"/>
      <c r="H57" s="27"/>
      <c r="I57" s="27"/>
      <c r="J57" s="27"/>
      <c r="K57" s="27" t="s">
        <v>4042</v>
      </c>
      <c r="L57" s="27" t="s">
        <v>4042</v>
      </c>
      <c r="M57" s="27" t="s">
        <v>4042</v>
      </c>
      <c r="N57" s="27" t="s">
        <v>4042</v>
      </c>
      <c r="O57" s="27" t="s">
        <v>4042</v>
      </c>
      <c r="P57" s="27" t="s">
        <v>4042</v>
      </c>
      <c r="Q57" s="27" t="s">
        <v>4042</v>
      </c>
    </row>
    <row r="58" spans="1:17" ht="15.75" customHeight="1">
      <c r="A58" s="27" t="s">
        <v>4042</v>
      </c>
      <c r="B58" s="27" t="s">
        <v>4042</v>
      </c>
      <c r="C58" s="27" t="s">
        <v>4042</v>
      </c>
      <c r="D58" s="27" t="s">
        <v>4042</v>
      </c>
      <c r="E58" s="27" t="s">
        <v>4042</v>
      </c>
      <c r="F58" s="27" t="s">
        <v>4042</v>
      </c>
      <c r="G58" s="27" t="s">
        <v>4042</v>
      </c>
      <c r="H58" s="27" t="s">
        <v>4042</v>
      </c>
      <c r="I58" s="27" t="s">
        <v>4042</v>
      </c>
      <c r="J58" s="27" t="s">
        <v>4042</v>
      </c>
      <c r="K58" s="27" t="s">
        <v>4042</v>
      </c>
      <c r="L58" s="27" t="s">
        <v>4042</v>
      </c>
      <c r="M58" s="27" t="s">
        <v>4042</v>
      </c>
      <c r="N58" s="27" t="s">
        <v>4042</v>
      </c>
      <c r="O58" s="27" t="s">
        <v>4042</v>
      </c>
      <c r="P58" s="27" t="s">
        <v>4042</v>
      </c>
      <c r="Q58" s="27" t="s">
        <v>4042</v>
      </c>
    </row>
    <row r="59" spans="1:17" ht="15.75" customHeight="1">
      <c r="A59" s="27" t="s">
        <v>4042</v>
      </c>
      <c r="B59" s="27" t="s">
        <v>4070</v>
      </c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 t="s">
        <v>4042</v>
      </c>
      <c r="P59" s="27" t="s">
        <v>4042</v>
      </c>
      <c r="Q59" s="27" t="s">
        <v>4042</v>
      </c>
    </row>
    <row r="60" spans="1:17" ht="15.75" customHeight="1">
      <c r="A60" s="27" t="s">
        <v>4042</v>
      </c>
      <c r="B60" s="27" t="s">
        <v>4042</v>
      </c>
      <c r="C60" s="27" t="s">
        <v>4042</v>
      </c>
      <c r="D60" s="27" t="s">
        <v>4042</v>
      </c>
      <c r="E60" s="27" t="s">
        <v>4042</v>
      </c>
      <c r="F60" s="27" t="s">
        <v>4042</v>
      </c>
      <c r="G60" s="27" t="s">
        <v>4042</v>
      </c>
      <c r="H60" s="27" t="s">
        <v>4042</v>
      </c>
      <c r="I60" s="27" t="s">
        <v>4042</v>
      </c>
      <c r="J60" s="27" t="s">
        <v>4042</v>
      </c>
      <c r="K60" s="27" t="s">
        <v>4042</v>
      </c>
      <c r="L60" s="27" t="s">
        <v>4042</v>
      </c>
      <c r="M60" s="27" t="s">
        <v>4042</v>
      </c>
      <c r="N60" s="27" t="s">
        <v>4042</v>
      </c>
      <c r="O60" s="27" t="s">
        <v>4042</v>
      </c>
      <c r="P60" s="27" t="s">
        <v>4042</v>
      </c>
      <c r="Q60" s="27" t="s">
        <v>4042</v>
      </c>
    </row>
    <row r="61" spans="1:17" ht="15.75" customHeight="1">
      <c r="A61" s="27" t="s">
        <v>4042</v>
      </c>
      <c r="B61" s="28" t="s">
        <v>4071</v>
      </c>
      <c r="C61" s="28"/>
      <c r="D61" s="28"/>
      <c r="E61" s="27" t="s">
        <v>4042</v>
      </c>
      <c r="F61" s="27" t="s">
        <v>4042</v>
      </c>
      <c r="G61" s="27" t="s">
        <v>4042</v>
      </c>
      <c r="H61" s="27" t="s">
        <v>4042</v>
      </c>
      <c r="I61" s="27" t="s">
        <v>4042</v>
      </c>
      <c r="J61" s="27" t="s">
        <v>4042</v>
      </c>
      <c r="K61" s="27" t="s">
        <v>4042</v>
      </c>
      <c r="L61" s="27" t="s">
        <v>4042</v>
      </c>
      <c r="M61" s="27" t="s">
        <v>4042</v>
      </c>
      <c r="N61" s="27" t="s">
        <v>4042</v>
      </c>
      <c r="O61" s="27" t="s">
        <v>4042</v>
      </c>
      <c r="P61" s="27" t="s">
        <v>4042</v>
      </c>
      <c r="Q61" s="27" t="s">
        <v>4042</v>
      </c>
    </row>
    <row r="62" spans="1:17" ht="15.75" customHeight="1">
      <c r="A62" s="27" t="s">
        <v>4042</v>
      </c>
      <c r="B62" s="27" t="s">
        <v>4042</v>
      </c>
      <c r="C62" s="27" t="s">
        <v>4042</v>
      </c>
      <c r="D62" s="27" t="s">
        <v>4042</v>
      </c>
      <c r="E62" s="27" t="s">
        <v>4042</v>
      </c>
      <c r="F62" s="27" t="s">
        <v>4042</v>
      </c>
      <c r="G62" s="27" t="s">
        <v>4042</v>
      </c>
      <c r="H62" s="27" t="s">
        <v>4042</v>
      </c>
      <c r="I62" s="27" t="s">
        <v>4042</v>
      </c>
      <c r="J62" s="27" t="s">
        <v>4042</v>
      </c>
      <c r="K62" s="27" t="s">
        <v>4042</v>
      </c>
      <c r="L62" s="27" t="s">
        <v>4042</v>
      </c>
      <c r="M62" s="27" t="s">
        <v>4042</v>
      </c>
      <c r="N62" s="27" t="s">
        <v>4042</v>
      </c>
      <c r="O62" s="27" t="s">
        <v>4042</v>
      </c>
      <c r="P62" s="27" t="s">
        <v>4042</v>
      </c>
      <c r="Q62" s="27" t="s">
        <v>4042</v>
      </c>
    </row>
    <row r="63" spans="1:17" ht="15.75" customHeight="1">
      <c r="A63" s="27" t="s">
        <v>4042</v>
      </c>
      <c r="B63" s="27" t="s">
        <v>4072</v>
      </c>
      <c r="C63" s="27"/>
      <c r="D63" s="27"/>
      <c r="E63" s="27"/>
      <c r="F63" s="27"/>
      <c r="G63" s="27"/>
      <c r="H63" s="27"/>
      <c r="I63" s="27"/>
      <c r="J63" s="27" t="s">
        <v>4042</v>
      </c>
      <c r="K63" s="27" t="s">
        <v>4042</v>
      </c>
      <c r="L63" s="27" t="s">
        <v>4042</v>
      </c>
      <c r="M63" s="27" t="s">
        <v>4042</v>
      </c>
      <c r="N63" s="27" t="s">
        <v>4042</v>
      </c>
      <c r="O63" s="27" t="s">
        <v>4042</v>
      </c>
      <c r="P63" s="27" t="s">
        <v>4042</v>
      </c>
      <c r="Q63" s="27" t="s">
        <v>4042</v>
      </c>
    </row>
    <row r="64" spans="1:17" ht="15.75" customHeight="1">
      <c r="A64" s="27" t="s">
        <v>4042</v>
      </c>
      <c r="B64" s="27" t="s">
        <v>4042</v>
      </c>
      <c r="C64" s="27" t="s">
        <v>4042</v>
      </c>
      <c r="D64" s="27" t="s">
        <v>4042</v>
      </c>
      <c r="E64" s="27" t="s">
        <v>4042</v>
      </c>
      <c r="F64" s="27" t="s">
        <v>4042</v>
      </c>
      <c r="G64" s="27" t="s">
        <v>4042</v>
      </c>
      <c r="H64" s="27" t="s">
        <v>4042</v>
      </c>
      <c r="I64" s="27" t="s">
        <v>4042</v>
      </c>
      <c r="J64" s="27" t="s">
        <v>4042</v>
      </c>
      <c r="K64" s="27" t="s">
        <v>4042</v>
      </c>
      <c r="L64" s="27" t="s">
        <v>4042</v>
      </c>
      <c r="M64" s="27" t="s">
        <v>4042</v>
      </c>
      <c r="N64" s="27" t="s">
        <v>4042</v>
      </c>
      <c r="O64" s="27" t="s">
        <v>4042</v>
      </c>
      <c r="P64" s="27" t="s">
        <v>4042</v>
      </c>
      <c r="Q64" s="27" t="s">
        <v>4042</v>
      </c>
    </row>
    <row r="65" spans="1:17" ht="15.75" customHeight="1">
      <c r="A65" s="27" t="s">
        <v>4042</v>
      </c>
      <c r="B65" s="27" t="s">
        <v>4073</v>
      </c>
      <c r="C65" s="27"/>
      <c r="D65" s="27"/>
      <c r="E65" s="27"/>
      <c r="F65" s="27"/>
      <c r="G65" s="27" t="s">
        <v>4042</v>
      </c>
      <c r="H65" s="27" t="s">
        <v>4042</v>
      </c>
      <c r="I65" s="27" t="s">
        <v>4042</v>
      </c>
      <c r="J65" s="27" t="s">
        <v>4042</v>
      </c>
      <c r="K65" s="27" t="s">
        <v>4042</v>
      </c>
      <c r="L65" s="27" t="s">
        <v>4042</v>
      </c>
      <c r="M65" s="27" t="s">
        <v>4042</v>
      </c>
      <c r="N65" s="27" t="s">
        <v>4042</v>
      </c>
      <c r="O65" s="27" t="s">
        <v>4042</v>
      </c>
      <c r="P65" s="27" t="s">
        <v>4042</v>
      </c>
      <c r="Q65" s="27" t="s">
        <v>4042</v>
      </c>
    </row>
    <row r="66" spans="1:17" ht="15.75" customHeight="1">
      <c r="A66" s="27" t="s">
        <v>4042</v>
      </c>
      <c r="B66" s="27" t="s">
        <v>4042</v>
      </c>
      <c r="C66" s="27" t="s">
        <v>4042</v>
      </c>
      <c r="D66" s="27" t="s">
        <v>4042</v>
      </c>
      <c r="E66" s="27" t="s">
        <v>4042</v>
      </c>
      <c r="F66" s="27" t="s">
        <v>4042</v>
      </c>
      <c r="G66" s="27" t="s">
        <v>4042</v>
      </c>
      <c r="H66" s="27" t="s">
        <v>4042</v>
      </c>
      <c r="I66" s="27" t="s">
        <v>4042</v>
      </c>
      <c r="J66" s="27" t="s">
        <v>4042</v>
      </c>
      <c r="K66" s="27" t="s">
        <v>4042</v>
      </c>
      <c r="L66" s="27" t="s">
        <v>4042</v>
      </c>
      <c r="M66" s="27" t="s">
        <v>4042</v>
      </c>
      <c r="N66" s="27" t="s">
        <v>4042</v>
      </c>
      <c r="O66" s="27" t="s">
        <v>4042</v>
      </c>
      <c r="P66" s="27" t="s">
        <v>4042</v>
      </c>
      <c r="Q66" s="27" t="s">
        <v>4042</v>
      </c>
    </row>
    <row r="67" spans="1:17" ht="15.75" customHeight="1">
      <c r="A67" s="27" t="s">
        <v>4042</v>
      </c>
      <c r="B67" s="29" t="s">
        <v>4074</v>
      </c>
      <c r="C67" s="29"/>
      <c r="D67" s="29"/>
      <c r="E67" s="29"/>
      <c r="F67" s="29"/>
      <c r="G67" s="29"/>
      <c r="H67" s="29"/>
      <c r="I67" s="29"/>
      <c r="J67" s="27" t="s">
        <v>4042</v>
      </c>
      <c r="K67" s="27" t="s">
        <v>4042</v>
      </c>
      <c r="L67" s="27" t="s">
        <v>4042</v>
      </c>
      <c r="M67" s="27" t="s">
        <v>4042</v>
      </c>
      <c r="N67" s="27" t="s">
        <v>4042</v>
      </c>
      <c r="O67" s="27" t="s">
        <v>4042</v>
      </c>
      <c r="P67" s="27" t="s">
        <v>4042</v>
      </c>
      <c r="Q67" s="27" t="s">
        <v>4042</v>
      </c>
    </row>
    <row r="68" spans="1:17" ht="15.75" customHeight="1">
      <c r="A68" s="27" t="s">
        <v>4042</v>
      </c>
      <c r="B68" s="29" t="s">
        <v>4075</v>
      </c>
      <c r="C68" s="29"/>
      <c r="D68" s="29"/>
      <c r="E68" s="29"/>
      <c r="F68" s="29"/>
      <c r="G68" s="29"/>
      <c r="H68" s="29"/>
      <c r="I68" s="27" t="s">
        <v>4042</v>
      </c>
      <c r="J68" s="27" t="s">
        <v>4042</v>
      </c>
      <c r="K68" s="27" t="s">
        <v>4042</v>
      </c>
      <c r="L68" s="27" t="s">
        <v>4042</v>
      </c>
      <c r="M68" s="27" t="s">
        <v>4042</v>
      </c>
      <c r="N68" s="27" t="s">
        <v>4042</v>
      </c>
      <c r="O68" s="27" t="s">
        <v>4042</v>
      </c>
      <c r="P68" s="27" t="s">
        <v>4042</v>
      </c>
      <c r="Q68" s="27" t="s">
        <v>4042</v>
      </c>
    </row>
    <row r="69" spans="1:17" ht="15.75" customHeight="1">
      <c r="A69" s="27" t="s">
        <v>4042</v>
      </c>
      <c r="B69" s="29" t="s">
        <v>4076</v>
      </c>
      <c r="C69" s="29"/>
      <c r="D69" s="29"/>
      <c r="E69" s="29"/>
      <c r="F69" s="29"/>
      <c r="G69" s="29"/>
      <c r="H69" s="29"/>
      <c r="I69" s="27" t="s">
        <v>4042</v>
      </c>
      <c r="J69" s="27" t="s">
        <v>4042</v>
      </c>
      <c r="K69" s="27" t="s">
        <v>4042</v>
      </c>
      <c r="L69" s="27" t="s">
        <v>4042</v>
      </c>
      <c r="M69" s="27" t="s">
        <v>4042</v>
      </c>
      <c r="N69" s="27" t="s">
        <v>4042</v>
      </c>
      <c r="O69" s="27" t="s">
        <v>4042</v>
      </c>
      <c r="P69" s="27" t="s">
        <v>4042</v>
      </c>
      <c r="Q69" s="27" t="s">
        <v>4042</v>
      </c>
    </row>
    <row r="70" spans="1:17" ht="15.75" customHeight="1">
      <c r="A70" s="27" t="s">
        <v>4042</v>
      </c>
      <c r="B70" s="27" t="s">
        <v>4042</v>
      </c>
      <c r="C70" s="27" t="s">
        <v>4042</v>
      </c>
      <c r="D70" s="27" t="s">
        <v>4042</v>
      </c>
      <c r="E70" s="27" t="s">
        <v>4042</v>
      </c>
      <c r="F70" s="27" t="s">
        <v>4042</v>
      </c>
      <c r="G70" s="27" t="s">
        <v>4042</v>
      </c>
      <c r="H70" s="27" t="s">
        <v>4042</v>
      </c>
      <c r="I70" s="27" t="s">
        <v>4042</v>
      </c>
      <c r="J70" s="27" t="s">
        <v>4042</v>
      </c>
      <c r="K70" s="27" t="s">
        <v>4042</v>
      </c>
      <c r="L70" s="27" t="s">
        <v>4042</v>
      </c>
      <c r="M70" s="27" t="s">
        <v>4042</v>
      </c>
      <c r="N70" s="27" t="s">
        <v>4042</v>
      </c>
      <c r="O70" s="27" t="s">
        <v>4042</v>
      </c>
      <c r="P70" s="27" t="s">
        <v>4042</v>
      </c>
      <c r="Q70" s="27" t="s">
        <v>4042</v>
      </c>
    </row>
    <row r="71" spans="1:17" ht="15.75" customHeight="1">
      <c r="A71" s="27" t="s">
        <v>4042</v>
      </c>
      <c r="B71" s="27" t="s">
        <v>4077</v>
      </c>
      <c r="C71" s="27"/>
      <c r="D71" s="27"/>
      <c r="E71" s="27"/>
      <c r="F71" s="27"/>
      <c r="G71" s="27" t="s">
        <v>4042</v>
      </c>
      <c r="H71" s="27" t="s">
        <v>4042</v>
      </c>
      <c r="I71" s="27" t="s">
        <v>4042</v>
      </c>
      <c r="J71" s="27" t="s">
        <v>4042</v>
      </c>
      <c r="K71" s="27" t="s">
        <v>4042</v>
      </c>
      <c r="L71" s="27" t="s">
        <v>4042</v>
      </c>
      <c r="M71" s="27" t="s">
        <v>4042</v>
      </c>
      <c r="N71" s="27" t="s">
        <v>4042</v>
      </c>
      <c r="O71" s="27" t="s">
        <v>4042</v>
      </c>
      <c r="P71" s="27" t="s">
        <v>4042</v>
      </c>
      <c r="Q71" s="27" t="s">
        <v>4042</v>
      </c>
    </row>
    <row r="72" spans="1:17" ht="15.75" customHeight="1">
      <c r="A72" s="27" t="s">
        <v>4042</v>
      </c>
      <c r="B72" s="27" t="s">
        <v>4042</v>
      </c>
      <c r="C72" s="27" t="s">
        <v>4042</v>
      </c>
      <c r="D72" s="27" t="s">
        <v>4042</v>
      </c>
      <c r="E72" s="27" t="s">
        <v>4042</v>
      </c>
      <c r="F72" s="27" t="s">
        <v>4042</v>
      </c>
      <c r="G72" s="27" t="s">
        <v>4042</v>
      </c>
      <c r="H72" s="27" t="s">
        <v>4042</v>
      </c>
      <c r="I72" s="27" t="s">
        <v>4042</v>
      </c>
      <c r="J72" s="27" t="s">
        <v>4042</v>
      </c>
      <c r="K72" s="27" t="s">
        <v>4042</v>
      </c>
      <c r="L72" s="27" t="s">
        <v>4042</v>
      </c>
      <c r="M72" s="27" t="s">
        <v>4042</v>
      </c>
      <c r="N72" s="27" t="s">
        <v>4042</v>
      </c>
      <c r="O72" s="27" t="s">
        <v>4042</v>
      </c>
      <c r="P72" s="27" t="s">
        <v>4042</v>
      </c>
      <c r="Q72" s="27" t="s">
        <v>4042</v>
      </c>
    </row>
    <row r="73" spans="1:17" ht="15.75" customHeight="1">
      <c r="A73" s="27" t="s">
        <v>4042</v>
      </c>
      <c r="B73" s="29" t="s">
        <v>4078</v>
      </c>
      <c r="C73" s="29"/>
      <c r="D73" s="29"/>
      <c r="E73" s="29"/>
      <c r="F73" s="29"/>
      <c r="G73" s="29"/>
      <c r="H73" s="29"/>
      <c r="I73" s="29"/>
      <c r="J73" s="29"/>
      <c r="K73" s="27" t="s">
        <v>4042</v>
      </c>
      <c r="L73" s="27" t="s">
        <v>4042</v>
      </c>
      <c r="M73" s="27" t="s">
        <v>4042</v>
      </c>
      <c r="N73" s="27" t="s">
        <v>4042</v>
      </c>
      <c r="O73" s="27" t="s">
        <v>4042</v>
      </c>
      <c r="P73" s="27" t="s">
        <v>4042</v>
      </c>
      <c r="Q73" s="27" t="s">
        <v>4042</v>
      </c>
    </row>
    <row r="74" spans="1:17" ht="15.75" customHeight="1">
      <c r="A74" s="27" t="s">
        <v>4042</v>
      </c>
      <c r="B74" s="29" t="s">
        <v>4079</v>
      </c>
      <c r="C74" s="29"/>
      <c r="D74" s="29"/>
      <c r="E74" s="29"/>
      <c r="F74" s="29"/>
      <c r="G74" s="29"/>
      <c r="H74" s="27" t="s">
        <v>4042</v>
      </c>
      <c r="I74" s="27" t="s">
        <v>4042</v>
      </c>
      <c r="J74" s="27" t="s">
        <v>4042</v>
      </c>
      <c r="K74" s="27" t="s">
        <v>4042</v>
      </c>
      <c r="L74" s="27" t="s">
        <v>4042</v>
      </c>
      <c r="M74" s="27" t="s">
        <v>4042</v>
      </c>
      <c r="N74" s="27" t="s">
        <v>4042</v>
      </c>
      <c r="O74" s="27" t="s">
        <v>4042</v>
      </c>
      <c r="P74" s="27" t="s">
        <v>4042</v>
      </c>
      <c r="Q74" s="27" t="s">
        <v>4042</v>
      </c>
    </row>
    <row r="75" spans="1:17" ht="15.75" customHeight="1">
      <c r="A75" s="27" t="s">
        <v>4042</v>
      </c>
      <c r="B75" s="29" t="s">
        <v>4080</v>
      </c>
      <c r="C75" s="29"/>
      <c r="D75" s="29"/>
      <c r="E75" s="29"/>
      <c r="F75" s="29"/>
      <c r="G75" s="29"/>
      <c r="H75" s="29"/>
      <c r="I75" s="29"/>
      <c r="J75" s="27" t="s">
        <v>4042</v>
      </c>
      <c r="K75" s="27" t="s">
        <v>4042</v>
      </c>
      <c r="L75" s="27" t="s">
        <v>4042</v>
      </c>
      <c r="M75" s="27" t="s">
        <v>4042</v>
      </c>
      <c r="N75" s="27" t="s">
        <v>4042</v>
      </c>
      <c r="O75" s="27" t="s">
        <v>4042</v>
      </c>
      <c r="P75" s="27" t="s">
        <v>4042</v>
      </c>
      <c r="Q75" s="27" t="s">
        <v>4042</v>
      </c>
    </row>
    <row r="76" spans="1:17" ht="15.75" customHeight="1">
      <c r="A76" s="27" t="s">
        <v>4042</v>
      </c>
      <c r="B76" s="27" t="s">
        <v>4042</v>
      </c>
      <c r="C76" s="27" t="s">
        <v>4042</v>
      </c>
      <c r="D76" s="27" t="s">
        <v>4042</v>
      </c>
      <c r="E76" s="27" t="s">
        <v>4042</v>
      </c>
      <c r="F76" s="27" t="s">
        <v>4042</v>
      </c>
      <c r="G76" s="27" t="s">
        <v>4042</v>
      </c>
      <c r="H76" s="27" t="s">
        <v>4042</v>
      </c>
      <c r="I76" s="27" t="s">
        <v>4042</v>
      </c>
      <c r="J76" s="27" t="s">
        <v>4042</v>
      </c>
      <c r="K76" s="27" t="s">
        <v>4042</v>
      </c>
      <c r="L76" s="27" t="s">
        <v>4042</v>
      </c>
      <c r="M76" s="27" t="s">
        <v>4042</v>
      </c>
      <c r="N76" s="27" t="s">
        <v>4042</v>
      </c>
      <c r="O76" s="27" t="s">
        <v>4042</v>
      </c>
      <c r="P76" s="27" t="s">
        <v>4042</v>
      </c>
      <c r="Q76" s="27" t="s">
        <v>4042</v>
      </c>
    </row>
    <row r="77" spans="1:17" ht="15.75" customHeight="1">
      <c r="A77" s="27" t="s">
        <v>4042</v>
      </c>
      <c r="B77" s="27" t="s">
        <v>4081</v>
      </c>
      <c r="C77" s="27"/>
      <c r="D77" s="27"/>
      <c r="E77" s="27"/>
      <c r="F77" s="27"/>
      <c r="G77" s="27"/>
      <c r="H77" s="27" t="s">
        <v>4042</v>
      </c>
      <c r="I77" s="27" t="s">
        <v>4042</v>
      </c>
      <c r="J77" s="27" t="s">
        <v>4042</v>
      </c>
      <c r="K77" s="27" t="s">
        <v>4042</v>
      </c>
      <c r="L77" s="27" t="s">
        <v>4042</v>
      </c>
      <c r="M77" s="27" t="s">
        <v>4042</v>
      </c>
      <c r="N77" s="27" t="s">
        <v>4042</v>
      </c>
      <c r="O77" s="27" t="s">
        <v>4042</v>
      </c>
      <c r="P77" s="27" t="s">
        <v>4042</v>
      </c>
      <c r="Q77" s="27" t="s">
        <v>4042</v>
      </c>
    </row>
    <row r="78" spans="1:17" ht="15.75" customHeight="1">
      <c r="A78" s="27" t="s">
        <v>4042</v>
      </c>
      <c r="B78" s="27" t="s">
        <v>4042</v>
      </c>
      <c r="C78" s="27" t="s">
        <v>4042</v>
      </c>
      <c r="D78" s="27" t="s">
        <v>4042</v>
      </c>
      <c r="E78" s="27" t="s">
        <v>4042</v>
      </c>
      <c r="F78" s="27" t="s">
        <v>4042</v>
      </c>
      <c r="G78" s="27" t="s">
        <v>4042</v>
      </c>
      <c r="H78" s="27" t="s">
        <v>4042</v>
      </c>
      <c r="I78" s="27" t="s">
        <v>4042</v>
      </c>
      <c r="J78" s="27" t="s">
        <v>4042</v>
      </c>
      <c r="K78" s="27" t="s">
        <v>4042</v>
      </c>
      <c r="L78" s="27" t="s">
        <v>4042</v>
      </c>
      <c r="M78" s="27" t="s">
        <v>4042</v>
      </c>
      <c r="N78" s="27" t="s">
        <v>4042</v>
      </c>
      <c r="O78" s="27" t="s">
        <v>4042</v>
      </c>
      <c r="P78" s="27" t="s">
        <v>4042</v>
      </c>
      <c r="Q78" s="27" t="s">
        <v>4042</v>
      </c>
    </row>
    <row r="79" spans="1:17" ht="15.75" customHeight="1">
      <c r="A79" s="27" t="s">
        <v>4042</v>
      </c>
      <c r="B79" s="29" t="s">
        <v>4082</v>
      </c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7" t="s">
        <v>4042</v>
      </c>
      <c r="O79" s="27" t="s">
        <v>4042</v>
      </c>
      <c r="P79" s="27" t="s">
        <v>4042</v>
      </c>
      <c r="Q79" s="27" t="s">
        <v>4042</v>
      </c>
    </row>
    <row r="80" spans="1:17" ht="15.75" customHeight="1">
      <c r="A80" s="27" t="s">
        <v>4042</v>
      </c>
      <c r="B80" s="27" t="s">
        <v>4083</v>
      </c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 t="s">
        <v>4042</v>
      </c>
      <c r="Q80" s="27" t="s">
        <v>4042</v>
      </c>
    </row>
    <row r="81" spans="1:17" ht="15.75" customHeight="1">
      <c r="A81" s="27" t="s">
        <v>4042</v>
      </c>
      <c r="B81" s="27" t="s">
        <v>4042</v>
      </c>
      <c r="C81" s="27" t="s">
        <v>4042</v>
      </c>
      <c r="D81" s="27" t="s">
        <v>4042</v>
      </c>
      <c r="E81" s="27" t="s">
        <v>4042</v>
      </c>
      <c r="F81" s="27" t="s">
        <v>4042</v>
      </c>
      <c r="G81" s="27" t="s">
        <v>4042</v>
      </c>
      <c r="H81" s="27" t="s">
        <v>4042</v>
      </c>
      <c r="I81" s="27" t="s">
        <v>4042</v>
      </c>
      <c r="J81" s="27" t="s">
        <v>4042</v>
      </c>
      <c r="K81" s="27" t="s">
        <v>4042</v>
      </c>
      <c r="L81" s="27" t="s">
        <v>4042</v>
      </c>
      <c r="M81" s="27" t="s">
        <v>4042</v>
      </c>
      <c r="N81" s="27" t="s">
        <v>4042</v>
      </c>
      <c r="O81" s="27" t="s">
        <v>4042</v>
      </c>
      <c r="P81" s="27" t="s">
        <v>4042</v>
      </c>
      <c r="Q81" s="27" t="s">
        <v>4042</v>
      </c>
    </row>
    <row r="82" spans="1:17" ht="15.75" customHeight="1">
      <c r="A82" s="27" t="s">
        <v>4042</v>
      </c>
      <c r="B82" s="28" t="s">
        <v>4084</v>
      </c>
      <c r="C82" s="28"/>
      <c r="D82" s="28"/>
      <c r="E82" s="27" t="s">
        <v>4042</v>
      </c>
      <c r="F82" s="27" t="s">
        <v>4042</v>
      </c>
      <c r="G82" s="27" t="s">
        <v>4042</v>
      </c>
      <c r="H82" s="27" t="s">
        <v>4042</v>
      </c>
      <c r="I82" s="27" t="s">
        <v>4042</v>
      </c>
      <c r="J82" s="27" t="s">
        <v>4042</v>
      </c>
      <c r="K82" s="27" t="s">
        <v>4042</v>
      </c>
      <c r="L82" s="27" t="s">
        <v>4042</v>
      </c>
      <c r="M82" s="27" t="s">
        <v>4042</v>
      </c>
      <c r="N82" s="27" t="s">
        <v>4042</v>
      </c>
      <c r="O82" s="27" t="s">
        <v>4042</v>
      </c>
      <c r="P82" s="27" t="s">
        <v>4042</v>
      </c>
      <c r="Q82" s="27" t="s">
        <v>4042</v>
      </c>
    </row>
    <row r="83" spans="1:17" ht="15.75" customHeight="1">
      <c r="A83" s="27" t="s">
        <v>4042</v>
      </c>
      <c r="B83" s="27" t="s">
        <v>4042</v>
      </c>
      <c r="C83" s="27" t="s">
        <v>4042</v>
      </c>
      <c r="D83" s="27" t="s">
        <v>4042</v>
      </c>
      <c r="E83" s="27" t="s">
        <v>4042</v>
      </c>
      <c r="F83" s="27" t="s">
        <v>4042</v>
      </c>
      <c r="G83" s="27" t="s">
        <v>4042</v>
      </c>
      <c r="H83" s="27" t="s">
        <v>4042</v>
      </c>
      <c r="I83" s="27" t="s">
        <v>4042</v>
      </c>
      <c r="J83" s="27" t="s">
        <v>4042</v>
      </c>
      <c r="K83" s="27" t="s">
        <v>4042</v>
      </c>
      <c r="L83" s="27" t="s">
        <v>4042</v>
      </c>
      <c r="M83" s="27" t="s">
        <v>4042</v>
      </c>
      <c r="N83" s="27" t="s">
        <v>4042</v>
      </c>
      <c r="O83" s="27" t="s">
        <v>4042</v>
      </c>
      <c r="P83" s="27" t="s">
        <v>4042</v>
      </c>
      <c r="Q83" s="27" t="s">
        <v>4042</v>
      </c>
    </row>
    <row r="84" spans="1:17" ht="15.75" customHeight="1">
      <c r="A84" s="27" t="s">
        <v>4042</v>
      </c>
      <c r="B84" s="27" t="s">
        <v>4085</v>
      </c>
      <c r="C84" s="27"/>
      <c r="D84" s="27"/>
      <c r="E84" s="27"/>
      <c r="F84" s="27"/>
      <c r="G84" s="27"/>
      <c r="H84" s="27" t="s">
        <v>4042</v>
      </c>
      <c r="I84" s="27" t="s">
        <v>4042</v>
      </c>
      <c r="J84" s="27" t="s">
        <v>4042</v>
      </c>
      <c r="K84" s="27" t="s">
        <v>4042</v>
      </c>
      <c r="L84" s="27" t="s">
        <v>4042</v>
      </c>
      <c r="M84" s="27" t="s">
        <v>4042</v>
      </c>
      <c r="N84" s="27" t="s">
        <v>4042</v>
      </c>
      <c r="O84" s="27" t="s">
        <v>4042</v>
      </c>
      <c r="P84" s="27" t="s">
        <v>4042</v>
      </c>
      <c r="Q84" s="27" t="s">
        <v>4042</v>
      </c>
    </row>
    <row r="85" spans="1:17" ht="15.75" customHeight="1">
      <c r="A85" s="27" t="s">
        <v>4042</v>
      </c>
      <c r="B85" s="27" t="s">
        <v>4042</v>
      </c>
      <c r="C85" s="27" t="s">
        <v>4042</v>
      </c>
      <c r="D85" s="27" t="s">
        <v>4042</v>
      </c>
      <c r="E85" s="27" t="s">
        <v>4042</v>
      </c>
      <c r="F85" s="27" t="s">
        <v>4042</v>
      </c>
      <c r="G85" s="27" t="s">
        <v>4042</v>
      </c>
      <c r="H85" s="27" t="s">
        <v>4042</v>
      </c>
      <c r="I85" s="27" t="s">
        <v>4042</v>
      </c>
      <c r="J85" s="27" t="s">
        <v>4042</v>
      </c>
      <c r="K85" s="27" t="s">
        <v>4042</v>
      </c>
      <c r="L85" s="27" t="s">
        <v>4042</v>
      </c>
      <c r="M85" s="27" t="s">
        <v>4042</v>
      </c>
      <c r="N85" s="27" t="s">
        <v>4042</v>
      </c>
      <c r="O85" s="27" t="s">
        <v>4042</v>
      </c>
      <c r="P85" s="27" t="s">
        <v>4042</v>
      </c>
      <c r="Q85" s="27" t="s">
        <v>4042</v>
      </c>
    </row>
    <row r="86" spans="1:17" ht="15.75" customHeight="1">
      <c r="A86" s="27" t="s">
        <v>4042</v>
      </c>
      <c r="B86" s="29" t="s">
        <v>4086</v>
      </c>
      <c r="C86" s="29"/>
      <c r="D86" s="29"/>
      <c r="E86" s="29"/>
      <c r="F86" s="29"/>
      <c r="G86" s="27" t="s">
        <v>4042</v>
      </c>
      <c r="H86" s="27" t="s">
        <v>4042</v>
      </c>
      <c r="I86" s="27" t="s">
        <v>4042</v>
      </c>
      <c r="J86" s="27" t="s">
        <v>4042</v>
      </c>
      <c r="K86" s="27" t="s">
        <v>4042</v>
      </c>
      <c r="L86" s="27" t="s">
        <v>4042</v>
      </c>
      <c r="M86" s="27" t="s">
        <v>4042</v>
      </c>
      <c r="N86" s="27" t="s">
        <v>4042</v>
      </c>
      <c r="O86" s="27" t="s">
        <v>4042</v>
      </c>
      <c r="P86" s="27" t="s">
        <v>4042</v>
      </c>
      <c r="Q86" s="27" t="s">
        <v>4042</v>
      </c>
    </row>
    <row r="87" spans="1:17" ht="15.75" customHeight="1">
      <c r="A87" s="27" t="s">
        <v>4042</v>
      </c>
      <c r="B87" s="27" t="s">
        <v>4087</v>
      </c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 t="s">
        <v>4042</v>
      </c>
      <c r="Q87" s="27" t="s">
        <v>4042</v>
      </c>
    </row>
    <row r="88" spans="1:17" ht="15.75" customHeight="1">
      <c r="A88" s="27" t="s">
        <v>4042</v>
      </c>
      <c r="B88" s="27" t="s">
        <v>4042</v>
      </c>
      <c r="C88" s="27" t="s">
        <v>4042</v>
      </c>
      <c r="D88" s="27" t="s">
        <v>4042</v>
      </c>
      <c r="E88" s="27" t="s">
        <v>4042</v>
      </c>
      <c r="F88" s="27" t="s">
        <v>4042</v>
      </c>
      <c r="G88" s="27" t="s">
        <v>4042</v>
      </c>
      <c r="H88" s="27" t="s">
        <v>4042</v>
      </c>
      <c r="I88" s="27" t="s">
        <v>4042</v>
      </c>
      <c r="J88" s="27" t="s">
        <v>4042</v>
      </c>
      <c r="K88" s="27" t="s">
        <v>4042</v>
      </c>
      <c r="L88" s="27" t="s">
        <v>4042</v>
      </c>
      <c r="M88" s="27" t="s">
        <v>4042</v>
      </c>
      <c r="N88" s="27" t="s">
        <v>4042</v>
      </c>
      <c r="O88" s="27" t="s">
        <v>4042</v>
      </c>
      <c r="P88" s="27" t="s">
        <v>4042</v>
      </c>
      <c r="Q88" s="27" t="s">
        <v>4042</v>
      </c>
    </row>
    <row r="89" spans="1:17" ht="15.75" customHeight="1">
      <c r="A89" s="27" t="s">
        <v>4042</v>
      </c>
      <c r="B89" s="28" t="s">
        <v>4088</v>
      </c>
      <c r="C89" s="28"/>
      <c r="D89" s="28"/>
      <c r="E89" s="28"/>
      <c r="F89" s="27" t="s">
        <v>4042</v>
      </c>
      <c r="G89" s="27" t="s">
        <v>4042</v>
      </c>
      <c r="H89" s="27" t="s">
        <v>4042</v>
      </c>
      <c r="I89" s="27" t="s">
        <v>4042</v>
      </c>
      <c r="J89" s="27" t="s">
        <v>4042</v>
      </c>
      <c r="K89" s="27" t="s">
        <v>4042</v>
      </c>
      <c r="L89" s="27" t="s">
        <v>4042</v>
      </c>
      <c r="M89" s="27" t="s">
        <v>4042</v>
      </c>
      <c r="N89" s="27" t="s">
        <v>4042</v>
      </c>
      <c r="O89" s="27" t="s">
        <v>4042</v>
      </c>
      <c r="P89" s="27" t="s">
        <v>4042</v>
      </c>
      <c r="Q89" s="27" t="s">
        <v>4042</v>
      </c>
    </row>
    <row r="90" spans="1:17" ht="15.75" customHeight="1">
      <c r="A90" s="27" t="s">
        <v>4042</v>
      </c>
      <c r="B90" s="27" t="s">
        <v>4042</v>
      </c>
      <c r="C90" s="27" t="s">
        <v>4042</v>
      </c>
      <c r="D90" s="27" t="s">
        <v>4042</v>
      </c>
      <c r="E90" s="27" t="s">
        <v>4042</v>
      </c>
      <c r="F90" s="27" t="s">
        <v>4042</v>
      </c>
      <c r="G90" s="27" t="s">
        <v>4042</v>
      </c>
      <c r="H90" s="27" t="s">
        <v>4042</v>
      </c>
      <c r="I90" s="27" t="s">
        <v>4042</v>
      </c>
      <c r="J90" s="27" t="s">
        <v>4042</v>
      </c>
      <c r="K90" s="27" t="s">
        <v>4042</v>
      </c>
      <c r="L90" s="27" t="s">
        <v>4042</v>
      </c>
      <c r="M90" s="27" t="s">
        <v>4042</v>
      </c>
      <c r="N90" s="27" t="s">
        <v>4042</v>
      </c>
      <c r="O90" s="27" t="s">
        <v>4042</v>
      </c>
      <c r="P90" s="27" t="s">
        <v>4042</v>
      </c>
      <c r="Q90" s="27" t="s">
        <v>4042</v>
      </c>
    </row>
    <row r="91" spans="1:17" ht="15.75" customHeight="1">
      <c r="A91" s="27" t="s">
        <v>4042</v>
      </c>
      <c r="B91" s="27" t="s">
        <v>4089</v>
      </c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 t="s">
        <v>4042</v>
      </c>
      <c r="P91" s="27" t="s">
        <v>4042</v>
      </c>
      <c r="Q91" s="27" t="s">
        <v>4042</v>
      </c>
    </row>
    <row r="92" spans="1:17" ht="15.75" customHeight="1">
      <c r="A92" s="27" t="s">
        <v>4042</v>
      </c>
      <c r="B92" s="27" t="s">
        <v>4042</v>
      </c>
      <c r="C92" s="27" t="s">
        <v>4042</v>
      </c>
      <c r="D92" s="27" t="s">
        <v>4042</v>
      </c>
      <c r="E92" s="27" t="s">
        <v>4042</v>
      </c>
      <c r="F92" s="27" t="s">
        <v>4042</v>
      </c>
      <c r="G92" s="27" t="s">
        <v>4042</v>
      </c>
      <c r="H92" s="27" t="s">
        <v>4042</v>
      </c>
      <c r="I92" s="27" t="s">
        <v>4042</v>
      </c>
      <c r="J92" s="27" t="s">
        <v>4042</v>
      </c>
      <c r="K92" s="27" t="s">
        <v>4042</v>
      </c>
      <c r="L92" s="27" t="s">
        <v>4042</v>
      </c>
      <c r="M92" s="27" t="s">
        <v>4042</v>
      </c>
      <c r="N92" s="27" t="s">
        <v>4042</v>
      </c>
      <c r="O92" s="27" t="s">
        <v>4042</v>
      </c>
      <c r="P92" s="27" t="s">
        <v>4042</v>
      </c>
      <c r="Q92" s="27" t="s">
        <v>4042</v>
      </c>
    </row>
    <row r="93" spans="1:17" ht="15.75" customHeight="1">
      <c r="A93" s="27" t="s">
        <v>4042</v>
      </c>
      <c r="B93" s="27" t="s">
        <v>4090</v>
      </c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 t="s">
        <v>4042</v>
      </c>
      <c r="Q93" s="27" t="s">
        <v>4042</v>
      </c>
    </row>
    <row r="94" spans="1:17" ht="15.75" customHeight="1">
      <c r="A94" s="27" t="s">
        <v>4042</v>
      </c>
      <c r="B94" s="28" t="s">
        <v>4091</v>
      </c>
      <c r="C94" s="28"/>
      <c r="D94" s="28"/>
      <c r="E94" s="27" t="s">
        <v>4042</v>
      </c>
      <c r="F94" s="27" t="s">
        <v>4042</v>
      </c>
      <c r="G94" s="27" t="s">
        <v>4042</v>
      </c>
      <c r="H94" s="27" t="s">
        <v>4042</v>
      </c>
      <c r="I94" s="27" t="s">
        <v>4042</v>
      </c>
      <c r="J94" s="27" t="s">
        <v>4042</v>
      </c>
      <c r="K94" s="27" t="s">
        <v>4042</v>
      </c>
      <c r="L94" s="27" t="s">
        <v>4042</v>
      </c>
      <c r="M94" s="27" t="s">
        <v>4042</v>
      </c>
      <c r="N94" s="27" t="s">
        <v>4042</v>
      </c>
      <c r="O94" s="27" t="s">
        <v>4042</v>
      </c>
      <c r="P94" s="27" t="s">
        <v>4042</v>
      </c>
      <c r="Q94" s="27" t="s">
        <v>4042</v>
      </c>
    </row>
    <row r="95" spans="1:17" ht="15.75" customHeight="1">
      <c r="A95" s="27" t="s">
        <v>4042</v>
      </c>
      <c r="B95" s="27" t="s">
        <v>4042</v>
      </c>
      <c r="C95" s="27" t="s">
        <v>4042</v>
      </c>
      <c r="D95" s="27" t="s">
        <v>4042</v>
      </c>
      <c r="E95" s="27" t="s">
        <v>4042</v>
      </c>
      <c r="F95" s="27" t="s">
        <v>4042</v>
      </c>
      <c r="G95" s="27" t="s">
        <v>4042</v>
      </c>
      <c r="H95" s="27" t="s">
        <v>4042</v>
      </c>
      <c r="I95" s="27" t="s">
        <v>4042</v>
      </c>
      <c r="J95" s="27" t="s">
        <v>4042</v>
      </c>
      <c r="K95" s="27" t="s">
        <v>4042</v>
      </c>
      <c r="L95" s="27" t="s">
        <v>4042</v>
      </c>
      <c r="M95" s="27" t="s">
        <v>4042</v>
      </c>
      <c r="N95" s="27" t="s">
        <v>4042</v>
      </c>
      <c r="O95" s="27" t="s">
        <v>4042</v>
      </c>
      <c r="P95" s="27" t="s">
        <v>4042</v>
      </c>
      <c r="Q95" s="27" t="s">
        <v>4042</v>
      </c>
    </row>
    <row r="96" spans="1:17" ht="15.75" customHeight="1">
      <c r="A96" s="27" t="s">
        <v>4042</v>
      </c>
      <c r="B96" s="27" t="s">
        <v>4092</v>
      </c>
      <c r="C96" s="27"/>
      <c r="D96" s="27"/>
      <c r="E96" s="27"/>
      <c r="F96" s="27"/>
      <c r="G96" s="27"/>
      <c r="H96" s="27"/>
      <c r="I96" s="27" t="s">
        <v>4042</v>
      </c>
      <c r="J96" s="27" t="s">
        <v>4042</v>
      </c>
      <c r="K96" s="27" t="s">
        <v>4042</v>
      </c>
      <c r="L96" s="27" t="s">
        <v>4042</v>
      </c>
      <c r="M96" s="27" t="s">
        <v>4042</v>
      </c>
      <c r="N96" s="27" t="s">
        <v>4042</v>
      </c>
      <c r="O96" s="27" t="s">
        <v>4042</v>
      </c>
      <c r="P96" s="27" t="s">
        <v>4042</v>
      </c>
      <c r="Q96" s="27" t="s">
        <v>4042</v>
      </c>
    </row>
    <row r="97" spans="1:17" ht="15.75" customHeight="1">
      <c r="A97" s="27" t="s">
        <v>4042</v>
      </c>
      <c r="B97" s="27" t="s">
        <v>4042</v>
      </c>
      <c r="C97" s="27" t="s">
        <v>4042</v>
      </c>
      <c r="D97" s="27" t="s">
        <v>4042</v>
      </c>
      <c r="E97" s="27" t="s">
        <v>4042</v>
      </c>
      <c r="F97" s="27" t="s">
        <v>4042</v>
      </c>
      <c r="G97" s="27" t="s">
        <v>4042</v>
      </c>
      <c r="H97" s="27" t="s">
        <v>4042</v>
      </c>
      <c r="I97" s="27" t="s">
        <v>4042</v>
      </c>
      <c r="J97" s="27" t="s">
        <v>4042</v>
      </c>
      <c r="K97" s="27" t="s">
        <v>4042</v>
      </c>
      <c r="L97" s="27" t="s">
        <v>4042</v>
      </c>
      <c r="M97" s="27" t="s">
        <v>4042</v>
      </c>
      <c r="N97" s="27" t="s">
        <v>4042</v>
      </c>
      <c r="O97" s="27" t="s">
        <v>4042</v>
      </c>
      <c r="P97" s="27" t="s">
        <v>4042</v>
      </c>
      <c r="Q97" s="27" t="s">
        <v>4042</v>
      </c>
    </row>
    <row r="98" spans="1:17" ht="15.75" customHeight="1">
      <c r="A98" s="27" t="s">
        <v>4042</v>
      </c>
      <c r="B98" s="27" t="s">
        <v>4093</v>
      </c>
      <c r="C98" s="27"/>
      <c r="D98" s="27"/>
      <c r="E98" s="27"/>
      <c r="F98" s="27"/>
      <c r="G98" s="27" t="s">
        <v>4042</v>
      </c>
      <c r="H98" s="27" t="s">
        <v>4042</v>
      </c>
      <c r="I98" s="27" t="s">
        <v>4042</v>
      </c>
      <c r="J98" s="27" t="s">
        <v>4042</v>
      </c>
      <c r="K98" s="27" t="s">
        <v>4042</v>
      </c>
      <c r="L98" s="27" t="s">
        <v>4042</v>
      </c>
      <c r="M98" s="27" t="s">
        <v>4042</v>
      </c>
      <c r="N98" s="27" t="s">
        <v>4042</v>
      </c>
      <c r="O98" s="27" t="s">
        <v>4042</v>
      </c>
      <c r="P98" s="27" t="s">
        <v>4042</v>
      </c>
      <c r="Q98" s="27" t="s">
        <v>4042</v>
      </c>
    </row>
    <row r="99" spans="1:17" ht="15.75" customHeight="1">
      <c r="A99" s="27" t="s">
        <v>4042</v>
      </c>
      <c r="B99" s="27" t="s">
        <v>4042</v>
      </c>
      <c r="C99" s="27" t="s">
        <v>4042</v>
      </c>
      <c r="D99" s="27" t="s">
        <v>4042</v>
      </c>
      <c r="E99" s="27" t="s">
        <v>4042</v>
      </c>
      <c r="F99" s="27" t="s">
        <v>4042</v>
      </c>
      <c r="G99" s="27" t="s">
        <v>4042</v>
      </c>
      <c r="H99" s="27" t="s">
        <v>4042</v>
      </c>
      <c r="I99" s="27" t="s">
        <v>4042</v>
      </c>
      <c r="J99" s="27" t="s">
        <v>4042</v>
      </c>
      <c r="K99" s="27" t="s">
        <v>4042</v>
      </c>
      <c r="L99" s="27" t="s">
        <v>4042</v>
      </c>
      <c r="M99" s="27" t="s">
        <v>4042</v>
      </c>
      <c r="N99" s="27" t="s">
        <v>4042</v>
      </c>
      <c r="O99" s="27" t="s">
        <v>4042</v>
      </c>
      <c r="P99" s="27" t="s">
        <v>4042</v>
      </c>
      <c r="Q99" s="27" t="s">
        <v>4042</v>
      </c>
    </row>
    <row r="100" spans="1:17" ht="15.75" customHeight="1">
      <c r="A100" s="27" t="s">
        <v>4042</v>
      </c>
      <c r="B100" s="27" t="s">
        <v>4042</v>
      </c>
      <c r="C100" s="27" t="s">
        <v>4042</v>
      </c>
      <c r="D100" s="27" t="s">
        <v>4042</v>
      </c>
      <c r="E100" s="27" t="s">
        <v>4042</v>
      </c>
      <c r="F100" s="27" t="s">
        <v>4042</v>
      </c>
      <c r="G100" s="27" t="s">
        <v>4042</v>
      </c>
      <c r="H100" s="27" t="s">
        <v>4042</v>
      </c>
      <c r="I100" s="27" t="s">
        <v>4042</v>
      </c>
      <c r="J100" s="27" t="s">
        <v>4042</v>
      </c>
      <c r="K100" s="27" t="s">
        <v>4042</v>
      </c>
      <c r="L100" s="27" t="s">
        <v>4042</v>
      </c>
      <c r="M100" s="27" t="s">
        <v>4042</v>
      </c>
      <c r="N100" s="27" t="s">
        <v>4042</v>
      </c>
      <c r="O100" s="27" t="s">
        <v>4042</v>
      </c>
      <c r="P100" s="27" t="s">
        <v>4042</v>
      </c>
      <c r="Q100" s="27" t="s">
        <v>4042</v>
      </c>
    </row>
    <row r="101" spans="1:17" ht="15.75" customHeight="1">
      <c r="A101" s="27" t="s">
        <v>4042</v>
      </c>
      <c r="B101" s="27" t="s">
        <v>4042</v>
      </c>
      <c r="C101" s="27" t="s">
        <v>4042</v>
      </c>
      <c r="D101" s="27" t="s">
        <v>4042</v>
      </c>
      <c r="E101" s="27" t="s">
        <v>4042</v>
      </c>
      <c r="F101" s="27" t="s">
        <v>4042</v>
      </c>
      <c r="G101" s="27" t="s">
        <v>4042</v>
      </c>
      <c r="H101" s="27" t="s">
        <v>4042</v>
      </c>
      <c r="I101" s="27" t="s">
        <v>4042</v>
      </c>
      <c r="J101" s="27" t="s">
        <v>4042</v>
      </c>
      <c r="K101" s="27" t="s">
        <v>4042</v>
      </c>
      <c r="L101" s="27" t="s">
        <v>4042</v>
      </c>
      <c r="M101" s="27" t="s">
        <v>4042</v>
      </c>
      <c r="N101" s="27" t="s">
        <v>4042</v>
      </c>
      <c r="O101" s="27" t="s">
        <v>4042</v>
      </c>
      <c r="P101" s="27" t="s">
        <v>4042</v>
      </c>
      <c r="Q101" s="27" t="s">
        <v>4042</v>
      </c>
    </row>
    <row r="102" spans="1:17" ht="15.75" customHeight="1">
      <c r="A102" s="27" t="s">
        <v>4042</v>
      </c>
      <c r="B102" s="27" t="s">
        <v>4094</v>
      </c>
      <c r="C102" s="27"/>
      <c r="D102" s="27"/>
      <c r="E102" s="27" t="s">
        <v>4042</v>
      </c>
      <c r="F102" s="27" t="s">
        <v>4042</v>
      </c>
      <c r="G102" s="27" t="s">
        <v>4042</v>
      </c>
      <c r="H102" s="27" t="s">
        <v>4042</v>
      </c>
      <c r="I102" s="27" t="s">
        <v>4042</v>
      </c>
      <c r="J102" s="27" t="s">
        <v>4042</v>
      </c>
      <c r="K102" s="27" t="s">
        <v>4042</v>
      </c>
      <c r="L102" s="27" t="s">
        <v>4042</v>
      </c>
      <c r="M102" s="27" t="s">
        <v>4042</v>
      </c>
      <c r="N102" s="27" t="s">
        <v>4042</v>
      </c>
      <c r="O102" s="27" t="s">
        <v>4042</v>
      </c>
      <c r="P102" s="27" t="s">
        <v>4042</v>
      </c>
      <c r="Q102" s="27" t="s">
        <v>4042</v>
      </c>
    </row>
    <row r="103" spans="1:17" ht="15.75" customHeight="1">
      <c r="A103" s="27" t="s">
        <v>4042</v>
      </c>
      <c r="B103" s="27" t="s">
        <v>4042</v>
      </c>
      <c r="C103" s="27" t="s">
        <v>4042</v>
      </c>
      <c r="D103" s="27" t="s">
        <v>4042</v>
      </c>
      <c r="E103" s="27" t="s">
        <v>4042</v>
      </c>
      <c r="F103" s="27" t="s">
        <v>4042</v>
      </c>
      <c r="G103" s="27" t="s">
        <v>4042</v>
      </c>
      <c r="H103" s="27" t="s">
        <v>4042</v>
      </c>
      <c r="I103" s="27" t="s">
        <v>4042</v>
      </c>
      <c r="J103" s="27" t="s">
        <v>4042</v>
      </c>
      <c r="K103" s="27" t="s">
        <v>4042</v>
      </c>
      <c r="L103" s="27" t="s">
        <v>4042</v>
      </c>
      <c r="M103" s="27" t="s">
        <v>4042</v>
      </c>
      <c r="N103" s="27" t="s">
        <v>4042</v>
      </c>
      <c r="O103" s="27" t="s">
        <v>4042</v>
      </c>
      <c r="P103" s="27" t="s">
        <v>4042</v>
      </c>
      <c r="Q103" s="27" t="s">
        <v>4042</v>
      </c>
    </row>
    <row r="104" spans="1:17" ht="15.75" customHeight="1">
      <c r="A104" s="27" t="s">
        <v>4042</v>
      </c>
      <c r="B104" s="27" t="s">
        <v>1990</v>
      </c>
      <c r="C104" s="27"/>
      <c r="D104" s="27"/>
      <c r="E104" s="27" t="s">
        <v>4042</v>
      </c>
      <c r="F104" s="27" t="s">
        <v>4042</v>
      </c>
      <c r="G104" s="27" t="s">
        <v>4042</v>
      </c>
      <c r="H104" s="27" t="s">
        <v>4042</v>
      </c>
      <c r="I104" s="27" t="s">
        <v>4042</v>
      </c>
      <c r="J104" s="27" t="s">
        <v>4042</v>
      </c>
      <c r="K104" s="27" t="s">
        <v>4042</v>
      </c>
      <c r="L104" s="27" t="s">
        <v>4042</v>
      </c>
      <c r="M104" s="27" t="s">
        <v>4042</v>
      </c>
      <c r="N104" s="27" t="s">
        <v>4042</v>
      </c>
      <c r="O104" s="27" t="s">
        <v>4042</v>
      </c>
      <c r="P104" s="27" t="s">
        <v>4042</v>
      </c>
      <c r="Q104" s="27" t="s">
        <v>4042</v>
      </c>
    </row>
    <row r="105" spans="1:17" ht="15.75" customHeight="1">
      <c r="A105" s="27" t="s">
        <v>4042</v>
      </c>
      <c r="B105" s="27" t="s">
        <v>4042</v>
      </c>
      <c r="C105" s="27" t="s">
        <v>4042</v>
      </c>
      <c r="D105" s="27" t="s">
        <v>4042</v>
      </c>
      <c r="E105" s="27" t="s">
        <v>4042</v>
      </c>
      <c r="F105" s="27" t="s">
        <v>4042</v>
      </c>
      <c r="G105" s="27" t="s">
        <v>4042</v>
      </c>
      <c r="H105" s="27" t="s">
        <v>4042</v>
      </c>
      <c r="I105" s="27" t="s">
        <v>4042</v>
      </c>
      <c r="J105" s="27" t="s">
        <v>4042</v>
      </c>
      <c r="K105" s="27" t="s">
        <v>4042</v>
      </c>
      <c r="L105" s="27" t="s">
        <v>4042</v>
      </c>
      <c r="M105" s="27" t="s">
        <v>4042</v>
      </c>
      <c r="N105" s="27" t="s">
        <v>4042</v>
      </c>
      <c r="O105" s="27" t="s">
        <v>4042</v>
      </c>
      <c r="P105" s="27" t="s">
        <v>4042</v>
      </c>
      <c r="Q105" s="27" t="s">
        <v>4042</v>
      </c>
    </row>
    <row r="106" spans="1:17" ht="15.75" customHeight="1">
      <c r="A106" s="27" t="s">
        <v>4042</v>
      </c>
      <c r="B106" s="27" t="s">
        <v>4095</v>
      </c>
      <c r="C106" s="27"/>
      <c r="D106" s="27"/>
      <c r="E106" s="27" t="s">
        <v>4042</v>
      </c>
      <c r="F106" s="27" t="s">
        <v>4042</v>
      </c>
      <c r="G106" s="27" t="s">
        <v>4042</v>
      </c>
      <c r="H106" s="27" t="s">
        <v>4042</v>
      </c>
      <c r="I106" s="27" t="s">
        <v>4042</v>
      </c>
      <c r="J106" s="27" t="s">
        <v>4042</v>
      </c>
      <c r="K106" s="27" t="s">
        <v>4042</v>
      </c>
      <c r="L106" s="27" t="s">
        <v>4042</v>
      </c>
      <c r="M106" s="27" t="s">
        <v>4042</v>
      </c>
      <c r="N106" s="27" t="s">
        <v>4042</v>
      </c>
      <c r="O106" s="27" t="s">
        <v>4042</v>
      </c>
      <c r="P106" s="27" t="s">
        <v>4042</v>
      </c>
      <c r="Q106" s="27" t="s">
        <v>4042</v>
      </c>
    </row>
    <row r="107" spans="1:17" ht="15.75" customHeight="1">
      <c r="A107" s="27" t="s">
        <v>4042</v>
      </c>
      <c r="B107" s="27" t="s">
        <v>4042</v>
      </c>
      <c r="C107" s="27" t="s">
        <v>4042</v>
      </c>
      <c r="D107" s="27" t="s">
        <v>4042</v>
      </c>
      <c r="E107" s="27" t="s">
        <v>4042</v>
      </c>
      <c r="F107" s="27" t="s">
        <v>4042</v>
      </c>
      <c r="G107" s="27" t="s">
        <v>4042</v>
      </c>
      <c r="H107" s="27" t="s">
        <v>4042</v>
      </c>
      <c r="I107" s="27" t="s">
        <v>4042</v>
      </c>
      <c r="J107" s="27" t="s">
        <v>4042</v>
      </c>
      <c r="K107" s="27" t="s">
        <v>4042</v>
      </c>
      <c r="L107" s="27" t="s">
        <v>4042</v>
      </c>
      <c r="M107" s="27" t="s">
        <v>4042</v>
      </c>
      <c r="N107" s="27" t="s">
        <v>4042</v>
      </c>
      <c r="O107" s="27" t="s">
        <v>4042</v>
      </c>
      <c r="P107" s="27" t="s">
        <v>4042</v>
      </c>
      <c r="Q107" s="27" t="s">
        <v>4042</v>
      </c>
    </row>
    <row r="108" spans="1:17" ht="15.75" customHeight="1">
      <c r="A108" s="27" t="s">
        <v>4042</v>
      </c>
      <c r="B108" s="27" t="s">
        <v>4096</v>
      </c>
      <c r="C108" s="27"/>
      <c r="D108" s="27" t="s">
        <v>4042</v>
      </c>
      <c r="E108" s="27" t="s">
        <v>4042</v>
      </c>
      <c r="F108" s="27" t="s">
        <v>4042</v>
      </c>
      <c r="G108" s="27" t="s">
        <v>4042</v>
      </c>
      <c r="H108" s="27" t="s">
        <v>4042</v>
      </c>
      <c r="I108" s="27" t="s">
        <v>4042</v>
      </c>
      <c r="J108" s="27" t="s">
        <v>4042</v>
      </c>
      <c r="K108" s="27" t="s">
        <v>4042</v>
      </c>
      <c r="L108" s="27" t="s">
        <v>4042</v>
      </c>
      <c r="M108" s="27" t="s">
        <v>4042</v>
      </c>
      <c r="N108" s="27" t="s">
        <v>4042</v>
      </c>
      <c r="O108" s="27" t="s">
        <v>4042</v>
      </c>
      <c r="P108" s="27" t="s">
        <v>4042</v>
      </c>
      <c r="Q108" s="27" t="s">
        <v>4042</v>
      </c>
    </row>
    <row r="109" spans="1:17" ht="15.75" customHeight="1">
      <c r="A109" s="27" t="s">
        <v>4042</v>
      </c>
      <c r="B109" s="27" t="s">
        <v>4042</v>
      </c>
      <c r="C109" s="27" t="s">
        <v>4042</v>
      </c>
      <c r="D109" s="27" t="s">
        <v>4042</v>
      </c>
      <c r="E109" s="27" t="s">
        <v>4042</v>
      </c>
      <c r="F109" s="27" t="s">
        <v>4042</v>
      </c>
      <c r="G109" s="27" t="s">
        <v>4042</v>
      </c>
      <c r="H109" s="27" t="s">
        <v>4042</v>
      </c>
      <c r="I109" s="27" t="s">
        <v>4042</v>
      </c>
      <c r="J109" s="27" t="s">
        <v>4042</v>
      </c>
      <c r="K109" s="27" t="s">
        <v>4042</v>
      </c>
      <c r="L109" s="27" t="s">
        <v>4042</v>
      </c>
      <c r="M109" s="27" t="s">
        <v>4042</v>
      </c>
      <c r="N109" s="27" t="s">
        <v>4042</v>
      </c>
      <c r="O109" s="27" t="s">
        <v>4042</v>
      </c>
      <c r="P109" s="27" t="s">
        <v>4042</v>
      </c>
      <c r="Q109" s="27" t="s">
        <v>4042</v>
      </c>
    </row>
    <row r="110" spans="1:17" ht="15.75" customHeight="1">
      <c r="A110" s="27" t="s">
        <v>4042</v>
      </c>
      <c r="B110" s="27" t="s">
        <v>4097</v>
      </c>
      <c r="C110" s="27"/>
      <c r="D110" s="27" t="s">
        <v>4042</v>
      </c>
      <c r="E110" s="27" t="s">
        <v>4042</v>
      </c>
      <c r="F110" s="27" t="s">
        <v>4042</v>
      </c>
      <c r="G110" s="27" t="s">
        <v>4042</v>
      </c>
      <c r="H110" s="27" t="s">
        <v>4042</v>
      </c>
      <c r="I110" s="27" t="s">
        <v>4042</v>
      </c>
      <c r="J110" s="27" t="s">
        <v>4042</v>
      </c>
      <c r="K110" s="27" t="s">
        <v>4042</v>
      </c>
      <c r="L110" s="27" t="s">
        <v>4042</v>
      </c>
      <c r="M110" s="27" t="s">
        <v>4042</v>
      </c>
      <c r="N110" s="27" t="s">
        <v>4042</v>
      </c>
      <c r="O110" s="27" t="s">
        <v>4042</v>
      </c>
      <c r="P110" s="27" t="s">
        <v>4042</v>
      </c>
      <c r="Q110" s="27" t="s">
        <v>4042</v>
      </c>
    </row>
    <row r="111" spans="1:17" ht="15.75" customHeight="1">
      <c r="A111" s="27" t="s">
        <v>4042</v>
      </c>
      <c r="B111" s="27" t="s">
        <v>4042</v>
      </c>
      <c r="C111" s="27" t="s">
        <v>4042</v>
      </c>
      <c r="D111" s="27" t="s">
        <v>4042</v>
      </c>
      <c r="E111" s="27" t="s">
        <v>4042</v>
      </c>
      <c r="F111" s="27" t="s">
        <v>4042</v>
      </c>
      <c r="G111" s="27" t="s">
        <v>4042</v>
      </c>
      <c r="H111" s="27" t="s">
        <v>4042</v>
      </c>
      <c r="I111" s="27" t="s">
        <v>4042</v>
      </c>
      <c r="J111" s="27" t="s">
        <v>4042</v>
      </c>
      <c r="K111" s="27" t="s">
        <v>4042</v>
      </c>
      <c r="L111" s="27" t="s">
        <v>4042</v>
      </c>
      <c r="M111" s="27" t="s">
        <v>4042</v>
      </c>
      <c r="N111" s="27" t="s">
        <v>4042</v>
      </c>
      <c r="O111" s="27" t="s">
        <v>4042</v>
      </c>
      <c r="P111" s="27" t="s">
        <v>4042</v>
      </c>
      <c r="Q111" s="27" t="s">
        <v>4042</v>
      </c>
    </row>
    <row r="112" spans="1:17" ht="15.75" customHeight="1">
      <c r="A112" s="27" t="s">
        <v>4042</v>
      </c>
      <c r="B112" s="27" t="s">
        <v>4098</v>
      </c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 t="s">
        <v>4042</v>
      </c>
      <c r="P112" s="27" t="s">
        <v>4042</v>
      </c>
      <c r="Q112" s="27" t="s">
        <v>4042</v>
      </c>
    </row>
    <row r="113" spans="1:17" ht="15.75" customHeight="1">
      <c r="A113" s="27" t="s">
        <v>4042</v>
      </c>
      <c r="B113" s="27" t="s">
        <v>4042</v>
      </c>
      <c r="C113" s="27" t="s">
        <v>4042</v>
      </c>
      <c r="D113" s="27" t="s">
        <v>4042</v>
      </c>
      <c r="E113" s="27" t="s">
        <v>4042</v>
      </c>
      <c r="F113" s="27" t="s">
        <v>4042</v>
      </c>
      <c r="G113" s="27" t="s">
        <v>4042</v>
      </c>
      <c r="H113" s="27" t="s">
        <v>4042</v>
      </c>
      <c r="I113" s="27" t="s">
        <v>4042</v>
      </c>
      <c r="J113" s="27" t="s">
        <v>4042</v>
      </c>
      <c r="K113" s="27" t="s">
        <v>4042</v>
      </c>
      <c r="L113" s="27" t="s">
        <v>4042</v>
      </c>
      <c r="M113" s="27" t="s">
        <v>4042</v>
      </c>
      <c r="N113" s="27" t="s">
        <v>4042</v>
      </c>
      <c r="O113" s="27" t="s">
        <v>4042</v>
      </c>
      <c r="P113" s="27" t="s">
        <v>4042</v>
      </c>
      <c r="Q113" s="27" t="s">
        <v>4042</v>
      </c>
    </row>
    <row r="114" spans="1:17" ht="15.75" customHeight="1">
      <c r="A114" s="27" t="s">
        <v>4042</v>
      </c>
      <c r="B114" s="28" t="s">
        <v>4099</v>
      </c>
      <c r="C114" s="28"/>
      <c r="D114" s="27" t="s">
        <v>4042</v>
      </c>
      <c r="E114" s="27" t="s">
        <v>4042</v>
      </c>
      <c r="F114" s="27" t="s">
        <v>4042</v>
      </c>
      <c r="G114" s="27" t="s">
        <v>4042</v>
      </c>
      <c r="H114" s="27" t="s">
        <v>4042</v>
      </c>
      <c r="I114" s="27" t="s">
        <v>4042</v>
      </c>
      <c r="J114" s="27" t="s">
        <v>4042</v>
      </c>
      <c r="K114" s="27" t="s">
        <v>4042</v>
      </c>
      <c r="L114" s="27" t="s">
        <v>4042</v>
      </c>
      <c r="M114" s="27" t="s">
        <v>4042</v>
      </c>
      <c r="N114" s="27" t="s">
        <v>4042</v>
      </c>
      <c r="O114" s="27" t="s">
        <v>4042</v>
      </c>
      <c r="P114" s="27" t="s">
        <v>4042</v>
      </c>
      <c r="Q114" s="27" t="s">
        <v>4042</v>
      </c>
    </row>
    <row r="115" spans="1:17" ht="15.75" customHeight="1">
      <c r="A115" s="27" t="s">
        <v>4042</v>
      </c>
      <c r="B115" s="27" t="s">
        <v>4042</v>
      </c>
      <c r="C115" s="27" t="s">
        <v>4042</v>
      </c>
      <c r="D115" s="27" t="s">
        <v>4042</v>
      </c>
      <c r="E115" s="27" t="s">
        <v>4042</v>
      </c>
      <c r="F115" s="27" t="s">
        <v>4042</v>
      </c>
      <c r="G115" s="27" t="s">
        <v>4042</v>
      </c>
      <c r="H115" s="27" t="s">
        <v>4042</v>
      </c>
      <c r="I115" s="27" t="s">
        <v>4042</v>
      </c>
      <c r="J115" s="27" t="s">
        <v>4042</v>
      </c>
      <c r="K115" s="27" t="s">
        <v>4042</v>
      </c>
      <c r="L115" s="27" t="s">
        <v>4042</v>
      </c>
      <c r="M115" s="27" t="s">
        <v>4042</v>
      </c>
      <c r="N115" s="27" t="s">
        <v>4042</v>
      </c>
      <c r="O115" s="27" t="s">
        <v>4042</v>
      </c>
      <c r="P115" s="27" t="s">
        <v>4042</v>
      </c>
      <c r="Q115" s="27" t="s">
        <v>4042</v>
      </c>
    </row>
    <row r="116" spans="1:17" ht="15.75" customHeight="1">
      <c r="A116" s="27" t="s">
        <v>4042</v>
      </c>
      <c r="B116" s="27" t="s">
        <v>4100</v>
      </c>
      <c r="C116" s="27"/>
      <c r="D116" s="27"/>
      <c r="E116" s="27"/>
      <c r="F116" s="27"/>
      <c r="G116" s="27"/>
      <c r="H116" s="27"/>
      <c r="I116" s="27"/>
      <c r="J116" s="27"/>
      <c r="K116" s="27"/>
      <c r="L116" s="27" t="s">
        <v>4042</v>
      </c>
      <c r="M116" s="27" t="s">
        <v>4042</v>
      </c>
      <c r="N116" s="27" t="s">
        <v>4042</v>
      </c>
      <c r="O116" s="27" t="s">
        <v>4042</v>
      </c>
      <c r="P116" s="27" t="s">
        <v>4042</v>
      </c>
      <c r="Q116" s="27" t="s">
        <v>4042</v>
      </c>
    </row>
    <row r="117" spans="1:17" ht="15.75" customHeight="1">
      <c r="A117" s="27" t="s">
        <v>4042</v>
      </c>
      <c r="B117" s="27" t="s">
        <v>4042</v>
      </c>
      <c r="C117" s="27" t="s">
        <v>4042</v>
      </c>
      <c r="D117" s="27" t="s">
        <v>4042</v>
      </c>
      <c r="E117" s="27" t="s">
        <v>4042</v>
      </c>
      <c r="F117" s="27" t="s">
        <v>4042</v>
      </c>
      <c r="G117" s="27" t="s">
        <v>4042</v>
      </c>
      <c r="H117" s="27" t="s">
        <v>4042</v>
      </c>
      <c r="I117" s="27" t="s">
        <v>4042</v>
      </c>
      <c r="J117" s="27" t="s">
        <v>4042</v>
      </c>
      <c r="K117" s="27" t="s">
        <v>4042</v>
      </c>
      <c r="L117" s="27" t="s">
        <v>4042</v>
      </c>
      <c r="M117" s="27" t="s">
        <v>4042</v>
      </c>
      <c r="N117" s="27" t="s">
        <v>4042</v>
      </c>
      <c r="O117" s="27" t="s">
        <v>4042</v>
      </c>
      <c r="P117" s="27" t="s">
        <v>4042</v>
      </c>
      <c r="Q117" s="27" t="s">
        <v>4042</v>
      </c>
    </row>
    <row r="118" spans="1:17" ht="15.75" customHeight="1">
      <c r="A118" s="27" t="s">
        <v>4042</v>
      </c>
      <c r="B118" s="27" t="s">
        <v>4101</v>
      </c>
      <c r="C118" s="27"/>
      <c r="D118" s="27"/>
      <c r="E118" s="27"/>
      <c r="F118" s="27" t="s">
        <v>4042</v>
      </c>
      <c r="G118" s="27" t="s">
        <v>4042</v>
      </c>
      <c r="H118" s="27" t="s">
        <v>4042</v>
      </c>
      <c r="I118" s="27" t="s">
        <v>4042</v>
      </c>
      <c r="J118" s="27" t="s">
        <v>4042</v>
      </c>
      <c r="K118" s="27" t="s">
        <v>4042</v>
      </c>
      <c r="L118" s="27" t="s">
        <v>4042</v>
      </c>
      <c r="M118" s="27" t="s">
        <v>4042</v>
      </c>
      <c r="N118" s="27" t="s">
        <v>4042</v>
      </c>
      <c r="O118" s="27" t="s">
        <v>4042</v>
      </c>
      <c r="P118" s="27" t="s">
        <v>4042</v>
      </c>
      <c r="Q118" s="27" t="s">
        <v>4042</v>
      </c>
    </row>
    <row r="119" spans="1:17" ht="15.75" customHeight="1">
      <c r="A119" s="27" t="s">
        <v>4042</v>
      </c>
      <c r="B119" s="27" t="s">
        <v>4042</v>
      </c>
      <c r="C119" s="27" t="s">
        <v>4042</v>
      </c>
      <c r="D119" s="27" t="s">
        <v>4042</v>
      </c>
      <c r="E119" s="27" t="s">
        <v>4042</v>
      </c>
      <c r="F119" s="27" t="s">
        <v>4042</v>
      </c>
      <c r="G119" s="27" t="s">
        <v>4042</v>
      </c>
      <c r="H119" s="27" t="s">
        <v>4042</v>
      </c>
      <c r="I119" s="27" t="s">
        <v>4042</v>
      </c>
      <c r="J119" s="27" t="s">
        <v>4042</v>
      </c>
      <c r="K119" s="27" t="s">
        <v>4042</v>
      </c>
      <c r="L119" s="27" t="s">
        <v>4042</v>
      </c>
      <c r="M119" s="27" t="s">
        <v>4042</v>
      </c>
      <c r="N119" s="27" t="s">
        <v>4042</v>
      </c>
      <c r="O119" s="27" t="s">
        <v>4042</v>
      </c>
      <c r="P119" s="27" t="s">
        <v>4042</v>
      </c>
      <c r="Q119" s="27" t="s">
        <v>4042</v>
      </c>
    </row>
    <row r="120" spans="1:17" ht="15.75" customHeight="1">
      <c r="A120" s="27" t="s">
        <v>4042</v>
      </c>
      <c r="B120" s="27" t="s">
        <v>4102</v>
      </c>
      <c r="C120" s="27"/>
      <c r="D120" s="27" t="s">
        <v>4042</v>
      </c>
      <c r="E120" s="27" t="s">
        <v>4042</v>
      </c>
      <c r="F120" s="27" t="s">
        <v>4042</v>
      </c>
      <c r="G120" s="27" t="s">
        <v>4042</v>
      </c>
      <c r="H120" s="27" t="s">
        <v>4042</v>
      </c>
      <c r="I120" s="27" t="s">
        <v>4042</v>
      </c>
      <c r="J120" s="27" t="s">
        <v>4042</v>
      </c>
      <c r="K120" s="27" t="s">
        <v>4042</v>
      </c>
      <c r="L120" s="27" t="s">
        <v>4042</v>
      </c>
      <c r="M120" s="27" t="s">
        <v>4042</v>
      </c>
      <c r="N120" s="27" t="s">
        <v>4042</v>
      </c>
      <c r="O120" s="27" t="s">
        <v>4042</v>
      </c>
      <c r="P120" s="27" t="s">
        <v>4042</v>
      </c>
      <c r="Q120" s="27" t="s">
        <v>4042</v>
      </c>
    </row>
    <row r="121" spans="1:17" ht="15.75" customHeight="1">
      <c r="A121" s="27" t="s">
        <v>4042</v>
      </c>
      <c r="B121" s="27" t="s">
        <v>4042</v>
      </c>
      <c r="C121" s="27" t="s">
        <v>4042</v>
      </c>
      <c r="D121" s="27" t="s">
        <v>4042</v>
      </c>
      <c r="E121" s="27" t="s">
        <v>4042</v>
      </c>
      <c r="F121" s="27" t="s">
        <v>4042</v>
      </c>
      <c r="G121" s="27" t="s">
        <v>4042</v>
      </c>
      <c r="H121" s="27" t="s">
        <v>4042</v>
      </c>
      <c r="I121" s="27" t="s">
        <v>4042</v>
      </c>
      <c r="J121" s="27" t="s">
        <v>4042</v>
      </c>
      <c r="K121" s="27" t="s">
        <v>4042</v>
      </c>
      <c r="L121" s="27" t="s">
        <v>4042</v>
      </c>
      <c r="M121" s="27" t="s">
        <v>4042</v>
      </c>
      <c r="N121" s="27" t="s">
        <v>4042</v>
      </c>
      <c r="O121" s="27" t="s">
        <v>4042</v>
      </c>
      <c r="P121" s="27" t="s">
        <v>4042</v>
      </c>
      <c r="Q121" s="27" t="s">
        <v>4042</v>
      </c>
    </row>
    <row r="122" spans="1:17" ht="15.75" customHeight="1">
      <c r="A122" s="27" t="s">
        <v>4042</v>
      </c>
      <c r="B122" s="27" t="s">
        <v>4083</v>
      </c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 t="s">
        <v>4042</v>
      </c>
      <c r="Q122" s="27" t="s">
        <v>4042</v>
      </c>
    </row>
    <row r="123" spans="1:17" ht="15.75" customHeight="1">
      <c r="A123" s="27" t="s">
        <v>4042</v>
      </c>
      <c r="B123" s="27" t="s">
        <v>4042</v>
      </c>
      <c r="C123" s="27" t="s">
        <v>4042</v>
      </c>
      <c r="D123" s="27" t="s">
        <v>4042</v>
      </c>
      <c r="E123" s="27" t="s">
        <v>4042</v>
      </c>
      <c r="F123" s="27" t="s">
        <v>4042</v>
      </c>
      <c r="G123" s="27" t="s">
        <v>4042</v>
      </c>
      <c r="H123" s="27" t="s">
        <v>4042</v>
      </c>
      <c r="I123" s="27" t="s">
        <v>4042</v>
      </c>
      <c r="J123" s="27" t="s">
        <v>4042</v>
      </c>
      <c r="K123" s="27" t="s">
        <v>4042</v>
      </c>
      <c r="L123" s="27" t="s">
        <v>4042</v>
      </c>
      <c r="M123" s="27" t="s">
        <v>4042</v>
      </c>
      <c r="N123" s="27" t="s">
        <v>4042</v>
      </c>
      <c r="O123" s="27" t="s">
        <v>4042</v>
      </c>
      <c r="P123" s="27" t="s">
        <v>4042</v>
      </c>
      <c r="Q123" s="27" t="s">
        <v>4042</v>
      </c>
    </row>
    <row r="124" spans="1:17" ht="15.75" customHeight="1">
      <c r="A124" s="27" t="s">
        <v>4042</v>
      </c>
      <c r="B124" s="28" t="s">
        <v>4103</v>
      </c>
      <c r="C124" s="28"/>
      <c r="D124" s="28"/>
      <c r="E124" s="27" t="s">
        <v>4042</v>
      </c>
      <c r="F124" s="27" t="s">
        <v>4042</v>
      </c>
      <c r="G124" s="27" t="s">
        <v>4042</v>
      </c>
      <c r="H124" s="27" t="s">
        <v>4042</v>
      </c>
      <c r="I124" s="27" t="s">
        <v>4042</v>
      </c>
      <c r="J124" s="27" t="s">
        <v>4042</v>
      </c>
      <c r="K124" s="27" t="s">
        <v>4042</v>
      </c>
      <c r="L124" s="27" t="s">
        <v>4042</v>
      </c>
      <c r="M124" s="27" t="s">
        <v>4042</v>
      </c>
      <c r="N124" s="27" t="s">
        <v>4042</v>
      </c>
      <c r="O124" s="27" t="s">
        <v>4042</v>
      </c>
      <c r="P124" s="27" t="s">
        <v>4042</v>
      </c>
      <c r="Q124" s="27" t="s">
        <v>4042</v>
      </c>
    </row>
    <row r="125" spans="1:17" ht="15.75" customHeight="1">
      <c r="A125" s="27" t="s">
        <v>4042</v>
      </c>
      <c r="B125" s="27" t="s">
        <v>4042</v>
      </c>
      <c r="C125" s="27" t="s">
        <v>4042</v>
      </c>
      <c r="D125" s="27" t="s">
        <v>4042</v>
      </c>
      <c r="E125" s="27" t="s">
        <v>4042</v>
      </c>
      <c r="F125" s="27" t="s">
        <v>4042</v>
      </c>
      <c r="G125" s="27" t="s">
        <v>4042</v>
      </c>
      <c r="H125" s="27" t="s">
        <v>4042</v>
      </c>
      <c r="I125" s="27" t="s">
        <v>4042</v>
      </c>
      <c r="J125" s="27" t="s">
        <v>4042</v>
      </c>
      <c r="K125" s="27" t="s">
        <v>4042</v>
      </c>
      <c r="L125" s="27" t="s">
        <v>4042</v>
      </c>
      <c r="M125" s="27" t="s">
        <v>4042</v>
      </c>
      <c r="N125" s="27" t="s">
        <v>4042</v>
      </c>
      <c r="O125" s="27" t="s">
        <v>4042</v>
      </c>
      <c r="P125" s="27" t="s">
        <v>4042</v>
      </c>
      <c r="Q125" s="27" t="s">
        <v>4042</v>
      </c>
    </row>
    <row r="126" spans="1:17" ht="15.75" customHeight="1">
      <c r="A126" s="27" t="s">
        <v>4042</v>
      </c>
      <c r="B126" s="27" t="s">
        <v>4104</v>
      </c>
      <c r="C126" s="27" t="s">
        <v>4042</v>
      </c>
      <c r="D126" s="27" t="s">
        <v>4042</v>
      </c>
      <c r="E126" s="27" t="s">
        <v>4042</v>
      </c>
      <c r="F126" s="27" t="s">
        <v>4042</v>
      </c>
      <c r="G126" s="27" t="s">
        <v>4042</v>
      </c>
      <c r="H126" s="27" t="s">
        <v>4042</v>
      </c>
      <c r="I126" s="27" t="s">
        <v>4042</v>
      </c>
      <c r="J126" s="27" t="s">
        <v>4042</v>
      </c>
      <c r="K126" s="27" t="s">
        <v>4042</v>
      </c>
      <c r="L126" s="27" t="s">
        <v>4042</v>
      </c>
      <c r="M126" s="27" t="s">
        <v>4042</v>
      </c>
      <c r="N126" s="27" t="s">
        <v>4042</v>
      </c>
      <c r="O126" s="27" t="s">
        <v>4042</v>
      </c>
      <c r="P126" s="27" t="s">
        <v>4042</v>
      </c>
      <c r="Q126" s="27" t="s">
        <v>4042</v>
      </c>
    </row>
    <row r="127" spans="1:17" ht="15.75" customHeight="1">
      <c r="A127" s="27" t="s">
        <v>4042</v>
      </c>
      <c r="B127" s="27" t="s">
        <v>4042</v>
      </c>
      <c r="C127" s="27" t="s">
        <v>4042</v>
      </c>
      <c r="D127" s="27" t="s">
        <v>4042</v>
      </c>
      <c r="E127" s="27" t="s">
        <v>4042</v>
      </c>
      <c r="F127" s="27" t="s">
        <v>4042</v>
      </c>
      <c r="G127" s="27" t="s">
        <v>4042</v>
      </c>
      <c r="H127" s="27" t="s">
        <v>4042</v>
      </c>
      <c r="I127" s="27" t="s">
        <v>4042</v>
      </c>
      <c r="J127" s="27" t="s">
        <v>4042</v>
      </c>
      <c r="K127" s="27" t="s">
        <v>4042</v>
      </c>
      <c r="L127" s="27" t="s">
        <v>4042</v>
      </c>
      <c r="M127" s="27" t="s">
        <v>4042</v>
      </c>
      <c r="N127" s="27" t="s">
        <v>4042</v>
      </c>
      <c r="O127" s="27" t="s">
        <v>4042</v>
      </c>
      <c r="P127" s="27" t="s">
        <v>4042</v>
      </c>
      <c r="Q127" s="27" t="s">
        <v>4042</v>
      </c>
    </row>
    <row r="128" spans="1:17" ht="15.75" customHeight="1">
      <c r="A128" s="27" t="s">
        <v>4042</v>
      </c>
      <c r="B128" s="28" t="s">
        <v>4105</v>
      </c>
      <c r="C128" s="27" t="s">
        <v>4042</v>
      </c>
      <c r="D128" s="27" t="s">
        <v>4042</v>
      </c>
      <c r="E128" s="27" t="s">
        <v>4042</v>
      </c>
      <c r="F128" s="27" t="s">
        <v>4042</v>
      </c>
      <c r="G128" s="27" t="s">
        <v>4042</v>
      </c>
      <c r="H128" s="27" t="s">
        <v>4042</v>
      </c>
      <c r="I128" s="27" t="s">
        <v>4042</v>
      </c>
      <c r="J128" s="27" t="s">
        <v>4042</v>
      </c>
      <c r="K128" s="27" t="s">
        <v>4042</v>
      </c>
      <c r="L128" s="27" t="s">
        <v>4042</v>
      </c>
      <c r="M128" s="27" t="s">
        <v>4042</v>
      </c>
      <c r="N128" s="27" t="s">
        <v>4042</v>
      </c>
      <c r="O128" s="27" t="s">
        <v>4042</v>
      </c>
      <c r="P128" s="27" t="s">
        <v>4042</v>
      </c>
      <c r="Q128" s="27" t="s">
        <v>4042</v>
      </c>
    </row>
    <row r="129" spans="1:17" ht="15.75" customHeight="1">
      <c r="A129" s="27" t="s">
        <v>4042</v>
      </c>
      <c r="B129" s="27" t="s">
        <v>4042</v>
      </c>
      <c r="C129" s="27" t="s">
        <v>4042</v>
      </c>
      <c r="D129" s="27" t="s">
        <v>4042</v>
      </c>
      <c r="E129" s="27" t="s">
        <v>4042</v>
      </c>
      <c r="F129" s="27" t="s">
        <v>4042</v>
      </c>
      <c r="G129" s="27" t="s">
        <v>4042</v>
      </c>
      <c r="H129" s="27" t="s">
        <v>4042</v>
      </c>
      <c r="I129" s="27" t="s">
        <v>4042</v>
      </c>
      <c r="J129" s="27" t="s">
        <v>4042</v>
      </c>
      <c r="K129" s="27" t="s">
        <v>4042</v>
      </c>
      <c r="L129" s="27" t="s">
        <v>4042</v>
      </c>
      <c r="M129" s="27" t="s">
        <v>4042</v>
      </c>
      <c r="N129" s="27" t="s">
        <v>4042</v>
      </c>
      <c r="O129" s="27" t="s">
        <v>4042</v>
      </c>
      <c r="P129" s="27" t="s">
        <v>4042</v>
      </c>
      <c r="Q129" s="27" t="s">
        <v>4042</v>
      </c>
    </row>
    <row r="130" spans="1:17" ht="15.75" customHeight="1">
      <c r="A130" s="27" t="s">
        <v>4042</v>
      </c>
      <c r="B130" s="28" t="s">
        <v>4106</v>
      </c>
      <c r="C130" s="28"/>
      <c r="D130" s="27" t="s">
        <v>4042</v>
      </c>
      <c r="E130" s="27" t="s">
        <v>4042</v>
      </c>
      <c r="F130" s="27" t="s">
        <v>4042</v>
      </c>
      <c r="G130" s="27" t="s">
        <v>4042</v>
      </c>
      <c r="H130" s="27" t="s">
        <v>4042</v>
      </c>
      <c r="I130" s="27" t="s">
        <v>4042</v>
      </c>
      <c r="J130" s="27" t="s">
        <v>4042</v>
      </c>
      <c r="K130" s="27" t="s">
        <v>4042</v>
      </c>
      <c r="L130" s="27" t="s">
        <v>4042</v>
      </c>
      <c r="M130" s="27" t="s">
        <v>4042</v>
      </c>
      <c r="N130" s="27" t="s">
        <v>4042</v>
      </c>
      <c r="O130" s="27" t="s">
        <v>4042</v>
      </c>
      <c r="P130" s="27" t="s">
        <v>4042</v>
      </c>
      <c r="Q130" s="27" t="s">
        <v>4042</v>
      </c>
    </row>
    <row r="131" spans="1:17" ht="15.75" customHeight="1">
      <c r="A131" s="27" t="s">
        <v>4042</v>
      </c>
      <c r="B131" s="27" t="s">
        <v>4042</v>
      </c>
      <c r="C131" s="27" t="s">
        <v>4042</v>
      </c>
      <c r="D131" s="27" t="s">
        <v>4042</v>
      </c>
      <c r="E131" s="27" t="s">
        <v>4042</v>
      </c>
      <c r="F131" s="27" t="s">
        <v>4042</v>
      </c>
      <c r="G131" s="27" t="s">
        <v>4042</v>
      </c>
      <c r="H131" s="27" t="s">
        <v>4042</v>
      </c>
      <c r="I131" s="27" t="s">
        <v>4042</v>
      </c>
      <c r="J131" s="27" t="s">
        <v>4042</v>
      </c>
      <c r="K131" s="27" t="s">
        <v>4042</v>
      </c>
      <c r="L131" s="27" t="s">
        <v>4042</v>
      </c>
      <c r="M131" s="27" t="s">
        <v>4042</v>
      </c>
      <c r="N131" s="27" t="s">
        <v>4042</v>
      </c>
      <c r="O131" s="27" t="s">
        <v>4042</v>
      </c>
      <c r="P131" s="27" t="s">
        <v>4042</v>
      </c>
      <c r="Q131" s="27" t="s">
        <v>4042</v>
      </c>
    </row>
    <row r="132" spans="1:17" ht="15.75" customHeight="1">
      <c r="A132" s="27" t="s">
        <v>4042</v>
      </c>
      <c r="B132" s="28" t="s">
        <v>4107</v>
      </c>
      <c r="C132" s="28"/>
      <c r="D132" s="27" t="s">
        <v>4042</v>
      </c>
      <c r="E132" s="27" t="s">
        <v>4042</v>
      </c>
      <c r="F132" s="27" t="s">
        <v>4042</v>
      </c>
      <c r="G132" s="27" t="s">
        <v>4042</v>
      </c>
      <c r="H132" s="27" t="s">
        <v>4042</v>
      </c>
      <c r="I132" s="27" t="s">
        <v>4042</v>
      </c>
      <c r="J132" s="27" t="s">
        <v>4042</v>
      </c>
      <c r="K132" s="27" t="s">
        <v>4042</v>
      </c>
      <c r="L132" s="27" t="s">
        <v>4042</v>
      </c>
      <c r="M132" s="27" t="s">
        <v>4042</v>
      </c>
      <c r="N132" s="27" t="s">
        <v>4042</v>
      </c>
      <c r="O132" s="27" t="s">
        <v>4042</v>
      </c>
      <c r="P132" s="27" t="s">
        <v>4042</v>
      </c>
      <c r="Q132" s="27" t="s">
        <v>4042</v>
      </c>
    </row>
    <row r="133" spans="1:17" ht="15.75" customHeight="1">
      <c r="A133" s="27" t="s">
        <v>4042</v>
      </c>
      <c r="B133" s="27" t="s">
        <v>4042</v>
      </c>
      <c r="C133" s="27" t="s">
        <v>4042</v>
      </c>
      <c r="D133" s="27" t="s">
        <v>4042</v>
      </c>
      <c r="E133" s="27" t="s">
        <v>4042</v>
      </c>
      <c r="F133" s="27" t="s">
        <v>4042</v>
      </c>
      <c r="G133" s="27" t="s">
        <v>4042</v>
      </c>
      <c r="H133" s="27" t="s">
        <v>4042</v>
      </c>
      <c r="I133" s="27" t="s">
        <v>4042</v>
      </c>
      <c r="J133" s="27" t="s">
        <v>4042</v>
      </c>
      <c r="K133" s="27" t="s">
        <v>4042</v>
      </c>
      <c r="L133" s="27" t="s">
        <v>4042</v>
      </c>
      <c r="M133" s="27" t="s">
        <v>4042</v>
      </c>
      <c r="N133" s="27" t="s">
        <v>4042</v>
      </c>
      <c r="O133" s="27" t="s">
        <v>4042</v>
      </c>
      <c r="P133" s="27" t="s">
        <v>4042</v>
      </c>
      <c r="Q133" s="27" t="s">
        <v>4042</v>
      </c>
    </row>
    <row r="134" spans="1:17" ht="15.75" customHeight="1">
      <c r="A134" s="27" t="s">
        <v>4042</v>
      </c>
      <c r="B134" s="28" t="s">
        <v>4108</v>
      </c>
      <c r="C134" s="28"/>
      <c r="D134" s="27" t="s">
        <v>4042</v>
      </c>
      <c r="E134" s="27" t="s">
        <v>4042</v>
      </c>
      <c r="F134" s="27" t="s">
        <v>4042</v>
      </c>
      <c r="G134" s="27" t="s">
        <v>4042</v>
      </c>
      <c r="H134" s="27" t="s">
        <v>4042</v>
      </c>
      <c r="I134" s="27" t="s">
        <v>4042</v>
      </c>
      <c r="J134" s="27" t="s">
        <v>4042</v>
      </c>
      <c r="K134" s="27" t="s">
        <v>4042</v>
      </c>
      <c r="L134" s="27" t="s">
        <v>4042</v>
      </c>
      <c r="M134" s="27" t="s">
        <v>4042</v>
      </c>
      <c r="N134" s="27" t="s">
        <v>4042</v>
      </c>
      <c r="O134" s="27" t="s">
        <v>4042</v>
      </c>
      <c r="P134" s="27" t="s">
        <v>4042</v>
      </c>
      <c r="Q134" s="27" t="s">
        <v>4042</v>
      </c>
    </row>
    <row r="135" spans="1:17" ht="15.75" customHeight="1">
      <c r="A135" s="27" t="s">
        <v>4042</v>
      </c>
      <c r="B135" s="27" t="s">
        <v>4042</v>
      </c>
      <c r="C135" s="27" t="s">
        <v>4042</v>
      </c>
      <c r="D135" s="27" t="s">
        <v>4042</v>
      </c>
      <c r="E135" s="27" t="s">
        <v>4042</v>
      </c>
      <c r="F135" s="27" t="s">
        <v>4042</v>
      </c>
      <c r="G135" s="27" t="s">
        <v>4042</v>
      </c>
      <c r="H135" s="27" t="s">
        <v>4042</v>
      </c>
      <c r="I135" s="27" t="s">
        <v>4042</v>
      </c>
      <c r="J135" s="27" t="s">
        <v>4042</v>
      </c>
      <c r="K135" s="27" t="s">
        <v>4042</v>
      </c>
      <c r="L135" s="27" t="s">
        <v>4042</v>
      </c>
      <c r="M135" s="27" t="s">
        <v>4042</v>
      </c>
      <c r="N135" s="27" t="s">
        <v>4042</v>
      </c>
      <c r="O135" s="27" t="s">
        <v>4042</v>
      </c>
      <c r="P135" s="27" t="s">
        <v>4042</v>
      </c>
      <c r="Q135" s="27" t="s">
        <v>4042</v>
      </c>
    </row>
    <row r="136" spans="1:17" ht="15.75" customHeight="1">
      <c r="A136" s="27" t="s">
        <v>4042</v>
      </c>
      <c r="B136" s="28" t="s">
        <v>4109</v>
      </c>
      <c r="C136" s="27" t="s">
        <v>4042</v>
      </c>
      <c r="D136" s="27" t="s">
        <v>4042</v>
      </c>
      <c r="E136" s="27" t="s">
        <v>4042</v>
      </c>
      <c r="F136" s="27" t="s">
        <v>4042</v>
      </c>
      <c r="G136" s="27" t="s">
        <v>4042</v>
      </c>
      <c r="H136" s="27" t="s">
        <v>4042</v>
      </c>
      <c r="I136" s="27" t="s">
        <v>4042</v>
      </c>
      <c r="J136" s="27" t="s">
        <v>4042</v>
      </c>
      <c r="K136" s="27" t="s">
        <v>4042</v>
      </c>
      <c r="L136" s="27" t="s">
        <v>4042</v>
      </c>
      <c r="M136" s="27" t="s">
        <v>4042</v>
      </c>
      <c r="N136" s="27" t="s">
        <v>4042</v>
      </c>
      <c r="O136" s="27" t="s">
        <v>4042</v>
      </c>
      <c r="P136" s="27" t="s">
        <v>4042</v>
      </c>
      <c r="Q136" s="27" t="s">
        <v>4042</v>
      </c>
    </row>
    <row r="137" spans="1:17" ht="15.75" customHeight="1">
      <c r="A137" s="27" t="s">
        <v>4042</v>
      </c>
      <c r="B137" s="27" t="s">
        <v>4042</v>
      </c>
      <c r="C137" s="27" t="s">
        <v>4042</v>
      </c>
      <c r="D137" s="27" t="s">
        <v>4042</v>
      </c>
      <c r="E137" s="27" t="s">
        <v>4042</v>
      </c>
      <c r="F137" s="27" t="s">
        <v>4042</v>
      </c>
      <c r="G137" s="27" t="s">
        <v>4042</v>
      </c>
      <c r="H137" s="27" t="s">
        <v>4042</v>
      </c>
      <c r="I137" s="27" t="s">
        <v>4042</v>
      </c>
      <c r="J137" s="27" t="s">
        <v>4042</v>
      </c>
      <c r="K137" s="27" t="s">
        <v>4042</v>
      </c>
      <c r="L137" s="27" t="s">
        <v>4042</v>
      </c>
      <c r="M137" s="27" t="s">
        <v>4042</v>
      </c>
      <c r="N137" s="27" t="s">
        <v>4042</v>
      </c>
      <c r="O137" s="27" t="s">
        <v>4042</v>
      </c>
      <c r="P137" s="27" t="s">
        <v>4042</v>
      </c>
      <c r="Q137" s="27" t="s">
        <v>4042</v>
      </c>
    </row>
    <row r="138" spans="1:17" ht="15.75" customHeight="1">
      <c r="A138" s="27" t="s">
        <v>4042</v>
      </c>
      <c r="B138" s="27" t="s">
        <v>4110</v>
      </c>
      <c r="C138" s="27"/>
      <c r="D138" s="27" t="s">
        <v>4042</v>
      </c>
      <c r="E138" s="27" t="s">
        <v>4042</v>
      </c>
      <c r="F138" s="27" t="s">
        <v>4042</v>
      </c>
      <c r="G138" s="27" t="s">
        <v>4042</v>
      </c>
      <c r="H138" s="27" t="s">
        <v>4042</v>
      </c>
      <c r="I138" s="27" t="s">
        <v>4042</v>
      </c>
      <c r="J138" s="27" t="s">
        <v>4042</v>
      </c>
      <c r="K138" s="27" t="s">
        <v>4042</v>
      </c>
      <c r="L138" s="27" t="s">
        <v>4042</v>
      </c>
      <c r="M138" s="27" t="s">
        <v>4042</v>
      </c>
      <c r="N138" s="27" t="s">
        <v>4042</v>
      </c>
      <c r="O138" s="27" t="s">
        <v>4042</v>
      </c>
      <c r="P138" s="27" t="s">
        <v>4042</v>
      </c>
      <c r="Q138" s="27" t="s">
        <v>4042</v>
      </c>
    </row>
    <row r="139" spans="1:17" ht="15.75" customHeight="1">
      <c r="A139" s="27" t="s">
        <v>4042</v>
      </c>
      <c r="B139" s="27" t="s">
        <v>4042</v>
      </c>
      <c r="C139" s="27" t="s">
        <v>4042</v>
      </c>
      <c r="D139" s="27" t="s">
        <v>4042</v>
      </c>
      <c r="E139" s="27" t="s">
        <v>4042</v>
      </c>
      <c r="F139" s="27" t="s">
        <v>4042</v>
      </c>
      <c r="G139" s="27" t="s">
        <v>4042</v>
      </c>
      <c r="H139" s="27" t="s">
        <v>4042</v>
      </c>
      <c r="I139" s="27" t="s">
        <v>4042</v>
      </c>
      <c r="J139" s="27" t="s">
        <v>4042</v>
      </c>
      <c r="K139" s="27" t="s">
        <v>4042</v>
      </c>
      <c r="L139" s="27" t="s">
        <v>4042</v>
      </c>
      <c r="M139" s="27" t="s">
        <v>4042</v>
      </c>
      <c r="N139" s="27" t="s">
        <v>4042</v>
      </c>
      <c r="O139" s="27" t="s">
        <v>4042</v>
      </c>
      <c r="P139" s="27" t="s">
        <v>4042</v>
      </c>
      <c r="Q139" s="27" t="s">
        <v>4042</v>
      </c>
    </row>
    <row r="140" spans="1:17" ht="15.75" customHeight="1">
      <c r="A140" s="27" t="s">
        <v>4042</v>
      </c>
      <c r="B140" s="27" t="s">
        <v>4111</v>
      </c>
      <c r="C140" s="27"/>
      <c r="D140" s="27" t="s">
        <v>4042</v>
      </c>
      <c r="E140" s="27" t="s">
        <v>4042</v>
      </c>
      <c r="F140" s="27" t="s">
        <v>4042</v>
      </c>
      <c r="G140" s="27" t="s">
        <v>4042</v>
      </c>
      <c r="H140" s="27" t="s">
        <v>4042</v>
      </c>
      <c r="I140" s="27" t="s">
        <v>4042</v>
      </c>
      <c r="J140" s="27" t="s">
        <v>4042</v>
      </c>
      <c r="K140" s="27" t="s">
        <v>4042</v>
      </c>
      <c r="L140" s="27" t="s">
        <v>4042</v>
      </c>
      <c r="M140" s="27" t="s">
        <v>4042</v>
      </c>
      <c r="N140" s="27" t="s">
        <v>4042</v>
      </c>
      <c r="O140" s="27" t="s">
        <v>4042</v>
      </c>
      <c r="P140" s="27" t="s">
        <v>4042</v>
      </c>
      <c r="Q140" s="27" t="s">
        <v>4042</v>
      </c>
    </row>
    <row r="141" spans="1:17" ht="15.75" customHeight="1">
      <c r="A141" s="27" t="s">
        <v>4042</v>
      </c>
      <c r="B141" s="27" t="s">
        <v>4042</v>
      </c>
      <c r="C141" s="27" t="s">
        <v>4042</v>
      </c>
      <c r="D141" s="27" t="s">
        <v>4042</v>
      </c>
      <c r="E141" s="27" t="s">
        <v>4042</v>
      </c>
      <c r="F141" s="27" t="s">
        <v>4042</v>
      </c>
      <c r="G141" s="27" t="s">
        <v>4042</v>
      </c>
      <c r="H141" s="27" t="s">
        <v>4042</v>
      </c>
      <c r="I141" s="27" t="s">
        <v>4042</v>
      </c>
      <c r="J141" s="27" t="s">
        <v>4042</v>
      </c>
      <c r="K141" s="27" t="s">
        <v>4042</v>
      </c>
      <c r="L141" s="27" t="s">
        <v>4042</v>
      </c>
      <c r="M141" s="27" t="s">
        <v>4042</v>
      </c>
      <c r="N141" s="27" t="s">
        <v>4042</v>
      </c>
      <c r="O141" s="27" t="s">
        <v>4042</v>
      </c>
      <c r="P141" s="27" t="s">
        <v>4042</v>
      </c>
      <c r="Q141" s="27" t="s">
        <v>4042</v>
      </c>
    </row>
    <row r="142" spans="1:17" ht="15.75" customHeight="1">
      <c r="A142" s="27" t="s">
        <v>4042</v>
      </c>
      <c r="B142" s="27" t="s">
        <v>4112</v>
      </c>
      <c r="C142" s="27"/>
      <c r="D142" s="27"/>
      <c r="E142" s="27" t="s">
        <v>4042</v>
      </c>
      <c r="F142" s="27" t="s">
        <v>4042</v>
      </c>
      <c r="G142" s="27" t="s">
        <v>4042</v>
      </c>
      <c r="H142" s="27" t="s">
        <v>4042</v>
      </c>
      <c r="I142" s="27" t="s">
        <v>4042</v>
      </c>
      <c r="J142" s="27" t="s">
        <v>4042</v>
      </c>
      <c r="K142" s="27" t="s">
        <v>4042</v>
      </c>
      <c r="L142" s="27" t="s">
        <v>4042</v>
      </c>
      <c r="M142" s="27" t="s">
        <v>4042</v>
      </c>
      <c r="N142" s="27" t="s">
        <v>4042</v>
      </c>
      <c r="O142" s="27" t="s">
        <v>4042</v>
      </c>
      <c r="P142" s="27" t="s">
        <v>4042</v>
      </c>
      <c r="Q142" s="27" t="s">
        <v>4042</v>
      </c>
    </row>
    <row r="143" spans="1:17" ht="15.75" customHeight="1">
      <c r="A143" s="27" t="s">
        <v>4042</v>
      </c>
      <c r="B143" s="27" t="s">
        <v>4042</v>
      </c>
      <c r="C143" s="27" t="s">
        <v>4042</v>
      </c>
      <c r="D143" s="27" t="s">
        <v>4042</v>
      </c>
      <c r="E143" s="27" t="s">
        <v>4042</v>
      </c>
      <c r="F143" s="27" t="s">
        <v>4042</v>
      </c>
      <c r="G143" s="27" t="s">
        <v>4042</v>
      </c>
      <c r="H143" s="27" t="s">
        <v>4042</v>
      </c>
      <c r="I143" s="27" t="s">
        <v>4042</v>
      </c>
      <c r="J143" s="27" t="s">
        <v>4042</v>
      </c>
      <c r="K143" s="27" t="s">
        <v>4042</v>
      </c>
      <c r="L143" s="27" t="s">
        <v>4042</v>
      </c>
      <c r="M143" s="27" t="s">
        <v>4042</v>
      </c>
      <c r="N143" s="27" t="s">
        <v>4042</v>
      </c>
      <c r="O143" s="27" t="s">
        <v>4042</v>
      </c>
      <c r="P143" s="27" t="s">
        <v>4042</v>
      </c>
      <c r="Q143" s="27" t="s">
        <v>4042</v>
      </c>
    </row>
    <row r="144" spans="1:17" ht="15.75" customHeight="1">
      <c r="A144" s="27" t="s">
        <v>4042</v>
      </c>
      <c r="B144" s="27" t="s">
        <v>4113</v>
      </c>
      <c r="C144" s="27"/>
      <c r="D144" s="27" t="s">
        <v>4042</v>
      </c>
      <c r="E144" s="27" t="s">
        <v>4042</v>
      </c>
      <c r="F144" s="27" t="s">
        <v>4042</v>
      </c>
      <c r="G144" s="27" t="s">
        <v>4042</v>
      </c>
      <c r="H144" s="27" t="s">
        <v>4042</v>
      </c>
      <c r="I144" s="27" t="s">
        <v>4042</v>
      </c>
      <c r="J144" s="27" t="s">
        <v>4042</v>
      </c>
      <c r="K144" s="27" t="s">
        <v>4042</v>
      </c>
      <c r="L144" s="27" t="s">
        <v>4042</v>
      </c>
      <c r="M144" s="27" t="s">
        <v>4042</v>
      </c>
      <c r="N144" s="27" t="s">
        <v>4042</v>
      </c>
      <c r="O144" s="27" t="s">
        <v>4042</v>
      </c>
      <c r="P144" s="27" t="s">
        <v>4042</v>
      </c>
      <c r="Q144" s="27" t="s">
        <v>4042</v>
      </c>
    </row>
    <row r="145" spans="1:17" ht="15.75" customHeight="1">
      <c r="A145" s="27" t="s">
        <v>4042</v>
      </c>
      <c r="B145" s="27" t="s">
        <v>4042</v>
      </c>
      <c r="C145" s="27" t="s">
        <v>4042</v>
      </c>
      <c r="D145" s="27" t="s">
        <v>4042</v>
      </c>
      <c r="E145" s="27" t="s">
        <v>4042</v>
      </c>
      <c r="F145" s="27" t="s">
        <v>4042</v>
      </c>
      <c r="G145" s="27" t="s">
        <v>4042</v>
      </c>
      <c r="H145" s="27" t="s">
        <v>4042</v>
      </c>
      <c r="I145" s="27" t="s">
        <v>4042</v>
      </c>
      <c r="J145" s="27" t="s">
        <v>4042</v>
      </c>
      <c r="K145" s="27" t="s">
        <v>4042</v>
      </c>
      <c r="L145" s="27" t="s">
        <v>4042</v>
      </c>
      <c r="M145" s="27" t="s">
        <v>4042</v>
      </c>
      <c r="N145" s="27" t="s">
        <v>4042</v>
      </c>
      <c r="O145" s="27" t="s">
        <v>4042</v>
      </c>
      <c r="P145" s="27" t="s">
        <v>4042</v>
      </c>
      <c r="Q145" s="27" t="s">
        <v>4042</v>
      </c>
    </row>
    <row r="146" spans="1:17" ht="15.75" customHeight="1">
      <c r="A146" s="27" t="s">
        <v>4042</v>
      </c>
      <c r="B146" s="27" t="s">
        <v>4114</v>
      </c>
      <c r="C146" s="27"/>
      <c r="D146" s="27"/>
      <c r="E146" s="27" t="s">
        <v>4042</v>
      </c>
      <c r="F146" s="27" t="s">
        <v>4042</v>
      </c>
      <c r="G146" s="27" t="s">
        <v>4042</v>
      </c>
      <c r="H146" s="27" t="s">
        <v>4042</v>
      </c>
      <c r="I146" s="27" t="s">
        <v>4042</v>
      </c>
      <c r="J146" s="27" t="s">
        <v>4042</v>
      </c>
      <c r="K146" s="27" t="s">
        <v>4042</v>
      </c>
      <c r="L146" s="27" t="s">
        <v>4042</v>
      </c>
      <c r="M146" s="27" t="s">
        <v>4042</v>
      </c>
      <c r="N146" s="27" t="s">
        <v>4042</v>
      </c>
      <c r="O146" s="27" t="s">
        <v>4042</v>
      </c>
      <c r="P146" s="27" t="s">
        <v>4042</v>
      </c>
      <c r="Q146" s="27" t="s">
        <v>4042</v>
      </c>
    </row>
    <row r="147" spans="1:17" ht="15.75" customHeight="1">
      <c r="A147" s="27" t="s">
        <v>4042</v>
      </c>
      <c r="B147" s="27" t="s">
        <v>4042</v>
      </c>
      <c r="C147" s="27" t="s">
        <v>4042</v>
      </c>
      <c r="D147" s="27" t="s">
        <v>4042</v>
      </c>
      <c r="E147" s="27" t="s">
        <v>4042</v>
      </c>
      <c r="F147" s="27" t="s">
        <v>4042</v>
      </c>
      <c r="G147" s="27" t="s">
        <v>4042</v>
      </c>
      <c r="H147" s="27" t="s">
        <v>4042</v>
      </c>
      <c r="I147" s="27" t="s">
        <v>4042</v>
      </c>
      <c r="J147" s="27" t="s">
        <v>4042</v>
      </c>
      <c r="K147" s="27" t="s">
        <v>4042</v>
      </c>
      <c r="L147" s="27" t="s">
        <v>4042</v>
      </c>
      <c r="M147" s="27" t="s">
        <v>4042</v>
      </c>
      <c r="N147" s="27" t="s">
        <v>4042</v>
      </c>
      <c r="O147" s="27" t="s">
        <v>4042</v>
      </c>
      <c r="P147" s="27" t="s">
        <v>4042</v>
      </c>
      <c r="Q147" s="27" t="s">
        <v>4042</v>
      </c>
    </row>
    <row r="148" spans="1:17" ht="15.75" customHeight="1">
      <c r="A148" s="27" t="s">
        <v>4042</v>
      </c>
      <c r="B148" s="27" t="s">
        <v>4115</v>
      </c>
      <c r="C148" s="27"/>
      <c r="D148" s="27"/>
      <c r="E148" s="27"/>
      <c r="F148" s="27" t="s">
        <v>4042</v>
      </c>
      <c r="G148" s="27" t="s">
        <v>4042</v>
      </c>
      <c r="H148" s="27" t="s">
        <v>4042</v>
      </c>
      <c r="I148" s="27" t="s">
        <v>4042</v>
      </c>
      <c r="J148" s="27" t="s">
        <v>4042</v>
      </c>
      <c r="K148" s="27" t="s">
        <v>4042</v>
      </c>
      <c r="L148" s="27" t="s">
        <v>4042</v>
      </c>
      <c r="M148" s="27" t="s">
        <v>4042</v>
      </c>
      <c r="N148" s="27" t="s">
        <v>4042</v>
      </c>
      <c r="O148" s="27" t="s">
        <v>4042</v>
      </c>
      <c r="P148" s="27" t="s">
        <v>4042</v>
      </c>
      <c r="Q148" s="27" t="s">
        <v>4042</v>
      </c>
    </row>
    <row r="149" spans="1:17" ht="15.75" customHeight="1">
      <c r="A149" s="27" t="s">
        <v>4042</v>
      </c>
      <c r="B149" s="27" t="s">
        <v>4116</v>
      </c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 t="s">
        <v>4042</v>
      </c>
      <c r="Q149" s="27" t="s">
        <v>4042</v>
      </c>
    </row>
    <row r="150" spans="1:17" ht="15.75" customHeight="1">
      <c r="A150" s="27" t="s">
        <v>4042</v>
      </c>
      <c r="B150" s="27" t="s">
        <v>4042</v>
      </c>
      <c r="C150" s="27" t="s">
        <v>4042</v>
      </c>
      <c r="D150" s="27" t="s">
        <v>4042</v>
      </c>
      <c r="E150" s="27" t="s">
        <v>4042</v>
      </c>
      <c r="F150" s="27" t="s">
        <v>4042</v>
      </c>
      <c r="G150" s="27" t="s">
        <v>4042</v>
      </c>
      <c r="H150" s="27" t="s">
        <v>4042</v>
      </c>
      <c r="I150" s="27" t="s">
        <v>4042</v>
      </c>
      <c r="J150" s="27" t="s">
        <v>4042</v>
      </c>
      <c r="K150" s="27" t="s">
        <v>4042</v>
      </c>
      <c r="L150" s="27" t="s">
        <v>4042</v>
      </c>
      <c r="M150" s="27" t="s">
        <v>4042</v>
      </c>
      <c r="N150" s="27" t="s">
        <v>4042</v>
      </c>
      <c r="O150" s="27" t="s">
        <v>4042</v>
      </c>
      <c r="P150" s="27" t="s">
        <v>4042</v>
      </c>
      <c r="Q150" s="27" t="s">
        <v>4042</v>
      </c>
    </row>
    <row r="151" spans="1:17" ht="15.75" customHeight="1">
      <c r="A151" s="27" t="s">
        <v>4042</v>
      </c>
      <c r="B151" s="28" t="s">
        <v>4117</v>
      </c>
      <c r="C151" s="28"/>
      <c r="D151" s="27" t="s">
        <v>4042</v>
      </c>
      <c r="E151" s="27" t="s">
        <v>4042</v>
      </c>
      <c r="F151" s="27" t="s">
        <v>4042</v>
      </c>
      <c r="G151" s="27" t="s">
        <v>4042</v>
      </c>
      <c r="H151" s="27" t="s">
        <v>4042</v>
      </c>
      <c r="I151" s="27" t="s">
        <v>4042</v>
      </c>
      <c r="J151" s="27" t="s">
        <v>4042</v>
      </c>
      <c r="K151" s="27" t="s">
        <v>4042</v>
      </c>
      <c r="L151" s="27" t="s">
        <v>4042</v>
      </c>
      <c r="M151" s="27" t="s">
        <v>4042</v>
      </c>
      <c r="N151" s="27" t="s">
        <v>4042</v>
      </c>
      <c r="O151" s="27" t="s">
        <v>4042</v>
      </c>
      <c r="P151" s="27" t="s">
        <v>4042</v>
      </c>
      <c r="Q151" s="27" t="s">
        <v>4042</v>
      </c>
    </row>
    <row r="152" spans="1:17" ht="15.75" customHeight="1">
      <c r="A152" s="27" t="s">
        <v>4042</v>
      </c>
      <c r="B152" s="27" t="s">
        <v>4042</v>
      </c>
      <c r="C152" s="27" t="s">
        <v>4042</v>
      </c>
      <c r="D152" s="27" t="s">
        <v>4042</v>
      </c>
      <c r="E152" s="27" t="s">
        <v>4042</v>
      </c>
      <c r="F152" s="27" t="s">
        <v>4042</v>
      </c>
      <c r="G152" s="27" t="s">
        <v>4042</v>
      </c>
      <c r="H152" s="27" t="s">
        <v>4042</v>
      </c>
      <c r="I152" s="27" t="s">
        <v>4042</v>
      </c>
      <c r="J152" s="27" t="s">
        <v>4042</v>
      </c>
      <c r="K152" s="27" t="s">
        <v>4042</v>
      </c>
      <c r="L152" s="27" t="s">
        <v>4042</v>
      </c>
      <c r="M152" s="27" t="s">
        <v>4042</v>
      </c>
      <c r="N152" s="27" t="s">
        <v>4042</v>
      </c>
      <c r="O152" s="27" t="s">
        <v>4042</v>
      </c>
      <c r="P152" s="27" t="s">
        <v>4042</v>
      </c>
      <c r="Q152" s="27" t="s">
        <v>4042</v>
      </c>
    </row>
    <row r="153" spans="1:17" ht="15.75" customHeight="1">
      <c r="A153" s="27" t="s">
        <v>4042</v>
      </c>
      <c r="B153" s="27" t="s">
        <v>4118</v>
      </c>
      <c r="C153" s="27"/>
      <c r="D153" s="27"/>
      <c r="E153" s="27"/>
      <c r="F153" s="27"/>
      <c r="G153" s="27" t="s">
        <v>4042</v>
      </c>
      <c r="H153" s="27" t="s">
        <v>4042</v>
      </c>
      <c r="I153" s="27" t="s">
        <v>4042</v>
      </c>
      <c r="J153" s="27" t="s">
        <v>4042</v>
      </c>
      <c r="K153" s="27" t="s">
        <v>4042</v>
      </c>
      <c r="L153" s="27" t="s">
        <v>4042</v>
      </c>
      <c r="M153" s="27" t="s">
        <v>4042</v>
      </c>
      <c r="N153" s="27" t="s">
        <v>4042</v>
      </c>
      <c r="O153" s="27" t="s">
        <v>4042</v>
      </c>
      <c r="P153" s="27" t="s">
        <v>4042</v>
      </c>
      <c r="Q153" s="27" t="s">
        <v>4042</v>
      </c>
    </row>
    <row r="154" spans="1:17" ht="15.75" customHeight="1">
      <c r="A154" s="27" t="s">
        <v>4042</v>
      </c>
      <c r="B154" s="27" t="s">
        <v>4042</v>
      </c>
      <c r="C154" s="27" t="s">
        <v>4042</v>
      </c>
      <c r="D154" s="27" t="s">
        <v>4042</v>
      </c>
      <c r="E154" s="27" t="s">
        <v>4042</v>
      </c>
      <c r="F154" s="27" t="s">
        <v>4042</v>
      </c>
      <c r="G154" s="27" t="s">
        <v>4042</v>
      </c>
      <c r="H154" s="27" t="s">
        <v>4042</v>
      </c>
      <c r="I154" s="27" t="s">
        <v>4042</v>
      </c>
      <c r="J154" s="27" t="s">
        <v>4042</v>
      </c>
      <c r="K154" s="27" t="s">
        <v>4042</v>
      </c>
      <c r="L154" s="27" t="s">
        <v>4042</v>
      </c>
      <c r="M154" s="27" t="s">
        <v>4042</v>
      </c>
      <c r="N154" s="27" t="s">
        <v>4042</v>
      </c>
      <c r="O154" s="27" t="s">
        <v>4042</v>
      </c>
      <c r="P154" s="27" t="s">
        <v>4042</v>
      </c>
      <c r="Q154" s="27" t="s">
        <v>4042</v>
      </c>
    </row>
    <row r="155" spans="1:17" ht="15.75" customHeight="1">
      <c r="A155" s="27" t="s">
        <v>4042</v>
      </c>
      <c r="B155" s="27" t="s">
        <v>4087</v>
      </c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 t="s">
        <v>4042</v>
      </c>
      <c r="Q155" s="27" t="s">
        <v>4042</v>
      </c>
    </row>
    <row r="156" spans="1:17" ht="15.75" customHeight="1">
      <c r="A156" s="27" t="s">
        <v>4042</v>
      </c>
      <c r="B156" s="27" t="s">
        <v>4042</v>
      </c>
      <c r="C156" s="27" t="s">
        <v>4042</v>
      </c>
      <c r="D156" s="27" t="s">
        <v>4042</v>
      </c>
      <c r="E156" s="27" t="s">
        <v>4042</v>
      </c>
      <c r="F156" s="27" t="s">
        <v>4042</v>
      </c>
      <c r="G156" s="27" t="s">
        <v>4042</v>
      </c>
      <c r="H156" s="27" t="s">
        <v>4042</v>
      </c>
      <c r="I156" s="27" t="s">
        <v>4042</v>
      </c>
      <c r="J156" s="27" t="s">
        <v>4042</v>
      </c>
      <c r="K156" s="27" t="s">
        <v>4042</v>
      </c>
      <c r="L156" s="27" t="s">
        <v>4042</v>
      </c>
      <c r="M156" s="27" t="s">
        <v>4042</v>
      </c>
      <c r="N156" s="27" t="s">
        <v>4042</v>
      </c>
      <c r="O156" s="27" t="s">
        <v>4042</v>
      </c>
      <c r="P156" s="27" t="s">
        <v>4042</v>
      </c>
      <c r="Q156" s="27" t="s">
        <v>4042</v>
      </c>
    </row>
    <row r="157" spans="1:17" ht="15.75" customHeight="1">
      <c r="A157" s="27" t="s">
        <v>4042</v>
      </c>
      <c r="B157" s="28" t="s">
        <v>4119</v>
      </c>
      <c r="C157" s="28"/>
      <c r="D157" s="28"/>
      <c r="E157" s="27" t="s">
        <v>4042</v>
      </c>
      <c r="F157" s="27" t="s">
        <v>4042</v>
      </c>
      <c r="G157" s="27" t="s">
        <v>4042</v>
      </c>
      <c r="H157" s="27" t="s">
        <v>4042</v>
      </c>
      <c r="I157" s="27" t="s">
        <v>4042</v>
      </c>
      <c r="J157" s="27" t="s">
        <v>4042</v>
      </c>
      <c r="K157" s="27" t="s">
        <v>4042</v>
      </c>
      <c r="L157" s="27" t="s">
        <v>4042</v>
      </c>
      <c r="M157" s="27" t="s">
        <v>4042</v>
      </c>
      <c r="N157" s="27" t="s">
        <v>4042</v>
      </c>
      <c r="O157" s="27" t="s">
        <v>4042</v>
      </c>
      <c r="P157" s="27" t="s">
        <v>4042</v>
      </c>
      <c r="Q157" s="27" t="s">
        <v>4042</v>
      </c>
    </row>
    <row r="158" spans="1:17" ht="15.75" customHeight="1">
      <c r="A158" s="27" t="s">
        <v>4042</v>
      </c>
      <c r="B158" s="27" t="s">
        <v>4042</v>
      </c>
      <c r="C158" s="27" t="s">
        <v>4042</v>
      </c>
      <c r="D158" s="27" t="s">
        <v>4042</v>
      </c>
      <c r="E158" s="27" t="s">
        <v>4042</v>
      </c>
      <c r="F158" s="27" t="s">
        <v>4042</v>
      </c>
      <c r="G158" s="27" t="s">
        <v>4042</v>
      </c>
      <c r="H158" s="27" t="s">
        <v>4042</v>
      </c>
      <c r="I158" s="27" t="s">
        <v>4042</v>
      </c>
      <c r="J158" s="27" t="s">
        <v>4042</v>
      </c>
      <c r="K158" s="27" t="s">
        <v>4042</v>
      </c>
      <c r="L158" s="27" t="s">
        <v>4042</v>
      </c>
      <c r="M158" s="27" t="s">
        <v>4042</v>
      </c>
      <c r="N158" s="27" t="s">
        <v>4042</v>
      </c>
      <c r="O158" s="27" t="s">
        <v>4042</v>
      </c>
      <c r="P158" s="27" t="s">
        <v>4042</v>
      </c>
      <c r="Q158" s="27" t="s">
        <v>4042</v>
      </c>
    </row>
    <row r="159" spans="1:17" ht="15.75" customHeight="1">
      <c r="A159" s="27" t="s">
        <v>4042</v>
      </c>
      <c r="B159" s="27" t="s">
        <v>4120</v>
      </c>
      <c r="C159" s="27"/>
      <c r="D159" s="27"/>
      <c r="E159" s="27"/>
      <c r="F159" s="27"/>
      <c r="G159" s="27"/>
      <c r="H159" s="27"/>
      <c r="I159" s="27"/>
      <c r="J159" s="27" t="s">
        <v>4042</v>
      </c>
      <c r="K159" s="27" t="s">
        <v>4042</v>
      </c>
      <c r="L159" s="27" t="s">
        <v>4042</v>
      </c>
      <c r="M159" s="27" t="s">
        <v>4042</v>
      </c>
      <c r="N159" s="27" t="s">
        <v>4042</v>
      </c>
      <c r="O159" s="27" t="s">
        <v>4042</v>
      </c>
      <c r="P159" s="27" t="s">
        <v>4042</v>
      </c>
      <c r="Q159" s="27" t="s">
        <v>4042</v>
      </c>
    </row>
    <row r="160" spans="1:17" ht="15.75" customHeight="1">
      <c r="A160" s="27" t="s">
        <v>4042</v>
      </c>
      <c r="B160" s="27" t="s">
        <v>4042</v>
      </c>
      <c r="C160" s="27" t="s">
        <v>4042</v>
      </c>
      <c r="D160" s="27" t="s">
        <v>4042</v>
      </c>
      <c r="E160" s="27" t="s">
        <v>4042</v>
      </c>
      <c r="F160" s="27" t="s">
        <v>4042</v>
      </c>
      <c r="G160" s="27" t="s">
        <v>4042</v>
      </c>
      <c r="H160" s="27" t="s">
        <v>4042</v>
      </c>
      <c r="I160" s="27" t="s">
        <v>4042</v>
      </c>
      <c r="J160" s="27" t="s">
        <v>4042</v>
      </c>
      <c r="K160" s="27" t="s">
        <v>4042</v>
      </c>
      <c r="L160" s="27" t="s">
        <v>4042</v>
      </c>
      <c r="M160" s="27" t="s">
        <v>4042</v>
      </c>
      <c r="N160" s="27" t="s">
        <v>4042</v>
      </c>
      <c r="O160" s="27" t="s">
        <v>4042</v>
      </c>
      <c r="P160" s="27" t="s">
        <v>4042</v>
      </c>
      <c r="Q160" s="27" t="s">
        <v>4042</v>
      </c>
    </row>
    <row r="161" spans="1:17" ht="15.75" customHeight="1">
      <c r="A161" s="27" t="s">
        <v>4042</v>
      </c>
      <c r="B161" s="27" t="s">
        <v>4083</v>
      </c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 t="s">
        <v>4042</v>
      </c>
      <c r="Q161" s="27" t="s">
        <v>4042</v>
      </c>
    </row>
    <row r="162" spans="1:17" ht="15.75" customHeight="1">
      <c r="A162" s="27" t="s">
        <v>4042</v>
      </c>
      <c r="B162" s="27" t="s">
        <v>4042</v>
      </c>
      <c r="C162" s="27" t="s">
        <v>4042</v>
      </c>
      <c r="D162" s="27" t="s">
        <v>4042</v>
      </c>
      <c r="E162" s="27" t="s">
        <v>4042</v>
      </c>
      <c r="F162" s="27" t="s">
        <v>4042</v>
      </c>
      <c r="G162" s="27" t="s">
        <v>4042</v>
      </c>
      <c r="H162" s="27" t="s">
        <v>4042</v>
      </c>
      <c r="I162" s="27" t="s">
        <v>4042</v>
      </c>
      <c r="J162" s="27" t="s">
        <v>4042</v>
      </c>
      <c r="K162" s="27" t="s">
        <v>4042</v>
      </c>
      <c r="L162" s="27" t="s">
        <v>4042</v>
      </c>
      <c r="M162" s="27" t="s">
        <v>4042</v>
      </c>
      <c r="N162" s="27" t="s">
        <v>4042</v>
      </c>
      <c r="O162" s="27" t="s">
        <v>4042</v>
      </c>
      <c r="P162" s="27" t="s">
        <v>4042</v>
      </c>
      <c r="Q162" s="27" t="s">
        <v>4042</v>
      </c>
    </row>
    <row r="163" spans="1:17" ht="15.75" customHeight="1">
      <c r="A163" s="27" t="s">
        <v>4042</v>
      </c>
      <c r="B163" s="27" t="s">
        <v>4042</v>
      </c>
      <c r="C163" s="27" t="s">
        <v>4042</v>
      </c>
      <c r="D163" s="27" t="s">
        <v>4042</v>
      </c>
      <c r="E163" s="27" t="s">
        <v>4042</v>
      </c>
      <c r="F163" s="27" t="s">
        <v>4042</v>
      </c>
      <c r="G163" s="27" t="s">
        <v>4042</v>
      </c>
      <c r="H163" s="27" t="s">
        <v>4042</v>
      </c>
      <c r="I163" s="27" t="s">
        <v>4042</v>
      </c>
      <c r="J163" s="27" t="s">
        <v>4042</v>
      </c>
      <c r="K163" s="27" t="s">
        <v>4042</v>
      </c>
      <c r="L163" s="27" t="s">
        <v>4042</v>
      </c>
      <c r="M163" s="27" t="s">
        <v>4042</v>
      </c>
      <c r="N163" s="27" t="s">
        <v>4042</v>
      </c>
      <c r="O163" s="27" t="s">
        <v>4042</v>
      </c>
      <c r="P163" s="27" t="s">
        <v>4042</v>
      </c>
      <c r="Q163" s="27" t="s">
        <v>4042</v>
      </c>
    </row>
    <row r="164" spans="1:17" ht="15.75" customHeight="1">
      <c r="A164" s="27" t="s">
        <v>4042</v>
      </c>
      <c r="B164" s="30" t="s">
        <v>4121</v>
      </c>
      <c r="C164" s="27" t="s">
        <v>4042</v>
      </c>
      <c r="D164" s="27" t="s">
        <v>4042</v>
      </c>
      <c r="E164" s="27" t="s">
        <v>4042</v>
      </c>
      <c r="F164" s="27" t="s">
        <v>4042</v>
      </c>
      <c r="G164" s="27" t="s">
        <v>4042</v>
      </c>
      <c r="H164" s="27" t="s">
        <v>4042</v>
      </c>
      <c r="I164" s="27" t="s">
        <v>4042</v>
      </c>
      <c r="J164" s="27" t="s">
        <v>4042</v>
      </c>
      <c r="K164" s="27" t="s">
        <v>4042</v>
      </c>
      <c r="L164" s="27" t="s">
        <v>4042</v>
      </c>
      <c r="M164" s="27" t="s">
        <v>4042</v>
      </c>
      <c r="N164" s="27" t="s">
        <v>4042</v>
      </c>
      <c r="O164" s="27" t="s">
        <v>4042</v>
      </c>
      <c r="P164" s="27" t="s">
        <v>4042</v>
      </c>
      <c r="Q164" s="27" t="s">
        <v>4042</v>
      </c>
    </row>
    <row r="165" spans="1:17" ht="15.75" customHeight="1">
      <c r="A165" s="27" t="s">
        <v>4042</v>
      </c>
      <c r="B165" s="27" t="s">
        <v>4042</v>
      </c>
      <c r="C165" s="27" t="s">
        <v>4042</v>
      </c>
      <c r="D165" s="27" t="s">
        <v>4042</v>
      </c>
      <c r="E165" s="27" t="s">
        <v>4042</v>
      </c>
      <c r="F165" s="27" t="s">
        <v>4042</v>
      </c>
      <c r="G165" s="27" t="s">
        <v>4042</v>
      </c>
      <c r="H165" s="27" t="s">
        <v>4042</v>
      </c>
      <c r="I165" s="27" t="s">
        <v>4042</v>
      </c>
      <c r="J165" s="27" t="s">
        <v>4042</v>
      </c>
      <c r="K165" s="27" t="s">
        <v>4042</v>
      </c>
      <c r="L165" s="27" t="s">
        <v>4042</v>
      </c>
      <c r="M165" s="27" t="s">
        <v>4042</v>
      </c>
      <c r="N165" s="27" t="s">
        <v>4042</v>
      </c>
      <c r="O165" s="27" t="s">
        <v>4042</v>
      </c>
      <c r="P165" s="27" t="s">
        <v>4042</v>
      </c>
      <c r="Q165" s="27" t="s">
        <v>4042</v>
      </c>
    </row>
    <row r="166" spans="1:17" ht="15.75" customHeight="1">
      <c r="A166" s="27" t="s">
        <v>4042</v>
      </c>
      <c r="B166" s="27" t="s">
        <v>4042</v>
      </c>
      <c r="C166" s="27" t="s">
        <v>4042</v>
      </c>
      <c r="D166" s="27" t="s">
        <v>4042</v>
      </c>
      <c r="E166" s="27" t="s">
        <v>4042</v>
      </c>
      <c r="F166" s="27" t="s">
        <v>4042</v>
      </c>
      <c r="G166" s="27" t="s">
        <v>4042</v>
      </c>
      <c r="H166" s="27" t="s">
        <v>4042</v>
      </c>
      <c r="I166" s="27" t="s">
        <v>4042</v>
      </c>
      <c r="J166" s="27" t="s">
        <v>4042</v>
      </c>
      <c r="K166" s="27" t="s">
        <v>4042</v>
      </c>
      <c r="L166" s="27" t="s">
        <v>4042</v>
      </c>
      <c r="M166" s="27" t="s">
        <v>4042</v>
      </c>
      <c r="N166" s="27" t="s">
        <v>4042</v>
      </c>
      <c r="O166" s="27" t="s">
        <v>4042</v>
      </c>
      <c r="P166" s="27" t="s">
        <v>4042</v>
      </c>
      <c r="Q166" s="27" t="s">
        <v>4042</v>
      </c>
    </row>
    <row r="167" spans="1:17" ht="15.75" customHeight="1">
      <c r="A167" s="27" t="s">
        <v>4042</v>
      </c>
      <c r="B167" s="27" t="s">
        <v>4042</v>
      </c>
      <c r="C167" s="27" t="s">
        <v>4042</v>
      </c>
      <c r="D167" s="27" t="s">
        <v>4042</v>
      </c>
      <c r="E167" s="27" t="s">
        <v>4042</v>
      </c>
      <c r="F167" s="27" t="s">
        <v>4042</v>
      </c>
      <c r="G167" s="27" t="s">
        <v>4042</v>
      </c>
      <c r="H167" s="27" t="s">
        <v>4042</v>
      </c>
      <c r="I167" s="27" t="s">
        <v>4042</v>
      </c>
      <c r="J167" s="27" t="s">
        <v>4042</v>
      </c>
      <c r="K167" s="27" t="s">
        <v>4042</v>
      </c>
      <c r="L167" s="27" t="s">
        <v>4042</v>
      </c>
      <c r="M167" s="27" t="s">
        <v>4042</v>
      </c>
      <c r="N167" s="27" t="s">
        <v>4042</v>
      </c>
      <c r="O167" s="27" t="s">
        <v>4042</v>
      </c>
      <c r="P167" s="27" t="s">
        <v>4042</v>
      </c>
      <c r="Q167" s="27" t="s">
        <v>4042</v>
      </c>
    </row>
    <row r="168" spans="1:17" ht="15.75" customHeight="1">
      <c r="A168" s="27" t="s">
        <v>4042</v>
      </c>
      <c r="B168" s="27" t="s">
        <v>4042</v>
      </c>
      <c r="C168" s="27" t="s">
        <v>4042</v>
      </c>
      <c r="D168" s="27" t="s">
        <v>4042</v>
      </c>
      <c r="E168" s="27" t="s">
        <v>4042</v>
      </c>
      <c r="F168" s="27" t="s">
        <v>4042</v>
      </c>
      <c r="G168" s="27" t="s">
        <v>4042</v>
      </c>
      <c r="H168" s="27" t="s">
        <v>4042</v>
      </c>
      <c r="I168" s="27" t="s">
        <v>4042</v>
      </c>
      <c r="J168" s="27" t="s">
        <v>4042</v>
      </c>
      <c r="K168" s="27" t="s">
        <v>4042</v>
      </c>
      <c r="L168" s="27" t="s">
        <v>4042</v>
      </c>
      <c r="M168" s="27" t="s">
        <v>4042</v>
      </c>
      <c r="N168" s="27" t="s">
        <v>4042</v>
      </c>
      <c r="O168" s="27" t="s">
        <v>4042</v>
      </c>
      <c r="P168" s="27" t="s">
        <v>4042</v>
      </c>
      <c r="Q168" s="27" t="s">
        <v>4042</v>
      </c>
    </row>
    <row r="169" spans="1:17" ht="15.75" customHeight="1">
      <c r="A169" s="27" t="s">
        <v>4042</v>
      </c>
      <c r="B169" s="27" t="s">
        <v>4042</v>
      </c>
      <c r="C169" s="27" t="s">
        <v>4042</v>
      </c>
      <c r="D169" s="27" t="s">
        <v>4042</v>
      </c>
      <c r="E169" s="27" t="s">
        <v>4042</v>
      </c>
      <c r="F169" s="27" t="s">
        <v>4042</v>
      </c>
      <c r="G169" s="27" t="s">
        <v>4042</v>
      </c>
      <c r="H169" s="27" t="s">
        <v>4042</v>
      </c>
      <c r="I169" s="27" t="s">
        <v>4042</v>
      </c>
      <c r="J169" s="27" t="s">
        <v>4042</v>
      </c>
      <c r="K169" s="27" t="s">
        <v>4042</v>
      </c>
      <c r="L169" s="27" t="s">
        <v>4042</v>
      </c>
      <c r="M169" s="27" t="s">
        <v>4042</v>
      </c>
      <c r="N169" s="27" t="s">
        <v>4042</v>
      </c>
      <c r="O169" s="27" t="s">
        <v>4042</v>
      </c>
      <c r="P169" s="27" t="s">
        <v>4042</v>
      </c>
      <c r="Q169" s="27" t="s">
        <v>4042</v>
      </c>
    </row>
    <row r="170" spans="1:17" ht="15.75" customHeight="1">
      <c r="A170" s="27" t="s">
        <v>4042</v>
      </c>
      <c r="B170" s="27" t="s">
        <v>4042</v>
      </c>
      <c r="C170" s="27" t="s">
        <v>4042</v>
      </c>
      <c r="D170" s="27" t="s">
        <v>4042</v>
      </c>
      <c r="E170" s="27" t="s">
        <v>4042</v>
      </c>
      <c r="F170" s="27" t="s">
        <v>4042</v>
      </c>
      <c r="G170" s="27" t="s">
        <v>4042</v>
      </c>
      <c r="H170" s="27" t="s">
        <v>4042</v>
      </c>
      <c r="I170" s="27" t="s">
        <v>4042</v>
      </c>
      <c r="J170" s="27" t="s">
        <v>4042</v>
      </c>
      <c r="K170" s="27" t="s">
        <v>4042</v>
      </c>
      <c r="L170" s="27" t="s">
        <v>4042</v>
      </c>
      <c r="M170" s="27" t="s">
        <v>4042</v>
      </c>
      <c r="N170" s="27" t="s">
        <v>4042</v>
      </c>
      <c r="O170" s="27" t="s">
        <v>4042</v>
      </c>
      <c r="P170" s="27" t="s">
        <v>4042</v>
      </c>
      <c r="Q170" s="27" t="s">
        <v>4042</v>
      </c>
    </row>
    <row r="171" spans="1:17" ht="15.75" customHeight="1">
      <c r="A171" s="27" t="s">
        <v>4042</v>
      </c>
      <c r="B171" s="27" t="s">
        <v>4042</v>
      </c>
      <c r="C171" s="27" t="s">
        <v>4042</v>
      </c>
      <c r="D171" s="27" t="s">
        <v>4042</v>
      </c>
      <c r="E171" s="27" t="s">
        <v>4042</v>
      </c>
      <c r="F171" s="27" t="s">
        <v>4042</v>
      </c>
      <c r="G171" s="27" t="s">
        <v>4042</v>
      </c>
      <c r="H171" s="27" t="s">
        <v>4042</v>
      </c>
      <c r="I171" s="27" t="s">
        <v>4042</v>
      </c>
      <c r="J171" s="27" t="s">
        <v>4042</v>
      </c>
      <c r="K171" s="27" t="s">
        <v>4042</v>
      </c>
      <c r="L171" s="27" t="s">
        <v>4042</v>
      </c>
      <c r="M171" s="27" t="s">
        <v>4042</v>
      </c>
      <c r="N171" s="27" t="s">
        <v>4042</v>
      </c>
      <c r="O171" s="27" t="s">
        <v>4042</v>
      </c>
      <c r="P171" s="27" t="s">
        <v>4042</v>
      </c>
      <c r="Q171" s="27" t="s">
        <v>4042</v>
      </c>
    </row>
    <row r="172" spans="1:17" ht="15.75" customHeight="1">
      <c r="A172" s="27" t="s">
        <v>4042</v>
      </c>
      <c r="B172" s="27" t="s">
        <v>4042</v>
      </c>
      <c r="C172" s="27" t="s">
        <v>4042</v>
      </c>
      <c r="D172" s="27" t="s">
        <v>4042</v>
      </c>
      <c r="E172" s="27" t="s">
        <v>4042</v>
      </c>
      <c r="F172" s="27" t="s">
        <v>4042</v>
      </c>
      <c r="G172" s="27" t="s">
        <v>4042</v>
      </c>
      <c r="H172" s="27" t="s">
        <v>4042</v>
      </c>
      <c r="I172" s="27" t="s">
        <v>4042</v>
      </c>
      <c r="J172" s="27" t="s">
        <v>4042</v>
      </c>
      <c r="K172" s="27" t="s">
        <v>4042</v>
      </c>
      <c r="L172" s="27" t="s">
        <v>4042</v>
      </c>
      <c r="M172" s="27" t="s">
        <v>4042</v>
      </c>
      <c r="N172" s="27" t="s">
        <v>4042</v>
      </c>
      <c r="O172" s="27" t="s">
        <v>4042</v>
      </c>
      <c r="P172" s="27" t="s">
        <v>4042</v>
      </c>
      <c r="Q172" s="27" t="s">
        <v>4042</v>
      </c>
    </row>
    <row r="173" spans="1:17" ht="15.75" customHeight="1">
      <c r="A173" s="27" t="s">
        <v>4042</v>
      </c>
      <c r="B173" s="27" t="s">
        <v>4042</v>
      </c>
      <c r="C173" s="27" t="s">
        <v>4042</v>
      </c>
      <c r="D173" s="27" t="s">
        <v>4042</v>
      </c>
      <c r="E173" s="27" t="s">
        <v>4042</v>
      </c>
      <c r="F173" s="27" t="s">
        <v>4042</v>
      </c>
      <c r="G173" s="27" t="s">
        <v>4042</v>
      </c>
      <c r="H173" s="27" t="s">
        <v>4042</v>
      </c>
      <c r="I173" s="27" t="s">
        <v>4042</v>
      </c>
      <c r="J173" s="27" t="s">
        <v>4042</v>
      </c>
      <c r="K173" s="27" t="s">
        <v>4042</v>
      </c>
      <c r="L173" s="27" t="s">
        <v>4042</v>
      </c>
      <c r="M173" s="27" t="s">
        <v>4042</v>
      </c>
      <c r="N173" s="27" t="s">
        <v>4042</v>
      </c>
      <c r="O173" s="27" t="s">
        <v>4042</v>
      </c>
      <c r="P173" s="27" t="s">
        <v>4042</v>
      </c>
      <c r="Q173" s="27" t="s">
        <v>4042</v>
      </c>
    </row>
    <row r="174" spans="1:17" ht="15.75" customHeight="1">
      <c r="A174" s="27" t="s">
        <v>4042</v>
      </c>
      <c r="B174" s="27" t="s">
        <v>4042</v>
      </c>
      <c r="C174" s="27" t="s">
        <v>4042</v>
      </c>
      <c r="D174" s="27" t="s">
        <v>4042</v>
      </c>
      <c r="E174" s="27" t="s">
        <v>4042</v>
      </c>
      <c r="F174" s="27" t="s">
        <v>4042</v>
      </c>
      <c r="G174" s="27" t="s">
        <v>4042</v>
      </c>
      <c r="H174" s="27" t="s">
        <v>4042</v>
      </c>
      <c r="I174" s="27" t="s">
        <v>4042</v>
      </c>
      <c r="J174" s="27" t="s">
        <v>4042</v>
      </c>
      <c r="K174" s="27" t="s">
        <v>4042</v>
      </c>
      <c r="L174" s="27" t="s">
        <v>4042</v>
      </c>
      <c r="M174" s="27" t="s">
        <v>4042</v>
      </c>
      <c r="N174" s="27" t="s">
        <v>4042</v>
      </c>
      <c r="O174" s="27" t="s">
        <v>4042</v>
      </c>
      <c r="P174" s="27" t="s">
        <v>4042</v>
      </c>
      <c r="Q174" s="27" t="s">
        <v>4042</v>
      </c>
    </row>
    <row r="175" spans="1:17" ht="15.75" customHeight="1">
      <c r="A175" s="27" t="s">
        <v>4042</v>
      </c>
      <c r="B175" s="27" t="s">
        <v>4042</v>
      </c>
      <c r="C175" s="27" t="s">
        <v>4042</v>
      </c>
      <c r="D175" s="27" t="s">
        <v>4042</v>
      </c>
      <c r="E175" s="27" t="s">
        <v>4042</v>
      </c>
      <c r="F175" s="27" t="s">
        <v>4042</v>
      </c>
      <c r="G175" s="27" t="s">
        <v>4042</v>
      </c>
      <c r="H175" s="27" t="s">
        <v>4042</v>
      </c>
      <c r="I175" s="27" t="s">
        <v>4042</v>
      </c>
      <c r="J175" s="27" t="s">
        <v>4042</v>
      </c>
      <c r="K175" s="27" t="s">
        <v>4042</v>
      </c>
      <c r="L175" s="27" t="s">
        <v>4042</v>
      </c>
      <c r="M175" s="27" t="s">
        <v>4042</v>
      </c>
      <c r="N175" s="27" t="s">
        <v>4042</v>
      </c>
      <c r="O175" s="27" t="s">
        <v>4042</v>
      </c>
      <c r="P175" s="27" t="s">
        <v>4042</v>
      </c>
      <c r="Q175" s="27" t="s">
        <v>4042</v>
      </c>
    </row>
    <row r="176" spans="1:17" ht="15.75" customHeight="1">
      <c r="A176" s="27" t="s">
        <v>4042</v>
      </c>
      <c r="B176" s="27" t="s">
        <v>4042</v>
      </c>
      <c r="C176" s="27" t="s">
        <v>4042</v>
      </c>
      <c r="D176" s="27" t="s">
        <v>4042</v>
      </c>
      <c r="E176" s="27" t="s">
        <v>4042</v>
      </c>
      <c r="F176" s="27" t="s">
        <v>4042</v>
      </c>
      <c r="G176" s="27" t="s">
        <v>4042</v>
      </c>
      <c r="H176" s="27" t="s">
        <v>4042</v>
      </c>
      <c r="I176" s="27" t="s">
        <v>4042</v>
      </c>
      <c r="J176" s="27" t="s">
        <v>4042</v>
      </c>
      <c r="K176" s="27" t="s">
        <v>4042</v>
      </c>
      <c r="L176" s="27" t="s">
        <v>4042</v>
      </c>
      <c r="M176" s="27" t="s">
        <v>4042</v>
      </c>
      <c r="N176" s="27" t="s">
        <v>4042</v>
      </c>
      <c r="O176" s="27" t="s">
        <v>4042</v>
      </c>
      <c r="P176" s="27" t="s">
        <v>4042</v>
      </c>
      <c r="Q176" s="27" t="s">
        <v>4042</v>
      </c>
    </row>
    <row r="177" spans="1:17" ht="15.75" customHeight="1">
      <c r="A177" s="27" t="s">
        <v>4042</v>
      </c>
      <c r="B177" s="27" t="s">
        <v>4042</v>
      </c>
      <c r="C177" s="27" t="s">
        <v>4042</v>
      </c>
      <c r="D177" s="27" t="s">
        <v>4042</v>
      </c>
      <c r="E177" s="27" t="s">
        <v>4042</v>
      </c>
      <c r="F177" s="27" t="s">
        <v>4042</v>
      </c>
      <c r="G177" s="27" t="s">
        <v>4042</v>
      </c>
      <c r="H177" s="27" t="s">
        <v>4042</v>
      </c>
      <c r="I177" s="27" t="s">
        <v>4042</v>
      </c>
      <c r="J177" s="27" t="s">
        <v>4042</v>
      </c>
      <c r="K177" s="27" t="s">
        <v>4042</v>
      </c>
      <c r="L177" s="27" t="s">
        <v>4042</v>
      </c>
      <c r="M177" s="27" t="s">
        <v>4042</v>
      </c>
      <c r="N177" s="27" t="s">
        <v>4042</v>
      </c>
      <c r="O177" s="27" t="s">
        <v>4042</v>
      </c>
      <c r="P177" s="27" t="s">
        <v>4042</v>
      </c>
      <c r="Q177" s="27" t="s">
        <v>4042</v>
      </c>
    </row>
    <row r="178" spans="1:17" ht="15.75" customHeight="1">
      <c r="A178" s="27" t="s">
        <v>4042</v>
      </c>
      <c r="B178" s="27" t="s">
        <v>4042</v>
      </c>
      <c r="C178" s="27" t="s">
        <v>4042</v>
      </c>
      <c r="D178" s="27" t="s">
        <v>4042</v>
      </c>
      <c r="E178" s="27" t="s">
        <v>4042</v>
      </c>
      <c r="F178" s="27" t="s">
        <v>4042</v>
      </c>
      <c r="G178" s="27" t="s">
        <v>4042</v>
      </c>
      <c r="H178" s="27" t="s">
        <v>4042</v>
      </c>
      <c r="I178" s="27" t="s">
        <v>4042</v>
      </c>
      <c r="J178" s="27" t="s">
        <v>4042</v>
      </c>
      <c r="K178" s="27" t="s">
        <v>4042</v>
      </c>
      <c r="L178" s="27" t="s">
        <v>4042</v>
      </c>
      <c r="M178" s="27" t="s">
        <v>4042</v>
      </c>
      <c r="N178" s="27" t="s">
        <v>4042</v>
      </c>
      <c r="O178" s="27" t="s">
        <v>4042</v>
      </c>
      <c r="P178" s="27" t="s">
        <v>4042</v>
      </c>
      <c r="Q178" s="27" t="s">
        <v>4042</v>
      </c>
    </row>
    <row r="179" spans="1:17" ht="15.75" customHeight="1">
      <c r="A179" s="27" t="s">
        <v>4042</v>
      </c>
      <c r="B179" s="27" t="s">
        <v>4042</v>
      </c>
      <c r="C179" s="27" t="s">
        <v>4042</v>
      </c>
      <c r="D179" s="27" t="s">
        <v>4042</v>
      </c>
      <c r="E179" s="27" t="s">
        <v>4042</v>
      </c>
      <c r="F179" s="27" t="s">
        <v>4042</v>
      </c>
      <c r="G179" s="27" t="s">
        <v>4042</v>
      </c>
      <c r="H179" s="27" t="s">
        <v>4042</v>
      </c>
      <c r="I179" s="27" t="s">
        <v>4042</v>
      </c>
      <c r="J179" s="27" t="s">
        <v>4042</v>
      </c>
      <c r="K179" s="27" t="s">
        <v>4042</v>
      </c>
      <c r="L179" s="27" t="s">
        <v>4042</v>
      </c>
      <c r="M179" s="27" t="s">
        <v>4042</v>
      </c>
      <c r="N179" s="27" t="s">
        <v>4042</v>
      </c>
      <c r="O179" s="27" t="s">
        <v>4042</v>
      </c>
      <c r="P179" s="27" t="s">
        <v>4042</v>
      </c>
      <c r="Q179" s="27" t="s">
        <v>4042</v>
      </c>
    </row>
    <row r="180" spans="1:17" ht="15.75" customHeight="1">
      <c r="A180" s="27" t="s">
        <v>4042</v>
      </c>
      <c r="B180" s="27" t="s">
        <v>4042</v>
      </c>
      <c r="C180" s="27" t="s">
        <v>4042</v>
      </c>
      <c r="D180" s="27" t="s">
        <v>4042</v>
      </c>
      <c r="E180" s="27" t="s">
        <v>4042</v>
      </c>
      <c r="F180" s="27" t="s">
        <v>4042</v>
      </c>
      <c r="G180" s="27" t="s">
        <v>4042</v>
      </c>
      <c r="H180" s="27" t="s">
        <v>4042</v>
      </c>
      <c r="I180" s="27" t="s">
        <v>4042</v>
      </c>
      <c r="J180" s="27" t="s">
        <v>4042</v>
      </c>
      <c r="K180" s="27" t="s">
        <v>4042</v>
      </c>
      <c r="L180" s="27" t="s">
        <v>4042</v>
      </c>
      <c r="M180" s="27" t="s">
        <v>4042</v>
      </c>
      <c r="N180" s="27" t="s">
        <v>4042</v>
      </c>
      <c r="O180" s="27" t="s">
        <v>4042</v>
      </c>
      <c r="P180" s="27" t="s">
        <v>4042</v>
      </c>
      <c r="Q180" s="27" t="s">
        <v>4042</v>
      </c>
    </row>
    <row r="181" spans="1:17" ht="15.75" customHeight="1">
      <c r="A181" s="27" t="s">
        <v>4042</v>
      </c>
      <c r="B181" s="27" t="s">
        <v>4042</v>
      </c>
      <c r="C181" s="27" t="s">
        <v>4042</v>
      </c>
      <c r="D181" s="27" t="s">
        <v>4042</v>
      </c>
      <c r="E181" s="27" t="s">
        <v>4042</v>
      </c>
      <c r="F181" s="27" t="s">
        <v>4042</v>
      </c>
      <c r="G181" s="27" t="s">
        <v>4042</v>
      </c>
      <c r="H181" s="27" t="s">
        <v>4042</v>
      </c>
      <c r="I181" s="27" t="s">
        <v>4042</v>
      </c>
      <c r="J181" s="27" t="s">
        <v>4042</v>
      </c>
      <c r="K181" s="27" t="s">
        <v>4042</v>
      </c>
      <c r="L181" s="27" t="s">
        <v>4042</v>
      </c>
      <c r="M181" s="27" t="s">
        <v>4042</v>
      </c>
      <c r="N181" s="27" t="s">
        <v>4042</v>
      </c>
      <c r="O181" s="27" t="s">
        <v>4042</v>
      </c>
      <c r="P181" s="27" t="s">
        <v>4042</v>
      </c>
      <c r="Q181" s="27" t="s">
        <v>4042</v>
      </c>
    </row>
    <row r="182" spans="1:17" ht="15.75" customHeight="1">
      <c r="A182" s="27" t="s">
        <v>4042</v>
      </c>
      <c r="B182" s="27" t="s">
        <v>4042</v>
      </c>
      <c r="C182" s="27" t="s">
        <v>4042</v>
      </c>
      <c r="D182" s="27" t="s">
        <v>4042</v>
      </c>
      <c r="E182" s="27" t="s">
        <v>4042</v>
      </c>
      <c r="F182" s="27" t="s">
        <v>4042</v>
      </c>
      <c r="G182" s="27" t="s">
        <v>4042</v>
      </c>
      <c r="H182" s="27" t="s">
        <v>4042</v>
      </c>
      <c r="I182" s="27" t="s">
        <v>4042</v>
      </c>
      <c r="J182" s="27" t="s">
        <v>4042</v>
      </c>
      <c r="K182" s="27" t="s">
        <v>4042</v>
      </c>
      <c r="L182" s="27" t="s">
        <v>4042</v>
      </c>
      <c r="M182" s="27" t="s">
        <v>4042</v>
      </c>
      <c r="N182" s="27" t="s">
        <v>4042</v>
      </c>
      <c r="O182" s="27" t="s">
        <v>4042</v>
      </c>
      <c r="P182" s="27" t="s">
        <v>4042</v>
      </c>
      <c r="Q182" s="27" t="s">
        <v>4042</v>
      </c>
    </row>
    <row r="183" spans="1:17" ht="15.75" customHeight="1">
      <c r="A183" s="27" t="s">
        <v>4042</v>
      </c>
      <c r="B183" s="27" t="s">
        <v>4042</v>
      </c>
      <c r="C183" s="27" t="s">
        <v>4042</v>
      </c>
      <c r="D183" s="27" t="s">
        <v>4042</v>
      </c>
      <c r="E183" s="27" t="s">
        <v>4042</v>
      </c>
      <c r="F183" s="27" t="s">
        <v>4042</v>
      </c>
      <c r="G183" s="27" t="s">
        <v>4042</v>
      </c>
      <c r="H183" s="27" t="s">
        <v>4042</v>
      </c>
      <c r="I183" s="27" t="s">
        <v>4042</v>
      </c>
      <c r="J183" s="27" t="s">
        <v>4042</v>
      </c>
      <c r="K183" s="27" t="s">
        <v>4042</v>
      </c>
      <c r="L183" s="27" t="s">
        <v>4042</v>
      </c>
      <c r="M183" s="27" t="s">
        <v>4042</v>
      </c>
      <c r="N183" s="27" t="s">
        <v>4042</v>
      </c>
      <c r="O183" s="27" t="s">
        <v>4042</v>
      </c>
      <c r="P183" s="27" t="s">
        <v>4042</v>
      </c>
      <c r="Q183" s="27" t="s">
        <v>4042</v>
      </c>
    </row>
    <row r="184" spans="1:17" ht="15.75" customHeight="1">
      <c r="A184" s="27" t="s">
        <v>4042</v>
      </c>
      <c r="B184" s="27" t="s">
        <v>4042</v>
      </c>
      <c r="C184" s="27" t="s">
        <v>4042</v>
      </c>
      <c r="D184" s="27" t="s">
        <v>4042</v>
      </c>
      <c r="E184" s="27" t="s">
        <v>4042</v>
      </c>
      <c r="F184" s="27" t="s">
        <v>4042</v>
      </c>
      <c r="G184" s="27" t="s">
        <v>4042</v>
      </c>
      <c r="H184" s="27" t="s">
        <v>4042</v>
      </c>
      <c r="I184" s="27" t="s">
        <v>4042</v>
      </c>
      <c r="J184" s="27" t="s">
        <v>4042</v>
      </c>
      <c r="K184" s="27" t="s">
        <v>4042</v>
      </c>
      <c r="L184" s="27" t="s">
        <v>4042</v>
      </c>
      <c r="M184" s="27" t="s">
        <v>4042</v>
      </c>
      <c r="N184" s="27" t="s">
        <v>4042</v>
      </c>
      <c r="O184" s="27" t="s">
        <v>4042</v>
      </c>
      <c r="P184" s="27" t="s">
        <v>4042</v>
      </c>
      <c r="Q184" s="27" t="s">
        <v>4042</v>
      </c>
    </row>
    <row r="185" spans="1:17" ht="15.75" customHeight="1">
      <c r="A185" s="27" t="s">
        <v>4042</v>
      </c>
      <c r="B185" s="27" t="s">
        <v>4042</v>
      </c>
      <c r="C185" s="27" t="s">
        <v>4042</v>
      </c>
      <c r="D185" s="27" t="s">
        <v>4042</v>
      </c>
      <c r="E185" s="27" t="s">
        <v>4042</v>
      </c>
      <c r="F185" s="27" t="s">
        <v>4042</v>
      </c>
      <c r="G185" s="27" t="s">
        <v>4042</v>
      </c>
      <c r="H185" s="27" t="s">
        <v>4042</v>
      </c>
      <c r="I185" s="27" t="s">
        <v>4042</v>
      </c>
      <c r="J185" s="27" t="s">
        <v>4042</v>
      </c>
      <c r="K185" s="27" t="s">
        <v>4042</v>
      </c>
      <c r="L185" s="27" t="s">
        <v>4042</v>
      </c>
      <c r="M185" s="27" t="s">
        <v>4042</v>
      </c>
      <c r="N185" s="27" t="s">
        <v>4042</v>
      </c>
      <c r="O185" s="27" t="s">
        <v>4042</v>
      </c>
      <c r="P185" s="27" t="s">
        <v>4042</v>
      </c>
      <c r="Q185" s="27" t="s">
        <v>4042</v>
      </c>
    </row>
    <row r="186" spans="1:17" ht="15.75" customHeight="1">
      <c r="A186" s="27" t="s">
        <v>4042</v>
      </c>
      <c r="B186" s="27" t="s">
        <v>4042</v>
      </c>
      <c r="C186" s="27" t="s">
        <v>4042</v>
      </c>
      <c r="D186" s="27" t="s">
        <v>4042</v>
      </c>
      <c r="E186" s="27" t="s">
        <v>4042</v>
      </c>
      <c r="F186" s="27" t="s">
        <v>4042</v>
      </c>
      <c r="G186" s="27" t="s">
        <v>4042</v>
      </c>
      <c r="H186" s="27" t="s">
        <v>4042</v>
      </c>
      <c r="I186" s="27" t="s">
        <v>4042</v>
      </c>
      <c r="J186" s="27" t="s">
        <v>4042</v>
      </c>
      <c r="K186" s="27" t="s">
        <v>4042</v>
      </c>
      <c r="L186" s="27" t="s">
        <v>4042</v>
      </c>
      <c r="M186" s="27" t="s">
        <v>4042</v>
      </c>
      <c r="N186" s="27" t="s">
        <v>4042</v>
      </c>
      <c r="O186" s="27" t="s">
        <v>4042</v>
      </c>
      <c r="P186" s="27" t="s">
        <v>4042</v>
      </c>
      <c r="Q186" s="27" t="s">
        <v>4042</v>
      </c>
    </row>
    <row r="187" spans="1:17" ht="15.75" customHeight="1">
      <c r="A187" s="27" t="s">
        <v>4042</v>
      </c>
      <c r="B187" s="27" t="s">
        <v>4042</v>
      </c>
      <c r="C187" s="27" t="s">
        <v>4042</v>
      </c>
      <c r="D187" s="27" t="s">
        <v>4042</v>
      </c>
      <c r="E187" s="27" t="s">
        <v>4042</v>
      </c>
      <c r="F187" s="27" t="s">
        <v>4042</v>
      </c>
      <c r="G187" s="27" t="s">
        <v>4042</v>
      </c>
      <c r="H187" s="27" t="s">
        <v>4042</v>
      </c>
      <c r="I187" s="27" t="s">
        <v>4042</v>
      </c>
      <c r="J187" s="27" t="s">
        <v>4042</v>
      </c>
      <c r="K187" s="27" t="s">
        <v>4042</v>
      </c>
      <c r="L187" s="27" t="s">
        <v>4042</v>
      </c>
      <c r="M187" s="27" t="s">
        <v>4042</v>
      </c>
      <c r="N187" s="27" t="s">
        <v>4042</v>
      </c>
      <c r="O187" s="27" t="s">
        <v>4042</v>
      </c>
      <c r="P187" s="27" t="s">
        <v>4042</v>
      </c>
      <c r="Q187" s="27" t="s">
        <v>4042</v>
      </c>
    </row>
    <row r="188" spans="1:17" ht="15.75" customHeight="1">
      <c r="A188" s="27" t="s">
        <v>4042</v>
      </c>
      <c r="B188" s="27" t="s">
        <v>4042</v>
      </c>
      <c r="C188" s="27" t="s">
        <v>4042</v>
      </c>
      <c r="D188" s="27" t="s">
        <v>4042</v>
      </c>
      <c r="E188" s="27" t="s">
        <v>4042</v>
      </c>
      <c r="F188" s="27" t="s">
        <v>4042</v>
      </c>
      <c r="G188" s="27" t="s">
        <v>4042</v>
      </c>
      <c r="H188" s="27" t="s">
        <v>4042</v>
      </c>
      <c r="I188" s="27" t="s">
        <v>4042</v>
      </c>
      <c r="J188" s="27" t="s">
        <v>4042</v>
      </c>
      <c r="K188" s="27" t="s">
        <v>4042</v>
      </c>
      <c r="L188" s="27" t="s">
        <v>4042</v>
      </c>
      <c r="M188" s="27" t="s">
        <v>4042</v>
      </c>
      <c r="N188" s="27" t="s">
        <v>4042</v>
      </c>
      <c r="O188" s="27" t="s">
        <v>4042</v>
      </c>
      <c r="P188" s="27" t="s">
        <v>4042</v>
      </c>
      <c r="Q188" s="27" t="s">
        <v>4042</v>
      </c>
    </row>
    <row r="189" spans="1:17" ht="15.75" customHeight="1">
      <c r="A189" s="27" t="s">
        <v>4042</v>
      </c>
      <c r="B189" s="27" t="s">
        <v>4042</v>
      </c>
      <c r="C189" s="27" t="s">
        <v>4042</v>
      </c>
      <c r="D189" s="27" t="s">
        <v>4042</v>
      </c>
      <c r="E189" s="27" t="s">
        <v>4042</v>
      </c>
      <c r="F189" s="27" t="s">
        <v>4042</v>
      </c>
      <c r="G189" s="27" t="s">
        <v>4042</v>
      </c>
      <c r="H189" s="27" t="s">
        <v>4042</v>
      </c>
      <c r="I189" s="27" t="s">
        <v>4042</v>
      </c>
      <c r="J189" s="27" t="s">
        <v>4042</v>
      </c>
      <c r="K189" s="27" t="s">
        <v>4042</v>
      </c>
      <c r="L189" s="27" t="s">
        <v>4042</v>
      </c>
      <c r="M189" s="27" t="s">
        <v>4042</v>
      </c>
      <c r="N189" s="27" t="s">
        <v>4042</v>
      </c>
      <c r="O189" s="27" t="s">
        <v>4042</v>
      </c>
      <c r="P189" s="27" t="s">
        <v>4042</v>
      </c>
      <c r="Q189" s="27" t="s">
        <v>4042</v>
      </c>
    </row>
    <row r="190" spans="1:17" ht="15.75" customHeight="1">
      <c r="A190" s="27" t="s">
        <v>4042</v>
      </c>
      <c r="B190" s="27" t="s">
        <v>4042</v>
      </c>
      <c r="C190" s="27" t="s">
        <v>4042</v>
      </c>
      <c r="D190" s="27" t="s">
        <v>4042</v>
      </c>
      <c r="E190" s="27" t="s">
        <v>4042</v>
      </c>
      <c r="F190" s="27" t="s">
        <v>4042</v>
      </c>
      <c r="G190" s="27" t="s">
        <v>4042</v>
      </c>
      <c r="H190" s="27" t="s">
        <v>4042</v>
      </c>
      <c r="I190" s="27" t="s">
        <v>4042</v>
      </c>
      <c r="J190" s="27" t="s">
        <v>4042</v>
      </c>
      <c r="K190" s="27" t="s">
        <v>4042</v>
      </c>
      <c r="L190" s="27" t="s">
        <v>4042</v>
      </c>
      <c r="M190" s="27" t="s">
        <v>4042</v>
      </c>
      <c r="N190" s="27" t="s">
        <v>4042</v>
      </c>
      <c r="O190" s="27" t="s">
        <v>4042</v>
      </c>
      <c r="P190" s="27" t="s">
        <v>4042</v>
      </c>
      <c r="Q190" s="27" t="s">
        <v>4042</v>
      </c>
    </row>
    <row r="191" spans="1:17" ht="15.75" customHeight="1">
      <c r="A191" s="27" t="s">
        <v>4042</v>
      </c>
      <c r="B191" s="27" t="s">
        <v>4042</v>
      </c>
      <c r="C191" s="27" t="s">
        <v>4042</v>
      </c>
      <c r="D191" s="27" t="s">
        <v>4042</v>
      </c>
      <c r="E191" s="27" t="s">
        <v>4042</v>
      </c>
      <c r="F191" s="27" t="s">
        <v>4042</v>
      </c>
      <c r="G191" s="27" t="s">
        <v>4042</v>
      </c>
      <c r="H191" s="27" t="s">
        <v>4042</v>
      </c>
      <c r="I191" s="27" t="s">
        <v>4042</v>
      </c>
      <c r="J191" s="27" t="s">
        <v>4042</v>
      </c>
      <c r="K191" s="27" t="s">
        <v>4042</v>
      </c>
      <c r="L191" s="27" t="s">
        <v>4042</v>
      </c>
      <c r="M191" s="27" t="s">
        <v>4042</v>
      </c>
      <c r="N191" s="27" t="s">
        <v>4042</v>
      </c>
      <c r="O191" s="27" t="s">
        <v>4042</v>
      </c>
      <c r="P191" s="27" t="s">
        <v>4042</v>
      </c>
      <c r="Q191" s="27" t="s">
        <v>4042</v>
      </c>
    </row>
    <row r="192" spans="1:17" ht="15.75" customHeight="1">
      <c r="A192" s="27" t="s">
        <v>4042</v>
      </c>
      <c r="B192" s="27" t="s">
        <v>4042</v>
      </c>
      <c r="C192" s="27" t="s">
        <v>4042</v>
      </c>
      <c r="D192" s="27" t="s">
        <v>4042</v>
      </c>
      <c r="E192" s="27" t="s">
        <v>4042</v>
      </c>
      <c r="F192" s="27" t="s">
        <v>4042</v>
      </c>
      <c r="G192" s="27" t="s">
        <v>4042</v>
      </c>
      <c r="H192" s="27" t="s">
        <v>4042</v>
      </c>
      <c r="I192" s="27" t="s">
        <v>4042</v>
      </c>
      <c r="J192" s="27" t="s">
        <v>4042</v>
      </c>
      <c r="K192" s="27" t="s">
        <v>4042</v>
      </c>
      <c r="L192" s="27" t="s">
        <v>4042</v>
      </c>
      <c r="M192" s="27" t="s">
        <v>4042</v>
      </c>
      <c r="N192" s="27" t="s">
        <v>4042</v>
      </c>
      <c r="O192" s="27" t="s">
        <v>4042</v>
      </c>
      <c r="P192" s="27" t="s">
        <v>4042</v>
      </c>
      <c r="Q192" s="27" t="s">
        <v>4042</v>
      </c>
    </row>
    <row r="193" spans="1:17" ht="15.75" customHeight="1">
      <c r="A193" s="27" t="s">
        <v>4042</v>
      </c>
      <c r="B193" s="27" t="s">
        <v>4042</v>
      </c>
      <c r="C193" s="27" t="s">
        <v>4042</v>
      </c>
      <c r="D193" s="27" t="s">
        <v>4042</v>
      </c>
      <c r="E193" s="27" t="s">
        <v>4042</v>
      </c>
      <c r="F193" s="27" t="s">
        <v>4042</v>
      </c>
      <c r="G193" s="27" t="s">
        <v>4042</v>
      </c>
      <c r="H193" s="27" t="s">
        <v>4042</v>
      </c>
      <c r="I193" s="27" t="s">
        <v>4042</v>
      </c>
      <c r="J193" s="27" t="s">
        <v>4042</v>
      </c>
      <c r="K193" s="27" t="s">
        <v>4042</v>
      </c>
      <c r="L193" s="27" t="s">
        <v>4042</v>
      </c>
      <c r="M193" s="27" t="s">
        <v>4042</v>
      </c>
      <c r="N193" s="27" t="s">
        <v>4042</v>
      </c>
      <c r="O193" s="27" t="s">
        <v>4042</v>
      </c>
      <c r="P193" s="27" t="s">
        <v>4042</v>
      </c>
      <c r="Q193" s="27" t="s">
        <v>4042</v>
      </c>
    </row>
    <row r="194" spans="1:17" ht="15.75" customHeight="1">
      <c r="A194" s="27" t="s">
        <v>4042</v>
      </c>
      <c r="B194" s="27" t="s">
        <v>4042</v>
      </c>
      <c r="C194" s="27" t="s">
        <v>4042</v>
      </c>
      <c r="D194" s="27" t="s">
        <v>4042</v>
      </c>
      <c r="E194" s="27" t="s">
        <v>4042</v>
      </c>
      <c r="F194" s="27" t="s">
        <v>4042</v>
      </c>
      <c r="G194" s="27" t="s">
        <v>4042</v>
      </c>
      <c r="H194" s="27" t="s">
        <v>4042</v>
      </c>
      <c r="I194" s="27" t="s">
        <v>4042</v>
      </c>
      <c r="J194" s="27" t="s">
        <v>4042</v>
      </c>
      <c r="K194" s="27" t="s">
        <v>4042</v>
      </c>
      <c r="L194" s="27" t="s">
        <v>4042</v>
      </c>
      <c r="M194" s="27" t="s">
        <v>4042</v>
      </c>
      <c r="N194" s="27" t="s">
        <v>4042</v>
      </c>
      <c r="O194" s="27" t="s">
        <v>4042</v>
      </c>
      <c r="P194" s="27" t="s">
        <v>4042</v>
      </c>
      <c r="Q194" s="27" t="s">
        <v>4042</v>
      </c>
    </row>
    <row r="195" spans="1:17" ht="15.75" customHeight="1">
      <c r="A195" s="27" t="s">
        <v>4042</v>
      </c>
      <c r="B195" s="27" t="s">
        <v>4042</v>
      </c>
      <c r="C195" s="27" t="s">
        <v>4042</v>
      </c>
      <c r="D195" s="27" t="s">
        <v>4042</v>
      </c>
      <c r="E195" s="27" t="s">
        <v>4042</v>
      </c>
      <c r="F195" s="27" t="s">
        <v>4042</v>
      </c>
      <c r="G195" s="27" t="s">
        <v>4042</v>
      </c>
      <c r="H195" s="27" t="s">
        <v>4042</v>
      </c>
      <c r="I195" s="27" t="s">
        <v>4042</v>
      </c>
      <c r="J195" s="27" t="s">
        <v>4042</v>
      </c>
      <c r="K195" s="27" t="s">
        <v>4042</v>
      </c>
      <c r="L195" s="27" t="s">
        <v>4042</v>
      </c>
      <c r="M195" s="27" t="s">
        <v>4042</v>
      </c>
      <c r="N195" s="27" t="s">
        <v>4042</v>
      </c>
      <c r="O195" s="27" t="s">
        <v>4042</v>
      </c>
      <c r="P195" s="27" t="s">
        <v>4042</v>
      </c>
      <c r="Q195" s="27" t="s">
        <v>4042</v>
      </c>
    </row>
    <row r="196" spans="1:17" ht="15.75" customHeight="1">
      <c r="A196" s="27" t="s">
        <v>4042</v>
      </c>
      <c r="B196" s="27" t="s">
        <v>4042</v>
      </c>
      <c r="C196" s="27" t="s">
        <v>4042</v>
      </c>
      <c r="D196" s="27" t="s">
        <v>4042</v>
      </c>
      <c r="E196" s="27" t="s">
        <v>4042</v>
      </c>
      <c r="F196" s="27" t="s">
        <v>4042</v>
      </c>
      <c r="G196" s="27" t="s">
        <v>4042</v>
      </c>
      <c r="H196" s="27" t="s">
        <v>4042</v>
      </c>
      <c r="I196" s="27" t="s">
        <v>4042</v>
      </c>
      <c r="J196" s="27" t="s">
        <v>4042</v>
      </c>
      <c r="K196" s="27" t="s">
        <v>4042</v>
      </c>
      <c r="L196" s="27" t="s">
        <v>4042</v>
      </c>
      <c r="M196" s="27" t="s">
        <v>4042</v>
      </c>
      <c r="N196" s="27" t="s">
        <v>4042</v>
      </c>
      <c r="O196" s="27" t="s">
        <v>4042</v>
      </c>
      <c r="P196" s="27" t="s">
        <v>4042</v>
      </c>
      <c r="Q196" s="27" t="s">
        <v>4042</v>
      </c>
    </row>
    <row r="197" spans="1:17" ht="15.75" customHeight="1">
      <c r="A197" s="27" t="s">
        <v>4042</v>
      </c>
      <c r="B197" s="27" t="s">
        <v>4042</v>
      </c>
      <c r="C197" s="27" t="s">
        <v>4042</v>
      </c>
      <c r="D197" s="27" t="s">
        <v>4042</v>
      </c>
      <c r="E197" s="27" t="s">
        <v>4042</v>
      </c>
      <c r="F197" s="27" t="s">
        <v>4042</v>
      </c>
      <c r="G197" s="27" t="s">
        <v>4042</v>
      </c>
      <c r="H197" s="27" t="s">
        <v>4042</v>
      </c>
      <c r="I197" s="27" t="s">
        <v>4042</v>
      </c>
      <c r="J197" s="27" t="s">
        <v>4042</v>
      </c>
      <c r="K197" s="27" t="s">
        <v>4042</v>
      </c>
      <c r="L197" s="27" t="s">
        <v>4042</v>
      </c>
      <c r="M197" s="27" t="s">
        <v>4042</v>
      </c>
      <c r="N197" s="27" t="s">
        <v>4042</v>
      </c>
      <c r="O197" s="27" t="s">
        <v>4042</v>
      </c>
      <c r="P197" s="27" t="s">
        <v>4042</v>
      </c>
      <c r="Q197" s="27" t="s">
        <v>4042</v>
      </c>
    </row>
    <row r="198" spans="1:17" ht="15.75" customHeight="1">
      <c r="A198" s="27" t="s">
        <v>4042</v>
      </c>
      <c r="B198" s="27" t="s">
        <v>4042</v>
      </c>
      <c r="C198" s="27" t="s">
        <v>4042</v>
      </c>
      <c r="D198" s="27" t="s">
        <v>4042</v>
      </c>
      <c r="E198" s="27" t="s">
        <v>4042</v>
      </c>
      <c r="F198" s="27" t="s">
        <v>4042</v>
      </c>
      <c r="G198" s="27" t="s">
        <v>4042</v>
      </c>
      <c r="H198" s="27" t="s">
        <v>4042</v>
      </c>
      <c r="I198" s="27" t="s">
        <v>4042</v>
      </c>
      <c r="J198" s="27" t="s">
        <v>4042</v>
      </c>
      <c r="K198" s="27" t="s">
        <v>4042</v>
      </c>
      <c r="L198" s="27" t="s">
        <v>4042</v>
      </c>
      <c r="M198" s="27" t="s">
        <v>4042</v>
      </c>
      <c r="N198" s="27" t="s">
        <v>4042</v>
      </c>
      <c r="O198" s="27" t="s">
        <v>4042</v>
      </c>
      <c r="P198" s="27" t="s">
        <v>4042</v>
      </c>
      <c r="Q198" s="27" t="s">
        <v>4042</v>
      </c>
    </row>
    <row r="199" spans="1:17" ht="15.75" customHeight="1">
      <c r="A199" s="27" t="s">
        <v>4042</v>
      </c>
      <c r="B199" s="27" t="s">
        <v>4042</v>
      </c>
      <c r="C199" s="27" t="s">
        <v>4042</v>
      </c>
      <c r="D199" s="27" t="s">
        <v>4042</v>
      </c>
      <c r="E199" s="27" t="s">
        <v>4042</v>
      </c>
      <c r="F199" s="27" t="s">
        <v>4042</v>
      </c>
      <c r="G199" s="27" t="s">
        <v>4042</v>
      </c>
      <c r="H199" s="27" t="s">
        <v>4042</v>
      </c>
      <c r="I199" s="27" t="s">
        <v>4042</v>
      </c>
      <c r="J199" s="27" t="s">
        <v>4042</v>
      </c>
      <c r="K199" s="27" t="s">
        <v>4042</v>
      </c>
      <c r="L199" s="27" t="s">
        <v>4042</v>
      </c>
      <c r="M199" s="27" t="s">
        <v>4042</v>
      </c>
      <c r="N199" s="27" t="s">
        <v>4042</v>
      </c>
      <c r="O199" s="27" t="s">
        <v>4042</v>
      </c>
      <c r="P199" s="27" t="s">
        <v>4042</v>
      </c>
      <c r="Q199" s="27" t="s">
        <v>4042</v>
      </c>
    </row>
    <row r="200" spans="1:17" ht="15.75" customHeight="1">
      <c r="A200" s="27" t="s">
        <v>4042</v>
      </c>
      <c r="B200" s="27" t="s">
        <v>4042</v>
      </c>
      <c r="C200" s="27" t="s">
        <v>4042</v>
      </c>
      <c r="D200" s="27" t="s">
        <v>4042</v>
      </c>
      <c r="E200" s="27" t="s">
        <v>4042</v>
      </c>
      <c r="F200" s="27" t="s">
        <v>4042</v>
      </c>
      <c r="G200" s="27" t="s">
        <v>4042</v>
      </c>
      <c r="H200" s="27" t="s">
        <v>4042</v>
      </c>
      <c r="I200" s="27" t="s">
        <v>4042</v>
      </c>
      <c r="J200" s="27" t="s">
        <v>4042</v>
      </c>
      <c r="K200" s="27" t="s">
        <v>4042</v>
      </c>
      <c r="L200" s="27" t="s">
        <v>4042</v>
      </c>
      <c r="M200" s="27" t="s">
        <v>4042</v>
      </c>
      <c r="N200" s="27" t="s">
        <v>4042</v>
      </c>
      <c r="O200" s="27" t="s">
        <v>4042</v>
      </c>
      <c r="P200" s="27" t="s">
        <v>4042</v>
      </c>
      <c r="Q200" s="27" t="s">
        <v>4042</v>
      </c>
    </row>
    <row r="201" spans="1:17" ht="15.75" customHeight="1">
      <c r="A201" s="27" t="s">
        <v>4042</v>
      </c>
      <c r="B201" s="27" t="s">
        <v>4042</v>
      </c>
      <c r="C201" s="27" t="s">
        <v>4042</v>
      </c>
      <c r="D201" s="27" t="s">
        <v>4042</v>
      </c>
      <c r="E201" s="27" t="s">
        <v>4042</v>
      </c>
      <c r="F201" s="27" t="s">
        <v>4042</v>
      </c>
      <c r="G201" s="27" t="s">
        <v>4042</v>
      </c>
      <c r="H201" s="27" t="s">
        <v>4042</v>
      </c>
      <c r="I201" s="27" t="s">
        <v>4042</v>
      </c>
      <c r="J201" s="27" t="s">
        <v>4042</v>
      </c>
      <c r="K201" s="27" t="s">
        <v>4042</v>
      </c>
      <c r="L201" s="27" t="s">
        <v>4042</v>
      </c>
      <c r="M201" s="27" t="s">
        <v>4042</v>
      </c>
      <c r="N201" s="27" t="s">
        <v>4042</v>
      </c>
      <c r="O201" s="27" t="s">
        <v>4042</v>
      </c>
      <c r="P201" s="27" t="s">
        <v>4042</v>
      </c>
      <c r="Q201" s="27" t="s">
        <v>4042</v>
      </c>
    </row>
    <row r="202" spans="1:17" ht="15.75" customHeight="1">
      <c r="A202" s="27" t="s">
        <v>4042</v>
      </c>
      <c r="B202" s="27" t="s">
        <v>4042</v>
      </c>
      <c r="C202" s="27" t="s">
        <v>4042</v>
      </c>
      <c r="D202" s="27" t="s">
        <v>4042</v>
      </c>
      <c r="E202" s="27" t="s">
        <v>4042</v>
      </c>
      <c r="F202" s="27" t="s">
        <v>4042</v>
      </c>
      <c r="G202" s="27" t="s">
        <v>4042</v>
      </c>
      <c r="H202" s="27" t="s">
        <v>4042</v>
      </c>
      <c r="I202" s="27" t="s">
        <v>4042</v>
      </c>
      <c r="J202" s="27" t="s">
        <v>4042</v>
      </c>
      <c r="K202" s="27" t="s">
        <v>4042</v>
      </c>
      <c r="L202" s="27" t="s">
        <v>4042</v>
      </c>
      <c r="M202" s="27" t="s">
        <v>4042</v>
      </c>
      <c r="N202" s="27" t="s">
        <v>4042</v>
      </c>
      <c r="O202" s="27" t="s">
        <v>4042</v>
      </c>
      <c r="P202" s="27" t="s">
        <v>4042</v>
      </c>
      <c r="Q202" s="27" t="s">
        <v>4042</v>
      </c>
    </row>
    <row r="203" spans="1:17" ht="15.75" customHeight="1">
      <c r="A203" s="27" t="s">
        <v>4042</v>
      </c>
      <c r="B203" s="27" t="s">
        <v>4042</v>
      </c>
      <c r="C203" s="27" t="s">
        <v>4042</v>
      </c>
      <c r="D203" s="27" t="s">
        <v>4042</v>
      </c>
      <c r="E203" s="27" t="s">
        <v>4042</v>
      </c>
      <c r="F203" s="27" t="s">
        <v>4042</v>
      </c>
      <c r="G203" s="27" t="s">
        <v>4042</v>
      </c>
      <c r="H203" s="27" t="s">
        <v>4042</v>
      </c>
      <c r="I203" s="27" t="s">
        <v>4042</v>
      </c>
      <c r="J203" s="27" t="s">
        <v>4042</v>
      </c>
      <c r="K203" s="27" t="s">
        <v>4042</v>
      </c>
      <c r="L203" s="27" t="s">
        <v>4042</v>
      </c>
      <c r="M203" s="27" t="s">
        <v>4042</v>
      </c>
      <c r="N203" s="27" t="s">
        <v>4042</v>
      </c>
      <c r="O203" s="27" t="s">
        <v>4042</v>
      </c>
      <c r="P203" s="27" t="s">
        <v>4042</v>
      </c>
      <c r="Q203" s="27" t="s">
        <v>4042</v>
      </c>
    </row>
    <row r="204" spans="1:17" ht="15.75" customHeight="1">
      <c r="A204" s="27" t="s">
        <v>4042</v>
      </c>
      <c r="B204" s="27" t="s">
        <v>4042</v>
      </c>
      <c r="C204" s="27" t="s">
        <v>4042</v>
      </c>
      <c r="D204" s="27" t="s">
        <v>4042</v>
      </c>
      <c r="E204" s="27" t="s">
        <v>4042</v>
      </c>
      <c r="F204" s="27" t="s">
        <v>4042</v>
      </c>
      <c r="G204" s="27" t="s">
        <v>4042</v>
      </c>
      <c r="H204" s="27" t="s">
        <v>4042</v>
      </c>
      <c r="I204" s="27" t="s">
        <v>4042</v>
      </c>
      <c r="J204" s="27" t="s">
        <v>4042</v>
      </c>
      <c r="K204" s="27" t="s">
        <v>4042</v>
      </c>
      <c r="L204" s="27" t="s">
        <v>4042</v>
      </c>
      <c r="M204" s="27" t="s">
        <v>4042</v>
      </c>
      <c r="N204" s="27" t="s">
        <v>4042</v>
      </c>
      <c r="O204" s="27" t="s">
        <v>4042</v>
      </c>
      <c r="P204" s="27" t="s">
        <v>4042</v>
      </c>
      <c r="Q204" s="27" t="s">
        <v>4042</v>
      </c>
    </row>
    <row r="205" spans="1:17" ht="15.75" customHeight="1">
      <c r="A205" s="27" t="s">
        <v>4042</v>
      </c>
      <c r="B205" s="27" t="s">
        <v>4042</v>
      </c>
      <c r="C205" s="27" t="s">
        <v>4042</v>
      </c>
      <c r="D205" s="27" t="s">
        <v>4042</v>
      </c>
      <c r="E205" s="27" t="s">
        <v>4042</v>
      </c>
      <c r="F205" s="27" t="s">
        <v>4042</v>
      </c>
      <c r="G205" s="27" t="s">
        <v>4042</v>
      </c>
      <c r="H205" s="27" t="s">
        <v>4042</v>
      </c>
      <c r="I205" s="27" t="s">
        <v>4042</v>
      </c>
      <c r="J205" s="27" t="s">
        <v>4042</v>
      </c>
      <c r="K205" s="27" t="s">
        <v>4042</v>
      </c>
      <c r="L205" s="27" t="s">
        <v>4042</v>
      </c>
      <c r="M205" s="27" t="s">
        <v>4042</v>
      </c>
      <c r="N205" s="27" t="s">
        <v>4042</v>
      </c>
      <c r="O205" s="27" t="s">
        <v>4042</v>
      </c>
      <c r="P205" s="27" t="s">
        <v>4042</v>
      </c>
      <c r="Q205" s="27" t="s">
        <v>4042</v>
      </c>
    </row>
    <row r="206" spans="1:17" ht="15.75" customHeight="1">
      <c r="A206" s="27" t="s">
        <v>4042</v>
      </c>
      <c r="B206" s="27" t="s">
        <v>4042</v>
      </c>
      <c r="C206" s="27" t="s">
        <v>4042</v>
      </c>
      <c r="D206" s="27" t="s">
        <v>4042</v>
      </c>
      <c r="E206" s="27" t="s">
        <v>4042</v>
      </c>
      <c r="F206" s="27" t="s">
        <v>4042</v>
      </c>
      <c r="G206" s="27" t="s">
        <v>4042</v>
      </c>
      <c r="H206" s="27" t="s">
        <v>4042</v>
      </c>
      <c r="I206" s="27" t="s">
        <v>4042</v>
      </c>
      <c r="J206" s="27" t="s">
        <v>4042</v>
      </c>
      <c r="K206" s="27" t="s">
        <v>4042</v>
      </c>
      <c r="L206" s="27" t="s">
        <v>4042</v>
      </c>
      <c r="M206" s="27" t="s">
        <v>4042</v>
      </c>
      <c r="N206" s="27" t="s">
        <v>4042</v>
      </c>
      <c r="O206" s="27" t="s">
        <v>4042</v>
      </c>
      <c r="P206" s="27" t="s">
        <v>4042</v>
      </c>
      <c r="Q206" s="27" t="s">
        <v>4042</v>
      </c>
    </row>
    <row r="207" spans="1:17" ht="15.75" customHeight="1">
      <c r="A207" s="27" t="s">
        <v>4042</v>
      </c>
      <c r="B207" s="27" t="s">
        <v>4042</v>
      </c>
      <c r="C207" s="27" t="s">
        <v>4042</v>
      </c>
      <c r="D207" s="27" t="s">
        <v>4042</v>
      </c>
      <c r="E207" s="27" t="s">
        <v>4042</v>
      </c>
      <c r="F207" s="27" t="s">
        <v>4042</v>
      </c>
      <c r="G207" s="27" t="s">
        <v>4042</v>
      </c>
      <c r="H207" s="27" t="s">
        <v>4042</v>
      </c>
      <c r="I207" s="27" t="s">
        <v>4042</v>
      </c>
      <c r="J207" s="27" t="s">
        <v>4042</v>
      </c>
      <c r="K207" s="27" t="s">
        <v>4042</v>
      </c>
      <c r="L207" s="27" t="s">
        <v>4042</v>
      </c>
      <c r="M207" s="27" t="s">
        <v>4042</v>
      </c>
      <c r="N207" s="27" t="s">
        <v>4042</v>
      </c>
      <c r="O207" s="27" t="s">
        <v>4042</v>
      </c>
      <c r="P207" s="27" t="s">
        <v>4042</v>
      </c>
      <c r="Q207" s="27" t="s">
        <v>4042</v>
      </c>
    </row>
    <row r="208" spans="1:17" ht="15.75" customHeight="1">
      <c r="A208" s="27" t="s">
        <v>4042</v>
      </c>
      <c r="B208" s="27" t="s">
        <v>4042</v>
      </c>
      <c r="C208" s="27" t="s">
        <v>4042</v>
      </c>
      <c r="D208" s="27" t="s">
        <v>4042</v>
      </c>
      <c r="E208" s="27" t="s">
        <v>4042</v>
      </c>
      <c r="F208" s="27" t="s">
        <v>4042</v>
      </c>
      <c r="G208" s="27" t="s">
        <v>4042</v>
      </c>
      <c r="H208" s="27" t="s">
        <v>4042</v>
      </c>
      <c r="I208" s="27" t="s">
        <v>4042</v>
      </c>
      <c r="J208" s="27" t="s">
        <v>4042</v>
      </c>
      <c r="K208" s="27" t="s">
        <v>4042</v>
      </c>
      <c r="L208" s="27" t="s">
        <v>4042</v>
      </c>
      <c r="M208" s="27" t="s">
        <v>4042</v>
      </c>
      <c r="N208" s="27" t="s">
        <v>4042</v>
      </c>
      <c r="O208" s="27" t="s">
        <v>4042</v>
      </c>
      <c r="P208" s="27" t="s">
        <v>4042</v>
      </c>
      <c r="Q208" s="27" t="s">
        <v>4042</v>
      </c>
    </row>
    <row r="209" spans="1:17" ht="15.75" customHeight="1">
      <c r="A209" s="27" t="s">
        <v>4042</v>
      </c>
      <c r="B209" s="27" t="s">
        <v>4042</v>
      </c>
      <c r="C209" s="27" t="s">
        <v>4042</v>
      </c>
      <c r="D209" s="27" t="s">
        <v>4042</v>
      </c>
      <c r="E209" s="27" t="s">
        <v>4042</v>
      </c>
      <c r="F209" s="27" t="s">
        <v>4042</v>
      </c>
      <c r="G209" s="27" t="s">
        <v>4042</v>
      </c>
      <c r="H209" s="27" t="s">
        <v>4042</v>
      </c>
      <c r="I209" s="27" t="s">
        <v>4042</v>
      </c>
      <c r="J209" s="27" t="s">
        <v>4042</v>
      </c>
      <c r="K209" s="27" t="s">
        <v>4042</v>
      </c>
      <c r="L209" s="27" t="s">
        <v>4042</v>
      </c>
      <c r="M209" s="27" t="s">
        <v>4042</v>
      </c>
      <c r="N209" s="27" t="s">
        <v>4042</v>
      </c>
      <c r="O209" s="27" t="s">
        <v>4042</v>
      </c>
      <c r="P209" s="27" t="s">
        <v>4042</v>
      </c>
      <c r="Q209" s="27" t="s">
        <v>4042</v>
      </c>
    </row>
    <row r="210" spans="1:17" ht="15.75" customHeight="1">
      <c r="A210" s="27" t="s">
        <v>4042</v>
      </c>
      <c r="B210" s="27" t="s">
        <v>4042</v>
      </c>
      <c r="C210" s="27" t="s">
        <v>4042</v>
      </c>
      <c r="D210" s="27" t="s">
        <v>4042</v>
      </c>
      <c r="E210" s="27" t="s">
        <v>4042</v>
      </c>
      <c r="F210" s="27" t="s">
        <v>4042</v>
      </c>
      <c r="G210" s="27" t="s">
        <v>4042</v>
      </c>
      <c r="H210" s="27" t="s">
        <v>4042</v>
      </c>
      <c r="I210" s="27" t="s">
        <v>4042</v>
      </c>
      <c r="J210" s="27" t="s">
        <v>4042</v>
      </c>
      <c r="K210" s="27" t="s">
        <v>4042</v>
      </c>
      <c r="L210" s="27" t="s">
        <v>4042</v>
      </c>
      <c r="M210" s="27" t="s">
        <v>4042</v>
      </c>
      <c r="N210" s="27" t="s">
        <v>4042</v>
      </c>
      <c r="O210" s="27" t="s">
        <v>4042</v>
      </c>
      <c r="P210" s="27" t="s">
        <v>4042</v>
      </c>
      <c r="Q210" s="27" t="s">
        <v>4042</v>
      </c>
    </row>
    <row r="211" spans="1:17" ht="15.75" customHeight="1">
      <c r="A211" s="27" t="s">
        <v>4042</v>
      </c>
      <c r="B211" s="27" t="s">
        <v>4042</v>
      </c>
      <c r="C211" s="27" t="s">
        <v>4042</v>
      </c>
      <c r="D211" s="27" t="s">
        <v>4042</v>
      </c>
      <c r="E211" s="27" t="s">
        <v>4042</v>
      </c>
      <c r="F211" s="27" t="s">
        <v>4042</v>
      </c>
      <c r="G211" s="27" t="s">
        <v>4042</v>
      </c>
      <c r="H211" s="27" t="s">
        <v>4042</v>
      </c>
      <c r="I211" s="27" t="s">
        <v>4042</v>
      </c>
      <c r="J211" s="27" t="s">
        <v>4042</v>
      </c>
      <c r="K211" s="27" t="s">
        <v>4042</v>
      </c>
      <c r="L211" s="27" t="s">
        <v>4042</v>
      </c>
      <c r="M211" s="27" t="s">
        <v>4042</v>
      </c>
      <c r="N211" s="27" t="s">
        <v>4042</v>
      </c>
      <c r="O211" s="27" t="s">
        <v>4042</v>
      </c>
      <c r="P211" s="27" t="s">
        <v>4042</v>
      </c>
      <c r="Q211" s="27" t="s">
        <v>4042</v>
      </c>
    </row>
    <row r="212" spans="1:17" ht="15.75" customHeight="1">
      <c r="A212" s="27" t="s">
        <v>4042</v>
      </c>
      <c r="B212" s="27" t="s">
        <v>4042</v>
      </c>
      <c r="C212" s="27" t="s">
        <v>4042</v>
      </c>
      <c r="D212" s="27" t="s">
        <v>4042</v>
      </c>
      <c r="E212" s="27" t="s">
        <v>4042</v>
      </c>
      <c r="F212" s="27" t="s">
        <v>4042</v>
      </c>
      <c r="G212" s="27" t="s">
        <v>4042</v>
      </c>
      <c r="H212" s="27" t="s">
        <v>4042</v>
      </c>
      <c r="I212" s="27" t="s">
        <v>4042</v>
      </c>
      <c r="J212" s="27" t="s">
        <v>4042</v>
      </c>
      <c r="K212" s="27" t="s">
        <v>4042</v>
      </c>
      <c r="L212" s="27" t="s">
        <v>4042</v>
      </c>
      <c r="M212" s="27" t="s">
        <v>4042</v>
      </c>
      <c r="N212" s="27" t="s">
        <v>4042</v>
      </c>
      <c r="O212" s="27" t="s">
        <v>4042</v>
      </c>
      <c r="P212" s="27" t="s">
        <v>4042</v>
      </c>
      <c r="Q212" s="27" t="s">
        <v>4042</v>
      </c>
    </row>
    <row r="213" spans="1:17" ht="15.75" customHeight="1">
      <c r="A213" s="27" t="s">
        <v>4042</v>
      </c>
      <c r="B213" s="27" t="s">
        <v>4042</v>
      </c>
      <c r="C213" s="27" t="s">
        <v>4042</v>
      </c>
      <c r="D213" s="27" t="s">
        <v>4042</v>
      </c>
      <c r="E213" s="27" t="s">
        <v>4042</v>
      </c>
      <c r="F213" s="27" t="s">
        <v>4042</v>
      </c>
      <c r="G213" s="27" t="s">
        <v>4042</v>
      </c>
      <c r="H213" s="27" t="s">
        <v>4042</v>
      </c>
      <c r="I213" s="27" t="s">
        <v>4042</v>
      </c>
      <c r="J213" s="27" t="s">
        <v>4042</v>
      </c>
      <c r="K213" s="27" t="s">
        <v>4042</v>
      </c>
      <c r="L213" s="27" t="s">
        <v>4042</v>
      </c>
      <c r="M213" s="27" t="s">
        <v>4042</v>
      </c>
      <c r="N213" s="27" t="s">
        <v>4042</v>
      </c>
      <c r="O213" s="27" t="s">
        <v>4042</v>
      </c>
      <c r="P213" s="27" t="s">
        <v>4042</v>
      </c>
      <c r="Q213" s="27" t="s">
        <v>4042</v>
      </c>
    </row>
    <row r="214" spans="1:17" ht="15.75" customHeight="1">
      <c r="A214" s="27" t="s">
        <v>4042</v>
      </c>
      <c r="B214" s="27" t="s">
        <v>4042</v>
      </c>
      <c r="C214" s="27" t="s">
        <v>4042</v>
      </c>
      <c r="D214" s="27" t="s">
        <v>4042</v>
      </c>
      <c r="E214" s="27" t="s">
        <v>4042</v>
      </c>
      <c r="F214" s="27" t="s">
        <v>4042</v>
      </c>
      <c r="G214" s="27" t="s">
        <v>4042</v>
      </c>
      <c r="H214" s="27" t="s">
        <v>4042</v>
      </c>
      <c r="I214" s="27" t="s">
        <v>4042</v>
      </c>
      <c r="J214" s="27" t="s">
        <v>4042</v>
      </c>
      <c r="K214" s="27" t="s">
        <v>4042</v>
      </c>
      <c r="L214" s="27" t="s">
        <v>4042</v>
      </c>
      <c r="M214" s="27" t="s">
        <v>4042</v>
      </c>
      <c r="N214" s="27" t="s">
        <v>4042</v>
      </c>
      <c r="O214" s="27" t="s">
        <v>4042</v>
      </c>
      <c r="P214" s="27" t="s">
        <v>4042</v>
      </c>
      <c r="Q214" s="27" t="s">
        <v>4042</v>
      </c>
    </row>
    <row r="215" spans="1:17" ht="15.75" customHeight="1">
      <c r="A215" s="27" t="s">
        <v>4042</v>
      </c>
      <c r="B215" s="27" t="s">
        <v>4042</v>
      </c>
      <c r="C215" s="27" t="s">
        <v>4042</v>
      </c>
      <c r="D215" s="27" t="s">
        <v>4042</v>
      </c>
      <c r="E215" s="27" t="s">
        <v>4042</v>
      </c>
      <c r="F215" s="27" t="s">
        <v>4042</v>
      </c>
      <c r="G215" s="27" t="s">
        <v>4042</v>
      </c>
      <c r="H215" s="27" t="s">
        <v>4042</v>
      </c>
      <c r="I215" s="27" t="s">
        <v>4042</v>
      </c>
      <c r="J215" s="27" t="s">
        <v>4042</v>
      </c>
      <c r="K215" s="27" t="s">
        <v>4042</v>
      </c>
      <c r="L215" s="27" t="s">
        <v>4042</v>
      </c>
      <c r="M215" s="27" t="s">
        <v>4042</v>
      </c>
      <c r="N215" s="27" t="s">
        <v>4042</v>
      </c>
      <c r="O215" s="27" t="s">
        <v>4042</v>
      </c>
      <c r="P215" s="27" t="s">
        <v>4042</v>
      </c>
      <c r="Q215" s="27" t="s">
        <v>4042</v>
      </c>
    </row>
    <row r="216" spans="1:17" ht="15.75" customHeight="1">
      <c r="A216" s="27" t="s">
        <v>4042</v>
      </c>
      <c r="B216" s="27" t="s">
        <v>4042</v>
      </c>
      <c r="C216" s="27" t="s">
        <v>4042</v>
      </c>
      <c r="D216" s="27" t="s">
        <v>4042</v>
      </c>
      <c r="E216" s="27" t="s">
        <v>4042</v>
      </c>
      <c r="F216" s="27" t="s">
        <v>4042</v>
      </c>
      <c r="G216" s="27" t="s">
        <v>4042</v>
      </c>
      <c r="H216" s="27" t="s">
        <v>4042</v>
      </c>
      <c r="I216" s="27" t="s">
        <v>4042</v>
      </c>
      <c r="J216" s="27" t="s">
        <v>4042</v>
      </c>
      <c r="K216" s="27" t="s">
        <v>4042</v>
      </c>
      <c r="L216" s="27" t="s">
        <v>4042</v>
      </c>
      <c r="M216" s="27" t="s">
        <v>4042</v>
      </c>
      <c r="N216" s="27" t="s">
        <v>4042</v>
      </c>
      <c r="O216" s="27" t="s">
        <v>4042</v>
      </c>
      <c r="P216" s="27" t="s">
        <v>4042</v>
      </c>
      <c r="Q216" s="27" t="s">
        <v>4042</v>
      </c>
    </row>
    <row r="217" spans="1:17" ht="15.75" customHeight="1">
      <c r="A217" s="27" t="s">
        <v>4042</v>
      </c>
      <c r="B217" s="27" t="s">
        <v>4042</v>
      </c>
      <c r="C217" s="27" t="s">
        <v>4042</v>
      </c>
      <c r="D217" s="27" t="s">
        <v>4042</v>
      </c>
      <c r="E217" s="27" t="s">
        <v>4042</v>
      </c>
      <c r="F217" s="27" t="s">
        <v>4042</v>
      </c>
      <c r="G217" s="27" t="s">
        <v>4042</v>
      </c>
      <c r="H217" s="27" t="s">
        <v>4042</v>
      </c>
      <c r="I217" s="27" t="s">
        <v>4042</v>
      </c>
      <c r="J217" s="27" t="s">
        <v>4042</v>
      </c>
      <c r="K217" s="27" t="s">
        <v>4042</v>
      </c>
      <c r="L217" s="27" t="s">
        <v>4042</v>
      </c>
      <c r="M217" s="27" t="s">
        <v>4042</v>
      </c>
      <c r="N217" s="27" t="s">
        <v>4042</v>
      </c>
      <c r="O217" s="27" t="s">
        <v>4042</v>
      </c>
      <c r="P217" s="27" t="s">
        <v>4042</v>
      </c>
      <c r="Q217" s="27" t="s">
        <v>4042</v>
      </c>
    </row>
    <row r="218" spans="1:17" ht="15.75" customHeight="1">
      <c r="A218" s="27" t="s">
        <v>4042</v>
      </c>
      <c r="B218" s="27" t="s">
        <v>4042</v>
      </c>
      <c r="C218" s="27" t="s">
        <v>4042</v>
      </c>
      <c r="D218" s="27" t="s">
        <v>4042</v>
      </c>
      <c r="E218" s="27" t="s">
        <v>4042</v>
      </c>
      <c r="F218" s="27" t="s">
        <v>4042</v>
      </c>
      <c r="G218" s="27" t="s">
        <v>4042</v>
      </c>
      <c r="H218" s="27" t="s">
        <v>4042</v>
      </c>
      <c r="I218" s="27" t="s">
        <v>4042</v>
      </c>
      <c r="J218" s="27" t="s">
        <v>4042</v>
      </c>
      <c r="K218" s="27" t="s">
        <v>4042</v>
      </c>
      <c r="L218" s="27" t="s">
        <v>4042</v>
      </c>
      <c r="M218" s="27" t="s">
        <v>4042</v>
      </c>
      <c r="N218" s="27" t="s">
        <v>4042</v>
      </c>
      <c r="O218" s="27" t="s">
        <v>4042</v>
      </c>
      <c r="P218" s="27" t="s">
        <v>4042</v>
      </c>
      <c r="Q218" s="27" t="s">
        <v>4042</v>
      </c>
    </row>
    <row r="219" spans="1:17" ht="15.75" customHeight="1">
      <c r="A219" s="27" t="s">
        <v>4042</v>
      </c>
      <c r="B219" s="27" t="s">
        <v>4042</v>
      </c>
      <c r="C219" s="27" t="s">
        <v>4042</v>
      </c>
      <c r="D219" s="27" t="s">
        <v>4042</v>
      </c>
      <c r="E219" s="27" t="s">
        <v>4042</v>
      </c>
      <c r="F219" s="27" t="s">
        <v>4042</v>
      </c>
      <c r="G219" s="27" t="s">
        <v>4042</v>
      </c>
      <c r="H219" s="27" t="s">
        <v>4042</v>
      </c>
      <c r="I219" s="27" t="s">
        <v>4042</v>
      </c>
      <c r="J219" s="27" t="s">
        <v>4042</v>
      </c>
      <c r="K219" s="27" t="s">
        <v>4042</v>
      </c>
      <c r="L219" s="27" t="s">
        <v>4042</v>
      </c>
      <c r="M219" s="27" t="s">
        <v>4042</v>
      </c>
      <c r="N219" s="27" t="s">
        <v>4042</v>
      </c>
      <c r="O219" s="27" t="s">
        <v>4042</v>
      </c>
      <c r="P219" s="27" t="s">
        <v>4042</v>
      </c>
      <c r="Q219" s="27" t="s">
        <v>4042</v>
      </c>
    </row>
    <row r="220" spans="1:17" ht="15.75" customHeight="1">
      <c r="A220" s="27" t="s">
        <v>4042</v>
      </c>
      <c r="B220" s="27" t="s">
        <v>4042</v>
      </c>
      <c r="C220" s="27" t="s">
        <v>4042</v>
      </c>
      <c r="D220" s="27" t="s">
        <v>4042</v>
      </c>
      <c r="E220" s="27" t="s">
        <v>4042</v>
      </c>
      <c r="F220" s="27" t="s">
        <v>4042</v>
      </c>
      <c r="G220" s="27" t="s">
        <v>4042</v>
      </c>
      <c r="H220" s="27" t="s">
        <v>4042</v>
      </c>
      <c r="I220" s="27" t="s">
        <v>4042</v>
      </c>
      <c r="J220" s="27" t="s">
        <v>4042</v>
      </c>
      <c r="K220" s="27" t="s">
        <v>4042</v>
      </c>
      <c r="L220" s="27" t="s">
        <v>4042</v>
      </c>
      <c r="M220" s="27" t="s">
        <v>4042</v>
      </c>
      <c r="N220" s="27" t="s">
        <v>4042</v>
      </c>
      <c r="O220" s="27" t="s">
        <v>4042</v>
      </c>
      <c r="P220" s="27" t="s">
        <v>4042</v>
      </c>
      <c r="Q220" s="27" t="s">
        <v>4042</v>
      </c>
    </row>
    <row r="221" spans="1:17" ht="15.75" customHeight="1">
      <c r="A221" s="27" t="s">
        <v>4042</v>
      </c>
      <c r="B221" s="27" t="s">
        <v>4042</v>
      </c>
      <c r="C221" s="27" t="s">
        <v>4042</v>
      </c>
      <c r="D221" s="27" t="s">
        <v>4042</v>
      </c>
      <c r="E221" s="27" t="s">
        <v>4042</v>
      </c>
      <c r="F221" s="27" t="s">
        <v>4042</v>
      </c>
      <c r="G221" s="27" t="s">
        <v>4042</v>
      </c>
      <c r="H221" s="27" t="s">
        <v>4042</v>
      </c>
      <c r="I221" s="27" t="s">
        <v>4042</v>
      </c>
      <c r="J221" s="27" t="s">
        <v>4042</v>
      </c>
      <c r="K221" s="27" t="s">
        <v>4042</v>
      </c>
      <c r="L221" s="27" t="s">
        <v>4042</v>
      </c>
      <c r="M221" s="27" t="s">
        <v>4042</v>
      </c>
      <c r="N221" s="27" t="s">
        <v>4042</v>
      </c>
      <c r="O221" s="27" t="s">
        <v>4042</v>
      </c>
      <c r="P221" s="27" t="s">
        <v>4042</v>
      </c>
      <c r="Q221" s="27" t="s">
        <v>4042</v>
      </c>
    </row>
    <row r="222" spans="1:17" ht="15.75" customHeight="1">
      <c r="A222" s="27" t="s">
        <v>4042</v>
      </c>
      <c r="B222" s="27" t="s">
        <v>4042</v>
      </c>
      <c r="C222" s="27" t="s">
        <v>4042</v>
      </c>
      <c r="D222" s="27" t="s">
        <v>4042</v>
      </c>
      <c r="E222" s="27" t="s">
        <v>4042</v>
      </c>
      <c r="F222" s="27" t="s">
        <v>4042</v>
      </c>
      <c r="G222" s="27" t="s">
        <v>4042</v>
      </c>
      <c r="H222" s="27" t="s">
        <v>4042</v>
      </c>
      <c r="I222" s="27" t="s">
        <v>4042</v>
      </c>
      <c r="J222" s="27" t="s">
        <v>4042</v>
      </c>
      <c r="K222" s="27" t="s">
        <v>4042</v>
      </c>
      <c r="L222" s="27" t="s">
        <v>4042</v>
      </c>
      <c r="M222" s="27" t="s">
        <v>4042</v>
      </c>
      <c r="N222" s="27" t="s">
        <v>4042</v>
      </c>
      <c r="O222" s="27" t="s">
        <v>4042</v>
      </c>
      <c r="P222" s="27" t="s">
        <v>4042</v>
      </c>
      <c r="Q222" s="27" t="s">
        <v>4042</v>
      </c>
    </row>
    <row r="223" spans="1:17" ht="15.75" customHeight="1">
      <c r="A223" s="27" t="s">
        <v>4042</v>
      </c>
      <c r="B223" s="27" t="s">
        <v>4042</v>
      </c>
      <c r="C223" s="27" t="s">
        <v>4042</v>
      </c>
      <c r="D223" s="27" t="s">
        <v>4042</v>
      </c>
      <c r="E223" s="27" t="s">
        <v>4042</v>
      </c>
      <c r="F223" s="27" t="s">
        <v>4042</v>
      </c>
      <c r="G223" s="27" t="s">
        <v>4042</v>
      </c>
      <c r="H223" s="27" t="s">
        <v>4042</v>
      </c>
      <c r="I223" s="27" t="s">
        <v>4042</v>
      </c>
      <c r="J223" s="27" t="s">
        <v>4042</v>
      </c>
      <c r="K223" s="27" t="s">
        <v>4042</v>
      </c>
      <c r="L223" s="27" t="s">
        <v>4042</v>
      </c>
      <c r="M223" s="27" t="s">
        <v>4042</v>
      </c>
      <c r="N223" s="27" t="s">
        <v>4042</v>
      </c>
      <c r="O223" s="27" t="s">
        <v>4042</v>
      </c>
      <c r="P223" s="27" t="s">
        <v>4042</v>
      </c>
      <c r="Q223" s="27" t="s">
        <v>4042</v>
      </c>
    </row>
    <row r="224" spans="1:17" ht="15.75" customHeight="1">
      <c r="A224" s="27" t="s">
        <v>4042</v>
      </c>
      <c r="B224" s="27" t="s">
        <v>4042</v>
      </c>
      <c r="C224" s="27" t="s">
        <v>4042</v>
      </c>
      <c r="D224" s="27" t="s">
        <v>4042</v>
      </c>
      <c r="E224" s="27" t="s">
        <v>4042</v>
      </c>
      <c r="F224" s="27" t="s">
        <v>4042</v>
      </c>
      <c r="G224" s="27" t="s">
        <v>4042</v>
      </c>
      <c r="H224" s="27" t="s">
        <v>4042</v>
      </c>
      <c r="I224" s="27" t="s">
        <v>4042</v>
      </c>
      <c r="J224" s="27" t="s">
        <v>4042</v>
      </c>
      <c r="K224" s="27" t="s">
        <v>4042</v>
      </c>
      <c r="L224" s="27" t="s">
        <v>4042</v>
      </c>
      <c r="M224" s="27" t="s">
        <v>4042</v>
      </c>
      <c r="N224" s="27" t="s">
        <v>4042</v>
      </c>
      <c r="O224" s="27" t="s">
        <v>4042</v>
      </c>
      <c r="P224" s="27" t="s">
        <v>4042</v>
      </c>
      <c r="Q224" s="27" t="s">
        <v>4042</v>
      </c>
    </row>
    <row r="225" spans="1:17" ht="15.75" customHeight="1">
      <c r="A225" s="27" t="s">
        <v>4042</v>
      </c>
      <c r="B225" s="27" t="s">
        <v>4042</v>
      </c>
      <c r="C225" s="27" t="s">
        <v>4042</v>
      </c>
      <c r="D225" s="27" t="s">
        <v>4042</v>
      </c>
      <c r="E225" s="27" t="s">
        <v>4042</v>
      </c>
      <c r="F225" s="27" t="s">
        <v>4042</v>
      </c>
      <c r="G225" s="27" t="s">
        <v>4042</v>
      </c>
      <c r="H225" s="27" t="s">
        <v>4042</v>
      </c>
      <c r="I225" s="27" t="s">
        <v>4042</v>
      </c>
      <c r="J225" s="27" t="s">
        <v>4042</v>
      </c>
      <c r="K225" s="27" t="s">
        <v>4042</v>
      </c>
      <c r="L225" s="27" t="s">
        <v>4042</v>
      </c>
      <c r="M225" s="27" t="s">
        <v>4042</v>
      </c>
      <c r="N225" s="27" t="s">
        <v>4042</v>
      </c>
      <c r="O225" s="27" t="s">
        <v>4042</v>
      </c>
      <c r="P225" s="27" t="s">
        <v>4042</v>
      </c>
      <c r="Q225" s="27" t="s">
        <v>4042</v>
      </c>
    </row>
    <row r="226" spans="1:17" ht="15.75" customHeight="1">
      <c r="A226" s="27" t="s">
        <v>4042</v>
      </c>
      <c r="B226" s="27" t="s">
        <v>4042</v>
      </c>
      <c r="C226" s="27" t="s">
        <v>4042</v>
      </c>
      <c r="D226" s="27" t="s">
        <v>4042</v>
      </c>
      <c r="E226" s="27" t="s">
        <v>4042</v>
      </c>
      <c r="F226" s="27" t="s">
        <v>4042</v>
      </c>
      <c r="G226" s="27" t="s">
        <v>4042</v>
      </c>
      <c r="H226" s="27" t="s">
        <v>4042</v>
      </c>
      <c r="I226" s="27" t="s">
        <v>4042</v>
      </c>
      <c r="J226" s="27" t="s">
        <v>4042</v>
      </c>
      <c r="K226" s="27" t="s">
        <v>4042</v>
      </c>
      <c r="L226" s="27" t="s">
        <v>4042</v>
      </c>
      <c r="M226" s="27" t="s">
        <v>4042</v>
      </c>
      <c r="N226" s="27" t="s">
        <v>4042</v>
      </c>
      <c r="O226" s="27" t="s">
        <v>4042</v>
      </c>
      <c r="P226" s="27" t="s">
        <v>4042</v>
      </c>
      <c r="Q226" s="27" t="s">
        <v>4042</v>
      </c>
    </row>
    <row r="227" spans="1:17" ht="15.75" customHeight="1">
      <c r="A227" s="27" t="s">
        <v>4042</v>
      </c>
      <c r="B227" s="27" t="s">
        <v>4042</v>
      </c>
      <c r="C227" s="27" t="s">
        <v>4042</v>
      </c>
      <c r="D227" s="27" t="s">
        <v>4042</v>
      </c>
      <c r="E227" s="27" t="s">
        <v>4042</v>
      </c>
      <c r="F227" s="27" t="s">
        <v>4042</v>
      </c>
      <c r="G227" s="27" t="s">
        <v>4042</v>
      </c>
      <c r="H227" s="27" t="s">
        <v>4042</v>
      </c>
      <c r="I227" s="27" t="s">
        <v>4042</v>
      </c>
      <c r="J227" s="27" t="s">
        <v>4042</v>
      </c>
      <c r="K227" s="27" t="s">
        <v>4042</v>
      </c>
      <c r="L227" s="27" t="s">
        <v>4042</v>
      </c>
      <c r="M227" s="27" t="s">
        <v>4042</v>
      </c>
      <c r="N227" s="27" t="s">
        <v>4042</v>
      </c>
      <c r="O227" s="27" t="s">
        <v>4042</v>
      </c>
      <c r="P227" s="27" t="s">
        <v>4042</v>
      </c>
      <c r="Q227" s="27" t="s">
        <v>4042</v>
      </c>
    </row>
    <row r="228" spans="1:17" ht="15.75" customHeight="1">
      <c r="A228" s="27" t="s">
        <v>4042</v>
      </c>
      <c r="B228" s="27" t="s">
        <v>4042</v>
      </c>
      <c r="C228" s="27" t="s">
        <v>4042</v>
      </c>
      <c r="D228" s="27" t="s">
        <v>4042</v>
      </c>
      <c r="E228" s="27" t="s">
        <v>4042</v>
      </c>
      <c r="F228" s="27" t="s">
        <v>4042</v>
      </c>
      <c r="G228" s="27" t="s">
        <v>4042</v>
      </c>
      <c r="H228" s="27" t="s">
        <v>4042</v>
      </c>
      <c r="I228" s="27" t="s">
        <v>4042</v>
      </c>
      <c r="J228" s="27" t="s">
        <v>4042</v>
      </c>
      <c r="K228" s="27" t="s">
        <v>4042</v>
      </c>
      <c r="L228" s="27" t="s">
        <v>4042</v>
      </c>
      <c r="M228" s="27" t="s">
        <v>4042</v>
      </c>
      <c r="N228" s="27" t="s">
        <v>4042</v>
      </c>
      <c r="O228" s="27" t="s">
        <v>4042</v>
      </c>
      <c r="P228" s="27" t="s">
        <v>4042</v>
      </c>
      <c r="Q228" s="27" t="s">
        <v>4042</v>
      </c>
    </row>
    <row r="229" spans="1:17" ht="15.75" customHeight="1">
      <c r="A229" s="27" t="s">
        <v>4042</v>
      </c>
      <c r="B229" s="27" t="s">
        <v>4042</v>
      </c>
      <c r="C229" s="27" t="s">
        <v>4042</v>
      </c>
      <c r="D229" s="27" t="s">
        <v>4042</v>
      </c>
      <c r="E229" s="27" t="s">
        <v>4042</v>
      </c>
      <c r="F229" s="27" t="s">
        <v>4042</v>
      </c>
      <c r="G229" s="27" t="s">
        <v>4042</v>
      </c>
      <c r="H229" s="27" t="s">
        <v>4042</v>
      </c>
      <c r="I229" s="27" t="s">
        <v>4042</v>
      </c>
      <c r="J229" s="27" t="s">
        <v>4042</v>
      </c>
      <c r="K229" s="27" t="s">
        <v>4042</v>
      </c>
      <c r="L229" s="27" t="s">
        <v>4042</v>
      </c>
      <c r="M229" s="27" t="s">
        <v>4042</v>
      </c>
      <c r="N229" s="27" t="s">
        <v>4042</v>
      </c>
      <c r="O229" s="27" t="s">
        <v>4042</v>
      </c>
      <c r="P229" s="27" t="s">
        <v>4042</v>
      </c>
      <c r="Q229" s="27" t="s">
        <v>4042</v>
      </c>
    </row>
    <row r="230" spans="1:17" ht="15.75" customHeight="1">
      <c r="A230" s="27" t="s">
        <v>4042</v>
      </c>
      <c r="B230" s="27" t="s">
        <v>4042</v>
      </c>
      <c r="C230" s="27" t="s">
        <v>4042</v>
      </c>
      <c r="D230" s="27" t="s">
        <v>4042</v>
      </c>
      <c r="E230" s="27" t="s">
        <v>4042</v>
      </c>
      <c r="F230" s="27" t="s">
        <v>4042</v>
      </c>
      <c r="G230" s="27" t="s">
        <v>4042</v>
      </c>
      <c r="H230" s="27" t="s">
        <v>4042</v>
      </c>
      <c r="I230" s="27" t="s">
        <v>4042</v>
      </c>
      <c r="J230" s="27" t="s">
        <v>4042</v>
      </c>
      <c r="K230" s="27" t="s">
        <v>4042</v>
      </c>
      <c r="L230" s="27" t="s">
        <v>4042</v>
      </c>
      <c r="M230" s="27" t="s">
        <v>4042</v>
      </c>
      <c r="N230" s="27" t="s">
        <v>4042</v>
      </c>
      <c r="O230" s="27" t="s">
        <v>4042</v>
      </c>
      <c r="P230" s="27" t="s">
        <v>4042</v>
      </c>
      <c r="Q230" s="27" t="s">
        <v>4042</v>
      </c>
    </row>
    <row r="231" spans="1:17" ht="15.75" customHeight="1">
      <c r="A231" s="27" t="s">
        <v>4042</v>
      </c>
      <c r="B231" s="27" t="s">
        <v>4042</v>
      </c>
      <c r="C231" s="27" t="s">
        <v>4042</v>
      </c>
      <c r="D231" s="27" t="s">
        <v>4042</v>
      </c>
      <c r="E231" s="27" t="s">
        <v>4042</v>
      </c>
      <c r="F231" s="27" t="s">
        <v>4042</v>
      </c>
      <c r="G231" s="27" t="s">
        <v>4042</v>
      </c>
      <c r="H231" s="27" t="s">
        <v>4042</v>
      </c>
      <c r="I231" s="27" t="s">
        <v>4042</v>
      </c>
      <c r="J231" s="27" t="s">
        <v>4042</v>
      </c>
      <c r="K231" s="27" t="s">
        <v>4042</v>
      </c>
      <c r="L231" s="27" t="s">
        <v>4042</v>
      </c>
      <c r="M231" s="27" t="s">
        <v>4042</v>
      </c>
      <c r="N231" s="27" t="s">
        <v>4042</v>
      </c>
      <c r="O231" s="27" t="s">
        <v>4042</v>
      </c>
      <c r="P231" s="27" t="s">
        <v>4042</v>
      </c>
      <c r="Q231" s="27" t="s">
        <v>4042</v>
      </c>
    </row>
    <row r="232" spans="1:17" ht="15.75" customHeight="1">
      <c r="A232" s="27" t="s">
        <v>4042</v>
      </c>
      <c r="B232" s="27" t="s">
        <v>4042</v>
      </c>
      <c r="C232" s="27" t="s">
        <v>4042</v>
      </c>
      <c r="D232" s="27" t="s">
        <v>4042</v>
      </c>
      <c r="E232" s="27" t="s">
        <v>4042</v>
      </c>
      <c r="F232" s="27" t="s">
        <v>4042</v>
      </c>
      <c r="G232" s="27" t="s">
        <v>4042</v>
      </c>
      <c r="H232" s="27" t="s">
        <v>4042</v>
      </c>
      <c r="I232" s="27" t="s">
        <v>4042</v>
      </c>
      <c r="J232" s="27" t="s">
        <v>4042</v>
      </c>
      <c r="K232" s="27" t="s">
        <v>4042</v>
      </c>
      <c r="L232" s="27" t="s">
        <v>4042</v>
      </c>
      <c r="M232" s="27" t="s">
        <v>4042</v>
      </c>
      <c r="N232" s="27" t="s">
        <v>4042</v>
      </c>
      <c r="O232" s="27" t="s">
        <v>4042</v>
      </c>
      <c r="P232" s="27" t="s">
        <v>4042</v>
      </c>
      <c r="Q232" s="27" t="s">
        <v>4042</v>
      </c>
    </row>
    <row r="233" spans="1:17" ht="15.75" customHeight="1">
      <c r="A233" s="27" t="s">
        <v>4042</v>
      </c>
      <c r="B233" s="27" t="s">
        <v>4042</v>
      </c>
      <c r="C233" s="27" t="s">
        <v>4042</v>
      </c>
      <c r="D233" s="27" t="s">
        <v>4042</v>
      </c>
      <c r="E233" s="27" t="s">
        <v>4042</v>
      </c>
      <c r="F233" s="27" t="s">
        <v>4042</v>
      </c>
      <c r="G233" s="27" t="s">
        <v>4042</v>
      </c>
      <c r="H233" s="27" t="s">
        <v>4042</v>
      </c>
      <c r="I233" s="27" t="s">
        <v>4042</v>
      </c>
      <c r="J233" s="27" t="s">
        <v>4042</v>
      </c>
      <c r="K233" s="27" t="s">
        <v>4042</v>
      </c>
      <c r="L233" s="27" t="s">
        <v>4042</v>
      </c>
      <c r="M233" s="27" t="s">
        <v>4042</v>
      </c>
      <c r="N233" s="27" t="s">
        <v>4042</v>
      </c>
      <c r="O233" s="27" t="s">
        <v>4042</v>
      </c>
      <c r="P233" s="27" t="s">
        <v>4042</v>
      </c>
      <c r="Q233" s="27" t="s">
        <v>4042</v>
      </c>
    </row>
    <row r="234" spans="1:17" ht="15.75" customHeight="1">
      <c r="A234" s="27" t="s">
        <v>4042</v>
      </c>
      <c r="B234" s="27" t="s">
        <v>4042</v>
      </c>
      <c r="C234" s="27" t="s">
        <v>4042</v>
      </c>
      <c r="D234" s="27" t="s">
        <v>4042</v>
      </c>
      <c r="E234" s="27" t="s">
        <v>4042</v>
      </c>
      <c r="F234" s="27" t="s">
        <v>4042</v>
      </c>
      <c r="G234" s="27" t="s">
        <v>4042</v>
      </c>
      <c r="H234" s="27" t="s">
        <v>4042</v>
      </c>
      <c r="I234" s="27" t="s">
        <v>4042</v>
      </c>
      <c r="J234" s="27" t="s">
        <v>4042</v>
      </c>
      <c r="K234" s="27" t="s">
        <v>4042</v>
      </c>
      <c r="L234" s="27" t="s">
        <v>4042</v>
      </c>
      <c r="M234" s="27" t="s">
        <v>4042</v>
      </c>
      <c r="N234" s="27" t="s">
        <v>4042</v>
      </c>
      <c r="O234" s="27" t="s">
        <v>4042</v>
      </c>
      <c r="P234" s="27" t="s">
        <v>4042</v>
      </c>
      <c r="Q234" s="27" t="s">
        <v>4042</v>
      </c>
    </row>
    <row r="235" spans="1:17" ht="15.75" customHeight="1">
      <c r="A235" s="27" t="s">
        <v>4042</v>
      </c>
      <c r="B235" s="27" t="s">
        <v>4042</v>
      </c>
      <c r="C235" s="27" t="s">
        <v>4042</v>
      </c>
      <c r="D235" s="27" t="s">
        <v>4042</v>
      </c>
      <c r="E235" s="27" t="s">
        <v>4042</v>
      </c>
      <c r="F235" s="27" t="s">
        <v>4042</v>
      </c>
      <c r="G235" s="27" t="s">
        <v>4042</v>
      </c>
      <c r="H235" s="27" t="s">
        <v>4042</v>
      </c>
      <c r="I235" s="27" t="s">
        <v>4042</v>
      </c>
      <c r="J235" s="27" t="s">
        <v>4042</v>
      </c>
      <c r="K235" s="27" t="s">
        <v>4042</v>
      </c>
      <c r="L235" s="27" t="s">
        <v>4042</v>
      </c>
      <c r="M235" s="27" t="s">
        <v>4042</v>
      </c>
      <c r="N235" s="27" t="s">
        <v>4042</v>
      </c>
      <c r="O235" s="27" t="s">
        <v>4042</v>
      </c>
      <c r="P235" s="27" t="s">
        <v>4042</v>
      </c>
      <c r="Q235" s="27" t="s">
        <v>4042</v>
      </c>
    </row>
    <row r="236" spans="1:17" ht="15.75" customHeight="1">
      <c r="A236" s="27" t="s">
        <v>4042</v>
      </c>
      <c r="B236" s="27" t="s">
        <v>4042</v>
      </c>
      <c r="C236" s="27" t="s">
        <v>4042</v>
      </c>
      <c r="D236" s="27" t="s">
        <v>4042</v>
      </c>
      <c r="E236" s="27" t="s">
        <v>4042</v>
      </c>
      <c r="F236" s="27" t="s">
        <v>4042</v>
      </c>
      <c r="G236" s="27" t="s">
        <v>4042</v>
      </c>
      <c r="H236" s="27" t="s">
        <v>4042</v>
      </c>
      <c r="I236" s="27" t="s">
        <v>4042</v>
      </c>
      <c r="J236" s="27" t="s">
        <v>4042</v>
      </c>
      <c r="K236" s="27" t="s">
        <v>4042</v>
      </c>
      <c r="L236" s="27" t="s">
        <v>4042</v>
      </c>
      <c r="M236" s="27" t="s">
        <v>4042</v>
      </c>
      <c r="N236" s="27" t="s">
        <v>4042</v>
      </c>
      <c r="O236" s="27" t="s">
        <v>4042</v>
      </c>
      <c r="P236" s="27" t="s">
        <v>4042</v>
      </c>
      <c r="Q236" s="27" t="s">
        <v>4042</v>
      </c>
    </row>
    <row r="237" spans="1:17" ht="15.75" customHeight="1">
      <c r="A237" s="27" t="s">
        <v>4042</v>
      </c>
      <c r="B237" s="27" t="s">
        <v>4042</v>
      </c>
      <c r="C237" s="27" t="s">
        <v>4042</v>
      </c>
      <c r="D237" s="27" t="s">
        <v>4042</v>
      </c>
      <c r="E237" s="27" t="s">
        <v>4042</v>
      </c>
      <c r="F237" s="27" t="s">
        <v>4042</v>
      </c>
      <c r="G237" s="27" t="s">
        <v>4042</v>
      </c>
      <c r="H237" s="27" t="s">
        <v>4042</v>
      </c>
      <c r="I237" s="27" t="s">
        <v>4042</v>
      </c>
      <c r="J237" s="27" t="s">
        <v>4042</v>
      </c>
      <c r="K237" s="27" t="s">
        <v>4042</v>
      </c>
      <c r="L237" s="27" t="s">
        <v>4042</v>
      </c>
      <c r="M237" s="27" t="s">
        <v>4042</v>
      </c>
      <c r="N237" s="27" t="s">
        <v>4042</v>
      </c>
      <c r="O237" s="27" t="s">
        <v>4042</v>
      </c>
      <c r="P237" s="27" t="s">
        <v>4042</v>
      </c>
      <c r="Q237" s="27" t="s">
        <v>4042</v>
      </c>
    </row>
    <row r="238" spans="1:17" ht="15.75" customHeight="1">
      <c r="A238" s="27" t="s">
        <v>4042</v>
      </c>
      <c r="B238" s="27" t="s">
        <v>4042</v>
      </c>
      <c r="C238" s="27" t="s">
        <v>4042</v>
      </c>
      <c r="D238" s="27" t="s">
        <v>4042</v>
      </c>
      <c r="E238" s="27" t="s">
        <v>4042</v>
      </c>
      <c r="F238" s="27" t="s">
        <v>4042</v>
      </c>
      <c r="G238" s="27" t="s">
        <v>4042</v>
      </c>
      <c r="H238" s="27" t="s">
        <v>4042</v>
      </c>
      <c r="I238" s="27" t="s">
        <v>4042</v>
      </c>
      <c r="J238" s="27" t="s">
        <v>4042</v>
      </c>
      <c r="K238" s="27" t="s">
        <v>4042</v>
      </c>
      <c r="L238" s="27" t="s">
        <v>4042</v>
      </c>
      <c r="M238" s="27" t="s">
        <v>4042</v>
      </c>
      <c r="N238" s="27" t="s">
        <v>4042</v>
      </c>
      <c r="O238" s="27" t="s">
        <v>4042</v>
      </c>
      <c r="P238" s="27" t="s">
        <v>4042</v>
      </c>
      <c r="Q238" s="27" t="s">
        <v>4042</v>
      </c>
    </row>
    <row r="239" spans="1:17" ht="15.75" customHeight="1">
      <c r="A239" s="27" t="s">
        <v>4042</v>
      </c>
      <c r="B239" s="27" t="s">
        <v>4042</v>
      </c>
      <c r="C239" s="27" t="s">
        <v>4042</v>
      </c>
      <c r="D239" s="27" t="s">
        <v>4042</v>
      </c>
      <c r="E239" s="27" t="s">
        <v>4042</v>
      </c>
      <c r="F239" s="27" t="s">
        <v>4042</v>
      </c>
      <c r="G239" s="27" t="s">
        <v>4042</v>
      </c>
      <c r="H239" s="27" t="s">
        <v>4042</v>
      </c>
      <c r="I239" s="27" t="s">
        <v>4042</v>
      </c>
      <c r="J239" s="27" t="s">
        <v>4042</v>
      </c>
      <c r="K239" s="27" t="s">
        <v>4042</v>
      </c>
      <c r="L239" s="27" t="s">
        <v>4042</v>
      </c>
      <c r="M239" s="27" t="s">
        <v>4042</v>
      </c>
      <c r="N239" s="27" t="s">
        <v>4042</v>
      </c>
      <c r="O239" s="27" t="s">
        <v>4042</v>
      </c>
      <c r="P239" s="27" t="s">
        <v>4042</v>
      </c>
      <c r="Q239" s="27" t="s">
        <v>4042</v>
      </c>
    </row>
    <row r="240" spans="1:17" ht="15.75" customHeight="1">
      <c r="A240" s="27" t="s">
        <v>4042</v>
      </c>
      <c r="B240" s="27" t="s">
        <v>4042</v>
      </c>
      <c r="C240" s="27" t="s">
        <v>4042</v>
      </c>
      <c r="D240" s="27" t="s">
        <v>4042</v>
      </c>
      <c r="E240" s="27" t="s">
        <v>4042</v>
      </c>
      <c r="F240" s="27" t="s">
        <v>4042</v>
      </c>
      <c r="G240" s="27" t="s">
        <v>4042</v>
      </c>
      <c r="H240" s="27" t="s">
        <v>4042</v>
      </c>
      <c r="I240" s="27" t="s">
        <v>4042</v>
      </c>
      <c r="J240" s="27" t="s">
        <v>4042</v>
      </c>
      <c r="K240" s="27" t="s">
        <v>4042</v>
      </c>
      <c r="L240" s="27" t="s">
        <v>4042</v>
      </c>
      <c r="M240" s="27" t="s">
        <v>4042</v>
      </c>
      <c r="N240" s="27" t="s">
        <v>4042</v>
      </c>
      <c r="O240" s="27" t="s">
        <v>4042</v>
      </c>
      <c r="P240" s="27" t="s">
        <v>4042</v>
      </c>
      <c r="Q240" s="27" t="s">
        <v>4042</v>
      </c>
    </row>
    <row r="241" spans="1:17" ht="15.75" customHeight="1">
      <c r="A241" s="27" t="s">
        <v>4042</v>
      </c>
      <c r="B241" s="27" t="s">
        <v>4042</v>
      </c>
      <c r="C241" s="27" t="s">
        <v>4042</v>
      </c>
      <c r="D241" s="27" t="s">
        <v>4042</v>
      </c>
      <c r="E241" s="27" t="s">
        <v>4042</v>
      </c>
      <c r="F241" s="27" t="s">
        <v>4042</v>
      </c>
      <c r="G241" s="27" t="s">
        <v>4042</v>
      </c>
      <c r="H241" s="27" t="s">
        <v>4042</v>
      </c>
      <c r="I241" s="27" t="s">
        <v>4042</v>
      </c>
      <c r="J241" s="27" t="s">
        <v>4042</v>
      </c>
      <c r="K241" s="27" t="s">
        <v>4042</v>
      </c>
      <c r="L241" s="27" t="s">
        <v>4042</v>
      </c>
      <c r="M241" s="27" t="s">
        <v>4042</v>
      </c>
      <c r="N241" s="27" t="s">
        <v>4042</v>
      </c>
      <c r="O241" s="27" t="s">
        <v>4042</v>
      </c>
      <c r="P241" s="27" t="s">
        <v>4042</v>
      </c>
      <c r="Q241" s="27" t="s">
        <v>4042</v>
      </c>
    </row>
    <row r="242" spans="1:17" ht="15.75" customHeight="1">
      <c r="A242" s="27" t="s">
        <v>4042</v>
      </c>
      <c r="B242" s="27" t="s">
        <v>4042</v>
      </c>
      <c r="C242" s="27" t="s">
        <v>4042</v>
      </c>
      <c r="D242" s="27" t="s">
        <v>4042</v>
      </c>
      <c r="E242" s="27" t="s">
        <v>4042</v>
      </c>
      <c r="F242" s="27" t="s">
        <v>4042</v>
      </c>
      <c r="G242" s="27" t="s">
        <v>4042</v>
      </c>
      <c r="H242" s="27" t="s">
        <v>4042</v>
      </c>
      <c r="I242" s="27" t="s">
        <v>4042</v>
      </c>
      <c r="J242" s="27" t="s">
        <v>4042</v>
      </c>
      <c r="K242" s="27" t="s">
        <v>4042</v>
      </c>
      <c r="L242" s="27" t="s">
        <v>4042</v>
      </c>
      <c r="M242" s="27" t="s">
        <v>4042</v>
      </c>
      <c r="N242" s="27" t="s">
        <v>4042</v>
      </c>
      <c r="O242" s="27" t="s">
        <v>4042</v>
      </c>
      <c r="P242" s="27" t="s">
        <v>4042</v>
      </c>
      <c r="Q242" s="27" t="s">
        <v>4042</v>
      </c>
    </row>
    <row r="243" spans="1:17" ht="15.75" customHeight="1">
      <c r="A243" s="27" t="s">
        <v>4042</v>
      </c>
      <c r="B243" s="27" t="s">
        <v>4042</v>
      </c>
      <c r="C243" s="27" t="s">
        <v>4042</v>
      </c>
      <c r="D243" s="27" t="s">
        <v>4042</v>
      </c>
      <c r="E243" s="27" t="s">
        <v>4042</v>
      </c>
      <c r="F243" s="27" t="s">
        <v>4042</v>
      </c>
      <c r="G243" s="27" t="s">
        <v>4042</v>
      </c>
      <c r="H243" s="27" t="s">
        <v>4042</v>
      </c>
      <c r="I243" s="27" t="s">
        <v>4042</v>
      </c>
      <c r="J243" s="27" t="s">
        <v>4042</v>
      </c>
      <c r="K243" s="27" t="s">
        <v>4042</v>
      </c>
      <c r="L243" s="27" t="s">
        <v>4042</v>
      </c>
      <c r="M243" s="27" t="s">
        <v>4042</v>
      </c>
      <c r="N243" s="27" t="s">
        <v>4042</v>
      </c>
      <c r="O243" s="27" t="s">
        <v>4042</v>
      </c>
      <c r="P243" s="27" t="s">
        <v>4042</v>
      </c>
      <c r="Q243" s="27" t="s">
        <v>4042</v>
      </c>
    </row>
    <row r="244" spans="1:17" ht="15.75" customHeight="1">
      <c r="A244" s="27" t="s">
        <v>4042</v>
      </c>
      <c r="B244" s="27" t="s">
        <v>4042</v>
      </c>
      <c r="C244" s="27" t="s">
        <v>4042</v>
      </c>
      <c r="D244" s="27" t="s">
        <v>4042</v>
      </c>
      <c r="E244" s="27" t="s">
        <v>4042</v>
      </c>
      <c r="F244" s="27" t="s">
        <v>4042</v>
      </c>
      <c r="G244" s="27" t="s">
        <v>4042</v>
      </c>
      <c r="H244" s="27" t="s">
        <v>4042</v>
      </c>
      <c r="I244" s="27" t="s">
        <v>4042</v>
      </c>
      <c r="J244" s="27" t="s">
        <v>4042</v>
      </c>
      <c r="K244" s="27" t="s">
        <v>4042</v>
      </c>
      <c r="L244" s="27" t="s">
        <v>4042</v>
      </c>
      <c r="M244" s="27" t="s">
        <v>4042</v>
      </c>
      <c r="N244" s="27" t="s">
        <v>4042</v>
      </c>
      <c r="O244" s="27" t="s">
        <v>4042</v>
      </c>
      <c r="P244" s="27" t="s">
        <v>4042</v>
      </c>
      <c r="Q244" s="27" t="s">
        <v>4042</v>
      </c>
    </row>
    <row r="245" spans="1:17" ht="15.75" customHeight="1">
      <c r="A245" s="27" t="s">
        <v>4042</v>
      </c>
      <c r="B245" s="27" t="s">
        <v>4042</v>
      </c>
      <c r="C245" s="27" t="s">
        <v>4042</v>
      </c>
      <c r="D245" s="27" t="s">
        <v>4042</v>
      </c>
      <c r="E245" s="27" t="s">
        <v>4042</v>
      </c>
      <c r="F245" s="27" t="s">
        <v>4042</v>
      </c>
      <c r="G245" s="27" t="s">
        <v>4042</v>
      </c>
      <c r="H245" s="27" t="s">
        <v>4042</v>
      </c>
      <c r="I245" s="27" t="s">
        <v>4042</v>
      </c>
      <c r="J245" s="27" t="s">
        <v>4042</v>
      </c>
      <c r="K245" s="27" t="s">
        <v>4042</v>
      </c>
      <c r="L245" s="27" t="s">
        <v>4042</v>
      </c>
      <c r="M245" s="27" t="s">
        <v>4042</v>
      </c>
      <c r="N245" s="27" t="s">
        <v>4042</v>
      </c>
      <c r="O245" s="27" t="s">
        <v>4042</v>
      </c>
      <c r="P245" s="27" t="s">
        <v>4042</v>
      </c>
      <c r="Q245" s="27" t="s">
        <v>4042</v>
      </c>
    </row>
    <row r="246" spans="1:17" ht="15.75" customHeight="1">
      <c r="A246" s="27" t="s">
        <v>4042</v>
      </c>
      <c r="B246" s="27" t="s">
        <v>4042</v>
      </c>
      <c r="C246" s="27" t="s">
        <v>4042</v>
      </c>
      <c r="D246" s="27" t="s">
        <v>4042</v>
      </c>
      <c r="E246" s="27" t="s">
        <v>4042</v>
      </c>
      <c r="F246" s="27" t="s">
        <v>4042</v>
      </c>
      <c r="G246" s="27" t="s">
        <v>4042</v>
      </c>
      <c r="H246" s="27" t="s">
        <v>4042</v>
      </c>
      <c r="I246" s="27" t="s">
        <v>4042</v>
      </c>
      <c r="J246" s="27" t="s">
        <v>4042</v>
      </c>
      <c r="K246" s="27" t="s">
        <v>4042</v>
      </c>
      <c r="L246" s="27" t="s">
        <v>4042</v>
      </c>
      <c r="M246" s="27" t="s">
        <v>4042</v>
      </c>
      <c r="N246" s="27" t="s">
        <v>4042</v>
      </c>
      <c r="O246" s="27" t="s">
        <v>4042</v>
      </c>
      <c r="P246" s="27" t="s">
        <v>4042</v>
      </c>
      <c r="Q246" s="27" t="s">
        <v>4042</v>
      </c>
    </row>
    <row r="247" spans="1:17" ht="15.75" customHeight="1">
      <c r="A247" s="27" t="s">
        <v>4042</v>
      </c>
      <c r="B247" s="27" t="s">
        <v>4042</v>
      </c>
      <c r="C247" s="27" t="s">
        <v>4042</v>
      </c>
      <c r="D247" s="27" t="s">
        <v>4042</v>
      </c>
      <c r="E247" s="27" t="s">
        <v>4042</v>
      </c>
      <c r="F247" s="27" t="s">
        <v>4042</v>
      </c>
      <c r="G247" s="27" t="s">
        <v>4042</v>
      </c>
      <c r="H247" s="27" t="s">
        <v>4042</v>
      </c>
      <c r="I247" s="27" t="s">
        <v>4042</v>
      </c>
      <c r="J247" s="27" t="s">
        <v>4042</v>
      </c>
      <c r="K247" s="27" t="s">
        <v>4042</v>
      </c>
      <c r="L247" s="27" t="s">
        <v>4042</v>
      </c>
      <c r="M247" s="27" t="s">
        <v>4042</v>
      </c>
      <c r="N247" s="27" t="s">
        <v>4042</v>
      </c>
      <c r="O247" s="27" t="s">
        <v>4042</v>
      </c>
      <c r="P247" s="27" t="s">
        <v>4042</v>
      </c>
      <c r="Q247" s="27" t="s">
        <v>4042</v>
      </c>
    </row>
    <row r="248" spans="1:17" ht="15.75" customHeight="1">
      <c r="A248" s="27" t="s">
        <v>4042</v>
      </c>
      <c r="B248" s="27" t="s">
        <v>4042</v>
      </c>
      <c r="C248" s="27" t="s">
        <v>4042</v>
      </c>
      <c r="D248" s="27" t="s">
        <v>4042</v>
      </c>
      <c r="E248" s="27" t="s">
        <v>4042</v>
      </c>
      <c r="F248" s="27" t="s">
        <v>4042</v>
      </c>
      <c r="G248" s="27" t="s">
        <v>4042</v>
      </c>
      <c r="H248" s="27" t="s">
        <v>4042</v>
      </c>
      <c r="I248" s="27" t="s">
        <v>4042</v>
      </c>
      <c r="J248" s="27" t="s">
        <v>4042</v>
      </c>
      <c r="K248" s="27" t="s">
        <v>4042</v>
      </c>
      <c r="L248" s="27" t="s">
        <v>4042</v>
      </c>
      <c r="M248" s="27" t="s">
        <v>4042</v>
      </c>
      <c r="N248" s="27" t="s">
        <v>4042</v>
      </c>
      <c r="O248" s="27" t="s">
        <v>4042</v>
      </c>
      <c r="P248" s="27" t="s">
        <v>4042</v>
      </c>
      <c r="Q248" s="27" t="s">
        <v>4042</v>
      </c>
    </row>
    <row r="249" spans="1:17" ht="15.75" customHeight="1">
      <c r="A249" s="27" t="s">
        <v>4042</v>
      </c>
      <c r="B249" s="27" t="s">
        <v>4042</v>
      </c>
      <c r="C249" s="27" t="s">
        <v>4042</v>
      </c>
      <c r="D249" s="27" t="s">
        <v>4042</v>
      </c>
      <c r="E249" s="27" t="s">
        <v>4042</v>
      </c>
      <c r="F249" s="27" t="s">
        <v>4042</v>
      </c>
      <c r="G249" s="27" t="s">
        <v>4042</v>
      </c>
      <c r="H249" s="27" t="s">
        <v>4042</v>
      </c>
      <c r="I249" s="27" t="s">
        <v>4042</v>
      </c>
      <c r="J249" s="27" t="s">
        <v>4042</v>
      </c>
      <c r="K249" s="27" t="s">
        <v>4042</v>
      </c>
      <c r="L249" s="27" t="s">
        <v>4042</v>
      </c>
      <c r="M249" s="27" t="s">
        <v>4042</v>
      </c>
      <c r="N249" s="27" t="s">
        <v>4042</v>
      </c>
      <c r="O249" s="27" t="s">
        <v>4042</v>
      </c>
      <c r="P249" s="27" t="s">
        <v>4042</v>
      </c>
      <c r="Q249" s="27" t="s">
        <v>4042</v>
      </c>
    </row>
    <row r="250" spans="1:17" ht="15.75" customHeight="1">
      <c r="A250" s="27" t="s">
        <v>4042</v>
      </c>
      <c r="B250" s="27" t="s">
        <v>4042</v>
      </c>
      <c r="C250" s="27" t="s">
        <v>4042</v>
      </c>
      <c r="D250" s="27" t="s">
        <v>4042</v>
      </c>
      <c r="E250" s="27" t="s">
        <v>4042</v>
      </c>
      <c r="F250" s="27" t="s">
        <v>4042</v>
      </c>
      <c r="G250" s="27" t="s">
        <v>4042</v>
      </c>
      <c r="H250" s="27" t="s">
        <v>4042</v>
      </c>
      <c r="I250" s="27" t="s">
        <v>4042</v>
      </c>
      <c r="J250" s="27" t="s">
        <v>4042</v>
      </c>
      <c r="K250" s="27" t="s">
        <v>4042</v>
      </c>
      <c r="L250" s="27" t="s">
        <v>4042</v>
      </c>
      <c r="M250" s="27" t="s">
        <v>4042</v>
      </c>
      <c r="N250" s="27" t="s">
        <v>4042</v>
      </c>
      <c r="O250" s="27" t="s">
        <v>4042</v>
      </c>
      <c r="P250" s="27" t="s">
        <v>4042</v>
      </c>
      <c r="Q250" s="27" t="s">
        <v>4042</v>
      </c>
    </row>
    <row r="251" spans="1:17" ht="15.75" customHeight="1">
      <c r="A251" s="27" t="s">
        <v>4042</v>
      </c>
      <c r="B251" s="27" t="s">
        <v>4042</v>
      </c>
      <c r="C251" s="27" t="s">
        <v>4042</v>
      </c>
      <c r="D251" s="27" t="s">
        <v>4042</v>
      </c>
      <c r="E251" s="27" t="s">
        <v>4042</v>
      </c>
      <c r="F251" s="27" t="s">
        <v>4042</v>
      </c>
      <c r="G251" s="27" t="s">
        <v>4042</v>
      </c>
      <c r="H251" s="27" t="s">
        <v>4042</v>
      </c>
      <c r="I251" s="27" t="s">
        <v>4042</v>
      </c>
      <c r="J251" s="27" t="s">
        <v>4042</v>
      </c>
      <c r="K251" s="27" t="s">
        <v>4042</v>
      </c>
      <c r="L251" s="27" t="s">
        <v>4042</v>
      </c>
      <c r="M251" s="27" t="s">
        <v>4042</v>
      </c>
      <c r="N251" s="27" t="s">
        <v>4042</v>
      </c>
      <c r="O251" s="27" t="s">
        <v>4042</v>
      </c>
      <c r="P251" s="27" t="s">
        <v>4042</v>
      </c>
      <c r="Q251" s="27" t="s">
        <v>4042</v>
      </c>
    </row>
    <row r="252" spans="1:17" ht="15.75" customHeight="1">
      <c r="A252" s="27" t="s">
        <v>4042</v>
      </c>
      <c r="B252" s="27" t="s">
        <v>4042</v>
      </c>
      <c r="C252" s="27" t="s">
        <v>4042</v>
      </c>
      <c r="D252" s="27" t="s">
        <v>4042</v>
      </c>
      <c r="E252" s="27" t="s">
        <v>4042</v>
      </c>
      <c r="F252" s="27" t="s">
        <v>4042</v>
      </c>
      <c r="G252" s="27" t="s">
        <v>4042</v>
      </c>
      <c r="H252" s="27" t="s">
        <v>4042</v>
      </c>
      <c r="I252" s="27" t="s">
        <v>4042</v>
      </c>
      <c r="J252" s="27" t="s">
        <v>4042</v>
      </c>
      <c r="K252" s="27" t="s">
        <v>4042</v>
      </c>
      <c r="L252" s="27" t="s">
        <v>4042</v>
      </c>
      <c r="M252" s="27" t="s">
        <v>4042</v>
      </c>
      <c r="N252" s="27" t="s">
        <v>4042</v>
      </c>
      <c r="O252" s="27" t="s">
        <v>4042</v>
      </c>
      <c r="P252" s="27" t="s">
        <v>4042</v>
      </c>
      <c r="Q252" s="27" t="s">
        <v>4042</v>
      </c>
    </row>
    <row r="253" spans="1:17" ht="15.75" customHeight="1">
      <c r="A253" s="27" t="s">
        <v>4042</v>
      </c>
      <c r="B253" s="27" t="s">
        <v>4042</v>
      </c>
      <c r="C253" s="27" t="s">
        <v>4042</v>
      </c>
      <c r="D253" s="27" t="s">
        <v>4042</v>
      </c>
      <c r="E253" s="27" t="s">
        <v>4042</v>
      </c>
      <c r="F253" s="27" t="s">
        <v>4042</v>
      </c>
      <c r="G253" s="27" t="s">
        <v>4042</v>
      </c>
      <c r="H253" s="27" t="s">
        <v>4042</v>
      </c>
      <c r="I253" s="27" t="s">
        <v>4042</v>
      </c>
      <c r="J253" s="27" t="s">
        <v>4042</v>
      </c>
      <c r="K253" s="27" t="s">
        <v>4042</v>
      </c>
      <c r="L253" s="27" t="s">
        <v>4042</v>
      </c>
      <c r="M253" s="27" t="s">
        <v>4042</v>
      </c>
      <c r="N253" s="27" t="s">
        <v>4042</v>
      </c>
      <c r="O253" s="27" t="s">
        <v>4042</v>
      </c>
      <c r="P253" s="27" t="s">
        <v>4042</v>
      </c>
      <c r="Q253" s="27" t="s">
        <v>4042</v>
      </c>
    </row>
    <row r="254" spans="1:17" ht="15.75" customHeight="1">
      <c r="A254" s="27" t="s">
        <v>4042</v>
      </c>
      <c r="B254" s="27" t="s">
        <v>4042</v>
      </c>
      <c r="C254" s="27" t="s">
        <v>4042</v>
      </c>
      <c r="D254" s="27" t="s">
        <v>4042</v>
      </c>
      <c r="E254" s="27" t="s">
        <v>4042</v>
      </c>
      <c r="F254" s="27" t="s">
        <v>4042</v>
      </c>
      <c r="G254" s="27" t="s">
        <v>4042</v>
      </c>
      <c r="H254" s="27" t="s">
        <v>4042</v>
      </c>
      <c r="I254" s="27" t="s">
        <v>4042</v>
      </c>
      <c r="J254" s="27" t="s">
        <v>4042</v>
      </c>
      <c r="K254" s="27" t="s">
        <v>4042</v>
      </c>
      <c r="L254" s="27" t="s">
        <v>4042</v>
      </c>
      <c r="M254" s="27" t="s">
        <v>4042</v>
      </c>
      <c r="N254" s="27" t="s">
        <v>4042</v>
      </c>
      <c r="O254" s="27" t="s">
        <v>4042</v>
      </c>
      <c r="P254" s="27" t="s">
        <v>4042</v>
      </c>
      <c r="Q254" s="27" t="s">
        <v>4042</v>
      </c>
    </row>
    <row r="255" spans="1:17" ht="15.75" customHeight="1">
      <c r="A255" s="27" t="s">
        <v>4042</v>
      </c>
      <c r="B255" s="27" t="s">
        <v>4042</v>
      </c>
      <c r="C255" s="27" t="s">
        <v>4042</v>
      </c>
      <c r="D255" s="27" t="s">
        <v>4042</v>
      </c>
      <c r="E255" s="27" t="s">
        <v>4042</v>
      </c>
      <c r="F255" s="27" t="s">
        <v>4042</v>
      </c>
      <c r="G255" s="27" t="s">
        <v>4042</v>
      </c>
      <c r="H255" s="27" t="s">
        <v>4042</v>
      </c>
      <c r="I255" s="27" t="s">
        <v>4042</v>
      </c>
      <c r="J255" s="27" t="s">
        <v>4042</v>
      </c>
      <c r="K255" s="27" t="s">
        <v>4042</v>
      </c>
      <c r="L255" s="27" t="s">
        <v>4042</v>
      </c>
      <c r="M255" s="27" t="s">
        <v>4042</v>
      </c>
      <c r="N255" s="27" t="s">
        <v>4042</v>
      </c>
      <c r="O255" s="27" t="s">
        <v>4042</v>
      </c>
      <c r="P255" s="27" t="s">
        <v>4042</v>
      </c>
      <c r="Q255" s="27" t="s">
        <v>4042</v>
      </c>
    </row>
    <row r="256" spans="1:17" ht="15.75" customHeight="1">
      <c r="A256" s="27" t="s">
        <v>4042</v>
      </c>
      <c r="B256" s="27" t="s">
        <v>4042</v>
      </c>
      <c r="C256" s="27" t="s">
        <v>4042</v>
      </c>
      <c r="D256" s="27" t="s">
        <v>4042</v>
      </c>
      <c r="E256" s="27" t="s">
        <v>4042</v>
      </c>
      <c r="F256" s="27" t="s">
        <v>4042</v>
      </c>
      <c r="G256" s="27" t="s">
        <v>4042</v>
      </c>
      <c r="H256" s="27" t="s">
        <v>4042</v>
      </c>
      <c r="I256" s="27" t="s">
        <v>4042</v>
      </c>
      <c r="J256" s="27" t="s">
        <v>4042</v>
      </c>
      <c r="K256" s="27" t="s">
        <v>4042</v>
      </c>
      <c r="L256" s="27" t="s">
        <v>4042</v>
      </c>
      <c r="M256" s="27" t="s">
        <v>4042</v>
      </c>
      <c r="N256" s="27" t="s">
        <v>4042</v>
      </c>
      <c r="O256" s="27" t="s">
        <v>4042</v>
      </c>
      <c r="P256" s="27" t="s">
        <v>4042</v>
      </c>
      <c r="Q256" s="27" t="s">
        <v>4042</v>
      </c>
    </row>
    <row r="257" spans="1:17" ht="15.75" customHeight="1">
      <c r="A257" s="27" t="s">
        <v>4042</v>
      </c>
      <c r="B257" s="27" t="s">
        <v>4042</v>
      </c>
      <c r="C257" s="27" t="s">
        <v>4042</v>
      </c>
      <c r="D257" s="27" t="s">
        <v>4042</v>
      </c>
      <c r="E257" s="27" t="s">
        <v>4042</v>
      </c>
      <c r="F257" s="27" t="s">
        <v>4042</v>
      </c>
      <c r="G257" s="27" t="s">
        <v>4042</v>
      </c>
      <c r="H257" s="27" t="s">
        <v>4042</v>
      </c>
      <c r="I257" s="27" t="s">
        <v>4042</v>
      </c>
      <c r="J257" s="27" t="s">
        <v>4042</v>
      </c>
      <c r="K257" s="27" t="s">
        <v>4042</v>
      </c>
      <c r="L257" s="27" t="s">
        <v>4042</v>
      </c>
      <c r="M257" s="27" t="s">
        <v>4042</v>
      </c>
      <c r="N257" s="27" t="s">
        <v>4042</v>
      </c>
      <c r="O257" s="27" t="s">
        <v>4042</v>
      </c>
      <c r="P257" s="27" t="s">
        <v>4042</v>
      </c>
      <c r="Q257" s="27" t="s">
        <v>4042</v>
      </c>
    </row>
    <row r="258" spans="1:17" ht="15.75" customHeight="1">
      <c r="A258" s="27" t="s">
        <v>4042</v>
      </c>
      <c r="B258" s="27" t="s">
        <v>4042</v>
      </c>
      <c r="C258" s="27" t="s">
        <v>4042</v>
      </c>
      <c r="D258" s="27" t="s">
        <v>4042</v>
      </c>
      <c r="E258" s="27" t="s">
        <v>4042</v>
      </c>
      <c r="F258" s="27" t="s">
        <v>4042</v>
      </c>
      <c r="G258" s="27" t="s">
        <v>4042</v>
      </c>
      <c r="H258" s="27" t="s">
        <v>4042</v>
      </c>
      <c r="I258" s="27" t="s">
        <v>4042</v>
      </c>
      <c r="J258" s="27" t="s">
        <v>4042</v>
      </c>
      <c r="K258" s="27" t="s">
        <v>4042</v>
      </c>
      <c r="L258" s="27" t="s">
        <v>4042</v>
      </c>
      <c r="M258" s="27" t="s">
        <v>4042</v>
      </c>
      <c r="N258" s="27" t="s">
        <v>4042</v>
      </c>
      <c r="O258" s="27" t="s">
        <v>4042</v>
      </c>
      <c r="P258" s="27" t="s">
        <v>4042</v>
      </c>
      <c r="Q258" s="27" t="s">
        <v>4042</v>
      </c>
    </row>
    <row r="259" spans="1:17" ht="15.75" customHeight="1">
      <c r="A259" s="27" t="s">
        <v>4042</v>
      </c>
      <c r="B259" s="27" t="s">
        <v>4042</v>
      </c>
      <c r="C259" s="27" t="s">
        <v>4042</v>
      </c>
      <c r="D259" s="27" t="s">
        <v>4042</v>
      </c>
      <c r="E259" s="27" t="s">
        <v>4042</v>
      </c>
      <c r="F259" s="27" t="s">
        <v>4042</v>
      </c>
      <c r="G259" s="27" t="s">
        <v>4042</v>
      </c>
      <c r="H259" s="27" t="s">
        <v>4042</v>
      </c>
      <c r="I259" s="27" t="s">
        <v>4042</v>
      </c>
      <c r="J259" s="27" t="s">
        <v>4042</v>
      </c>
      <c r="K259" s="27" t="s">
        <v>4042</v>
      </c>
      <c r="L259" s="27" t="s">
        <v>4042</v>
      </c>
      <c r="M259" s="27" t="s">
        <v>4042</v>
      </c>
      <c r="N259" s="27" t="s">
        <v>4042</v>
      </c>
      <c r="O259" s="27" t="s">
        <v>4042</v>
      </c>
      <c r="P259" s="27" t="s">
        <v>4042</v>
      </c>
      <c r="Q259" s="27" t="s">
        <v>4042</v>
      </c>
    </row>
    <row r="260" spans="1:17" ht="15.75" customHeight="1">
      <c r="A260" s="27" t="s">
        <v>4042</v>
      </c>
      <c r="B260" s="27" t="s">
        <v>4042</v>
      </c>
      <c r="C260" s="27" t="s">
        <v>4042</v>
      </c>
      <c r="D260" s="27" t="s">
        <v>4042</v>
      </c>
      <c r="E260" s="27" t="s">
        <v>4042</v>
      </c>
      <c r="F260" s="27" t="s">
        <v>4042</v>
      </c>
      <c r="G260" s="27" t="s">
        <v>4042</v>
      </c>
      <c r="H260" s="27" t="s">
        <v>4042</v>
      </c>
      <c r="I260" s="27" t="s">
        <v>4042</v>
      </c>
      <c r="J260" s="27" t="s">
        <v>4042</v>
      </c>
      <c r="K260" s="27" t="s">
        <v>4042</v>
      </c>
      <c r="L260" s="27" t="s">
        <v>4042</v>
      </c>
      <c r="M260" s="27" t="s">
        <v>4042</v>
      </c>
      <c r="N260" s="27" t="s">
        <v>4042</v>
      </c>
      <c r="O260" s="27" t="s">
        <v>4042</v>
      </c>
      <c r="P260" s="27" t="s">
        <v>4042</v>
      </c>
      <c r="Q260" s="27" t="s">
        <v>4042</v>
      </c>
    </row>
    <row r="261" spans="1:17" ht="15.75" customHeight="1">
      <c r="A261" s="27" t="s">
        <v>4042</v>
      </c>
      <c r="B261" s="27" t="s">
        <v>4042</v>
      </c>
      <c r="C261" s="27" t="s">
        <v>4042</v>
      </c>
      <c r="D261" s="27" t="s">
        <v>4042</v>
      </c>
      <c r="E261" s="27" t="s">
        <v>4042</v>
      </c>
      <c r="F261" s="27" t="s">
        <v>4042</v>
      </c>
      <c r="G261" s="27" t="s">
        <v>4042</v>
      </c>
      <c r="H261" s="27" t="s">
        <v>4042</v>
      </c>
      <c r="I261" s="27" t="s">
        <v>4042</v>
      </c>
      <c r="J261" s="27" t="s">
        <v>4042</v>
      </c>
      <c r="K261" s="27" t="s">
        <v>4042</v>
      </c>
      <c r="L261" s="27" t="s">
        <v>4042</v>
      </c>
      <c r="M261" s="27" t="s">
        <v>4042</v>
      </c>
      <c r="N261" s="27" t="s">
        <v>4042</v>
      </c>
      <c r="O261" s="27" t="s">
        <v>4042</v>
      </c>
      <c r="P261" s="27" t="s">
        <v>4042</v>
      </c>
      <c r="Q261" s="27" t="s">
        <v>4042</v>
      </c>
    </row>
    <row r="262" spans="1:17" ht="15.75" customHeight="1">
      <c r="A262" s="27" t="s">
        <v>4042</v>
      </c>
      <c r="B262" s="27" t="s">
        <v>4042</v>
      </c>
      <c r="C262" s="27" t="s">
        <v>4042</v>
      </c>
      <c r="D262" s="27" t="s">
        <v>4042</v>
      </c>
      <c r="E262" s="27" t="s">
        <v>4042</v>
      </c>
      <c r="F262" s="27" t="s">
        <v>4042</v>
      </c>
      <c r="G262" s="27" t="s">
        <v>4042</v>
      </c>
      <c r="H262" s="27" t="s">
        <v>4042</v>
      </c>
      <c r="I262" s="27" t="s">
        <v>4042</v>
      </c>
      <c r="J262" s="27" t="s">
        <v>4042</v>
      </c>
      <c r="K262" s="27" t="s">
        <v>4042</v>
      </c>
      <c r="L262" s="27" t="s">
        <v>4042</v>
      </c>
      <c r="M262" s="27" t="s">
        <v>4042</v>
      </c>
      <c r="N262" s="27" t="s">
        <v>4042</v>
      </c>
      <c r="O262" s="27" t="s">
        <v>4042</v>
      </c>
      <c r="P262" s="27" t="s">
        <v>4042</v>
      </c>
      <c r="Q262" s="27" t="s">
        <v>4042</v>
      </c>
    </row>
    <row r="263" spans="1:17" ht="15.75" customHeight="1">
      <c r="A263" s="27" t="s">
        <v>4042</v>
      </c>
      <c r="B263" s="27" t="s">
        <v>4042</v>
      </c>
      <c r="C263" s="27" t="s">
        <v>4042</v>
      </c>
      <c r="D263" s="27" t="s">
        <v>4042</v>
      </c>
      <c r="E263" s="27" t="s">
        <v>4042</v>
      </c>
      <c r="F263" s="27" t="s">
        <v>4042</v>
      </c>
      <c r="G263" s="27" t="s">
        <v>4042</v>
      </c>
      <c r="H263" s="27" t="s">
        <v>4042</v>
      </c>
      <c r="I263" s="27" t="s">
        <v>4042</v>
      </c>
      <c r="J263" s="27" t="s">
        <v>4042</v>
      </c>
      <c r="K263" s="27" t="s">
        <v>4042</v>
      </c>
      <c r="L263" s="27" t="s">
        <v>4042</v>
      </c>
      <c r="M263" s="27" t="s">
        <v>4042</v>
      </c>
      <c r="N263" s="27" t="s">
        <v>4042</v>
      </c>
      <c r="O263" s="27" t="s">
        <v>4042</v>
      </c>
      <c r="P263" s="27" t="s">
        <v>4042</v>
      </c>
      <c r="Q263" s="27" t="s">
        <v>4042</v>
      </c>
    </row>
    <row r="264" spans="1:17" ht="15.75" customHeight="1">
      <c r="A264" s="27" t="s">
        <v>4042</v>
      </c>
      <c r="B264" s="27" t="s">
        <v>4042</v>
      </c>
      <c r="C264" s="27" t="s">
        <v>4042</v>
      </c>
      <c r="D264" s="27" t="s">
        <v>4042</v>
      </c>
      <c r="E264" s="27" t="s">
        <v>4042</v>
      </c>
      <c r="F264" s="27" t="s">
        <v>4042</v>
      </c>
      <c r="G264" s="27" t="s">
        <v>4042</v>
      </c>
      <c r="H264" s="27" t="s">
        <v>4042</v>
      </c>
      <c r="I264" s="27" t="s">
        <v>4042</v>
      </c>
      <c r="J264" s="27" t="s">
        <v>4042</v>
      </c>
      <c r="K264" s="27" t="s">
        <v>4042</v>
      </c>
      <c r="L264" s="27" t="s">
        <v>4042</v>
      </c>
      <c r="M264" s="27" t="s">
        <v>4042</v>
      </c>
      <c r="N264" s="27" t="s">
        <v>4042</v>
      </c>
      <c r="O264" s="27" t="s">
        <v>4042</v>
      </c>
      <c r="P264" s="27" t="s">
        <v>4042</v>
      </c>
      <c r="Q264" s="27" t="s">
        <v>4042</v>
      </c>
    </row>
    <row r="265" spans="1:17" ht="15.75" customHeight="1">
      <c r="A265" s="27" t="s">
        <v>4042</v>
      </c>
      <c r="B265" s="27" t="s">
        <v>4042</v>
      </c>
      <c r="C265" s="27" t="s">
        <v>4042</v>
      </c>
      <c r="D265" s="27" t="s">
        <v>4042</v>
      </c>
      <c r="E265" s="27" t="s">
        <v>4042</v>
      </c>
      <c r="F265" s="27" t="s">
        <v>4042</v>
      </c>
      <c r="G265" s="27" t="s">
        <v>4042</v>
      </c>
      <c r="H265" s="27" t="s">
        <v>4042</v>
      </c>
      <c r="I265" s="27" t="s">
        <v>4042</v>
      </c>
      <c r="J265" s="27" t="s">
        <v>4042</v>
      </c>
      <c r="K265" s="27" t="s">
        <v>4042</v>
      </c>
      <c r="L265" s="27" t="s">
        <v>4042</v>
      </c>
      <c r="M265" s="27" t="s">
        <v>4042</v>
      </c>
      <c r="N265" s="27" t="s">
        <v>4042</v>
      </c>
      <c r="O265" s="27" t="s">
        <v>4042</v>
      </c>
      <c r="P265" s="27" t="s">
        <v>4042</v>
      </c>
      <c r="Q265" s="27" t="s">
        <v>4042</v>
      </c>
    </row>
    <row r="266" spans="1:17" ht="15.75" customHeight="1">
      <c r="A266" s="27" t="s">
        <v>4042</v>
      </c>
      <c r="B266" s="27" t="s">
        <v>4042</v>
      </c>
      <c r="C266" s="27" t="s">
        <v>4042</v>
      </c>
      <c r="D266" s="27" t="s">
        <v>4042</v>
      </c>
      <c r="E266" s="27" t="s">
        <v>4042</v>
      </c>
      <c r="F266" s="27" t="s">
        <v>4042</v>
      </c>
      <c r="G266" s="27" t="s">
        <v>4042</v>
      </c>
      <c r="H266" s="27" t="s">
        <v>4042</v>
      </c>
      <c r="I266" s="27" t="s">
        <v>4042</v>
      </c>
      <c r="J266" s="27" t="s">
        <v>4042</v>
      </c>
      <c r="K266" s="27" t="s">
        <v>4042</v>
      </c>
      <c r="L266" s="27" t="s">
        <v>4042</v>
      </c>
      <c r="M266" s="27" t="s">
        <v>4042</v>
      </c>
      <c r="N266" s="27" t="s">
        <v>4042</v>
      </c>
      <c r="O266" s="27" t="s">
        <v>4042</v>
      </c>
      <c r="P266" s="27" t="s">
        <v>4042</v>
      </c>
      <c r="Q266" s="27" t="s">
        <v>4042</v>
      </c>
    </row>
    <row r="267" spans="1:17" ht="15.75" customHeight="1">
      <c r="A267" s="27" t="s">
        <v>4042</v>
      </c>
      <c r="B267" s="27" t="s">
        <v>4042</v>
      </c>
      <c r="C267" s="27" t="s">
        <v>4042</v>
      </c>
      <c r="D267" s="27" t="s">
        <v>4042</v>
      </c>
      <c r="E267" s="27" t="s">
        <v>4042</v>
      </c>
      <c r="F267" s="27" t="s">
        <v>4042</v>
      </c>
      <c r="G267" s="27" t="s">
        <v>4042</v>
      </c>
      <c r="H267" s="27" t="s">
        <v>4042</v>
      </c>
      <c r="I267" s="27" t="s">
        <v>4042</v>
      </c>
      <c r="J267" s="27" t="s">
        <v>4042</v>
      </c>
      <c r="K267" s="27" t="s">
        <v>4042</v>
      </c>
      <c r="L267" s="27" t="s">
        <v>4042</v>
      </c>
      <c r="M267" s="27" t="s">
        <v>4042</v>
      </c>
      <c r="N267" s="27" t="s">
        <v>4042</v>
      </c>
      <c r="O267" s="27" t="s">
        <v>4042</v>
      </c>
      <c r="P267" s="27" t="s">
        <v>4042</v>
      </c>
      <c r="Q267" s="27" t="s">
        <v>4042</v>
      </c>
    </row>
    <row r="268" spans="1:17" ht="15.75" customHeight="1">
      <c r="A268" s="27" t="s">
        <v>4042</v>
      </c>
      <c r="B268" s="27" t="s">
        <v>4042</v>
      </c>
      <c r="C268" s="27" t="s">
        <v>4042</v>
      </c>
      <c r="D268" s="27" t="s">
        <v>4042</v>
      </c>
      <c r="E268" s="27" t="s">
        <v>4042</v>
      </c>
      <c r="F268" s="27" t="s">
        <v>4042</v>
      </c>
      <c r="G268" s="27" t="s">
        <v>4042</v>
      </c>
      <c r="H268" s="27" t="s">
        <v>4042</v>
      </c>
      <c r="I268" s="27" t="s">
        <v>4042</v>
      </c>
      <c r="J268" s="27" t="s">
        <v>4042</v>
      </c>
      <c r="K268" s="27" t="s">
        <v>4042</v>
      </c>
      <c r="L268" s="27" t="s">
        <v>4042</v>
      </c>
      <c r="M268" s="27" t="s">
        <v>4042</v>
      </c>
      <c r="N268" s="27" t="s">
        <v>4042</v>
      </c>
      <c r="O268" s="27" t="s">
        <v>4042</v>
      </c>
      <c r="P268" s="27" t="s">
        <v>4042</v>
      </c>
      <c r="Q268" s="27" t="s">
        <v>4042</v>
      </c>
    </row>
    <row r="269" spans="1:17" ht="15.75" customHeight="1">
      <c r="A269" s="27" t="s">
        <v>4042</v>
      </c>
      <c r="B269" s="27" t="s">
        <v>4042</v>
      </c>
      <c r="C269" s="27" t="s">
        <v>4042</v>
      </c>
      <c r="D269" s="27" t="s">
        <v>4042</v>
      </c>
      <c r="E269" s="27" t="s">
        <v>4042</v>
      </c>
      <c r="F269" s="27" t="s">
        <v>4042</v>
      </c>
      <c r="G269" s="27" t="s">
        <v>4042</v>
      </c>
      <c r="H269" s="27" t="s">
        <v>4042</v>
      </c>
      <c r="I269" s="27" t="s">
        <v>4042</v>
      </c>
      <c r="J269" s="27" t="s">
        <v>4042</v>
      </c>
      <c r="K269" s="27" t="s">
        <v>4042</v>
      </c>
      <c r="L269" s="27" t="s">
        <v>4042</v>
      </c>
      <c r="M269" s="27" t="s">
        <v>4042</v>
      </c>
      <c r="N269" s="27" t="s">
        <v>4042</v>
      </c>
      <c r="O269" s="27" t="s">
        <v>4042</v>
      </c>
      <c r="P269" s="27" t="s">
        <v>4042</v>
      </c>
      <c r="Q269" s="27" t="s">
        <v>4042</v>
      </c>
    </row>
    <row r="270" spans="1:17" ht="15.75" customHeight="1">
      <c r="A270" s="27" t="s">
        <v>4042</v>
      </c>
      <c r="B270" s="27" t="s">
        <v>4042</v>
      </c>
      <c r="C270" s="27" t="s">
        <v>4042</v>
      </c>
      <c r="D270" s="27" t="s">
        <v>4042</v>
      </c>
      <c r="E270" s="27" t="s">
        <v>4042</v>
      </c>
      <c r="F270" s="27" t="s">
        <v>4042</v>
      </c>
      <c r="G270" s="27" t="s">
        <v>4042</v>
      </c>
      <c r="H270" s="27" t="s">
        <v>4042</v>
      </c>
      <c r="I270" s="27" t="s">
        <v>4042</v>
      </c>
      <c r="J270" s="27" t="s">
        <v>4042</v>
      </c>
      <c r="K270" s="27" t="s">
        <v>4042</v>
      </c>
      <c r="L270" s="27" t="s">
        <v>4042</v>
      </c>
      <c r="M270" s="27" t="s">
        <v>4042</v>
      </c>
      <c r="N270" s="27" t="s">
        <v>4042</v>
      </c>
      <c r="O270" s="27" t="s">
        <v>4042</v>
      </c>
      <c r="P270" s="27" t="s">
        <v>4042</v>
      </c>
      <c r="Q270" s="27" t="s">
        <v>4042</v>
      </c>
    </row>
    <row r="271" spans="1:17" ht="15.75" customHeight="1">
      <c r="A271" s="27" t="s">
        <v>4042</v>
      </c>
      <c r="B271" s="27" t="s">
        <v>4042</v>
      </c>
      <c r="C271" s="27" t="s">
        <v>4042</v>
      </c>
      <c r="D271" s="27" t="s">
        <v>4042</v>
      </c>
      <c r="E271" s="27" t="s">
        <v>4042</v>
      </c>
      <c r="F271" s="27" t="s">
        <v>4042</v>
      </c>
      <c r="G271" s="27" t="s">
        <v>4042</v>
      </c>
      <c r="H271" s="27" t="s">
        <v>4042</v>
      </c>
      <c r="I271" s="27" t="s">
        <v>4042</v>
      </c>
      <c r="J271" s="27" t="s">
        <v>4042</v>
      </c>
      <c r="K271" s="27" t="s">
        <v>4042</v>
      </c>
      <c r="L271" s="27" t="s">
        <v>4042</v>
      </c>
      <c r="M271" s="27" t="s">
        <v>4042</v>
      </c>
      <c r="N271" s="27" t="s">
        <v>4042</v>
      </c>
      <c r="O271" s="27" t="s">
        <v>4042</v>
      </c>
      <c r="P271" s="27" t="s">
        <v>4042</v>
      </c>
      <c r="Q271" s="27" t="s">
        <v>4042</v>
      </c>
    </row>
    <row r="272" spans="1:17" ht="15.75" customHeight="1">
      <c r="A272" s="27" t="s">
        <v>4042</v>
      </c>
      <c r="B272" s="27" t="s">
        <v>4042</v>
      </c>
      <c r="C272" s="27" t="s">
        <v>4042</v>
      </c>
      <c r="D272" s="27" t="s">
        <v>4042</v>
      </c>
      <c r="E272" s="27" t="s">
        <v>4042</v>
      </c>
      <c r="F272" s="27" t="s">
        <v>4042</v>
      </c>
      <c r="G272" s="27" t="s">
        <v>4042</v>
      </c>
      <c r="H272" s="27" t="s">
        <v>4042</v>
      </c>
      <c r="I272" s="27" t="s">
        <v>4042</v>
      </c>
      <c r="J272" s="27" t="s">
        <v>4042</v>
      </c>
      <c r="K272" s="27" t="s">
        <v>4042</v>
      </c>
      <c r="L272" s="27" t="s">
        <v>4042</v>
      </c>
      <c r="M272" s="27" t="s">
        <v>4042</v>
      </c>
      <c r="N272" s="27" t="s">
        <v>4042</v>
      </c>
      <c r="O272" s="27" t="s">
        <v>4042</v>
      </c>
      <c r="P272" s="27" t="s">
        <v>4042</v>
      </c>
      <c r="Q272" s="27" t="s">
        <v>4042</v>
      </c>
    </row>
    <row r="273" spans="1:17" ht="15.75" customHeight="1">
      <c r="A273" s="27" t="s">
        <v>4042</v>
      </c>
      <c r="B273" s="27" t="s">
        <v>4042</v>
      </c>
      <c r="C273" s="27" t="s">
        <v>4042</v>
      </c>
      <c r="D273" s="27" t="s">
        <v>4042</v>
      </c>
      <c r="E273" s="27" t="s">
        <v>4042</v>
      </c>
      <c r="F273" s="27" t="s">
        <v>4042</v>
      </c>
      <c r="G273" s="27" t="s">
        <v>4042</v>
      </c>
      <c r="H273" s="27" t="s">
        <v>4042</v>
      </c>
      <c r="I273" s="27" t="s">
        <v>4042</v>
      </c>
      <c r="J273" s="27" t="s">
        <v>4042</v>
      </c>
      <c r="K273" s="27" t="s">
        <v>4042</v>
      </c>
      <c r="L273" s="27" t="s">
        <v>4042</v>
      </c>
      <c r="M273" s="27" t="s">
        <v>4042</v>
      </c>
      <c r="N273" s="27" t="s">
        <v>4042</v>
      </c>
      <c r="O273" s="27" t="s">
        <v>4042</v>
      </c>
      <c r="P273" s="27" t="s">
        <v>4042</v>
      </c>
      <c r="Q273" s="27" t="s">
        <v>4042</v>
      </c>
    </row>
    <row r="274" spans="1:17" ht="15.75" customHeight="1">
      <c r="A274" s="27" t="s">
        <v>4042</v>
      </c>
      <c r="B274" s="27" t="s">
        <v>4042</v>
      </c>
      <c r="C274" s="27" t="s">
        <v>4042</v>
      </c>
      <c r="D274" s="27" t="s">
        <v>4042</v>
      </c>
      <c r="E274" s="27" t="s">
        <v>4042</v>
      </c>
      <c r="F274" s="27" t="s">
        <v>4042</v>
      </c>
      <c r="G274" s="27" t="s">
        <v>4042</v>
      </c>
      <c r="H274" s="27" t="s">
        <v>4042</v>
      </c>
      <c r="I274" s="27" t="s">
        <v>4042</v>
      </c>
      <c r="J274" s="27" t="s">
        <v>4042</v>
      </c>
      <c r="K274" s="27" t="s">
        <v>4042</v>
      </c>
      <c r="L274" s="27" t="s">
        <v>4042</v>
      </c>
      <c r="M274" s="27" t="s">
        <v>4042</v>
      </c>
      <c r="N274" s="27" t="s">
        <v>4042</v>
      </c>
      <c r="O274" s="27" t="s">
        <v>4042</v>
      </c>
      <c r="P274" s="27" t="s">
        <v>4042</v>
      </c>
      <c r="Q274" s="27" t="s">
        <v>4042</v>
      </c>
    </row>
    <row r="275" spans="1:17" ht="15.75" customHeight="1">
      <c r="A275" s="27" t="s">
        <v>4042</v>
      </c>
      <c r="B275" s="27" t="s">
        <v>4042</v>
      </c>
      <c r="C275" s="27" t="s">
        <v>4042</v>
      </c>
      <c r="D275" s="27" t="s">
        <v>4042</v>
      </c>
      <c r="E275" s="27" t="s">
        <v>4042</v>
      </c>
      <c r="F275" s="27" t="s">
        <v>4042</v>
      </c>
      <c r="G275" s="27" t="s">
        <v>4042</v>
      </c>
      <c r="H275" s="27" t="s">
        <v>4042</v>
      </c>
      <c r="I275" s="27" t="s">
        <v>4042</v>
      </c>
      <c r="J275" s="27" t="s">
        <v>4042</v>
      </c>
      <c r="K275" s="27" t="s">
        <v>4042</v>
      </c>
      <c r="L275" s="27" t="s">
        <v>4042</v>
      </c>
      <c r="M275" s="27" t="s">
        <v>4042</v>
      </c>
      <c r="N275" s="27" t="s">
        <v>4042</v>
      </c>
      <c r="O275" s="27" t="s">
        <v>4042</v>
      </c>
      <c r="P275" s="27" t="s">
        <v>4042</v>
      </c>
      <c r="Q275" s="27" t="s">
        <v>4042</v>
      </c>
    </row>
    <row r="276" spans="1:17" ht="15.75" customHeight="1">
      <c r="A276" s="27" t="s">
        <v>4042</v>
      </c>
      <c r="B276" s="27" t="s">
        <v>4042</v>
      </c>
      <c r="C276" s="27" t="s">
        <v>4042</v>
      </c>
      <c r="D276" s="27" t="s">
        <v>4042</v>
      </c>
      <c r="E276" s="27" t="s">
        <v>4042</v>
      </c>
      <c r="F276" s="27" t="s">
        <v>4042</v>
      </c>
      <c r="G276" s="27" t="s">
        <v>4042</v>
      </c>
      <c r="H276" s="27" t="s">
        <v>4042</v>
      </c>
      <c r="I276" s="27" t="s">
        <v>4042</v>
      </c>
      <c r="J276" s="27" t="s">
        <v>4042</v>
      </c>
      <c r="K276" s="27" t="s">
        <v>4042</v>
      </c>
      <c r="L276" s="27" t="s">
        <v>4042</v>
      </c>
      <c r="M276" s="27" t="s">
        <v>4042</v>
      </c>
      <c r="N276" s="27" t="s">
        <v>4042</v>
      </c>
      <c r="O276" s="27" t="s">
        <v>4042</v>
      </c>
      <c r="P276" s="27" t="s">
        <v>4042</v>
      </c>
      <c r="Q276" s="27" t="s">
        <v>4042</v>
      </c>
    </row>
    <row r="277" spans="1:17" ht="15.75" customHeight="1">
      <c r="A277" s="27" t="s">
        <v>4042</v>
      </c>
      <c r="B277" s="27" t="s">
        <v>4042</v>
      </c>
      <c r="C277" s="27" t="s">
        <v>4042</v>
      </c>
      <c r="D277" s="27" t="s">
        <v>4042</v>
      </c>
      <c r="E277" s="27" t="s">
        <v>4042</v>
      </c>
      <c r="F277" s="27" t="s">
        <v>4042</v>
      </c>
      <c r="G277" s="27" t="s">
        <v>4042</v>
      </c>
      <c r="H277" s="27" t="s">
        <v>4042</v>
      </c>
      <c r="I277" s="27" t="s">
        <v>4042</v>
      </c>
      <c r="J277" s="27" t="s">
        <v>4042</v>
      </c>
      <c r="K277" s="27" t="s">
        <v>4042</v>
      </c>
      <c r="L277" s="27" t="s">
        <v>4042</v>
      </c>
      <c r="M277" s="27" t="s">
        <v>4042</v>
      </c>
      <c r="N277" s="27" t="s">
        <v>4042</v>
      </c>
      <c r="O277" s="27" t="s">
        <v>4042</v>
      </c>
      <c r="P277" s="27" t="s">
        <v>4042</v>
      </c>
      <c r="Q277" s="27" t="s">
        <v>4042</v>
      </c>
    </row>
    <row r="278" spans="1:17" ht="15.75" customHeight="1">
      <c r="A278" s="27" t="s">
        <v>4042</v>
      </c>
      <c r="B278" s="27" t="s">
        <v>4042</v>
      </c>
      <c r="C278" s="27" t="s">
        <v>4042</v>
      </c>
      <c r="D278" s="27" t="s">
        <v>4042</v>
      </c>
      <c r="E278" s="27" t="s">
        <v>4042</v>
      </c>
      <c r="F278" s="27" t="s">
        <v>4042</v>
      </c>
      <c r="G278" s="27" t="s">
        <v>4042</v>
      </c>
      <c r="H278" s="27" t="s">
        <v>4042</v>
      </c>
      <c r="I278" s="27" t="s">
        <v>4042</v>
      </c>
      <c r="J278" s="27" t="s">
        <v>4042</v>
      </c>
      <c r="K278" s="27" t="s">
        <v>4042</v>
      </c>
      <c r="L278" s="27" t="s">
        <v>4042</v>
      </c>
      <c r="M278" s="27" t="s">
        <v>4042</v>
      </c>
      <c r="N278" s="27" t="s">
        <v>4042</v>
      </c>
      <c r="O278" s="27" t="s">
        <v>4042</v>
      </c>
      <c r="P278" s="27" t="s">
        <v>4042</v>
      </c>
      <c r="Q278" s="27" t="s">
        <v>4042</v>
      </c>
    </row>
    <row r="279" spans="1:17" ht="15.75" customHeight="1">
      <c r="A279" s="27" t="s">
        <v>4042</v>
      </c>
      <c r="B279" s="27" t="s">
        <v>4042</v>
      </c>
      <c r="C279" s="27" t="s">
        <v>4042</v>
      </c>
      <c r="D279" s="27" t="s">
        <v>4042</v>
      </c>
      <c r="E279" s="27" t="s">
        <v>4042</v>
      </c>
      <c r="F279" s="27" t="s">
        <v>4042</v>
      </c>
      <c r="G279" s="27" t="s">
        <v>4042</v>
      </c>
      <c r="H279" s="27" t="s">
        <v>4042</v>
      </c>
      <c r="I279" s="27" t="s">
        <v>4042</v>
      </c>
      <c r="J279" s="27" t="s">
        <v>4042</v>
      </c>
      <c r="K279" s="27" t="s">
        <v>4042</v>
      </c>
      <c r="L279" s="27" t="s">
        <v>4042</v>
      </c>
      <c r="M279" s="27" t="s">
        <v>4042</v>
      </c>
      <c r="N279" s="27" t="s">
        <v>4042</v>
      </c>
      <c r="O279" s="27" t="s">
        <v>4042</v>
      </c>
      <c r="P279" s="27" t="s">
        <v>4042</v>
      </c>
      <c r="Q279" s="27" t="s">
        <v>4042</v>
      </c>
    </row>
    <row r="280" spans="1:17" ht="15.75" customHeight="1">
      <c r="A280" s="27" t="s">
        <v>4042</v>
      </c>
      <c r="B280" s="27" t="s">
        <v>4042</v>
      </c>
      <c r="C280" s="27" t="s">
        <v>4042</v>
      </c>
      <c r="D280" s="27" t="s">
        <v>4042</v>
      </c>
      <c r="E280" s="27" t="s">
        <v>4042</v>
      </c>
      <c r="F280" s="27" t="s">
        <v>4042</v>
      </c>
      <c r="G280" s="27" t="s">
        <v>4042</v>
      </c>
      <c r="H280" s="27" t="s">
        <v>4042</v>
      </c>
      <c r="I280" s="27" t="s">
        <v>4042</v>
      </c>
      <c r="J280" s="27" t="s">
        <v>4042</v>
      </c>
      <c r="K280" s="27" t="s">
        <v>4042</v>
      </c>
      <c r="L280" s="27" t="s">
        <v>4042</v>
      </c>
      <c r="M280" s="27" t="s">
        <v>4042</v>
      </c>
      <c r="N280" s="27" t="s">
        <v>4042</v>
      </c>
      <c r="O280" s="27" t="s">
        <v>4042</v>
      </c>
      <c r="P280" s="27" t="s">
        <v>4042</v>
      </c>
      <c r="Q280" s="27" t="s">
        <v>4042</v>
      </c>
    </row>
    <row r="281" spans="1:17" ht="15.75" customHeight="1">
      <c r="A281" s="27" t="s">
        <v>4042</v>
      </c>
      <c r="B281" s="27" t="s">
        <v>4042</v>
      </c>
      <c r="C281" s="27" t="s">
        <v>4042</v>
      </c>
      <c r="D281" s="27" t="s">
        <v>4042</v>
      </c>
      <c r="E281" s="27" t="s">
        <v>4042</v>
      </c>
      <c r="F281" s="27" t="s">
        <v>4042</v>
      </c>
      <c r="G281" s="27" t="s">
        <v>4042</v>
      </c>
      <c r="H281" s="27" t="s">
        <v>4042</v>
      </c>
      <c r="I281" s="27" t="s">
        <v>4042</v>
      </c>
      <c r="J281" s="27" t="s">
        <v>4042</v>
      </c>
      <c r="K281" s="27" t="s">
        <v>4042</v>
      </c>
      <c r="L281" s="27" t="s">
        <v>4042</v>
      </c>
      <c r="M281" s="27" t="s">
        <v>4042</v>
      </c>
      <c r="N281" s="27" t="s">
        <v>4042</v>
      </c>
      <c r="O281" s="27" t="s">
        <v>4042</v>
      </c>
      <c r="P281" s="27" t="s">
        <v>4042</v>
      </c>
      <c r="Q281" s="27" t="s">
        <v>4042</v>
      </c>
    </row>
    <row r="282" spans="1:17" ht="15.75" customHeight="1">
      <c r="A282" s="27" t="s">
        <v>4042</v>
      </c>
      <c r="B282" s="27" t="s">
        <v>4042</v>
      </c>
      <c r="C282" s="27" t="s">
        <v>4042</v>
      </c>
      <c r="D282" s="27" t="s">
        <v>4042</v>
      </c>
      <c r="E282" s="27" t="s">
        <v>4042</v>
      </c>
      <c r="F282" s="27" t="s">
        <v>4042</v>
      </c>
      <c r="G282" s="27" t="s">
        <v>4042</v>
      </c>
      <c r="H282" s="27" t="s">
        <v>4042</v>
      </c>
      <c r="I282" s="27" t="s">
        <v>4042</v>
      </c>
      <c r="J282" s="27" t="s">
        <v>4042</v>
      </c>
      <c r="K282" s="27" t="s">
        <v>4042</v>
      </c>
      <c r="L282" s="27" t="s">
        <v>4042</v>
      </c>
      <c r="M282" s="27" t="s">
        <v>4042</v>
      </c>
      <c r="N282" s="27" t="s">
        <v>4042</v>
      </c>
      <c r="O282" s="27" t="s">
        <v>4042</v>
      </c>
      <c r="P282" s="27" t="s">
        <v>4042</v>
      </c>
      <c r="Q282" s="27" t="s">
        <v>4042</v>
      </c>
    </row>
    <row r="283" spans="1:17" ht="15.75" customHeight="1">
      <c r="A283" s="27" t="s">
        <v>4042</v>
      </c>
      <c r="B283" s="27" t="s">
        <v>4042</v>
      </c>
      <c r="C283" s="27" t="s">
        <v>4042</v>
      </c>
      <c r="D283" s="27" t="s">
        <v>4042</v>
      </c>
      <c r="E283" s="27" t="s">
        <v>4042</v>
      </c>
      <c r="F283" s="27" t="s">
        <v>4042</v>
      </c>
      <c r="G283" s="27" t="s">
        <v>4042</v>
      </c>
      <c r="H283" s="27" t="s">
        <v>4042</v>
      </c>
      <c r="I283" s="27" t="s">
        <v>4042</v>
      </c>
      <c r="J283" s="27" t="s">
        <v>4042</v>
      </c>
      <c r="K283" s="27" t="s">
        <v>4042</v>
      </c>
      <c r="L283" s="27" t="s">
        <v>4042</v>
      </c>
      <c r="M283" s="27" t="s">
        <v>4042</v>
      </c>
      <c r="N283" s="27" t="s">
        <v>4042</v>
      </c>
      <c r="O283" s="27" t="s">
        <v>4042</v>
      </c>
      <c r="P283" s="27" t="s">
        <v>4042</v>
      </c>
      <c r="Q283" s="27" t="s">
        <v>4042</v>
      </c>
    </row>
    <row r="284" spans="1:17" ht="15.75" customHeight="1">
      <c r="A284" s="27" t="s">
        <v>4042</v>
      </c>
      <c r="B284" s="27" t="s">
        <v>4042</v>
      </c>
      <c r="C284" s="27" t="s">
        <v>4042</v>
      </c>
      <c r="D284" s="27" t="s">
        <v>4042</v>
      </c>
      <c r="E284" s="27" t="s">
        <v>4042</v>
      </c>
      <c r="F284" s="27" t="s">
        <v>4042</v>
      </c>
      <c r="G284" s="27" t="s">
        <v>4042</v>
      </c>
      <c r="H284" s="27" t="s">
        <v>4042</v>
      </c>
      <c r="I284" s="27" t="s">
        <v>4042</v>
      </c>
      <c r="J284" s="27" t="s">
        <v>4042</v>
      </c>
      <c r="K284" s="27" t="s">
        <v>4042</v>
      </c>
      <c r="L284" s="27" t="s">
        <v>4042</v>
      </c>
      <c r="M284" s="27" t="s">
        <v>4042</v>
      </c>
      <c r="N284" s="27" t="s">
        <v>4042</v>
      </c>
      <c r="O284" s="27" t="s">
        <v>4042</v>
      </c>
      <c r="P284" s="27" t="s">
        <v>4042</v>
      </c>
      <c r="Q284" s="27" t="s">
        <v>4042</v>
      </c>
    </row>
    <row r="285" spans="1:17" ht="15.75" customHeight="1">
      <c r="A285" s="27" t="s">
        <v>4042</v>
      </c>
      <c r="B285" s="27" t="s">
        <v>4042</v>
      </c>
      <c r="C285" s="27" t="s">
        <v>4042</v>
      </c>
      <c r="D285" s="27" t="s">
        <v>4042</v>
      </c>
      <c r="E285" s="27" t="s">
        <v>4042</v>
      </c>
      <c r="F285" s="27" t="s">
        <v>4042</v>
      </c>
      <c r="G285" s="27" t="s">
        <v>4042</v>
      </c>
      <c r="H285" s="27" t="s">
        <v>4042</v>
      </c>
      <c r="I285" s="27" t="s">
        <v>4042</v>
      </c>
      <c r="J285" s="27" t="s">
        <v>4042</v>
      </c>
      <c r="K285" s="27" t="s">
        <v>4042</v>
      </c>
      <c r="L285" s="27" t="s">
        <v>4042</v>
      </c>
      <c r="M285" s="27" t="s">
        <v>4042</v>
      </c>
      <c r="N285" s="27" t="s">
        <v>4042</v>
      </c>
      <c r="O285" s="27" t="s">
        <v>4042</v>
      </c>
      <c r="P285" s="27" t="s">
        <v>4042</v>
      </c>
      <c r="Q285" s="27" t="s">
        <v>4042</v>
      </c>
    </row>
    <row r="286" spans="1:17" ht="15.75" customHeight="1">
      <c r="A286" s="27" t="s">
        <v>4042</v>
      </c>
      <c r="B286" s="27" t="s">
        <v>4042</v>
      </c>
      <c r="C286" s="27" t="s">
        <v>4042</v>
      </c>
      <c r="D286" s="27" t="s">
        <v>4042</v>
      </c>
      <c r="E286" s="27" t="s">
        <v>4042</v>
      </c>
      <c r="F286" s="27" t="s">
        <v>4042</v>
      </c>
      <c r="G286" s="27" t="s">
        <v>4042</v>
      </c>
      <c r="H286" s="27" t="s">
        <v>4042</v>
      </c>
      <c r="I286" s="27" t="s">
        <v>4042</v>
      </c>
      <c r="J286" s="27" t="s">
        <v>4042</v>
      </c>
      <c r="K286" s="27" t="s">
        <v>4042</v>
      </c>
      <c r="L286" s="27" t="s">
        <v>4042</v>
      </c>
      <c r="M286" s="27" t="s">
        <v>4042</v>
      </c>
      <c r="N286" s="27" t="s">
        <v>4042</v>
      </c>
      <c r="O286" s="27" t="s">
        <v>4042</v>
      </c>
      <c r="P286" s="27" t="s">
        <v>4042</v>
      </c>
      <c r="Q286" s="27" t="s">
        <v>4042</v>
      </c>
    </row>
    <row r="287" spans="1:17" ht="15.75" customHeight="1">
      <c r="A287" s="27" t="s">
        <v>4042</v>
      </c>
      <c r="B287" s="27" t="s">
        <v>4042</v>
      </c>
      <c r="C287" s="27" t="s">
        <v>4042</v>
      </c>
      <c r="D287" s="27" t="s">
        <v>4042</v>
      </c>
      <c r="E287" s="27" t="s">
        <v>4042</v>
      </c>
      <c r="F287" s="27" t="s">
        <v>4042</v>
      </c>
      <c r="G287" s="27" t="s">
        <v>4042</v>
      </c>
      <c r="H287" s="27" t="s">
        <v>4042</v>
      </c>
      <c r="I287" s="27" t="s">
        <v>4042</v>
      </c>
      <c r="J287" s="27" t="s">
        <v>4042</v>
      </c>
      <c r="K287" s="27" t="s">
        <v>4042</v>
      </c>
      <c r="L287" s="27" t="s">
        <v>4042</v>
      </c>
      <c r="M287" s="27" t="s">
        <v>4042</v>
      </c>
      <c r="N287" s="27" t="s">
        <v>4042</v>
      </c>
      <c r="O287" s="27" t="s">
        <v>4042</v>
      </c>
      <c r="P287" s="27" t="s">
        <v>4042</v>
      </c>
      <c r="Q287" s="27" t="s">
        <v>4042</v>
      </c>
    </row>
    <row r="288" spans="1:17" ht="15.75" customHeight="1">
      <c r="A288" s="27" t="s">
        <v>4042</v>
      </c>
      <c r="B288" s="27" t="s">
        <v>4042</v>
      </c>
      <c r="C288" s="27" t="s">
        <v>4042</v>
      </c>
      <c r="D288" s="27" t="s">
        <v>4042</v>
      </c>
      <c r="E288" s="27" t="s">
        <v>4042</v>
      </c>
      <c r="F288" s="27" t="s">
        <v>4042</v>
      </c>
      <c r="G288" s="27" t="s">
        <v>4042</v>
      </c>
      <c r="H288" s="27" t="s">
        <v>4042</v>
      </c>
      <c r="I288" s="27" t="s">
        <v>4042</v>
      </c>
      <c r="J288" s="27" t="s">
        <v>4042</v>
      </c>
      <c r="K288" s="27" t="s">
        <v>4042</v>
      </c>
      <c r="L288" s="27" t="s">
        <v>4042</v>
      </c>
      <c r="M288" s="27" t="s">
        <v>4042</v>
      </c>
      <c r="N288" s="27" t="s">
        <v>4042</v>
      </c>
      <c r="O288" s="27" t="s">
        <v>4042</v>
      </c>
      <c r="P288" s="27" t="s">
        <v>4042</v>
      </c>
      <c r="Q288" s="27" t="s">
        <v>4042</v>
      </c>
    </row>
    <row r="289" spans="1:17" ht="15.75" customHeight="1">
      <c r="A289" s="27" t="s">
        <v>4042</v>
      </c>
      <c r="B289" s="27" t="s">
        <v>4042</v>
      </c>
      <c r="C289" s="27" t="s">
        <v>4042</v>
      </c>
      <c r="D289" s="27" t="s">
        <v>4042</v>
      </c>
      <c r="E289" s="27" t="s">
        <v>4042</v>
      </c>
      <c r="F289" s="27" t="s">
        <v>4042</v>
      </c>
      <c r="G289" s="27" t="s">
        <v>4042</v>
      </c>
      <c r="H289" s="27" t="s">
        <v>4042</v>
      </c>
      <c r="I289" s="27" t="s">
        <v>4042</v>
      </c>
      <c r="J289" s="27" t="s">
        <v>4042</v>
      </c>
      <c r="K289" s="27" t="s">
        <v>4042</v>
      </c>
      <c r="L289" s="27" t="s">
        <v>4042</v>
      </c>
      <c r="M289" s="27" t="s">
        <v>4042</v>
      </c>
      <c r="N289" s="27" t="s">
        <v>4042</v>
      </c>
      <c r="O289" s="27" t="s">
        <v>4042</v>
      </c>
      <c r="P289" s="27" t="s">
        <v>4042</v>
      </c>
      <c r="Q289" s="27" t="s">
        <v>4042</v>
      </c>
    </row>
    <row r="290" spans="1:17" ht="15.75" customHeight="1">
      <c r="A290" s="27" t="s">
        <v>4042</v>
      </c>
      <c r="B290" s="27" t="s">
        <v>4042</v>
      </c>
      <c r="C290" s="27" t="s">
        <v>4042</v>
      </c>
      <c r="D290" s="27" t="s">
        <v>4042</v>
      </c>
      <c r="E290" s="27" t="s">
        <v>4042</v>
      </c>
      <c r="F290" s="27" t="s">
        <v>4042</v>
      </c>
      <c r="G290" s="27" t="s">
        <v>4042</v>
      </c>
      <c r="H290" s="27" t="s">
        <v>4042</v>
      </c>
      <c r="I290" s="27" t="s">
        <v>4042</v>
      </c>
      <c r="J290" s="27" t="s">
        <v>4042</v>
      </c>
      <c r="K290" s="27" t="s">
        <v>4042</v>
      </c>
      <c r="L290" s="27" t="s">
        <v>4042</v>
      </c>
      <c r="M290" s="27" t="s">
        <v>4042</v>
      </c>
      <c r="N290" s="27" t="s">
        <v>4042</v>
      </c>
      <c r="O290" s="27" t="s">
        <v>4042</v>
      </c>
      <c r="P290" s="27" t="s">
        <v>4042</v>
      </c>
      <c r="Q290" s="27" t="s">
        <v>4042</v>
      </c>
    </row>
    <row r="291" spans="1:17" ht="15.75" customHeight="1">
      <c r="A291" s="27" t="s">
        <v>4042</v>
      </c>
      <c r="B291" s="27" t="s">
        <v>4042</v>
      </c>
      <c r="C291" s="27" t="s">
        <v>4042</v>
      </c>
      <c r="D291" s="27" t="s">
        <v>4042</v>
      </c>
      <c r="E291" s="27" t="s">
        <v>4042</v>
      </c>
      <c r="F291" s="27" t="s">
        <v>4042</v>
      </c>
      <c r="G291" s="27" t="s">
        <v>4042</v>
      </c>
      <c r="H291" s="27" t="s">
        <v>4042</v>
      </c>
      <c r="I291" s="27" t="s">
        <v>4042</v>
      </c>
      <c r="J291" s="27" t="s">
        <v>4042</v>
      </c>
      <c r="K291" s="27" t="s">
        <v>4042</v>
      </c>
      <c r="L291" s="27" t="s">
        <v>4042</v>
      </c>
      <c r="M291" s="27" t="s">
        <v>4042</v>
      </c>
      <c r="N291" s="27" t="s">
        <v>4042</v>
      </c>
      <c r="O291" s="27" t="s">
        <v>4042</v>
      </c>
      <c r="P291" s="27" t="s">
        <v>4042</v>
      </c>
      <c r="Q291" s="27" t="s">
        <v>4042</v>
      </c>
    </row>
    <row r="292" spans="1:17" ht="15.75" customHeight="1">
      <c r="A292" s="27" t="s">
        <v>4042</v>
      </c>
      <c r="B292" s="27" t="s">
        <v>4042</v>
      </c>
      <c r="C292" s="27" t="s">
        <v>4042</v>
      </c>
      <c r="D292" s="27" t="s">
        <v>4042</v>
      </c>
      <c r="E292" s="27" t="s">
        <v>4042</v>
      </c>
      <c r="F292" s="27" t="s">
        <v>4042</v>
      </c>
      <c r="G292" s="27" t="s">
        <v>4042</v>
      </c>
      <c r="H292" s="27" t="s">
        <v>4042</v>
      </c>
      <c r="I292" s="27" t="s">
        <v>4042</v>
      </c>
      <c r="J292" s="27" t="s">
        <v>4042</v>
      </c>
      <c r="K292" s="27" t="s">
        <v>4042</v>
      </c>
      <c r="L292" s="27" t="s">
        <v>4042</v>
      </c>
      <c r="M292" s="27" t="s">
        <v>4042</v>
      </c>
      <c r="N292" s="27" t="s">
        <v>4042</v>
      </c>
      <c r="O292" s="27" t="s">
        <v>4042</v>
      </c>
      <c r="P292" s="27" t="s">
        <v>4042</v>
      </c>
      <c r="Q292" s="27" t="s">
        <v>4042</v>
      </c>
    </row>
    <row r="293" spans="1:17" ht="15.75" customHeight="1">
      <c r="A293" s="27" t="s">
        <v>4042</v>
      </c>
      <c r="B293" s="27" t="s">
        <v>4042</v>
      </c>
      <c r="C293" s="27" t="s">
        <v>4042</v>
      </c>
      <c r="D293" s="27" t="s">
        <v>4042</v>
      </c>
      <c r="E293" s="27" t="s">
        <v>4042</v>
      </c>
      <c r="F293" s="27" t="s">
        <v>4042</v>
      </c>
      <c r="G293" s="27" t="s">
        <v>4042</v>
      </c>
      <c r="H293" s="27" t="s">
        <v>4042</v>
      </c>
      <c r="I293" s="27" t="s">
        <v>4042</v>
      </c>
      <c r="J293" s="27" t="s">
        <v>4042</v>
      </c>
      <c r="K293" s="27" t="s">
        <v>4042</v>
      </c>
      <c r="L293" s="27" t="s">
        <v>4042</v>
      </c>
      <c r="M293" s="27" t="s">
        <v>4042</v>
      </c>
      <c r="N293" s="27" t="s">
        <v>4042</v>
      </c>
      <c r="O293" s="27" t="s">
        <v>4042</v>
      </c>
      <c r="P293" s="27" t="s">
        <v>4042</v>
      </c>
      <c r="Q293" s="27" t="s">
        <v>4042</v>
      </c>
    </row>
    <row r="294" spans="1:17" ht="15.75" customHeight="1">
      <c r="A294" s="27" t="s">
        <v>4042</v>
      </c>
      <c r="B294" s="27" t="s">
        <v>4042</v>
      </c>
      <c r="C294" s="27" t="s">
        <v>4042</v>
      </c>
      <c r="D294" s="27" t="s">
        <v>4042</v>
      </c>
      <c r="E294" s="27" t="s">
        <v>4042</v>
      </c>
      <c r="F294" s="27" t="s">
        <v>4042</v>
      </c>
      <c r="G294" s="27" t="s">
        <v>4042</v>
      </c>
      <c r="H294" s="27" t="s">
        <v>4042</v>
      </c>
      <c r="I294" s="27" t="s">
        <v>4042</v>
      </c>
      <c r="J294" s="27" t="s">
        <v>4042</v>
      </c>
      <c r="K294" s="27" t="s">
        <v>4042</v>
      </c>
      <c r="L294" s="27" t="s">
        <v>4042</v>
      </c>
      <c r="M294" s="27" t="s">
        <v>4042</v>
      </c>
      <c r="N294" s="27" t="s">
        <v>4042</v>
      </c>
      <c r="O294" s="27" t="s">
        <v>4042</v>
      </c>
      <c r="P294" s="27" t="s">
        <v>4042</v>
      </c>
      <c r="Q294" s="27" t="s">
        <v>4042</v>
      </c>
    </row>
    <row r="295" spans="1:17" ht="15.75" customHeight="1">
      <c r="A295" s="27" t="s">
        <v>4042</v>
      </c>
      <c r="B295" s="27" t="s">
        <v>4042</v>
      </c>
      <c r="C295" s="27" t="s">
        <v>4042</v>
      </c>
      <c r="D295" s="27" t="s">
        <v>4042</v>
      </c>
      <c r="E295" s="27" t="s">
        <v>4042</v>
      </c>
      <c r="F295" s="27" t="s">
        <v>4042</v>
      </c>
      <c r="G295" s="27" t="s">
        <v>4042</v>
      </c>
      <c r="H295" s="27" t="s">
        <v>4042</v>
      </c>
      <c r="I295" s="27" t="s">
        <v>4042</v>
      </c>
      <c r="J295" s="27" t="s">
        <v>4042</v>
      </c>
      <c r="K295" s="27" t="s">
        <v>4042</v>
      </c>
      <c r="L295" s="27" t="s">
        <v>4042</v>
      </c>
      <c r="M295" s="27" t="s">
        <v>4042</v>
      </c>
      <c r="N295" s="27" t="s">
        <v>4042</v>
      </c>
      <c r="O295" s="27" t="s">
        <v>4042</v>
      </c>
      <c r="P295" s="27" t="s">
        <v>4042</v>
      </c>
      <c r="Q295" s="27" t="s">
        <v>4042</v>
      </c>
    </row>
    <row r="296" spans="1:17" ht="15.75" customHeight="1">
      <c r="A296" s="27" t="s">
        <v>4042</v>
      </c>
      <c r="B296" s="27" t="s">
        <v>4042</v>
      </c>
      <c r="C296" s="27" t="s">
        <v>4042</v>
      </c>
      <c r="D296" s="27" t="s">
        <v>4042</v>
      </c>
      <c r="E296" s="27" t="s">
        <v>4042</v>
      </c>
      <c r="F296" s="27" t="s">
        <v>4042</v>
      </c>
      <c r="G296" s="27" t="s">
        <v>4042</v>
      </c>
      <c r="H296" s="27" t="s">
        <v>4042</v>
      </c>
      <c r="I296" s="27" t="s">
        <v>4042</v>
      </c>
      <c r="J296" s="27" t="s">
        <v>4042</v>
      </c>
      <c r="K296" s="27" t="s">
        <v>4042</v>
      </c>
      <c r="L296" s="27" t="s">
        <v>4042</v>
      </c>
      <c r="M296" s="27" t="s">
        <v>4042</v>
      </c>
      <c r="N296" s="27" t="s">
        <v>4042</v>
      </c>
      <c r="O296" s="27" t="s">
        <v>4042</v>
      </c>
      <c r="P296" s="27" t="s">
        <v>4042</v>
      </c>
      <c r="Q296" s="27" t="s">
        <v>4042</v>
      </c>
    </row>
    <row r="297" spans="1:17" ht="15.75" customHeight="1">
      <c r="A297" s="27" t="s">
        <v>4042</v>
      </c>
      <c r="B297" s="27" t="s">
        <v>4042</v>
      </c>
      <c r="C297" s="27" t="s">
        <v>4042</v>
      </c>
      <c r="D297" s="27" t="s">
        <v>4042</v>
      </c>
      <c r="E297" s="27" t="s">
        <v>4042</v>
      </c>
      <c r="F297" s="27" t="s">
        <v>4042</v>
      </c>
      <c r="G297" s="27" t="s">
        <v>4042</v>
      </c>
      <c r="H297" s="27" t="s">
        <v>4042</v>
      </c>
      <c r="I297" s="27" t="s">
        <v>4042</v>
      </c>
      <c r="J297" s="27" t="s">
        <v>4042</v>
      </c>
      <c r="K297" s="27" t="s">
        <v>4042</v>
      </c>
      <c r="L297" s="27" t="s">
        <v>4042</v>
      </c>
      <c r="M297" s="27" t="s">
        <v>4042</v>
      </c>
      <c r="N297" s="27" t="s">
        <v>4042</v>
      </c>
      <c r="O297" s="27" t="s">
        <v>4042</v>
      </c>
      <c r="P297" s="27" t="s">
        <v>4042</v>
      </c>
      <c r="Q297" s="27" t="s">
        <v>4042</v>
      </c>
    </row>
    <row r="298" spans="1:17" ht="15.75" customHeight="1">
      <c r="A298" s="27" t="s">
        <v>4042</v>
      </c>
      <c r="B298" s="27" t="s">
        <v>4042</v>
      </c>
      <c r="C298" s="27" t="s">
        <v>4042</v>
      </c>
      <c r="D298" s="27" t="s">
        <v>4042</v>
      </c>
      <c r="E298" s="27" t="s">
        <v>4042</v>
      </c>
      <c r="F298" s="27" t="s">
        <v>4042</v>
      </c>
      <c r="G298" s="27" t="s">
        <v>4042</v>
      </c>
      <c r="H298" s="27" t="s">
        <v>4042</v>
      </c>
      <c r="I298" s="27" t="s">
        <v>4042</v>
      </c>
      <c r="J298" s="27" t="s">
        <v>4042</v>
      </c>
      <c r="K298" s="27" t="s">
        <v>4042</v>
      </c>
      <c r="L298" s="27" t="s">
        <v>4042</v>
      </c>
      <c r="M298" s="27" t="s">
        <v>4042</v>
      </c>
      <c r="N298" s="27" t="s">
        <v>4042</v>
      </c>
      <c r="O298" s="27" t="s">
        <v>4042</v>
      </c>
      <c r="P298" s="27" t="s">
        <v>4042</v>
      </c>
      <c r="Q298" s="27" t="s">
        <v>4042</v>
      </c>
    </row>
    <row r="299" spans="1:17" ht="15.75" customHeight="1">
      <c r="A299" s="27" t="s">
        <v>4042</v>
      </c>
      <c r="B299" s="27" t="s">
        <v>4042</v>
      </c>
      <c r="C299" s="27" t="s">
        <v>4042</v>
      </c>
      <c r="D299" s="27" t="s">
        <v>4042</v>
      </c>
      <c r="E299" s="27" t="s">
        <v>4042</v>
      </c>
      <c r="F299" s="27" t="s">
        <v>4042</v>
      </c>
      <c r="G299" s="27" t="s">
        <v>4042</v>
      </c>
      <c r="H299" s="27" t="s">
        <v>4042</v>
      </c>
      <c r="I299" s="27" t="s">
        <v>4042</v>
      </c>
      <c r="J299" s="27" t="s">
        <v>4042</v>
      </c>
      <c r="K299" s="27" t="s">
        <v>4042</v>
      </c>
      <c r="L299" s="27" t="s">
        <v>4042</v>
      </c>
      <c r="M299" s="27" t="s">
        <v>4042</v>
      </c>
      <c r="N299" s="27" t="s">
        <v>4042</v>
      </c>
      <c r="O299" s="27" t="s">
        <v>4042</v>
      </c>
      <c r="P299" s="27" t="s">
        <v>4042</v>
      </c>
      <c r="Q299" s="27" t="s">
        <v>4042</v>
      </c>
    </row>
    <row r="300" spans="1:17" ht="15.75" customHeight="1">
      <c r="A300" s="27" t="s">
        <v>4042</v>
      </c>
      <c r="B300" s="27" t="s">
        <v>4042</v>
      </c>
      <c r="C300" s="27" t="s">
        <v>4042</v>
      </c>
      <c r="D300" s="27" t="s">
        <v>4042</v>
      </c>
      <c r="E300" s="27" t="s">
        <v>4042</v>
      </c>
      <c r="F300" s="27" t="s">
        <v>4042</v>
      </c>
      <c r="G300" s="27" t="s">
        <v>4042</v>
      </c>
      <c r="H300" s="27" t="s">
        <v>4042</v>
      </c>
      <c r="I300" s="27" t="s">
        <v>4042</v>
      </c>
      <c r="J300" s="27" t="s">
        <v>4042</v>
      </c>
      <c r="K300" s="27" t="s">
        <v>4042</v>
      </c>
      <c r="L300" s="27" t="s">
        <v>4042</v>
      </c>
      <c r="M300" s="27" t="s">
        <v>4042</v>
      </c>
      <c r="N300" s="27" t="s">
        <v>4042</v>
      </c>
      <c r="O300" s="27" t="s">
        <v>4042</v>
      </c>
      <c r="P300" s="27" t="s">
        <v>4042</v>
      </c>
      <c r="Q300" s="27" t="s">
        <v>4042</v>
      </c>
    </row>
    <row r="301" spans="1:17" ht="15.75" customHeight="1">
      <c r="A301" s="27" t="s">
        <v>4042</v>
      </c>
      <c r="B301" s="27" t="s">
        <v>4042</v>
      </c>
      <c r="C301" s="27" t="s">
        <v>4042</v>
      </c>
      <c r="D301" s="27" t="s">
        <v>4042</v>
      </c>
      <c r="E301" s="27" t="s">
        <v>4042</v>
      </c>
      <c r="F301" s="27" t="s">
        <v>4042</v>
      </c>
      <c r="G301" s="27" t="s">
        <v>4042</v>
      </c>
      <c r="H301" s="27" t="s">
        <v>4042</v>
      </c>
      <c r="I301" s="27" t="s">
        <v>4042</v>
      </c>
      <c r="J301" s="27" t="s">
        <v>4042</v>
      </c>
      <c r="K301" s="27" t="s">
        <v>4042</v>
      </c>
      <c r="L301" s="27" t="s">
        <v>4042</v>
      </c>
      <c r="M301" s="27" t="s">
        <v>4042</v>
      </c>
      <c r="N301" s="27" t="s">
        <v>4042</v>
      </c>
      <c r="O301" s="27" t="s">
        <v>4042</v>
      </c>
      <c r="P301" s="27" t="s">
        <v>4042</v>
      </c>
      <c r="Q301" s="27" t="s">
        <v>4042</v>
      </c>
    </row>
    <row r="302" spans="1:17" ht="15.75" customHeight="1">
      <c r="A302" s="27" t="s">
        <v>4042</v>
      </c>
      <c r="B302" s="27" t="s">
        <v>4042</v>
      </c>
      <c r="C302" s="27" t="s">
        <v>4042</v>
      </c>
      <c r="D302" s="27" t="s">
        <v>4042</v>
      </c>
      <c r="E302" s="27" t="s">
        <v>4042</v>
      </c>
      <c r="F302" s="27" t="s">
        <v>4042</v>
      </c>
      <c r="G302" s="27" t="s">
        <v>4042</v>
      </c>
      <c r="H302" s="27" t="s">
        <v>4042</v>
      </c>
      <c r="I302" s="27" t="s">
        <v>4042</v>
      </c>
      <c r="J302" s="27" t="s">
        <v>4042</v>
      </c>
      <c r="K302" s="27" t="s">
        <v>4042</v>
      </c>
      <c r="L302" s="27" t="s">
        <v>4042</v>
      </c>
      <c r="M302" s="27" t="s">
        <v>4042</v>
      </c>
      <c r="N302" s="27" t="s">
        <v>4042</v>
      </c>
      <c r="O302" s="27" t="s">
        <v>4042</v>
      </c>
      <c r="P302" s="27" t="s">
        <v>4042</v>
      </c>
      <c r="Q302" s="27" t="s">
        <v>4042</v>
      </c>
    </row>
    <row r="303" spans="1:17" ht="15.75" customHeight="1">
      <c r="A303" s="27" t="s">
        <v>4042</v>
      </c>
      <c r="B303" s="27" t="s">
        <v>4042</v>
      </c>
      <c r="C303" s="27" t="s">
        <v>4042</v>
      </c>
      <c r="D303" s="27" t="s">
        <v>4042</v>
      </c>
      <c r="E303" s="27" t="s">
        <v>4042</v>
      </c>
      <c r="F303" s="27" t="s">
        <v>4042</v>
      </c>
      <c r="G303" s="27" t="s">
        <v>4042</v>
      </c>
      <c r="H303" s="27" t="s">
        <v>4042</v>
      </c>
      <c r="I303" s="27" t="s">
        <v>4042</v>
      </c>
      <c r="J303" s="27" t="s">
        <v>4042</v>
      </c>
      <c r="K303" s="27" t="s">
        <v>4042</v>
      </c>
      <c r="L303" s="27" t="s">
        <v>4042</v>
      </c>
      <c r="M303" s="27" t="s">
        <v>4042</v>
      </c>
      <c r="N303" s="27" t="s">
        <v>4042</v>
      </c>
      <c r="O303" s="27" t="s">
        <v>4042</v>
      </c>
      <c r="P303" s="27" t="s">
        <v>4042</v>
      </c>
      <c r="Q303" s="27" t="s">
        <v>4042</v>
      </c>
    </row>
    <row r="304" spans="1:17" ht="15.75" customHeight="1">
      <c r="A304" s="27" t="s">
        <v>4042</v>
      </c>
      <c r="B304" s="27" t="s">
        <v>4042</v>
      </c>
      <c r="C304" s="27" t="s">
        <v>4042</v>
      </c>
      <c r="D304" s="27" t="s">
        <v>4042</v>
      </c>
      <c r="E304" s="27" t="s">
        <v>4042</v>
      </c>
      <c r="F304" s="27" t="s">
        <v>4042</v>
      </c>
      <c r="G304" s="27" t="s">
        <v>4042</v>
      </c>
      <c r="H304" s="27" t="s">
        <v>4042</v>
      </c>
      <c r="I304" s="27" t="s">
        <v>4042</v>
      </c>
      <c r="J304" s="27" t="s">
        <v>4042</v>
      </c>
      <c r="K304" s="27" t="s">
        <v>4042</v>
      </c>
      <c r="L304" s="27" t="s">
        <v>4042</v>
      </c>
      <c r="M304" s="27" t="s">
        <v>4042</v>
      </c>
      <c r="N304" s="27" t="s">
        <v>4042</v>
      </c>
      <c r="O304" s="27" t="s">
        <v>4042</v>
      </c>
      <c r="P304" s="27" t="s">
        <v>4042</v>
      </c>
      <c r="Q304" s="27" t="s">
        <v>4042</v>
      </c>
    </row>
    <row r="305" spans="1:17" ht="15.75" customHeight="1">
      <c r="A305" s="27" t="s">
        <v>4042</v>
      </c>
      <c r="B305" s="27" t="s">
        <v>4042</v>
      </c>
      <c r="C305" s="27" t="s">
        <v>4042</v>
      </c>
      <c r="D305" s="27" t="s">
        <v>4042</v>
      </c>
      <c r="E305" s="27" t="s">
        <v>4042</v>
      </c>
      <c r="F305" s="27" t="s">
        <v>4042</v>
      </c>
      <c r="G305" s="27" t="s">
        <v>4042</v>
      </c>
      <c r="H305" s="27" t="s">
        <v>4042</v>
      </c>
      <c r="I305" s="27" t="s">
        <v>4042</v>
      </c>
      <c r="J305" s="27" t="s">
        <v>4042</v>
      </c>
      <c r="K305" s="27" t="s">
        <v>4042</v>
      </c>
      <c r="L305" s="27" t="s">
        <v>4042</v>
      </c>
      <c r="M305" s="27" t="s">
        <v>4042</v>
      </c>
      <c r="N305" s="27" t="s">
        <v>4042</v>
      </c>
      <c r="O305" s="27" t="s">
        <v>4042</v>
      </c>
      <c r="P305" s="27" t="s">
        <v>4042</v>
      </c>
      <c r="Q305" s="27" t="s">
        <v>4042</v>
      </c>
    </row>
    <row r="306" spans="1:17" ht="15.75" customHeight="1">
      <c r="A306" s="27" t="s">
        <v>4042</v>
      </c>
      <c r="B306" s="27" t="s">
        <v>4042</v>
      </c>
      <c r="C306" s="27" t="s">
        <v>4042</v>
      </c>
      <c r="D306" s="27" t="s">
        <v>4042</v>
      </c>
      <c r="E306" s="27" t="s">
        <v>4042</v>
      </c>
      <c r="F306" s="27" t="s">
        <v>4042</v>
      </c>
      <c r="G306" s="27" t="s">
        <v>4042</v>
      </c>
      <c r="H306" s="27" t="s">
        <v>4042</v>
      </c>
      <c r="I306" s="27" t="s">
        <v>4042</v>
      </c>
      <c r="J306" s="27" t="s">
        <v>4042</v>
      </c>
      <c r="K306" s="27" t="s">
        <v>4042</v>
      </c>
      <c r="L306" s="27" t="s">
        <v>4042</v>
      </c>
      <c r="M306" s="27" t="s">
        <v>4042</v>
      </c>
      <c r="N306" s="27" t="s">
        <v>4042</v>
      </c>
      <c r="O306" s="27" t="s">
        <v>4042</v>
      </c>
      <c r="P306" s="27" t="s">
        <v>4042</v>
      </c>
      <c r="Q306" s="27" t="s">
        <v>4042</v>
      </c>
    </row>
    <row r="307" spans="1:17" ht="15.75" customHeight="1">
      <c r="A307" s="27" t="s">
        <v>4042</v>
      </c>
      <c r="B307" s="27" t="s">
        <v>4042</v>
      </c>
      <c r="C307" s="27" t="s">
        <v>4042</v>
      </c>
      <c r="D307" s="27" t="s">
        <v>4042</v>
      </c>
      <c r="E307" s="27" t="s">
        <v>4042</v>
      </c>
      <c r="F307" s="27" t="s">
        <v>4042</v>
      </c>
      <c r="G307" s="27" t="s">
        <v>4042</v>
      </c>
      <c r="H307" s="27" t="s">
        <v>4042</v>
      </c>
      <c r="I307" s="27" t="s">
        <v>4042</v>
      </c>
      <c r="J307" s="27" t="s">
        <v>4042</v>
      </c>
      <c r="K307" s="27" t="s">
        <v>4042</v>
      </c>
      <c r="L307" s="27" t="s">
        <v>4042</v>
      </c>
      <c r="M307" s="27" t="s">
        <v>4042</v>
      </c>
      <c r="N307" s="27" t="s">
        <v>4042</v>
      </c>
      <c r="O307" s="27" t="s">
        <v>4042</v>
      </c>
      <c r="P307" s="27" t="s">
        <v>4042</v>
      </c>
      <c r="Q307" s="27" t="s">
        <v>4042</v>
      </c>
    </row>
    <row r="308" spans="1:17" ht="15.75" customHeight="1">
      <c r="A308" s="27" t="s">
        <v>4042</v>
      </c>
      <c r="B308" s="27" t="s">
        <v>4042</v>
      </c>
      <c r="C308" s="27" t="s">
        <v>4042</v>
      </c>
      <c r="D308" s="27" t="s">
        <v>4042</v>
      </c>
      <c r="E308" s="27" t="s">
        <v>4042</v>
      </c>
      <c r="F308" s="27" t="s">
        <v>4042</v>
      </c>
      <c r="G308" s="27" t="s">
        <v>4042</v>
      </c>
      <c r="H308" s="27" t="s">
        <v>4042</v>
      </c>
      <c r="I308" s="27" t="s">
        <v>4042</v>
      </c>
      <c r="J308" s="27" t="s">
        <v>4042</v>
      </c>
      <c r="K308" s="27" t="s">
        <v>4042</v>
      </c>
      <c r="L308" s="27" t="s">
        <v>4042</v>
      </c>
      <c r="M308" s="27" t="s">
        <v>4042</v>
      </c>
      <c r="N308" s="27" t="s">
        <v>4042</v>
      </c>
      <c r="O308" s="27" t="s">
        <v>4042</v>
      </c>
      <c r="P308" s="27" t="s">
        <v>4042</v>
      </c>
      <c r="Q308" s="27" t="s">
        <v>4042</v>
      </c>
    </row>
    <row r="309" spans="1:17" ht="15.75" customHeight="1">
      <c r="A309" s="27" t="s">
        <v>4042</v>
      </c>
      <c r="B309" s="27" t="s">
        <v>4042</v>
      </c>
      <c r="C309" s="27" t="s">
        <v>4042</v>
      </c>
      <c r="D309" s="27" t="s">
        <v>4042</v>
      </c>
      <c r="E309" s="27" t="s">
        <v>4042</v>
      </c>
      <c r="F309" s="27" t="s">
        <v>4042</v>
      </c>
      <c r="G309" s="27" t="s">
        <v>4042</v>
      </c>
      <c r="H309" s="27" t="s">
        <v>4042</v>
      </c>
      <c r="I309" s="27" t="s">
        <v>4042</v>
      </c>
      <c r="J309" s="27" t="s">
        <v>4042</v>
      </c>
      <c r="K309" s="27" t="s">
        <v>4042</v>
      </c>
      <c r="L309" s="27" t="s">
        <v>4042</v>
      </c>
      <c r="M309" s="27" t="s">
        <v>4042</v>
      </c>
      <c r="N309" s="27" t="s">
        <v>4042</v>
      </c>
      <c r="O309" s="27" t="s">
        <v>4042</v>
      </c>
      <c r="P309" s="27" t="s">
        <v>4042</v>
      </c>
      <c r="Q309" s="27" t="s">
        <v>4042</v>
      </c>
    </row>
    <row r="310" spans="1:17" ht="15.75" customHeight="1">
      <c r="A310" s="27" t="s">
        <v>4042</v>
      </c>
      <c r="B310" s="27" t="s">
        <v>4042</v>
      </c>
      <c r="C310" s="27" t="s">
        <v>4042</v>
      </c>
      <c r="D310" s="27" t="s">
        <v>4042</v>
      </c>
      <c r="E310" s="27" t="s">
        <v>4042</v>
      </c>
      <c r="F310" s="27" t="s">
        <v>4042</v>
      </c>
      <c r="G310" s="27" t="s">
        <v>4042</v>
      </c>
      <c r="H310" s="27" t="s">
        <v>4042</v>
      </c>
      <c r="I310" s="27" t="s">
        <v>4042</v>
      </c>
      <c r="J310" s="27" t="s">
        <v>4042</v>
      </c>
      <c r="K310" s="27" t="s">
        <v>4042</v>
      </c>
      <c r="L310" s="27" t="s">
        <v>4042</v>
      </c>
      <c r="M310" s="27" t="s">
        <v>4042</v>
      </c>
      <c r="N310" s="27" t="s">
        <v>4042</v>
      </c>
      <c r="O310" s="27" t="s">
        <v>4042</v>
      </c>
      <c r="P310" s="27" t="s">
        <v>4042</v>
      </c>
      <c r="Q310" s="27" t="s">
        <v>4042</v>
      </c>
    </row>
    <row r="311" spans="1:17" ht="15.75" customHeight="1">
      <c r="A311" s="27" t="s">
        <v>4042</v>
      </c>
      <c r="B311" s="27" t="s">
        <v>4042</v>
      </c>
      <c r="C311" s="27" t="s">
        <v>4042</v>
      </c>
      <c r="D311" s="27" t="s">
        <v>4042</v>
      </c>
      <c r="E311" s="27" t="s">
        <v>4042</v>
      </c>
      <c r="F311" s="27" t="s">
        <v>4042</v>
      </c>
      <c r="G311" s="27" t="s">
        <v>4042</v>
      </c>
      <c r="H311" s="27" t="s">
        <v>4042</v>
      </c>
      <c r="I311" s="27" t="s">
        <v>4042</v>
      </c>
      <c r="J311" s="27" t="s">
        <v>4042</v>
      </c>
      <c r="K311" s="27" t="s">
        <v>4042</v>
      </c>
      <c r="L311" s="27" t="s">
        <v>4042</v>
      </c>
      <c r="M311" s="27" t="s">
        <v>4042</v>
      </c>
      <c r="N311" s="27" t="s">
        <v>4042</v>
      </c>
      <c r="O311" s="27" t="s">
        <v>4042</v>
      </c>
      <c r="P311" s="27" t="s">
        <v>4042</v>
      </c>
      <c r="Q311" s="27" t="s">
        <v>4042</v>
      </c>
    </row>
    <row r="312" spans="1:17" ht="15.75" customHeight="1">
      <c r="A312" s="27" t="s">
        <v>4042</v>
      </c>
      <c r="B312" s="27" t="s">
        <v>4042</v>
      </c>
      <c r="C312" s="27" t="s">
        <v>4042</v>
      </c>
      <c r="D312" s="27" t="s">
        <v>4042</v>
      </c>
      <c r="E312" s="27" t="s">
        <v>4042</v>
      </c>
      <c r="F312" s="27" t="s">
        <v>4042</v>
      </c>
      <c r="G312" s="27" t="s">
        <v>4042</v>
      </c>
      <c r="H312" s="27" t="s">
        <v>4042</v>
      </c>
      <c r="I312" s="27" t="s">
        <v>4042</v>
      </c>
      <c r="J312" s="27" t="s">
        <v>4042</v>
      </c>
      <c r="K312" s="27" t="s">
        <v>4042</v>
      </c>
      <c r="L312" s="27" t="s">
        <v>4042</v>
      </c>
      <c r="M312" s="27" t="s">
        <v>4042</v>
      </c>
      <c r="N312" s="27" t="s">
        <v>4042</v>
      </c>
      <c r="O312" s="27" t="s">
        <v>4042</v>
      </c>
      <c r="P312" s="27" t="s">
        <v>4042</v>
      </c>
      <c r="Q312" s="27" t="s">
        <v>4042</v>
      </c>
    </row>
    <row r="313" spans="1:17" ht="15.75" customHeight="1">
      <c r="A313" s="27" t="s">
        <v>4042</v>
      </c>
      <c r="B313" s="27" t="s">
        <v>4042</v>
      </c>
      <c r="C313" s="27" t="s">
        <v>4042</v>
      </c>
      <c r="D313" s="27" t="s">
        <v>4042</v>
      </c>
      <c r="E313" s="27" t="s">
        <v>4042</v>
      </c>
      <c r="F313" s="27" t="s">
        <v>4042</v>
      </c>
      <c r="G313" s="27" t="s">
        <v>4042</v>
      </c>
      <c r="H313" s="27" t="s">
        <v>4042</v>
      </c>
      <c r="I313" s="27" t="s">
        <v>4042</v>
      </c>
      <c r="J313" s="27" t="s">
        <v>4042</v>
      </c>
      <c r="K313" s="27" t="s">
        <v>4042</v>
      </c>
      <c r="L313" s="27" t="s">
        <v>4042</v>
      </c>
      <c r="M313" s="27" t="s">
        <v>4042</v>
      </c>
      <c r="N313" s="27" t="s">
        <v>4042</v>
      </c>
      <c r="O313" s="27" t="s">
        <v>4042</v>
      </c>
      <c r="P313" s="27" t="s">
        <v>4042</v>
      </c>
      <c r="Q313" s="27" t="s">
        <v>4042</v>
      </c>
    </row>
    <row r="314" spans="1:17" ht="15.75" customHeight="1">
      <c r="A314" s="27" t="s">
        <v>4042</v>
      </c>
      <c r="B314" s="27" t="s">
        <v>4042</v>
      </c>
      <c r="C314" s="27" t="s">
        <v>4042</v>
      </c>
      <c r="D314" s="27" t="s">
        <v>4042</v>
      </c>
      <c r="E314" s="27" t="s">
        <v>4042</v>
      </c>
      <c r="F314" s="27" t="s">
        <v>4042</v>
      </c>
      <c r="G314" s="27" t="s">
        <v>4042</v>
      </c>
      <c r="H314" s="27" t="s">
        <v>4042</v>
      </c>
      <c r="I314" s="27" t="s">
        <v>4042</v>
      </c>
      <c r="J314" s="27" t="s">
        <v>4042</v>
      </c>
      <c r="K314" s="27" t="s">
        <v>4042</v>
      </c>
      <c r="L314" s="27" t="s">
        <v>4042</v>
      </c>
      <c r="M314" s="27" t="s">
        <v>4042</v>
      </c>
      <c r="N314" s="27" t="s">
        <v>4042</v>
      </c>
      <c r="O314" s="27" t="s">
        <v>4042</v>
      </c>
      <c r="P314" s="27" t="s">
        <v>4042</v>
      </c>
      <c r="Q314" s="27" t="s">
        <v>4042</v>
      </c>
    </row>
    <row r="315" spans="1:17" ht="15.75" customHeight="1">
      <c r="A315" s="27" t="s">
        <v>4042</v>
      </c>
      <c r="B315" s="27" t="s">
        <v>4042</v>
      </c>
      <c r="C315" s="27" t="s">
        <v>4042</v>
      </c>
      <c r="D315" s="27" t="s">
        <v>4042</v>
      </c>
      <c r="E315" s="27" t="s">
        <v>4042</v>
      </c>
      <c r="F315" s="27" t="s">
        <v>4042</v>
      </c>
      <c r="G315" s="27" t="s">
        <v>4042</v>
      </c>
      <c r="H315" s="27" t="s">
        <v>4042</v>
      </c>
      <c r="I315" s="27" t="s">
        <v>4042</v>
      </c>
      <c r="J315" s="27" t="s">
        <v>4042</v>
      </c>
      <c r="K315" s="27" t="s">
        <v>4042</v>
      </c>
      <c r="L315" s="27" t="s">
        <v>4042</v>
      </c>
      <c r="M315" s="27" t="s">
        <v>4042</v>
      </c>
      <c r="N315" s="27" t="s">
        <v>4042</v>
      </c>
      <c r="O315" s="27" t="s">
        <v>4042</v>
      </c>
      <c r="P315" s="27" t="s">
        <v>4042</v>
      </c>
      <c r="Q315" s="27" t="s">
        <v>4042</v>
      </c>
    </row>
    <row r="316" spans="1:17" ht="15.75" customHeight="1"/>
    <row r="317" spans="1:17" ht="15.75" customHeight="1"/>
    <row r="318" spans="1:17" ht="15.75" customHeight="1"/>
    <row r="319" spans="1:17" ht="15.75" customHeight="1"/>
    <row r="320" spans="1:17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01"/>
  <sheetViews>
    <sheetView zoomScaleNormal="100" workbookViewId="0"/>
  </sheetViews>
  <sheetFormatPr defaultColWidth="8.625" defaultRowHeight="13.9"/>
  <cols>
    <col min="1" max="1" width="28" customWidth="1"/>
    <col min="2" max="2" width="14" customWidth="1"/>
  </cols>
  <sheetData>
    <row r="1" spans="1:2" ht="15" customHeight="1">
      <c r="A1" s="31" t="s">
        <v>4095</v>
      </c>
      <c r="B1" s="31" t="s">
        <v>4032</v>
      </c>
    </row>
    <row r="2" spans="1:2" ht="15" customHeight="1">
      <c r="A2" s="22" t="s">
        <v>1898</v>
      </c>
      <c r="B2" s="32">
        <f>SUMIF(Sales_Fact!$U$2:$U$2001,A2,Sales_Fact!$O$2:$O$2001)</f>
        <v>24566.339499999998</v>
      </c>
    </row>
    <row r="3" spans="1:2" ht="15" customHeight="1">
      <c r="A3" s="22" t="s">
        <v>1829</v>
      </c>
      <c r="B3" s="32">
        <f>SUMIF(Sales_Fact!$U$2:$U$2001,A3,Sales_Fact!$O$2:$O$2001)</f>
        <v>21716.854200000002</v>
      </c>
    </row>
    <row r="4" spans="1:2" ht="15" customHeight="1">
      <c r="A4" s="22" t="s">
        <v>1672</v>
      </c>
      <c r="B4" s="32">
        <f>SUMIF(Sales_Fact!$U$2:$U$2001,A4,Sales_Fact!$O$2:$O$2001)</f>
        <v>21414.865900000004</v>
      </c>
    </row>
    <row r="5" spans="1:2" ht="15" customHeight="1">
      <c r="A5" s="22" t="s">
        <v>1701</v>
      </c>
      <c r="B5" s="32">
        <f>SUMIF(Sales_Fact!$U$2:$U$2001,A5,Sales_Fact!$O$2:$O$2001)</f>
        <v>24127.169600000001</v>
      </c>
    </row>
    <row r="6" spans="1:2" ht="15" customHeight="1">
      <c r="A6" s="22" t="s">
        <v>1783</v>
      </c>
      <c r="B6" s="32">
        <f>SUMIF(Sales_Fact!$U$2:$U$2001,A6,Sales_Fact!$O$2:$O$2001)</f>
        <v>30236.698199999999</v>
      </c>
    </row>
    <row r="7" spans="1:2" ht="15" customHeight="1">
      <c r="A7" s="22" t="s">
        <v>1814</v>
      </c>
      <c r="B7" s="32">
        <f>SUMIF(Sales_Fact!$U$2:$U$2001,A7,Sales_Fact!$O$2:$O$2001)</f>
        <v>22117.245700000003</v>
      </c>
    </row>
    <row r="8" spans="1:2" ht="15" customHeight="1">
      <c r="A8" s="22" t="s">
        <v>1826</v>
      </c>
      <c r="B8" s="32">
        <f>SUMIF(Sales_Fact!$U$2:$U$2001,A8,Sales_Fact!$O$2:$O$2001)</f>
        <v>38281.015299999992</v>
      </c>
    </row>
    <row r="9" spans="1:2" ht="15" customHeight="1">
      <c r="A9" s="22" t="s">
        <v>1579</v>
      </c>
      <c r="B9" s="32">
        <f>SUMIF(Sales_Fact!$U$2:$U$2001,A9,Sales_Fact!$O$2:$O$2001)</f>
        <v>17024.962299999999</v>
      </c>
    </row>
    <row r="10" spans="1:2" ht="15" customHeight="1">
      <c r="A10" s="22" t="s">
        <v>1768</v>
      </c>
      <c r="B10" s="32">
        <f>SUMIF(Sales_Fact!$U$2:$U$2001,A10,Sales_Fact!$O$2:$O$2001)</f>
        <v>27344.748300000003</v>
      </c>
    </row>
    <row r="11" spans="1:2" ht="15" customHeight="1">
      <c r="A11" s="22" t="s">
        <v>1669</v>
      </c>
      <c r="B11" s="32">
        <f>SUMIF(Sales_Fact!$U$2:$U$2001,A11,Sales_Fact!$O$2:$O$2001)</f>
        <v>12949.498600000001</v>
      </c>
    </row>
    <row r="12" spans="1:2" ht="15" customHeight="1">
      <c r="A12" s="22" t="s">
        <v>1832</v>
      </c>
      <c r="B12" s="32">
        <f>SUMIF(Sales_Fact!$U$2:$U$2001,A12,Sales_Fact!$O$2:$O$2001)</f>
        <v>23180.1299</v>
      </c>
    </row>
    <row r="13" spans="1:2" ht="15" customHeight="1">
      <c r="A13" s="22" t="s">
        <v>1795</v>
      </c>
      <c r="B13" s="32">
        <f>SUMIF(Sales_Fact!$U$2:$U$2001,A13,Sales_Fact!$O$2:$O$2001)</f>
        <v>22597.401899999997</v>
      </c>
    </row>
    <row r="14" spans="1:2" ht="15" customHeight="1">
      <c r="A14" s="22" t="s">
        <v>1614</v>
      </c>
      <c r="B14" s="32">
        <f>SUMIF(Sales_Fact!$U$2:$U$2001,A14,Sales_Fact!$O$2:$O$2001)</f>
        <v>16812.358999999997</v>
      </c>
    </row>
    <row r="15" spans="1:2" ht="15" customHeight="1">
      <c r="A15" s="22" t="s">
        <v>1676</v>
      </c>
      <c r="B15" s="32">
        <f>SUMIF(Sales_Fact!$U$2:$U$2001,A15,Sales_Fact!$O$2:$O$2001)</f>
        <v>22692.827600000008</v>
      </c>
    </row>
    <row r="16" spans="1:2" ht="15" customHeight="1">
      <c r="A16" s="22" t="s">
        <v>1844</v>
      </c>
      <c r="B16" s="32">
        <f>SUMIF(Sales_Fact!$U$2:$U$2001,A16,Sales_Fact!$O$2:$O$2001)</f>
        <v>15409.6677</v>
      </c>
    </row>
    <row r="17" spans="1:2" ht="15" customHeight="1">
      <c r="A17" s="22" t="s">
        <v>1850</v>
      </c>
      <c r="B17" s="32">
        <f>SUMIF(Sales_Fact!$U$2:$U$2001,A17,Sales_Fact!$O$2:$O$2001)</f>
        <v>23216.062099999999</v>
      </c>
    </row>
    <row r="18" spans="1:2" ht="15" customHeight="1">
      <c r="A18" s="22" t="s">
        <v>1713</v>
      </c>
      <c r="B18" s="32">
        <f>SUMIF(Sales_Fact!$U$2:$U$2001,A18,Sales_Fact!$O$2:$O$2001)</f>
        <v>35489.6198</v>
      </c>
    </row>
    <row r="19" spans="1:2" ht="15" customHeight="1">
      <c r="A19" s="22" t="s">
        <v>1609</v>
      </c>
      <c r="B19" s="32">
        <f>SUMIF(Sales_Fact!$U$2:$U$2001,A19,Sales_Fact!$O$2:$O$2001)</f>
        <v>19869.924400000004</v>
      </c>
    </row>
    <row r="20" spans="1:2" ht="15" customHeight="1">
      <c r="A20" s="22" t="s">
        <v>1786</v>
      </c>
      <c r="B20" s="32">
        <f>SUMIF(Sales_Fact!$U$2:$U$2001,A20,Sales_Fact!$O$2:$O$2001)</f>
        <v>21324.221000000001</v>
      </c>
    </row>
    <row r="21" spans="1:2" ht="15" customHeight="1">
      <c r="A21" s="22" t="s">
        <v>1792</v>
      </c>
      <c r="B21" s="32">
        <f>SUMIF(Sales_Fact!$U$2:$U$2001,A21,Sales_Fact!$O$2:$O$2001)</f>
        <v>25329.428500000002</v>
      </c>
    </row>
    <row r="22" spans="1:2" ht="15" customHeight="1">
      <c r="A22" s="22" t="s">
        <v>1765</v>
      </c>
      <c r="B22" s="32">
        <f>SUMIF(Sales_Fact!$U$2:$U$2001,A22,Sales_Fact!$O$2:$O$2001)</f>
        <v>14638.077900000002</v>
      </c>
    </row>
    <row r="23" spans="1:2" ht="15" customHeight="1">
      <c r="A23" s="22" t="s">
        <v>1704</v>
      </c>
      <c r="B23" s="32">
        <f>SUMIF(Sales_Fact!$U$2:$U$2001,A23,Sales_Fact!$O$2:$O$2001)</f>
        <v>34699.832699999999</v>
      </c>
    </row>
    <row r="24" spans="1:2" ht="15" customHeight="1">
      <c r="A24" s="22" t="s">
        <v>1762</v>
      </c>
      <c r="B24" s="32">
        <f>SUMIF(Sales_Fact!$U$2:$U$2001,A24,Sales_Fact!$O$2:$O$2001)</f>
        <v>13834.392499999998</v>
      </c>
    </row>
    <row r="25" spans="1:2" ht="15" customHeight="1">
      <c r="A25" s="22" t="s">
        <v>1739</v>
      </c>
      <c r="B25" s="32">
        <f>SUMIF(Sales_Fact!$U$2:$U$2001,A25,Sales_Fact!$O$2:$O$2001)</f>
        <v>17393.791499999999</v>
      </c>
    </row>
    <row r="26" spans="1:2" ht="15" customHeight="1">
      <c r="A26" s="22" t="s">
        <v>1847</v>
      </c>
      <c r="B26" s="32">
        <f>SUMIF(Sales_Fact!$U$2:$U$2001,A26,Sales_Fact!$O$2:$O$2001)</f>
        <v>24913.183400000005</v>
      </c>
    </row>
    <row r="27" spans="1:2" ht="15" customHeight="1">
      <c r="A27" s="22" t="s">
        <v>1771</v>
      </c>
      <c r="B27" s="32">
        <f>SUMIF(Sales_Fact!$U$2:$U$2001,A27,Sales_Fact!$O$2:$O$2001)</f>
        <v>16043.662899999999</v>
      </c>
    </row>
    <row r="28" spans="1:2" ht="15" customHeight="1">
      <c r="A28" s="22" t="s">
        <v>1853</v>
      </c>
      <c r="B28" s="32">
        <f>SUMIF(Sales_Fact!$U$2:$U$2001,A28,Sales_Fact!$O$2:$O$2001)</f>
        <v>22406.273700000002</v>
      </c>
    </row>
    <row r="29" spans="1:2" ht="15" customHeight="1">
      <c r="A29" s="22" t="s">
        <v>1886</v>
      </c>
      <c r="B29" s="32">
        <f>SUMIF(Sales_Fact!$U$2:$U$2001,A29,Sales_Fact!$O$2:$O$2001)</f>
        <v>23129.7153</v>
      </c>
    </row>
    <row r="30" spans="1:2" ht="15" customHeight="1">
      <c r="A30" s="22" t="s">
        <v>1892</v>
      </c>
      <c r="B30" s="32">
        <f>SUMIF(Sales_Fact!$U$2:$U$2001,A30,Sales_Fact!$O$2:$O$2001)</f>
        <v>12301.1638</v>
      </c>
    </row>
    <row r="31" spans="1:2" ht="15" customHeight="1">
      <c r="A31" s="22" t="s">
        <v>1649</v>
      </c>
      <c r="B31" s="32">
        <f>SUMIF(Sales_Fact!$U$2:$U$2001,A31,Sales_Fact!$O$2:$O$2001)</f>
        <v>28324.049000000003</v>
      </c>
    </row>
    <row r="32" spans="1:2" ht="15" customHeight="1">
      <c r="A32" s="22" t="s">
        <v>1865</v>
      </c>
      <c r="B32" s="32">
        <f>SUMIF(Sales_Fact!$U$2:$U$2001,A32,Sales_Fact!$O$2:$O$2001)</f>
        <v>19064.629400000002</v>
      </c>
    </row>
    <row r="33" spans="1:2" ht="15" customHeight="1">
      <c r="A33" s="22" t="s">
        <v>1736</v>
      </c>
      <c r="B33" s="32">
        <f>SUMIF(Sales_Fact!$U$2:$U$2001,A33,Sales_Fact!$O$2:$O$2001)</f>
        <v>14177.224300000002</v>
      </c>
    </row>
    <row r="34" spans="1:2" ht="15" customHeight="1">
      <c r="A34" s="22" t="s">
        <v>1655</v>
      </c>
      <c r="B34" s="32">
        <f>SUMIF(Sales_Fact!$U$2:$U$2001,A34,Sales_Fact!$O$2:$O$2001)</f>
        <v>25910.406999999992</v>
      </c>
    </row>
    <row r="35" spans="1:2" ht="15" customHeight="1">
      <c r="A35" s="22" t="s">
        <v>1841</v>
      </c>
      <c r="B35" s="32">
        <f>SUMIF(Sales_Fact!$U$2:$U$2001,A35,Sales_Fact!$O$2:$O$2001)</f>
        <v>27749.196200000002</v>
      </c>
    </row>
    <row r="36" spans="1:2" ht="15" customHeight="1">
      <c r="A36" s="22" t="s">
        <v>1733</v>
      </c>
      <c r="B36" s="32">
        <f>SUMIF(Sales_Fact!$U$2:$U$2001,A36,Sales_Fact!$O$2:$O$2001)</f>
        <v>22487.498899999999</v>
      </c>
    </row>
    <row r="37" spans="1:2" ht="15" customHeight="1">
      <c r="A37" s="22" t="s">
        <v>1823</v>
      </c>
      <c r="B37" s="32">
        <f>SUMIF(Sales_Fact!$U$2:$U$2001,A37,Sales_Fact!$O$2:$O$2001)</f>
        <v>16436.947499999998</v>
      </c>
    </row>
    <row r="38" spans="1:2" ht="15" customHeight="1">
      <c r="A38" s="22" t="s">
        <v>1780</v>
      </c>
      <c r="B38" s="32">
        <f>SUMIF(Sales_Fact!$U$2:$U$2001,A38,Sales_Fact!$O$2:$O$2001)</f>
        <v>16393.105300000003</v>
      </c>
    </row>
    <row r="39" spans="1:2" ht="15" customHeight="1">
      <c r="A39" s="22" t="s">
        <v>1745</v>
      </c>
      <c r="B39" s="32">
        <f>SUMIF(Sales_Fact!$U$2:$U$2001,A39,Sales_Fact!$O$2:$O$2001)</f>
        <v>7948.3905000000004</v>
      </c>
    </row>
    <row r="40" spans="1:2" ht="15" customHeight="1">
      <c r="A40" s="22" t="s">
        <v>1691</v>
      </c>
      <c r="B40" s="32">
        <f>SUMIF(Sales_Fact!$U$2:$U$2001,A40,Sales_Fact!$O$2:$O$2001)</f>
        <v>14029.912799999996</v>
      </c>
    </row>
    <row r="41" spans="1:2" ht="15" customHeight="1">
      <c r="A41" s="22" t="s">
        <v>1883</v>
      </c>
      <c r="B41" s="32">
        <f>SUMIF(Sales_Fact!$U$2:$U$2001,A41,Sales_Fact!$O$2:$O$2001)</f>
        <v>20853.6891</v>
      </c>
    </row>
    <row r="42" spans="1:2" ht="15" customHeight="1">
      <c r="A42" s="22" t="s">
        <v>1685</v>
      </c>
      <c r="B42" s="32">
        <f>SUMIF(Sales_Fact!$U$2:$U$2001,A42,Sales_Fact!$O$2:$O$2001)</f>
        <v>15145.864699999996</v>
      </c>
    </row>
    <row r="43" spans="1:2" ht="15" customHeight="1">
      <c r="A43" s="22" t="s">
        <v>1742</v>
      </c>
      <c r="B43" s="32">
        <f>SUMIF(Sales_Fact!$U$2:$U$2001,A43,Sales_Fact!$O$2:$O$2001)</f>
        <v>24328.610100000002</v>
      </c>
    </row>
    <row r="44" spans="1:2" ht="15" customHeight="1">
      <c r="A44" s="22" t="s">
        <v>1641</v>
      </c>
      <c r="B44" s="32">
        <f>SUMIF(Sales_Fact!$U$2:$U$2001,A44,Sales_Fact!$O$2:$O$2001)</f>
        <v>28666.992799999996</v>
      </c>
    </row>
    <row r="45" spans="1:2" ht="15" customHeight="1">
      <c r="A45" s="22" t="s">
        <v>1717</v>
      </c>
      <c r="B45" s="32">
        <f>SUMIF(Sales_Fact!$U$2:$U$2001,A45,Sales_Fact!$O$2:$O$2001)</f>
        <v>27231.047200000005</v>
      </c>
    </row>
    <row r="46" spans="1:2" ht="15" customHeight="1">
      <c r="A46" s="22" t="s">
        <v>1707</v>
      </c>
      <c r="B46" s="32">
        <f>SUMIF(Sales_Fact!$U$2:$U$2001,A46,Sales_Fact!$O$2:$O$2001)</f>
        <v>19193.62149999999</v>
      </c>
    </row>
    <row r="47" spans="1:2" ht="15" customHeight="1">
      <c r="A47" s="22" t="s">
        <v>1835</v>
      </c>
      <c r="B47" s="32">
        <f>SUMIF(Sales_Fact!$U$2:$U$2001,A47,Sales_Fact!$O$2:$O$2001)</f>
        <v>32792.731499999994</v>
      </c>
    </row>
    <row r="48" spans="1:2" ht="15" customHeight="1">
      <c r="A48" s="22" t="s">
        <v>1804</v>
      </c>
      <c r="B48" s="32">
        <f>SUMIF(Sales_Fact!$U$2:$U$2001,A48,Sales_Fact!$O$2:$O$2001)</f>
        <v>23114.122999999996</v>
      </c>
    </row>
    <row r="49" spans="1:2" ht="15" customHeight="1">
      <c r="A49" s="22" t="s">
        <v>1623</v>
      </c>
      <c r="B49" s="32">
        <f>SUMIF(Sales_Fact!$U$2:$U$2001,A49,Sales_Fact!$O$2:$O$2001)</f>
        <v>18539.250699999997</v>
      </c>
    </row>
    <row r="50" spans="1:2" ht="15" customHeight="1">
      <c r="A50" s="22" t="s">
        <v>1868</v>
      </c>
      <c r="B50" s="32">
        <f>SUMIF(Sales_Fact!$U$2:$U$2001,A50,Sales_Fact!$O$2:$O$2001)</f>
        <v>17258.751700000001</v>
      </c>
    </row>
    <row r="51" spans="1:2" ht="15" customHeight="1">
      <c r="A51" s="22" t="s">
        <v>1789</v>
      </c>
      <c r="B51" s="32">
        <f>SUMIF(Sales_Fact!$U$2:$U$2001,A51,Sales_Fact!$O$2:$O$2001)</f>
        <v>20156.957999999999</v>
      </c>
    </row>
    <row r="52" spans="1:2" ht="15" customHeight="1">
      <c r="A52" s="22" t="s">
        <v>1724</v>
      </c>
      <c r="B52" s="32">
        <f>SUMIF(Sales_Fact!$U$2:$U$2001,A52,Sales_Fact!$O$2:$O$2001)</f>
        <v>18128.390499999994</v>
      </c>
    </row>
    <row r="53" spans="1:2" ht="15" customHeight="1">
      <c r="A53" s="22" t="s">
        <v>1901</v>
      </c>
      <c r="B53" s="32">
        <f>SUMIF(Sales_Fact!$U$2:$U$2001,A53,Sales_Fact!$O$2:$O$2001)</f>
        <v>25706.640400000004</v>
      </c>
    </row>
    <row r="54" spans="1:2" ht="15" customHeight="1">
      <c r="A54" s="22" t="s">
        <v>1756</v>
      </c>
      <c r="B54" s="32">
        <f>SUMIF(Sales_Fact!$U$2:$U$2001,A54,Sales_Fact!$O$2:$O$2001)</f>
        <v>18013.0972</v>
      </c>
    </row>
    <row r="55" spans="1:2" ht="15" customHeight="1">
      <c r="A55" s="22" t="s">
        <v>1874</v>
      </c>
      <c r="B55" s="32">
        <f>SUMIF(Sales_Fact!$U$2:$U$2001,A55,Sales_Fact!$O$2:$O$2001)</f>
        <v>29293.837500000001</v>
      </c>
    </row>
    <row r="56" spans="1:2" ht="15" customHeight="1">
      <c r="A56" s="22" t="s">
        <v>1662</v>
      </c>
      <c r="B56" s="32">
        <f>SUMIF(Sales_Fact!$U$2:$U$2001,A56,Sales_Fact!$O$2:$O$2001)</f>
        <v>20080.040700000001</v>
      </c>
    </row>
    <row r="57" spans="1:2" ht="15" customHeight="1">
      <c r="A57" s="22" t="s">
        <v>1798</v>
      </c>
      <c r="B57" s="32">
        <f>SUMIF(Sales_Fact!$U$2:$U$2001,A57,Sales_Fact!$O$2:$O$2001)</f>
        <v>25460.920100000003</v>
      </c>
    </row>
    <row r="58" spans="1:2" ht="15" customHeight="1">
      <c r="A58" s="22" t="s">
        <v>1859</v>
      </c>
      <c r="B58" s="32">
        <f>SUMIF(Sales_Fact!$U$2:$U$2001,A58,Sales_Fact!$O$2:$O$2001)</f>
        <v>21919.366900000001</v>
      </c>
    </row>
    <row r="59" spans="1:2" ht="15" customHeight="1">
      <c r="A59" s="22" t="s">
        <v>1820</v>
      </c>
      <c r="B59" s="32">
        <f>SUMIF(Sales_Fact!$U$2:$U$2001,A59,Sales_Fact!$O$2:$O$2001)</f>
        <v>26919.444599999999</v>
      </c>
    </row>
    <row r="60" spans="1:2" ht="15" customHeight="1">
      <c r="A60" s="22" t="s">
        <v>1596</v>
      </c>
      <c r="B60" s="32">
        <f>SUMIF(Sales_Fact!$U$2:$U$2001,A60,Sales_Fact!$O$2:$O$2001)</f>
        <v>15665.8534</v>
      </c>
    </row>
    <row r="61" spans="1:2" ht="15" customHeight="1">
      <c r="A61" s="22" t="s">
        <v>1666</v>
      </c>
      <c r="B61" s="32">
        <f>SUMIF(Sales_Fact!$U$2:$U$2001,A61,Sales_Fact!$O$2:$O$2001)</f>
        <v>20744.228500000001</v>
      </c>
    </row>
    <row r="62" spans="1:2" ht="15" customHeight="1">
      <c r="A62" s="22" t="s">
        <v>1589</v>
      </c>
      <c r="B62" s="32">
        <f>SUMIF(Sales_Fact!$U$2:$U$2001,A62,Sales_Fact!$O$2:$O$2001)</f>
        <v>15827.992099999999</v>
      </c>
    </row>
    <row r="63" spans="1:2" ht="15" customHeight="1">
      <c r="A63" s="22" t="s">
        <v>1856</v>
      </c>
      <c r="B63" s="32">
        <f>SUMIF(Sales_Fact!$U$2:$U$2001,A63,Sales_Fact!$O$2:$O$2001)</f>
        <v>19732.2281</v>
      </c>
    </row>
    <row r="64" spans="1:2" ht="15" customHeight="1">
      <c r="A64" s="22" t="s">
        <v>1688</v>
      </c>
      <c r="B64" s="32">
        <f>SUMIF(Sales_Fact!$U$2:$U$2001,A64,Sales_Fact!$O$2:$O$2001)</f>
        <v>12665.900800000001</v>
      </c>
    </row>
    <row r="65" spans="1:2" ht="15" customHeight="1">
      <c r="A65" s="22" t="s">
        <v>1645</v>
      </c>
      <c r="B65" s="32">
        <f>SUMIF(Sales_Fact!$U$2:$U$2001,A65,Sales_Fact!$O$2:$O$2001)</f>
        <v>21748.588199999998</v>
      </c>
    </row>
    <row r="66" spans="1:2" ht="15" customHeight="1">
      <c r="A66" s="22" t="s">
        <v>1777</v>
      </c>
      <c r="B66" s="32">
        <f>SUMIF(Sales_Fact!$U$2:$U$2001,A66,Sales_Fact!$O$2:$O$2001)</f>
        <v>21426.5304</v>
      </c>
    </row>
    <row r="67" spans="1:2" ht="15" customHeight="1">
      <c r="A67" s="22" t="s">
        <v>1720</v>
      </c>
      <c r="B67" s="32">
        <f>SUMIF(Sales_Fact!$U$2:$U$2001,A67,Sales_Fact!$O$2:$O$2001)</f>
        <v>41852.503399999994</v>
      </c>
    </row>
    <row r="68" spans="1:2" ht="15" customHeight="1">
      <c r="A68" s="22" t="s">
        <v>1749</v>
      </c>
      <c r="B68" s="32">
        <f>SUMIF(Sales_Fact!$U$2:$U$2001,A68,Sales_Fact!$O$2:$O$2001)</f>
        <v>22759.252899999999</v>
      </c>
    </row>
    <row r="69" spans="1:2" ht="15" customHeight="1">
      <c r="A69" s="22" t="s">
        <v>1880</v>
      </c>
      <c r="B69" s="32">
        <f>SUMIF(Sales_Fact!$U$2:$U$2001,A69,Sales_Fact!$O$2:$O$2001)</f>
        <v>33993.659399999997</v>
      </c>
    </row>
    <row r="70" spans="1:2" ht="15" customHeight="1">
      <c r="A70" s="22" t="s">
        <v>1627</v>
      </c>
      <c r="B70" s="32">
        <f>SUMIF(Sales_Fact!$U$2:$U$2001,A70,Sales_Fact!$O$2:$O$2001)</f>
        <v>25384.637600000002</v>
      </c>
    </row>
    <row r="71" spans="1:2" ht="15" customHeight="1">
      <c r="A71" s="22" t="s">
        <v>1659</v>
      </c>
      <c r="B71" s="32">
        <f>SUMIF(Sales_Fact!$U$2:$U$2001,A71,Sales_Fact!$O$2:$O$2001)</f>
        <v>27622.9617</v>
      </c>
    </row>
    <row r="72" spans="1:2" ht="15" customHeight="1">
      <c r="A72" s="22" t="s">
        <v>1862</v>
      </c>
      <c r="B72" s="32">
        <f>SUMIF(Sales_Fact!$U$2:$U$2001,A72,Sales_Fact!$O$2:$O$2001)</f>
        <v>20593.471699999998</v>
      </c>
    </row>
    <row r="73" spans="1:2" ht="15" customHeight="1">
      <c r="A73" s="22" t="s">
        <v>1730</v>
      </c>
      <c r="B73" s="32">
        <f>SUMIF(Sales_Fact!$U$2:$U$2001,A73,Sales_Fact!$O$2:$O$2001)</f>
        <v>22545.827099999999</v>
      </c>
    </row>
    <row r="74" spans="1:2" ht="15" customHeight="1">
      <c r="A74" s="22" t="s">
        <v>1694</v>
      </c>
      <c r="B74" s="32">
        <f>SUMIF(Sales_Fact!$U$2:$U$2001,A74,Sales_Fact!$O$2:$O$2001)</f>
        <v>31070.455699999999</v>
      </c>
    </row>
    <row r="75" spans="1:2" ht="15" customHeight="1">
      <c r="A75" s="22" t="s">
        <v>1877</v>
      </c>
      <c r="B75" s="32">
        <f>SUMIF(Sales_Fact!$U$2:$U$2001,A75,Sales_Fact!$O$2:$O$2001)</f>
        <v>14035.521700000001</v>
      </c>
    </row>
    <row r="76" spans="1:2" ht="15" customHeight="1">
      <c r="A76" s="22" t="s">
        <v>1801</v>
      </c>
      <c r="B76" s="32">
        <f>SUMIF(Sales_Fact!$U$2:$U$2001,A76,Sales_Fact!$O$2:$O$2001)</f>
        <v>20005.736199999996</v>
      </c>
    </row>
    <row r="77" spans="1:2" ht="15" customHeight="1">
      <c r="A77" s="22" t="s">
        <v>1634</v>
      </c>
      <c r="B77" s="32">
        <f>SUMIF(Sales_Fact!$U$2:$U$2001,A77,Sales_Fact!$O$2:$O$2001)</f>
        <v>20960.034100000001</v>
      </c>
    </row>
    <row r="78" spans="1:2" ht="15" customHeight="1">
      <c r="A78" s="22" t="s">
        <v>1895</v>
      </c>
      <c r="B78" s="32">
        <f>SUMIF(Sales_Fact!$U$2:$U$2001,A78,Sales_Fact!$O$2:$O$2001)</f>
        <v>28572.692400000004</v>
      </c>
    </row>
    <row r="79" spans="1:2" ht="15" customHeight="1">
      <c r="A79" s="22" t="s">
        <v>1682</v>
      </c>
      <c r="B79" s="32">
        <f>SUMIF(Sales_Fact!$U$2:$U$2001,A79,Sales_Fact!$O$2:$O$2001)</f>
        <v>25205.890399999993</v>
      </c>
    </row>
    <row r="80" spans="1:2" ht="15" customHeight="1">
      <c r="A80" s="22" t="s">
        <v>1759</v>
      </c>
      <c r="B80" s="32">
        <f>SUMIF(Sales_Fact!$U$2:$U$2001,A80,Sales_Fact!$O$2:$O$2001)</f>
        <v>17640.507000000001</v>
      </c>
    </row>
    <row r="81" spans="1:2" ht="15" customHeight="1">
      <c r="A81" s="22" t="s">
        <v>1838</v>
      </c>
      <c r="B81" s="32">
        <f>SUMIF(Sales_Fact!$U$2:$U$2001,A81,Sales_Fact!$O$2:$O$2001)</f>
        <v>24731.530699999999</v>
      </c>
    </row>
    <row r="82" spans="1:2" ht="15" customHeight="1">
      <c r="A82" s="22" t="s">
        <v>1752</v>
      </c>
      <c r="B82" s="32">
        <f>SUMIF(Sales_Fact!$U$2:$U$2001,A82,Sales_Fact!$O$2:$O$2001)</f>
        <v>24992.870800000001</v>
      </c>
    </row>
    <row r="83" spans="1:2" ht="15" customHeight="1">
      <c r="A83" s="22" t="s">
        <v>1679</v>
      </c>
      <c r="B83" s="32">
        <f>SUMIF(Sales_Fact!$U$2:$U$2001,A83,Sales_Fact!$O$2:$O$2001)</f>
        <v>22098.5396</v>
      </c>
    </row>
    <row r="84" spans="1:2" ht="15" customHeight="1">
      <c r="A84" s="22" t="s">
        <v>1727</v>
      </c>
      <c r="B84" s="32">
        <f>SUMIF(Sales_Fact!$U$2:$U$2001,A84,Sales_Fact!$O$2:$O$2001)</f>
        <v>16290.265399999998</v>
      </c>
    </row>
    <row r="85" spans="1:2" ht="15" customHeight="1">
      <c r="A85" s="22" t="s">
        <v>1652</v>
      </c>
      <c r="B85" s="32">
        <f>SUMIF(Sales_Fact!$U$2:$U$2001,A85,Sales_Fact!$O$2:$O$2001)</f>
        <v>15084.943700000003</v>
      </c>
    </row>
    <row r="86" spans="1:2" ht="15" customHeight="1">
      <c r="A86" s="22" t="s">
        <v>1593</v>
      </c>
      <c r="B86" s="32">
        <f>SUMIF(Sales_Fact!$U$2:$U$2001,A86,Sales_Fact!$O$2:$O$2001)</f>
        <v>24311.581900000001</v>
      </c>
    </row>
    <row r="87" spans="1:2" ht="15" customHeight="1">
      <c r="A87" s="22" t="s">
        <v>1630</v>
      </c>
      <c r="B87" s="32">
        <f>SUMIF(Sales_Fact!$U$2:$U$2001,A87,Sales_Fact!$O$2:$O$2001)</f>
        <v>21726.542899999997</v>
      </c>
    </row>
    <row r="88" spans="1:2" ht="15" customHeight="1">
      <c r="A88" s="22" t="s">
        <v>1904</v>
      </c>
      <c r="B88" s="32">
        <f>SUMIF(Sales_Fact!$U$2:$U$2001,A88,Sales_Fact!$O$2:$O$2001)</f>
        <v>20255.327800000003</v>
      </c>
    </row>
    <row r="89" spans="1:2" ht="15" customHeight="1">
      <c r="A89" s="22" t="s">
        <v>1774</v>
      </c>
      <c r="B89" s="32">
        <f>SUMIF(Sales_Fact!$U$2:$U$2001,A89,Sales_Fact!$O$2:$O$2001)</f>
        <v>22446.9908</v>
      </c>
    </row>
    <row r="90" spans="1:2" ht="15" customHeight="1">
      <c r="A90" s="22" t="s">
        <v>1710</v>
      </c>
      <c r="B90" s="32">
        <f>SUMIF(Sales_Fact!$U$2:$U$2001,A90,Sales_Fact!$O$2:$O$2001)</f>
        <v>13963.016999999998</v>
      </c>
    </row>
    <row r="91" spans="1:2" ht="15" customHeight="1">
      <c r="A91" s="22" t="s">
        <v>1889</v>
      </c>
      <c r="B91" s="32">
        <f>SUMIF(Sales_Fact!$U$2:$U$2001,A91,Sales_Fact!$O$2:$O$2001)</f>
        <v>28094.216900000003</v>
      </c>
    </row>
    <row r="92" spans="1:2" ht="15" customHeight="1">
      <c r="A92" s="22" t="s">
        <v>1871</v>
      </c>
      <c r="B92" s="32">
        <f>SUMIF(Sales_Fact!$U$2:$U$2001,A92,Sales_Fact!$O$2:$O$2001)</f>
        <v>25580.1679</v>
      </c>
    </row>
    <row r="93" spans="1:2" ht="15" customHeight="1">
      <c r="A93" s="22" t="s">
        <v>1600</v>
      </c>
      <c r="B93" s="32">
        <f>SUMIF(Sales_Fact!$U$2:$U$2001,A93,Sales_Fact!$O$2:$O$2001)</f>
        <v>20514.303499999998</v>
      </c>
    </row>
    <row r="94" spans="1:2" ht="15" customHeight="1">
      <c r="A94" s="22" t="s">
        <v>1817</v>
      </c>
      <c r="B94" s="32">
        <f>SUMIF(Sales_Fact!$U$2:$U$2001,A94,Sales_Fact!$O$2:$O$2001)</f>
        <v>25370.643899999995</v>
      </c>
    </row>
    <row r="95" spans="1:2" ht="15" customHeight="1">
      <c r="A95" s="22" t="s">
        <v>1584</v>
      </c>
      <c r="B95" s="32">
        <f>SUMIF(Sales_Fact!$U$2:$U$2001,A95,Sales_Fact!$O$2:$O$2001)</f>
        <v>17226.440999999999</v>
      </c>
    </row>
    <row r="96" spans="1:2" ht="15" customHeight="1">
      <c r="A96" s="22" t="s">
        <v>1637</v>
      </c>
      <c r="B96" s="32">
        <f>SUMIF(Sales_Fact!$U$2:$U$2001,A96,Sales_Fact!$O$2:$O$2001)</f>
        <v>21570.414099999998</v>
      </c>
    </row>
    <row r="97" spans="1:2" ht="15" customHeight="1">
      <c r="A97" s="22" t="s">
        <v>1604</v>
      </c>
      <c r="B97" s="32">
        <f>SUMIF(Sales_Fact!$U$2:$U$2001,A97,Sales_Fact!$O$2:$O$2001)</f>
        <v>9937.0897999999997</v>
      </c>
    </row>
    <row r="98" spans="1:2" ht="15" customHeight="1">
      <c r="A98" s="22" t="s">
        <v>1698</v>
      </c>
      <c r="B98" s="32">
        <f>SUMIF(Sales_Fact!$U$2:$U$2001,A98,Sales_Fact!$O$2:$O$2001)</f>
        <v>9681.9318999999996</v>
      </c>
    </row>
    <row r="99" spans="1:2" ht="15" customHeight="1">
      <c r="A99" s="22" t="s">
        <v>1810</v>
      </c>
      <c r="B99" s="32">
        <f>SUMIF(Sales_Fact!$U$2:$U$2001,A99,Sales_Fact!$O$2:$O$2001)</f>
        <v>16188.908100000002</v>
      </c>
    </row>
    <row r="100" spans="1:2" ht="15" customHeight="1">
      <c r="A100" s="22" t="s">
        <v>1618</v>
      </c>
      <c r="B100" s="32">
        <f>SUMIF(Sales_Fact!$U$2:$U$2001,A100,Sales_Fact!$O$2:$O$2001)</f>
        <v>13115.581300000002</v>
      </c>
    </row>
    <row r="101" spans="1:2" ht="15" customHeight="1">
      <c r="A101" s="22" t="s">
        <v>1807</v>
      </c>
      <c r="B101" s="32">
        <f>SUMIF(Sales_Fact!$U$2:$U$2001,A101,Sales_Fact!$O$2:$O$2001)</f>
        <v>27348.1558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3</cp:revision>
  <dcterms:created xsi:type="dcterms:W3CDTF">2026-07-10T04:21:51Z</dcterms:created>
  <dcterms:modified xsi:type="dcterms:W3CDTF">2026-07-25T18:42:41Z</dcterms:modified>
  <cp:category/>
  <cp:contentStatus/>
</cp:coreProperties>
</file>